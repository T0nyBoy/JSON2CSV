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328" codeName="{316AF4FF-6532-DD95-964C-923D217D005E}"/>
  <workbookPr codeName="ThisWorkbook"/>
  <mc:AlternateContent xmlns:mc="http://schemas.openxmlformats.org/markup-compatibility/2006">
    <mc:Choice Requires="x15">
      <x15ac:absPath xmlns:x15ac="http://schemas.microsoft.com/office/spreadsheetml/2010/11/ac" url="\\davisandbarrett\NextCloud-Data\Surveyor\_Handovers Preparation\Bishop Lydeard\"/>
    </mc:Choice>
  </mc:AlternateContent>
  <xr:revisionPtr revIDLastSave="0" documentId="13_ncr:1_{40FA0D73-27C4-470D-A9D3-8878DCF42AE8}" xr6:coauthVersionLast="45" xr6:coauthVersionMax="45" xr10:uidLastSave="{00000000-0000-0000-0000-000000000000}"/>
  <bookViews>
    <workbookView xWindow="-120" yWindow="-120" windowWidth="29040" windowHeight="15840" activeTab="6" xr2:uid="{00000000-000D-0000-FFFF-FFFF00000000}"/>
  </bookViews>
  <sheets>
    <sheet name="Import" sheetId="2" r:id="rId1"/>
    <sheet name="Truthing" sheetId="3" r:id="rId2"/>
    <sheet name="FinalTemplate" sheetId="4" r:id="rId3"/>
    <sheet name="Handover" sheetId="5" r:id="rId4"/>
    <sheet name="Variations" sheetId="7" r:id="rId5"/>
    <sheet name="QS Variations" sheetId="8" r:id="rId6"/>
    <sheet name="Screen Walls" sheetId="9" r:id="rId7"/>
  </sheets>
  <definedNames>
    <definedName name="_xlnm._FilterDatabase" localSheetId="2" hidden="1">FinalTemplate!$D$1:$F$239</definedName>
    <definedName name="_xlnm._FilterDatabase" localSheetId="1" hidden="1">Truthing!$A$1:$D$239</definedName>
    <definedName name="_xlnm.Print_Area" localSheetId="3">Handover!$A$1:$I$66</definedName>
    <definedName name="_xlnm.Print_Area" localSheetId="5">'QS Variations'!$A$1:$I$69</definedName>
    <definedName name="_xlnm.Print_Area" localSheetId="6">'Screen Walls'!$A$1:$I$69</definedName>
    <definedName name="_xlnm.Print_Area" localSheetId="4">Variations!$A$1:$I$69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5" i="9" l="1"/>
  <c r="W7" i="9"/>
  <c r="W8" i="9"/>
  <c r="W9" i="9"/>
  <c r="W10" i="9"/>
  <c r="W11" i="9"/>
  <c r="W12" i="9"/>
  <c r="W13" i="9"/>
  <c r="W14" i="9"/>
  <c r="W15" i="9"/>
  <c r="W16" i="9"/>
  <c r="W17" i="9"/>
  <c r="W18" i="9"/>
  <c r="W19" i="9"/>
  <c r="W20" i="9"/>
  <c r="W21" i="9"/>
  <c r="W6" i="9"/>
  <c r="C65" i="9"/>
  <c r="C56" i="9"/>
  <c r="C52" i="9"/>
  <c r="C65" i="8" l="1"/>
  <c r="C56" i="8"/>
  <c r="C52" i="8"/>
  <c r="E25" i="5" l="1"/>
  <c r="E24" i="5"/>
  <c r="E23" i="5"/>
  <c r="D15" i="5"/>
  <c r="D13" i="5"/>
  <c r="G15" i="5"/>
  <c r="E28" i="5"/>
  <c r="E26" i="5"/>
  <c r="AB5044" i="2"/>
  <c r="AC5044" i="2"/>
  <c r="AE5044" i="2"/>
  <c r="AF5044" i="2" s="1"/>
  <c r="AB5045" i="2"/>
  <c r="AC5045" i="2"/>
  <c r="AE5045" i="2"/>
  <c r="AF5045" i="2" s="1"/>
  <c r="AB5046" i="2"/>
  <c r="AC5046" i="2"/>
  <c r="AE5046" i="2"/>
  <c r="AF5046" i="2" s="1"/>
  <c r="AB4950" i="2"/>
  <c r="AC4950" i="2"/>
  <c r="AE4950" i="2"/>
  <c r="AF4950" i="2" s="1"/>
  <c r="AB4951" i="2"/>
  <c r="AC4951" i="2"/>
  <c r="AE4951" i="2"/>
  <c r="AF4951" i="2" s="1"/>
  <c r="AB4952" i="2"/>
  <c r="AC4952" i="2"/>
  <c r="AE4952" i="2"/>
  <c r="AF4952" i="2" s="1"/>
  <c r="AB4953" i="2"/>
  <c r="AB4974" i="2" s="1"/>
  <c r="AB4995" i="2" s="1"/>
  <c r="AB5016" i="2" s="1"/>
  <c r="AC4953" i="2"/>
  <c r="AE4953" i="2"/>
  <c r="AF4953" i="2" s="1"/>
  <c r="AB4954" i="2"/>
  <c r="AC4954" i="2"/>
  <c r="AE4954" i="2"/>
  <c r="AF4954" i="2" s="1"/>
  <c r="AB4955" i="2"/>
  <c r="AC4955" i="2"/>
  <c r="AE4955" i="2"/>
  <c r="AF4955" i="2" s="1"/>
  <c r="AB4956" i="2"/>
  <c r="AC4956" i="2"/>
  <c r="AE4956" i="2"/>
  <c r="AF4956" i="2" s="1"/>
  <c r="AB4957" i="2"/>
  <c r="AB4978" i="2" s="1"/>
  <c r="AB4999" i="2" s="1"/>
  <c r="AB5020" i="2" s="1"/>
  <c r="AC4957" i="2"/>
  <c r="AE4957" i="2"/>
  <c r="AF4957" i="2" s="1"/>
  <c r="AB4958" i="2"/>
  <c r="AC4958" i="2"/>
  <c r="AE4958" i="2"/>
  <c r="AF4958" i="2" s="1"/>
  <c r="AB4959" i="2"/>
  <c r="AC4959" i="2"/>
  <c r="AE4959" i="2"/>
  <c r="AF4959" i="2" s="1"/>
  <c r="AB4960" i="2"/>
  <c r="AC4960" i="2"/>
  <c r="AE4960" i="2"/>
  <c r="AF4960" i="2" s="1"/>
  <c r="AB4961" i="2"/>
  <c r="AB4982" i="2" s="1"/>
  <c r="AB5003" i="2" s="1"/>
  <c r="AB5024" i="2" s="1"/>
  <c r="AC4961" i="2"/>
  <c r="AE4961" i="2"/>
  <c r="AF4961" i="2" s="1"/>
  <c r="AB4962" i="2"/>
  <c r="AC4962" i="2"/>
  <c r="AE4962" i="2"/>
  <c r="AB4963" i="2"/>
  <c r="AC4963" i="2"/>
  <c r="AE4963" i="2"/>
  <c r="AF4963" i="2" s="1"/>
  <c r="AB4964" i="2"/>
  <c r="AC4964" i="2"/>
  <c r="AE4964" i="2"/>
  <c r="AF4964" i="2" s="1"/>
  <c r="AB4965" i="2"/>
  <c r="AB4986" i="2" s="1"/>
  <c r="AB5007" i="2" s="1"/>
  <c r="AB5028" i="2" s="1"/>
  <c r="AC4965" i="2"/>
  <c r="AE4965" i="2"/>
  <c r="AF4965" i="2" s="1"/>
  <c r="AB4966" i="2"/>
  <c r="AC4966" i="2"/>
  <c r="AE4966" i="2"/>
  <c r="AB4967" i="2"/>
  <c r="AC4967" i="2"/>
  <c r="AE4967" i="2"/>
  <c r="AF4967" i="2" s="1"/>
  <c r="AB4968" i="2"/>
  <c r="AC4968" i="2"/>
  <c r="AE4968" i="2"/>
  <c r="AF4968" i="2" s="1"/>
  <c r="AB4969" i="2"/>
  <c r="AB4990" i="2" s="1"/>
  <c r="AB5011" i="2" s="1"/>
  <c r="AB5032" i="2" s="1"/>
  <c r="AC4969" i="2"/>
  <c r="AE4969" i="2"/>
  <c r="AF4969" i="2" s="1"/>
  <c r="AB4970" i="2"/>
  <c r="AC4970" i="2"/>
  <c r="AE4970" i="2"/>
  <c r="AB4971" i="2"/>
  <c r="AC4971" i="2"/>
  <c r="AE4971" i="2"/>
  <c r="AF4971" i="2" s="1"/>
  <c r="AB4972" i="2"/>
  <c r="AC4972" i="2"/>
  <c r="AE4972" i="2"/>
  <c r="AF4972" i="2" s="1"/>
  <c r="AB4973" i="2"/>
  <c r="AB4994" i="2" s="1"/>
  <c r="AB5015" i="2" s="1"/>
  <c r="AB5036" i="2" s="1"/>
  <c r="AE4973" i="2"/>
  <c r="AF4973" i="2" s="1"/>
  <c r="AC4974" i="2"/>
  <c r="AE4974" i="2"/>
  <c r="AB4975" i="2"/>
  <c r="AC4975" i="2"/>
  <c r="AE4975" i="2"/>
  <c r="AF4975" i="2" s="1"/>
  <c r="AB4976" i="2"/>
  <c r="AC4976" i="2"/>
  <c r="AE4976" i="2"/>
  <c r="AF4976" i="2" s="1"/>
  <c r="AB4977" i="2"/>
  <c r="AB4998" i="2" s="1"/>
  <c r="AB5019" i="2" s="1"/>
  <c r="AB5040" i="2" s="1"/>
  <c r="AE4977" i="2"/>
  <c r="AF4977" i="2" s="1"/>
  <c r="AC4978" i="2"/>
  <c r="AE4978" i="2"/>
  <c r="AB4979" i="2"/>
  <c r="AC4979" i="2"/>
  <c r="AE4979" i="2"/>
  <c r="AF4979" i="2" s="1"/>
  <c r="AB4980" i="2"/>
  <c r="AC4980" i="2"/>
  <c r="AE4980" i="2"/>
  <c r="AF4980" i="2" s="1"/>
  <c r="AB4981" i="2"/>
  <c r="AB5002" i="2" s="1"/>
  <c r="AB5023" i="2" s="1"/>
  <c r="AE4981" i="2"/>
  <c r="AF4981" i="2" s="1"/>
  <c r="AC4982" i="2"/>
  <c r="AE4982" i="2"/>
  <c r="AB4983" i="2"/>
  <c r="AC4983" i="2"/>
  <c r="AE4983" i="2"/>
  <c r="AB4984" i="2"/>
  <c r="AC4984" i="2"/>
  <c r="AE4984" i="2"/>
  <c r="AF4984" i="2" s="1"/>
  <c r="AB4985" i="2"/>
  <c r="AB5006" i="2" s="1"/>
  <c r="AB5027" i="2" s="1"/>
  <c r="AE4985" i="2"/>
  <c r="AF4985" i="2" s="1"/>
  <c r="AC4986" i="2"/>
  <c r="AE4986" i="2"/>
  <c r="AB4987" i="2"/>
  <c r="AC4987" i="2"/>
  <c r="AE4987" i="2"/>
  <c r="AF4987" i="2" s="1"/>
  <c r="AB4988" i="2"/>
  <c r="AC4988" i="2"/>
  <c r="AE4988" i="2"/>
  <c r="AF4988" i="2" s="1"/>
  <c r="AB4989" i="2"/>
  <c r="AB5010" i="2" s="1"/>
  <c r="AB5031" i="2" s="1"/>
  <c r="AE4989" i="2"/>
  <c r="AF4989" i="2" s="1"/>
  <c r="AC4990" i="2"/>
  <c r="AE4990" i="2"/>
  <c r="AB4991" i="2"/>
  <c r="AC4991" i="2"/>
  <c r="AE4991" i="2"/>
  <c r="AB4992" i="2"/>
  <c r="AC4992" i="2"/>
  <c r="AE4992" i="2"/>
  <c r="AF4992" i="2" s="1"/>
  <c r="AB4993" i="2"/>
  <c r="AB5014" i="2" s="1"/>
  <c r="AB5035" i="2" s="1"/>
  <c r="AE4993" i="2"/>
  <c r="AF4993" i="2" s="1"/>
  <c r="AE4994" i="2"/>
  <c r="AF4994" i="2" s="1"/>
  <c r="AC4995" i="2"/>
  <c r="AE4995" i="2"/>
  <c r="AB4996" i="2"/>
  <c r="AC4996" i="2"/>
  <c r="AE4996" i="2"/>
  <c r="AF4996" i="2" s="1"/>
  <c r="AB4997" i="2"/>
  <c r="AB5018" i="2" s="1"/>
  <c r="AB5039" i="2" s="1"/>
  <c r="AE4997" i="2"/>
  <c r="AF4997" i="2" s="1"/>
  <c r="AE4998" i="2"/>
  <c r="AF4998" i="2" s="1"/>
  <c r="AC4999" i="2"/>
  <c r="AE4999" i="2"/>
  <c r="AB5000" i="2"/>
  <c r="AC5000" i="2"/>
  <c r="AE5000" i="2"/>
  <c r="AF5000" i="2" s="1"/>
  <c r="AB5001" i="2"/>
  <c r="AB5022" i="2" s="1"/>
  <c r="AB5043" i="2" s="1"/>
  <c r="AE5001" i="2"/>
  <c r="AF5001" i="2" s="1"/>
  <c r="AE5002" i="2"/>
  <c r="AF5002" i="2" s="1"/>
  <c r="AC5003" i="2"/>
  <c r="AE5003" i="2"/>
  <c r="AB5004" i="2"/>
  <c r="AC5004" i="2"/>
  <c r="AE5004" i="2"/>
  <c r="AF5004" i="2" s="1"/>
  <c r="AB5005" i="2"/>
  <c r="AB5026" i="2" s="1"/>
  <c r="AE5005" i="2"/>
  <c r="AF5005" i="2" s="1"/>
  <c r="AE5006" i="2"/>
  <c r="AF5006" i="2" s="1"/>
  <c r="AC5007" i="2"/>
  <c r="AE5007" i="2"/>
  <c r="AF5007" i="2" s="1"/>
  <c r="AB5008" i="2"/>
  <c r="AC5008" i="2"/>
  <c r="AE5008" i="2"/>
  <c r="AF5008" i="2" s="1"/>
  <c r="AB5009" i="2"/>
  <c r="AB5030" i="2" s="1"/>
  <c r="AE5009" i="2"/>
  <c r="AF5009" i="2" s="1"/>
  <c r="AE5010" i="2"/>
  <c r="AF5010" i="2" s="1"/>
  <c r="AC5011" i="2"/>
  <c r="AE5011" i="2"/>
  <c r="AF5011" i="2" s="1"/>
  <c r="AB5012" i="2"/>
  <c r="AC5012" i="2"/>
  <c r="AE5012" i="2"/>
  <c r="AF5012" i="2" s="1"/>
  <c r="AB5013" i="2"/>
  <c r="AB5034" i="2" s="1"/>
  <c r="AE5013" i="2"/>
  <c r="AF5013" i="2" s="1"/>
  <c r="AE5014" i="2"/>
  <c r="AF5014" i="2" s="1"/>
  <c r="AE5015" i="2"/>
  <c r="AF5015" i="2" s="1"/>
  <c r="AC5016" i="2"/>
  <c r="AE5016" i="2"/>
  <c r="AF5016" i="2" s="1"/>
  <c r="AB5017" i="2"/>
  <c r="AB5038" i="2" s="1"/>
  <c r="AE5017" i="2"/>
  <c r="AF5017" i="2" s="1"/>
  <c r="AE5018" i="2"/>
  <c r="AF5018" i="2" s="1"/>
  <c r="AE5019" i="2"/>
  <c r="AF5019" i="2" s="1"/>
  <c r="AC5020" i="2"/>
  <c r="AE5020" i="2"/>
  <c r="AF5020" i="2" s="1"/>
  <c r="AB5021" i="2"/>
  <c r="AB5042" i="2" s="1"/>
  <c r="AE5021" i="2"/>
  <c r="AF5021" i="2" s="1"/>
  <c r="AE5022" i="2"/>
  <c r="AF5022" i="2" s="1"/>
  <c r="AE5023" i="2"/>
  <c r="AF5023" i="2" s="1"/>
  <c r="AC5024" i="2"/>
  <c r="AE5024" i="2"/>
  <c r="AF5024" i="2" s="1"/>
  <c r="AB5025" i="2"/>
  <c r="AE5025" i="2"/>
  <c r="AF5025" i="2" s="1"/>
  <c r="AE5026" i="2"/>
  <c r="AF5026" i="2" s="1"/>
  <c r="AE5027" i="2"/>
  <c r="AF5027" i="2" s="1"/>
  <c r="AC5028" i="2"/>
  <c r="AE5028" i="2"/>
  <c r="AF5028" i="2" s="1"/>
  <c r="AB5029" i="2"/>
  <c r="AE5029" i="2"/>
  <c r="AF5029" i="2" s="1"/>
  <c r="AE5030" i="2"/>
  <c r="AF5030" i="2" s="1"/>
  <c r="AE5031" i="2"/>
  <c r="AF5031" i="2" s="1"/>
  <c r="AC5032" i="2"/>
  <c r="AE5032" i="2"/>
  <c r="AF5032" i="2" s="1"/>
  <c r="AB5033" i="2"/>
  <c r="AE5033" i="2"/>
  <c r="AF5033" i="2" s="1"/>
  <c r="AE5034" i="2"/>
  <c r="AF5034" i="2" s="1"/>
  <c r="AE5035" i="2"/>
  <c r="AF5035" i="2" s="1"/>
  <c r="AE5036" i="2"/>
  <c r="AF5036" i="2" s="1"/>
  <c r="AB5037" i="2"/>
  <c r="AE5037" i="2"/>
  <c r="AF5037" i="2" s="1"/>
  <c r="AE5038" i="2"/>
  <c r="AF5038" i="2" s="1"/>
  <c r="AE5039" i="2"/>
  <c r="AF5039" i="2" s="1"/>
  <c r="AE5040" i="2"/>
  <c r="AF5040" i="2" s="1"/>
  <c r="AB5041" i="2"/>
  <c r="AE5041" i="2"/>
  <c r="AF5041" i="2" s="1"/>
  <c r="AE5042" i="2"/>
  <c r="AF5042" i="2" s="1"/>
  <c r="AE5043" i="2"/>
  <c r="AF5043" i="2" s="1"/>
  <c r="AB4939" i="2"/>
  <c r="AC4939" i="2"/>
  <c r="AE4939" i="2"/>
  <c r="AF4939" i="2" s="1"/>
  <c r="AB4940" i="2"/>
  <c r="AC4940" i="2"/>
  <c r="AE4940" i="2"/>
  <c r="AF4940" i="2" s="1"/>
  <c r="AB4941" i="2"/>
  <c r="AC4941" i="2"/>
  <c r="AE4941" i="2"/>
  <c r="AF4941" i="2" s="1"/>
  <c r="AB4942" i="2"/>
  <c r="AC4942" i="2"/>
  <c r="AE4942" i="2"/>
  <c r="AF4942" i="2" s="1"/>
  <c r="AB4943" i="2"/>
  <c r="AC4943" i="2"/>
  <c r="AE4943" i="2"/>
  <c r="AF4943" i="2" s="1"/>
  <c r="AB4944" i="2"/>
  <c r="AC4944" i="2"/>
  <c r="AE4944" i="2"/>
  <c r="AF4944" i="2" s="1"/>
  <c r="AB4945" i="2"/>
  <c r="AC4945" i="2"/>
  <c r="AE4945" i="2"/>
  <c r="AF4945" i="2" s="1"/>
  <c r="AB4946" i="2"/>
  <c r="AC4946" i="2"/>
  <c r="AE4946" i="2"/>
  <c r="AB4947" i="2"/>
  <c r="AC4947" i="2"/>
  <c r="AE4947" i="2"/>
  <c r="AF4947" i="2" s="1"/>
  <c r="AB4948" i="2"/>
  <c r="AC4948" i="2"/>
  <c r="AE4948" i="2"/>
  <c r="AB4949" i="2"/>
  <c r="AC4949" i="2"/>
  <c r="AE4949" i="2"/>
  <c r="AF4949" i="2" s="1"/>
  <c r="AB4918" i="2"/>
  <c r="AC4918" i="2"/>
  <c r="AE4918" i="2"/>
  <c r="AF4918" i="2" s="1"/>
  <c r="AB4919" i="2"/>
  <c r="AC4919" i="2"/>
  <c r="AE4919" i="2"/>
  <c r="AF4919" i="2" s="1"/>
  <c r="AB4920" i="2"/>
  <c r="AC4920" i="2"/>
  <c r="AE4920" i="2"/>
  <c r="AF4920" i="2" s="1"/>
  <c r="AB4921" i="2"/>
  <c r="AC4921" i="2"/>
  <c r="AE4921" i="2"/>
  <c r="AF4921" i="2" s="1"/>
  <c r="AB4922" i="2"/>
  <c r="AC4922" i="2"/>
  <c r="AE4922" i="2"/>
  <c r="AF4922" i="2" s="1"/>
  <c r="AB4923" i="2"/>
  <c r="AC4923" i="2"/>
  <c r="AE4923" i="2"/>
  <c r="AB4924" i="2"/>
  <c r="AC4924" i="2"/>
  <c r="AE4924" i="2"/>
  <c r="AF4924" i="2" s="1"/>
  <c r="AB4925" i="2"/>
  <c r="AC4925" i="2"/>
  <c r="AE4925" i="2"/>
  <c r="AB4926" i="2"/>
  <c r="AC4926" i="2"/>
  <c r="AE4926" i="2"/>
  <c r="AF4926" i="2" s="1"/>
  <c r="AB4927" i="2"/>
  <c r="AC4927" i="2"/>
  <c r="AE4927" i="2"/>
  <c r="AB4928" i="2"/>
  <c r="AC4928" i="2"/>
  <c r="AE4928" i="2"/>
  <c r="AF4928" i="2" s="1"/>
  <c r="AB4929" i="2"/>
  <c r="AC4929" i="2"/>
  <c r="AE4929" i="2"/>
  <c r="AB4930" i="2"/>
  <c r="AC4930" i="2"/>
  <c r="AE4930" i="2"/>
  <c r="AF4930" i="2" s="1"/>
  <c r="AB4931" i="2"/>
  <c r="AC4931" i="2"/>
  <c r="AE4931" i="2"/>
  <c r="AB4932" i="2"/>
  <c r="AC4932" i="2"/>
  <c r="AE4932" i="2"/>
  <c r="AF4932" i="2" s="1"/>
  <c r="AB4933" i="2"/>
  <c r="AC4933" i="2"/>
  <c r="AE4933" i="2"/>
  <c r="AB4934" i="2"/>
  <c r="AC4934" i="2"/>
  <c r="AE4934" i="2"/>
  <c r="AF4934" i="2" s="1"/>
  <c r="AB4935" i="2"/>
  <c r="AC4935" i="2"/>
  <c r="AE4935" i="2"/>
  <c r="AB4936" i="2"/>
  <c r="AC4936" i="2"/>
  <c r="AE4936" i="2"/>
  <c r="AF4936" i="2" s="1"/>
  <c r="AB4937" i="2"/>
  <c r="AC4937" i="2"/>
  <c r="AE4937" i="2"/>
  <c r="AB4938" i="2"/>
  <c r="AC4938" i="2"/>
  <c r="AE4938" i="2"/>
  <c r="AF4938" i="2" s="1"/>
  <c r="AB4585" i="2"/>
  <c r="AC4585" i="2"/>
  <c r="AE4585" i="2"/>
  <c r="AF4585" i="2" s="1"/>
  <c r="AB4586" i="2"/>
  <c r="AC4586" i="2"/>
  <c r="AE4586" i="2"/>
  <c r="AB4587" i="2"/>
  <c r="AC4587" i="2"/>
  <c r="AE4587" i="2"/>
  <c r="AF4587" i="2" s="1"/>
  <c r="AB4588" i="2"/>
  <c r="AB4609" i="2" s="1"/>
  <c r="AB4630" i="2" s="1"/>
  <c r="AB4651" i="2" s="1"/>
  <c r="AC4588" i="2"/>
  <c r="AE4588" i="2"/>
  <c r="AF4588" i="2" s="1"/>
  <c r="AB4589" i="2"/>
  <c r="AC4589" i="2"/>
  <c r="AE4589" i="2"/>
  <c r="AF4589" i="2" s="1"/>
  <c r="AB4590" i="2"/>
  <c r="AC4590" i="2"/>
  <c r="AE4590" i="2"/>
  <c r="AB4591" i="2"/>
  <c r="AC4591" i="2"/>
  <c r="AE4591" i="2"/>
  <c r="AF4591" i="2" s="1"/>
  <c r="AB4592" i="2"/>
  <c r="AB4613" i="2" s="1"/>
  <c r="AC4592" i="2"/>
  <c r="AE4592" i="2"/>
  <c r="AB4593" i="2"/>
  <c r="AC4593" i="2"/>
  <c r="AE4593" i="2"/>
  <c r="AF4593" i="2" s="1"/>
  <c r="AB4594" i="2"/>
  <c r="AB4615" i="2" s="1"/>
  <c r="AC4594" i="2"/>
  <c r="AE4594" i="2"/>
  <c r="AB4595" i="2"/>
  <c r="AC4595" i="2"/>
  <c r="AE4595" i="2"/>
  <c r="AF4595" i="2" s="1"/>
  <c r="AB4596" i="2"/>
  <c r="AB4617" i="2" s="1"/>
  <c r="AC4596" i="2"/>
  <c r="AE4596" i="2"/>
  <c r="AB4597" i="2"/>
  <c r="AC4597" i="2"/>
  <c r="AE4597" i="2"/>
  <c r="AF4597" i="2" s="1"/>
  <c r="AB4598" i="2"/>
  <c r="AB4619" i="2" s="1"/>
  <c r="AC4598" i="2"/>
  <c r="AE4598" i="2"/>
  <c r="AB4599" i="2"/>
  <c r="AC4599" i="2"/>
  <c r="AE4599" i="2"/>
  <c r="AF4599" i="2" s="1"/>
  <c r="AB4600" i="2"/>
  <c r="AB4621" i="2" s="1"/>
  <c r="AC4600" i="2"/>
  <c r="AE4600" i="2"/>
  <c r="AB4601" i="2"/>
  <c r="AC4601" i="2"/>
  <c r="AE4601" i="2"/>
  <c r="AF4601" i="2" s="1"/>
  <c r="AB4602" i="2"/>
  <c r="AB4623" i="2" s="1"/>
  <c r="AC4602" i="2"/>
  <c r="AE4602" i="2"/>
  <c r="AB4603" i="2"/>
  <c r="AC4603" i="2"/>
  <c r="AE4603" i="2"/>
  <c r="AF4603" i="2" s="1"/>
  <c r="AB4604" i="2"/>
  <c r="AB4625" i="2" s="1"/>
  <c r="AC4604" i="2"/>
  <c r="AE4604" i="2"/>
  <c r="AB4605" i="2"/>
  <c r="AC4605" i="2"/>
  <c r="AE4605" i="2"/>
  <c r="AF4605" i="2" s="1"/>
  <c r="AB4606" i="2"/>
  <c r="AB4627" i="2" s="1"/>
  <c r="AC4606" i="2"/>
  <c r="AE4606" i="2"/>
  <c r="AB4607" i="2"/>
  <c r="AC4607" i="2"/>
  <c r="AE4607" i="2"/>
  <c r="AF4607" i="2" s="1"/>
  <c r="AB4608" i="2"/>
  <c r="AB4629" i="2" s="1"/>
  <c r="AE4608" i="2"/>
  <c r="AF4608" i="2" s="1"/>
  <c r="AC4609" i="2"/>
  <c r="AE4609" i="2"/>
  <c r="AF4609" i="2" s="1"/>
  <c r="AB4610" i="2"/>
  <c r="AB4631" i="2" s="1"/>
  <c r="AC4610" i="2"/>
  <c r="AE4610" i="2"/>
  <c r="AF4610" i="2" s="1"/>
  <c r="AB4611" i="2"/>
  <c r="AC4611" i="2"/>
  <c r="AE4611" i="2"/>
  <c r="AF4611" i="2" s="1"/>
  <c r="AB4612" i="2"/>
  <c r="AB4633" i="2" s="1"/>
  <c r="AE4612" i="2"/>
  <c r="AF4612" i="2" s="1"/>
  <c r="AC4613" i="2"/>
  <c r="AE4613" i="2"/>
  <c r="AF4613" i="2" s="1"/>
  <c r="AB4614" i="2"/>
  <c r="AB4635" i="2" s="1"/>
  <c r="AB4656" i="2" s="1"/>
  <c r="AB4677" i="2" s="1"/>
  <c r="AB4698" i="2" s="1"/>
  <c r="AB4719" i="2" s="1"/>
  <c r="AB4740" i="2" s="1"/>
  <c r="AB4761" i="2" s="1"/>
  <c r="AB4782" i="2" s="1"/>
  <c r="AB4803" i="2" s="1"/>
  <c r="AB4824" i="2" s="1"/>
  <c r="AB4845" i="2" s="1"/>
  <c r="AB4866" i="2" s="1"/>
  <c r="AB4887" i="2" s="1"/>
  <c r="AB4908" i="2" s="1"/>
  <c r="AE4614" i="2"/>
  <c r="AF4614" i="2" s="1"/>
  <c r="AC4615" i="2"/>
  <c r="AE4615" i="2"/>
  <c r="AF4615" i="2" s="1"/>
  <c r="AB4616" i="2"/>
  <c r="AB4637" i="2" s="1"/>
  <c r="AE4616" i="2"/>
  <c r="AF4616" i="2" s="1"/>
  <c r="AC4617" i="2"/>
  <c r="AE4617" i="2"/>
  <c r="AF4617" i="2" s="1"/>
  <c r="AB4618" i="2"/>
  <c r="AB4639" i="2" s="1"/>
  <c r="AE4618" i="2"/>
  <c r="AF4618" i="2" s="1"/>
  <c r="AC4619" i="2"/>
  <c r="AE4619" i="2"/>
  <c r="AF4619" i="2" s="1"/>
  <c r="AB4620" i="2"/>
  <c r="AB4641" i="2" s="1"/>
  <c r="AE4620" i="2"/>
  <c r="AF4620" i="2" s="1"/>
  <c r="AC4621" i="2"/>
  <c r="AE4621" i="2"/>
  <c r="AF4621" i="2" s="1"/>
  <c r="AB4622" i="2"/>
  <c r="AB4643" i="2" s="1"/>
  <c r="AE4622" i="2"/>
  <c r="AF4622" i="2" s="1"/>
  <c r="AC4623" i="2"/>
  <c r="AE4623" i="2"/>
  <c r="AF4623" i="2" s="1"/>
  <c r="AB4624" i="2"/>
  <c r="AB4645" i="2" s="1"/>
  <c r="AE4624" i="2"/>
  <c r="AF4624" i="2" s="1"/>
  <c r="AC4625" i="2"/>
  <c r="AE4625" i="2"/>
  <c r="AF4625" i="2" s="1"/>
  <c r="AB4626" i="2"/>
  <c r="AB4647" i="2" s="1"/>
  <c r="AE4626" i="2"/>
  <c r="AF4626" i="2" s="1"/>
  <c r="AC4627" i="2"/>
  <c r="AE4627" i="2"/>
  <c r="AF4627" i="2" s="1"/>
  <c r="AB4628" i="2"/>
  <c r="AB4649" i="2" s="1"/>
  <c r="AE4628" i="2"/>
  <c r="AF4628" i="2" s="1"/>
  <c r="AE4629" i="2"/>
  <c r="AF4629" i="2" s="1"/>
  <c r="AE4630" i="2"/>
  <c r="AF4630" i="2" s="1"/>
  <c r="AC4631" i="2"/>
  <c r="AE4631" i="2"/>
  <c r="AF4631" i="2" s="1"/>
  <c r="AB4632" i="2"/>
  <c r="AB4653" i="2" s="1"/>
  <c r="AE4632" i="2"/>
  <c r="AF4632" i="2" s="1"/>
  <c r="AE4633" i="2"/>
  <c r="AF4633" i="2" s="1"/>
  <c r="AB4634" i="2"/>
  <c r="AB4655" i="2" s="1"/>
  <c r="AE4634" i="2"/>
  <c r="AF4634" i="2" s="1"/>
  <c r="AE4635" i="2"/>
  <c r="AF4635" i="2" s="1"/>
  <c r="AB4636" i="2"/>
  <c r="AB4657" i="2" s="1"/>
  <c r="AE4636" i="2"/>
  <c r="AF4636" i="2" s="1"/>
  <c r="AE4637" i="2"/>
  <c r="AF4637" i="2" s="1"/>
  <c r="AB4638" i="2"/>
  <c r="AB4659" i="2" s="1"/>
  <c r="AB4680" i="2" s="1"/>
  <c r="AE4638" i="2"/>
  <c r="AF4638" i="2" s="1"/>
  <c r="AE4639" i="2"/>
  <c r="AF4639" i="2" s="1"/>
  <c r="AB4640" i="2"/>
  <c r="AB4661" i="2" s="1"/>
  <c r="AB4682" i="2" s="1"/>
  <c r="AE4640" i="2"/>
  <c r="AF4640" i="2" s="1"/>
  <c r="AE4641" i="2"/>
  <c r="AF4641" i="2" s="1"/>
  <c r="AB4642" i="2"/>
  <c r="AB4663" i="2" s="1"/>
  <c r="AB4684" i="2" s="1"/>
  <c r="AE4642" i="2"/>
  <c r="AF4642" i="2" s="1"/>
  <c r="AE4643" i="2"/>
  <c r="AF4643" i="2" s="1"/>
  <c r="AB4644" i="2"/>
  <c r="AB4665" i="2" s="1"/>
  <c r="AB4686" i="2" s="1"/>
  <c r="AB4707" i="2" s="1"/>
  <c r="AB4728" i="2" s="1"/>
  <c r="AB4749" i="2" s="1"/>
  <c r="AE4644" i="2"/>
  <c r="AF4644" i="2" s="1"/>
  <c r="AE4645" i="2"/>
  <c r="AF4645" i="2" s="1"/>
  <c r="AB4646" i="2"/>
  <c r="AB4667" i="2" s="1"/>
  <c r="AB4688" i="2" s="1"/>
  <c r="AE4646" i="2"/>
  <c r="AF4646" i="2" s="1"/>
  <c r="AE4647" i="2"/>
  <c r="AF4647" i="2" s="1"/>
  <c r="AB4648" i="2"/>
  <c r="AB4669" i="2" s="1"/>
  <c r="AB4690" i="2" s="1"/>
  <c r="AE4648" i="2"/>
  <c r="AF4648" i="2" s="1"/>
  <c r="AE4649" i="2"/>
  <c r="AF4649" i="2" s="1"/>
  <c r="AB4650" i="2"/>
  <c r="AB4671" i="2" s="1"/>
  <c r="AB4692" i="2" s="1"/>
  <c r="AE4650" i="2"/>
  <c r="AF4650" i="2" s="1"/>
  <c r="AE4651" i="2"/>
  <c r="AF4651" i="2" s="1"/>
  <c r="AB4652" i="2"/>
  <c r="AB4673" i="2" s="1"/>
  <c r="AB4694" i="2" s="1"/>
  <c r="AB4715" i="2" s="1"/>
  <c r="AB4736" i="2" s="1"/>
  <c r="AE4652" i="2"/>
  <c r="AF4652" i="2" s="1"/>
  <c r="AE4653" i="2"/>
  <c r="AF4653" i="2" s="1"/>
  <c r="AB4654" i="2"/>
  <c r="AB4675" i="2" s="1"/>
  <c r="AB4696" i="2" s="1"/>
  <c r="AB4717" i="2" s="1"/>
  <c r="AB4738" i="2" s="1"/>
  <c r="AB4759" i="2" s="1"/>
  <c r="AB4780" i="2" s="1"/>
  <c r="AB4801" i="2" s="1"/>
  <c r="AE4654" i="2"/>
  <c r="AF4654" i="2" s="1"/>
  <c r="AE4655" i="2"/>
  <c r="AF4655" i="2" s="1"/>
  <c r="AE4656" i="2"/>
  <c r="AF4656" i="2" s="1"/>
  <c r="AE4657" i="2"/>
  <c r="AF4657" i="2" s="1"/>
  <c r="AB4658" i="2"/>
  <c r="AB4679" i="2" s="1"/>
  <c r="AB4700" i="2" s="1"/>
  <c r="AE4658" i="2"/>
  <c r="AF4658" i="2" s="1"/>
  <c r="AE4659" i="2"/>
  <c r="AF4659" i="2" s="1"/>
  <c r="AB4660" i="2"/>
  <c r="AE4660" i="2"/>
  <c r="AF4660" i="2" s="1"/>
  <c r="AE4661" i="2"/>
  <c r="AF4661" i="2" s="1"/>
  <c r="AB4662" i="2"/>
  <c r="AB4683" i="2" s="1"/>
  <c r="AB4704" i="2" s="1"/>
  <c r="AE4662" i="2"/>
  <c r="AF4662" i="2" s="1"/>
  <c r="AE4663" i="2"/>
  <c r="AF4663" i="2" s="1"/>
  <c r="AB4664" i="2"/>
  <c r="AE4664" i="2"/>
  <c r="AF4664" i="2" s="1"/>
  <c r="AE4665" i="2"/>
  <c r="AF4665" i="2" s="1"/>
  <c r="AB4666" i="2"/>
  <c r="AE4666" i="2"/>
  <c r="AF4666" i="2" s="1"/>
  <c r="AE4667" i="2"/>
  <c r="AF4667" i="2" s="1"/>
  <c r="AB4668" i="2"/>
  <c r="AE4668" i="2"/>
  <c r="AF4668" i="2" s="1"/>
  <c r="AE4669" i="2"/>
  <c r="AF4669" i="2" s="1"/>
  <c r="AB4670" i="2"/>
  <c r="AB4691" i="2" s="1"/>
  <c r="AB4712" i="2" s="1"/>
  <c r="AB4733" i="2" s="1"/>
  <c r="AB4754" i="2" s="1"/>
  <c r="AB4775" i="2" s="1"/>
  <c r="AB4796" i="2" s="1"/>
  <c r="AB4817" i="2" s="1"/>
  <c r="AB4838" i="2" s="1"/>
  <c r="AB4859" i="2" s="1"/>
  <c r="AB4880" i="2" s="1"/>
  <c r="AB4901" i="2" s="1"/>
  <c r="AE4670" i="2"/>
  <c r="AF4670" i="2" s="1"/>
  <c r="AE4671" i="2"/>
  <c r="AF4671" i="2" s="1"/>
  <c r="AB4672" i="2"/>
  <c r="AE4672" i="2"/>
  <c r="AF4672" i="2" s="1"/>
  <c r="AE4673" i="2"/>
  <c r="AF4673" i="2" s="1"/>
  <c r="AB4674" i="2"/>
  <c r="AE4674" i="2"/>
  <c r="AF4674" i="2" s="1"/>
  <c r="AE4675" i="2"/>
  <c r="AF4675" i="2" s="1"/>
  <c r="AB4676" i="2"/>
  <c r="AE4676" i="2"/>
  <c r="AF4676" i="2" s="1"/>
  <c r="AE4677" i="2"/>
  <c r="AF4677" i="2" s="1"/>
  <c r="AB4678" i="2"/>
  <c r="AB4699" i="2" s="1"/>
  <c r="AB4720" i="2" s="1"/>
  <c r="AB4741" i="2" s="1"/>
  <c r="AE4678" i="2"/>
  <c r="AF4678" i="2" s="1"/>
  <c r="AE4679" i="2"/>
  <c r="AF4679" i="2" s="1"/>
  <c r="AE4680" i="2"/>
  <c r="AF4680" i="2" s="1"/>
  <c r="AB4681" i="2"/>
  <c r="AB4702" i="2" s="1"/>
  <c r="AB4723" i="2" s="1"/>
  <c r="AB4744" i="2" s="1"/>
  <c r="AE4681" i="2"/>
  <c r="AF4681" i="2" s="1"/>
  <c r="AE4682" i="2"/>
  <c r="AF4682" i="2" s="1"/>
  <c r="AE4683" i="2"/>
  <c r="AF4683" i="2" s="1"/>
  <c r="AE4684" i="2"/>
  <c r="AF4684" i="2" s="1"/>
  <c r="AB4685" i="2"/>
  <c r="AB4706" i="2" s="1"/>
  <c r="AB4727" i="2" s="1"/>
  <c r="AB4748" i="2" s="1"/>
  <c r="AE4685" i="2"/>
  <c r="AF4685" i="2" s="1"/>
  <c r="AE4686" i="2"/>
  <c r="AF4686" i="2" s="1"/>
  <c r="AB4687" i="2"/>
  <c r="AB4708" i="2" s="1"/>
  <c r="AE4687" i="2"/>
  <c r="AF4687" i="2" s="1"/>
  <c r="AE4688" i="2"/>
  <c r="AF4688" i="2" s="1"/>
  <c r="AB4689" i="2"/>
  <c r="AB4710" i="2" s="1"/>
  <c r="AB4731" i="2" s="1"/>
  <c r="AB4752" i="2" s="1"/>
  <c r="AB4773" i="2" s="1"/>
  <c r="AB4794" i="2" s="1"/>
  <c r="AB4815" i="2" s="1"/>
  <c r="AB4836" i="2" s="1"/>
  <c r="AB4857" i="2" s="1"/>
  <c r="AB4878" i="2" s="1"/>
  <c r="AB4899" i="2" s="1"/>
  <c r="AE4689" i="2"/>
  <c r="AF4689" i="2" s="1"/>
  <c r="AE4690" i="2"/>
  <c r="AF4690" i="2" s="1"/>
  <c r="AE4691" i="2"/>
  <c r="AF4691" i="2" s="1"/>
  <c r="AE4692" i="2"/>
  <c r="AF4692" i="2" s="1"/>
  <c r="AB4693" i="2"/>
  <c r="AB4714" i="2" s="1"/>
  <c r="AB4735" i="2" s="1"/>
  <c r="AE4693" i="2"/>
  <c r="AF4693" i="2" s="1"/>
  <c r="AE4694" i="2"/>
  <c r="AF4694" i="2" s="1"/>
  <c r="AB4695" i="2"/>
  <c r="AB4716" i="2" s="1"/>
  <c r="AE4695" i="2"/>
  <c r="AF4695" i="2" s="1"/>
  <c r="AE4696" i="2"/>
  <c r="AF4696" i="2" s="1"/>
  <c r="AB4697" i="2"/>
  <c r="AB4718" i="2" s="1"/>
  <c r="AE4697" i="2"/>
  <c r="AF4697" i="2" s="1"/>
  <c r="AE4698" i="2"/>
  <c r="AF4698" i="2" s="1"/>
  <c r="AE4699" i="2"/>
  <c r="AF4699" i="2" s="1"/>
  <c r="AE4700" i="2"/>
  <c r="AF4700" i="2" s="1"/>
  <c r="AB4701" i="2"/>
  <c r="AB4722" i="2" s="1"/>
  <c r="AB4743" i="2" s="1"/>
  <c r="AB4764" i="2" s="1"/>
  <c r="AB4785" i="2" s="1"/>
  <c r="AB4806" i="2" s="1"/>
  <c r="AB4827" i="2" s="1"/>
  <c r="AB4848" i="2" s="1"/>
  <c r="AB4869" i="2" s="1"/>
  <c r="AB4890" i="2" s="1"/>
  <c r="AB4911" i="2" s="1"/>
  <c r="AE4701" i="2"/>
  <c r="AF4701" i="2" s="1"/>
  <c r="AE4702" i="2"/>
  <c r="AF4702" i="2" s="1"/>
  <c r="AB4703" i="2"/>
  <c r="AB4724" i="2" s="1"/>
  <c r="AE4703" i="2"/>
  <c r="AF4703" i="2" s="1"/>
  <c r="AE4704" i="2"/>
  <c r="AF4704" i="2" s="1"/>
  <c r="AB4705" i="2"/>
  <c r="AB4726" i="2" s="1"/>
  <c r="AE4705" i="2"/>
  <c r="AF4705" i="2" s="1"/>
  <c r="AE4706" i="2"/>
  <c r="AF4706" i="2" s="1"/>
  <c r="AE4707" i="2"/>
  <c r="AF4707" i="2" s="1"/>
  <c r="AE4708" i="2"/>
  <c r="AF4708" i="2" s="1"/>
  <c r="AB4709" i="2"/>
  <c r="AB4730" i="2" s="1"/>
  <c r="AE4709" i="2"/>
  <c r="AF4709" i="2" s="1"/>
  <c r="AE4710" i="2"/>
  <c r="AF4710" i="2" s="1"/>
  <c r="AB4711" i="2"/>
  <c r="AB4732" i="2" s="1"/>
  <c r="AE4711" i="2"/>
  <c r="AF4711" i="2" s="1"/>
  <c r="AE4712" i="2"/>
  <c r="AF4712" i="2" s="1"/>
  <c r="AB4713" i="2"/>
  <c r="AB4734" i="2" s="1"/>
  <c r="AB4755" i="2" s="1"/>
  <c r="AE4713" i="2"/>
  <c r="AF4713" i="2" s="1"/>
  <c r="AE4714" i="2"/>
  <c r="AF4714" i="2" s="1"/>
  <c r="AE4715" i="2"/>
  <c r="AF4715" i="2" s="1"/>
  <c r="AE4716" i="2"/>
  <c r="AF4716" i="2" s="1"/>
  <c r="AE4717" i="2"/>
  <c r="AF4717" i="2" s="1"/>
  <c r="AE4718" i="2"/>
  <c r="AF4718" i="2" s="1"/>
  <c r="AE4719" i="2"/>
  <c r="AF4719" i="2" s="1"/>
  <c r="AE4720" i="2"/>
  <c r="AF4720" i="2" s="1"/>
  <c r="AB4721" i="2"/>
  <c r="AB4742" i="2" s="1"/>
  <c r="AB4763" i="2" s="1"/>
  <c r="AB4784" i="2" s="1"/>
  <c r="AB4805" i="2" s="1"/>
  <c r="AE4721" i="2"/>
  <c r="AF4721" i="2" s="1"/>
  <c r="AE4722" i="2"/>
  <c r="AF4722" i="2" s="1"/>
  <c r="AE4723" i="2"/>
  <c r="AF4723" i="2" s="1"/>
  <c r="AE4724" i="2"/>
  <c r="AF4724" i="2" s="1"/>
  <c r="AB4725" i="2"/>
  <c r="AE4725" i="2"/>
  <c r="AF4725" i="2" s="1"/>
  <c r="AE4726" i="2"/>
  <c r="AF4726" i="2" s="1"/>
  <c r="AE4727" i="2"/>
  <c r="AF4727" i="2" s="1"/>
  <c r="AE4728" i="2"/>
  <c r="AF4728" i="2" s="1"/>
  <c r="AB4729" i="2"/>
  <c r="AE4729" i="2"/>
  <c r="AF4729" i="2" s="1"/>
  <c r="AE4730" i="2"/>
  <c r="AF4730" i="2" s="1"/>
  <c r="AE4731" i="2"/>
  <c r="AF4731" i="2" s="1"/>
  <c r="AE4732" i="2"/>
  <c r="AF4732" i="2" s="1"/>
  <c r="AE4733" i="2"/>
  <c r="AF4733" i="2" s="1"/>
  <c r="AE4734" i="2"/>
  <c r="AF4734" i="2" s="1"/>
  <c r="AE4735" i="2"/>
  <c r="AF4735" i="2" s="1"/>
  <c r="AE4736" i="2"/>
  <c r="AF4736" i="2" s="1"/>
  <c r="AB4737" i="2"/>
  <c r="AE4737" i="2"/>
  <c r="AF4737" i="2" s="1"/>
  <c r="AE4738" i="2"/>
  <c r="AF4738" i="2" s="1"/>
  <c r="AB4739" i="2"/>
  <c r="AB4760" i="2" s="1"/>
  <c r="AE4739" i="2"/>
  <c r="AF4739" i="2" s="1"/>
  <c r="AE4740" i="2"/>
  <c r="AF4740" i="2" s="1"/>
  <c r="AE4741" i="2"/>
  <c r="AF4741" i="2" s="1"/>
  <c r="AE4742" i="2"/>
  <c r="AF4742" i="2" s="1"/>
  <c r="AE4743" i="2"/>
  <c r="AF4743" i="2" s="1"/>
  <c r="AE4744" i="2"/>
  <c r="AF4744" i="2" s="1"/>
  <c r="AB4745" i="2"/>
  <c r="AE4745" i="2"/>
  <c r="AF4745" i="2" s="1"/>
  <c r="AB4746" i="2"/>
  <c r="AB4767" i="2" s="1"/>
  <c r="AB4788" i="2" s="1"/>
  <c r="AB4809" i="2" s="1"/>
  <c r="AE4746" i="2"/>
  <c r="AF4746" i="2" s="1"/>
  <c r="AB4747" i="2"/>
  <c r="AE4747" i="2"/>
  <c r="AF4747" i="2" s="1"/>
  <c r="AE4748" i="2"/>
  <c r="AF4748" i="2" s="1"/>
  <c r="AE4749" i="2"/>
  <c r="AF4749" i="2" s="1"/>
  <c r="AB4750" i="2"/>
  <c r="AB4771" i="2" s="1"/>
  <c r="AE4750" i="2"/>
  <c r="AF4750" i="2" s="1"/>
  <c r="AB4751" i="2"/>
  <c r="AB4772" i="2" s="1"/>
  <c r="AB4793" i="2" s="1"/>
  <c r="AB4814" i="2" s="1"/>
  <c r="AB4835" i="2" s="1"/>
  <c r="AB4856" i="2" s="1"/>
  <c r="AB4877" i="2" s="1"/>
  <c r="AB4898" i="2" s="1"/>
  <c r="AE4751" i="2"/>
  <c r="AF4751" i="2" s="1"/>
  <c r="AE4752" i="2"/>
  <c r="AF4752" i="2" s="1"/>
  <c r="AB4753" i="2"/>
  <c r="AE4753" i="2"/>
  <c r="AF4753" i="2" s="1"/>
  <c r="AE4754" i="2"/>
  <c r="AF4754" i="2" s="1"/>
  <c r="AE4755" i="2"/>
  <c r="AF4755" i="2" s="1"/>
  <c r="AB4756" i="2"/>
  <c r="AE4756" i="2"/>
  <c r="AF4756" i="2" s="1"/>
  <c r="AB4757" i="2"/>
  <c r="AE4757" i="2"/>
  <c r="AF4757" i="2" s="1"/>
  <c r="AB4758" i="2"/>
  <c r="AB4779" i="2" s="1"/>
  <c r="AB4800" i="2" s="1"/>
  <c r="AB4821" i="2" s="1"/>
  <c r="AE4758" i="2"/>
  <c r="AF4758" i="2" s="1"/>
  <c r="AE4759" i="2"/>
  <c r="AF4759" i="2" s="1"/>
  <c r="AE4760" i="2"/>
  <c r="AF4760" i="2" s="1"/>
  <c r="AE4761" i="2"/>
  <c r="AF4761" i="2" s="1"/>
  <c r="AB4762" i="2"/>
  <c r="AB4783" i="2" s="1"/>
  <c r="AB4804" i="2" s="1"/>
  <c r="AB4825" i="2" s="1"/>
  <c r="AE4762" i="2"/>
  <c r="AF4762" i="2" s="1"/>
  <c r="AE4763" i="2"/>
  <c r="AF4763" i="2" s="1"/>
  <c r="AE4764" i="2"/>
  <c r="AF4764" i="2" s="1"/>
  <c r="AB4765" i="2"/>
  <c r="AE4765" i="2"/>
  <c r="AF4765" i="2" s="1"/>
  <c r="AB4766" i="2"/>
  <c r="AB4787" i="2" s="1"/>
  <c r="AB4808" i="2" s="1"/>
  <c r="AB4829" i="2" s="1"/>
  <c r="AE4766" i="2"/>
  <c r="AF4766" i="2" s="1"/>
  <c r="AE4767" i="2"/>
  <c r="AF4767" i="2" s="1"/>
  <c r="AB4768" i="2"/>
  <c r="AE4768" i="2"/>
  <c r="AF4768" i="2" s="1"/>
  <c r="AB4769" i="2"/>
  <c r="AE4769" i="2"/>
  <c r="AF4769" i="2" s="1"/>
  <c r="AB4770" i="2"/>
  <c r="AB4791" i="2" s="1"/>
  <c r="AB4812" i="2" s="1"/>
  <c r="AB4833" i="2" s="1"/>
  <c r="AB4854" i="2" s="1"/>
  <c r="AB4875" i="2" s="1"/>
  <c r="AB4896" i="2" s="1"/>
  <c r="AB4917" i="2" s="1"/>
  <c r="AE4770" i="2"/>
  <c r="AF4770" i="2" s="1"/>
  <c r="AE4771" i="2"/>
  <c r="AF4771" i="2" s="1"/>
  <c r="AE4772" i="2"/>
  <c r="AF4772" i="2" s="1"/>
  <c r="AE4773" i="2"/>
  <c r="AF4773" i="2" s="1"/>
  <c r="AB4774" i="2"/>
  <c r="AB4795" i="2" s="1"/>
  <c r="AB4816" i="2" s="1"/>
  <c r="AB4837" i="2" s="1"/>
  <c r="AB4858" i="2" s="1"/>
  <c r="AB4879" i="2" s="1"/>
  <c r="AB4900" i="2" s="1"/>
  <c r="AE4774" i="2"/>
  <c r="AF4774" i="2" s="1"/>
  <c r="AE4775" i="2"/>
  <c r="AF4775" i="2" s="1"/>
  <c r="AB4776" i="2"/>
  <c r="AE4776" i="2"/>
  <c r="AF4776" i="2" s="1"/>
  <c r="AB4777" i="2"/>
  <c r="AB4798" i="2" s="1"/>
  <c r="AB4819" i="2" s="1"/>
  <c r="AB4840" i="2" s="1"/>
  <c r="AB4861" i="2" s="1"/>
  <c r="AB4882" i="2" s="1"/>
  <c r="AB4903" i="2" s="1"/>
  <c r="AE4777" i="2"/>
  <c r="AF4777" i="2" s="1"/>
  <c r="AB4778" i="2"/>
  <c r="AB4799" i="2" s="1"/>
  <c r="AB4820" i="2" s="1"/>
  <c r="AB4841" i="2" s="1"/>
  <c r="AE4778" i="2"/>
  <c r="AF4778" i="2" s="1"/>
  <c r="AE4779" i="2"/>
  <c r="AF4779" i="2" s="1"/>
  <c r="AE4780" i="2"/>
  <c r="AF4780" i="2" s="1"/>
  <c r="AB4781" i="2"/>
  <c r="AB4802" i="2" s="1"/>
  <c r="AB4823" i="2" s="1"/>
  <c r="AB4844" i="2" s="1"/>
  <c r="AB4865" i="2" s="1"/>
  <c r="AB4886" i="2" s="1"/>
  <c r="AB4907" i="2" s="1"/>
  <c r="AE4781" i="2"/>
  <c r="AF4781" i="2" s="1"/>
  <c r="AE4782" i="2"/>
  <c r="AF4782" i="2" s="1"/>
  <c r="AE4783" i="2"/>
  <c r="AF4783" i="2" s="1"/>
  <c r="AE4784" i="2"/>
  <c r="AF4784" i="2" s="1"/>
  <c r="AE4785" i="2"/>
  <c r="AF4785" i="2" s="1"/>
  <c r="AB4786" i="2"/>
  <c r="AB4807" i="2" s="1"/>
  <c r="AB4828" i="2" s="1"/>
  <c r="AB4849" i="2" s="1"/>
  <c r="AE4786" i="2"/>
  <c r="AF4786" i="2" s="1"/>
  <c r="AE4787" i="2"/>
  <c r="AF4787" i="2" s="1"/>
  <c r="AE4788" i="2"/>
  <c r="AF4788" i="2" s="1"/>
  <c r="AB4789" i="2"/>
  <c r="AE4789" i="2"/>
  <c r="AF4789" i="2" s="1"/>
  <c r="AB4790" i="2"/>
  <c r="AB4811" i="2" s="1"/>
  <c r="AB4832" i="2" s="1"/>
  <c r="AB4853" i="2" s="1"/>
  <c r="AB4874" i="2" s="1"/>
  <c r="AB4895" i="2" s="1"/>
  <c r="AB4916" i="2" s="1"/>
  <c r="AE4790" i="2"/>
  <c r="AF4790" i="2" s="1"/>
  <c r="AE4791" i="2"/>
  <c r="AF4791" i="2" s="1"/>
  <c r="AB4792" i="2"/>
  <c r="AE4792" i="2"/>
  <c r="AF4792" i="2" s="1"/>
  <c r="AE4793" i="2"/>
  <c r="AF4793" i="2" s="1"/>
  <c r="AE4794" i="2"/>
  <c r="AF4794" i="2" s="1"/>
  <c r="AE4795" i="2"/>
  <c r="AF4795" i="2" s="1"/>
  <c r="AE4796" i="2"/>
  <c r="AF4796" i="2" s="1"/>
  <c r="AB4797" i="2"/>
  <c r="AB4818" i="2" s="1"/>
  <c r="AB4839" i="2" s="1"/>
  <c r="AB4860" i="2" s="1"/>
  <c r="AB4881" i="2" s="1"/>
  <c r="AB4902" i="2" s="1"/>
  <c r="AE4797" i="2"/>
  <c r="AF4797" i="2" s="1"/>
  <c r="AE4798" i="2"/>
  <c r="AF4798" i="2" s="1"/>
  <c r="AE4799" i="2"/>
  <c r="AF4799" i="2" s="1"/>
  <c r="AE4800" i="2"/>
  <c r="AF4800" i="2" s="1"/>
  <c r="AE4801" i="2"/>
  <c r="AF4801" i="2" s="1"/>
  <c r="AE4802" i="2"/>
  <c r="AF4802" i="2" s="1"/>
  <c r="AE4803" i="2"/>
  <c r="AF4803" i="2" s="1"/>
  <c r="AE4804" i="2"/>
  <c r="AF4804" i="2" s="1"/>
  <c r="AE4805" i="2"/>
  <c r="AF4805" i="2" s="1"/>
  <c r="AE4806" i="2"/>
  <c r="AF4806" i="2" s="1"/>
  <c r="AE4807" i="2"/>
  <c r="AF4807" i="2" s="1"/>
  <c r="AE4808" i="2"/>
  <c r="AF4808" i="2" s="1"/>
  <c r="AE4809" i="2"/>
  <c r="AF4809" i="2" s="1"/>
  <c r="AB4810" i="2"/>
  <c r="AB4831" i="2" s="1"/>
  <c r="AB4852" i="2" s="1"/>
  <c r="AB4873" i="2" s="1"/>
  <c r="AE4810" i="2"/>
  <c r="AF4810" i="2" s="1"/>
  <c r="AE4811" i="2"/>
  <c r="AF4811" i="2" s="1"/>
  <c r="AE4812" i="2"/>
  <c r="AF4812" i="2" s="1"/>
  <c r="AB4813" i="2"/>
  <c r="AE4813" i="2"/>
  <c r="AF4813" i="2" s="1"/>
  <c r="AE4814" i="2"/>
  <c r="AF4814" i="2" s="1"/>
  <c r="AE4815" i="2"/>
  <c r="AF4815" i="2" s="1"/>
  <c r="AE4816" i="2"/>
  <c r="AF4816" i="2" s="1"/>
  <c r="AE4817" i="2"/>
  <c r="AF4817" i="2" s="1"/>
  <c r="AE4818" i="2"/>
  <c r="AF4818" i="2" s="1"/>
  <c r="AE4819" i="2"/>
  <c r="AF4819" i="2" s="1"/>
  <c r="AE4820" i="2"/>
  <c r="AF4820" i="2" s="1"/>
  <c r="AE4821" i="2"/>
  <c r="AF4821" i="2" s="1"/>
  <c r="AB4822" i="2"/>
  <c r="AB4843" i="2" s="1"/>
  <c r="AB4864" i="2" s="1"/>
  <c r="AB4885" i="2" s="1"/>
  <c r="AB4906" i="2" s="1"/>
  <c r="AE4822" i="2"/>
  <c r="AF4822" i="2" s="1"/>
  <c r="AE4823" i="2"/>
  <c r="AF4823" i="2" s="1"/>
  <c r="AE4824" i="2"/>
  <c r="AF4824" i="2" s="1"/>
  <c r="AE4825" i="2"/>
  <c r="AF4825" i="2" s="1"/>
  <c r="AB4826" i="2"/>
  <c r="AB4847" i="2" s="1"/>
  <c r="AB4868" i="2" s="1"/>
  <c r="AB4889" i="2" s="1"/>
  <c r="AE4826" i="2"/>
  <c r="AF4826" i="2" s="1"/>
  <c r="AE4827" i="2"/>
  <c r="AF4827" i="2" s="1"/>
  <c r="AE4828" i="2"/>
  <c r="AF4828" i="2" s="1"/>
  <c r="AE4829" i="2"/>
  <c r="AF4829" i="2" s="1"/>
  <c r="AB4830" i="2"/>
  <c r="AB4851" i="2" s="1"/>
  <c r="AB4872" i="2" s="1"/>
  <c r="AB4893" i="2" s="1"/>
  <c r="AB4914" i="2" s="1"/>
  <c r="AE4830" i="2"/>
  <c r="AF4830" i="2" s="1"/>
  <c r="AE4831" i="2"/>
  <c r="AF4831" i="2" s="1"/>
  <c r="AE4832" i="2"/>
  <c r="AF4832" i="2" s="1"/>
  <c r="AE4833" i="2"/>
  <c r="AF4833" i="2" s="1"/>
  <c r="AB4834" i="2"/>
  <c r="AB4855" i="2" s="1"/>
  <c r="AB4876" i="2" s="1"/>
  <c r="AB4897" i="2" s="1"/>
  <c r="AE4834" i="2"/>
  <c r="AF4834" i="2" s="1"/>
  <c r="AE4835" i="2"/>
  <c r="AF4835" i="2" s="1"/>
  <c r="AE4836" i="2"/>
  <c r="AF4836" i="2" s="1"/>
  <c r="AE4837" i="2"/>
  <c r="AF4837" i="2" s="1"/>
  <c r="AE4838" i="2"/>
  <c r="AF4838" i="2" s="1"/>
  <c r="AE4839" i="2"/>
  <c r="AF4839" i="2" s="1"/>
  <c r="AE4840" i="2"/>
  <c r="AF4840" i="2" s="1"/>
  <c r="AE4841" i="2"/>
  <c r="AF4841" i="2" s="1"/>
  <c r="AB4842" i="2"/>
  <c r="AB4863" i="2" s="1"/>
  <c r="AB4884" i="2" s="1"/>
  <c r="AB4905" i="2" s="1"/>
  <c r="AE4842" i="2"/>
  <c r="AF4842" i="2" s="1"/>
  <c r="AE4843" i="2"/>
  <c r="AF4843" i="2" s="1"/>
  <c r="AE4844" i="2"/>
  <c r="AF4844" i="2" s="1"/>
  <c r="AE4845" i="2"/>
  <c r="AF4845" i="2" s="1"/>
  <c r="AB4846" i="2"/>
  <c r="AB4867" i="2" s="1"/>
  <c r="AB4888" i="2" s="1"/>
  <c r="AB4909" i="2" s="1"/>
  <c r="AE4846" i="2"/>
  <c r="AF4846" i="2" s="1"/>
  <c r="AE4847" i="2"/>
  <c r="AF4847" i="2" s="1"/>
  <c r="AE4848" i="2"/>
  <c r="AF4848" i="2" s="1"/>
  <c r="AE4849" i="2"/>
  <c r="AF4849" i="2" s="1"/>
  <c r="AB4850" i="2"/>
  <c r="AB4871" i="2" s="1"/>
  <c r="AB4892" i="2" s="1"/>
  <c r="AB4913" i="2" s="1"/>
  <c r="AE4850" i="2"/>
  <c r="AF4850" i="2" s="1"/>
  <c r="AE4851" i="2"/>
  <c r="AF4851" i="2" s="1"/>
  <c r="AE4852" i="2"/>
  <c r="AF4852" i="2" s="1"/>
  <c r="AE4853" i="2"/>
  <c r="AF4853" i="2" s="1"/>
  <c r="AE4854" i="2"/>
  <c r="AF4854" i="2" s="1"/>
  <c r="AE4855" i="2"/>
  <c r="AF4855" i="2" s="1"/>
  <c r="AE4856" i="2"/>
  <c r="AF4856" i="2" s="1"/>
  <c r="AE4857" i="2"/>
  <c r="AF4857" i="2" s="1"/>
  <c r="AE4858" i="2"/>
  <c r="AF4858" i="2" s="1"/>
  <c r="AE4859" i="2"/>
  <c r="AF4859" i="2" s="1"/>
  <c r="AE4860" i="2"/>
  <c r="AF4860" i="2" s="1"/>
  <c r="AE4861" i="2"/>
  <c r="AF4861" i="2" s="1"/>
  <c r="AB4862" i="2"/>
  <c r="AB4883" i="2" s="1"/>
  <c r="AB4904" i="2" s="1"/>
  <c r="AE4862" i="2"/>
  <c r="AF4862" i="2" s="1"/>
  <c r="AE4863" i="2"/>
  <c r="AF4863" i="2" s="1"/>
  <c r="AE4864" i="2"/>
  <c r="AF4864" i="2" s="1"/>
  <c r="AE4865" i="2"/>
  <c r="AF4865" i="2" s="1"/>
  <c r="AE4866" i="2"/>
  <c r="AF4866" i="2" s="1"/>
  <c r="AE4867" i="2"/>
  <c r="AF4867" i="2" s="1"/>
  <c r="AE4868" i="2"/>
  <c r="AF4868" i="2" s="1"/>
  <c r="AE4869" i="2"/>
  <c r="AF4869" i="2" s="1"/>
  <c r="AB4870" i="2"/>
  <c r="AB4891" i="2" s="1"/>
  <c r="AB4912" i="2" s="1"/>
  <c r="AE4870" i="2"/>
  <c r="AF4870" i="2" s="1"/>
  <c r="AE4871" i="2"/>
  <c r="AF4871" i="2" s="1"/>
  <c r="AE4872" i="2"/>
  <c r="AF4872" i="2" s="1"/>
  <c r="AE4873" i="2"/>
  <c r="AF4873" i="2" s="1"/>
  <c r="AE4874" i="2"/>
  <c r="AF4874" i="2" s="1"/>
  <c r="AE4875" i="2"/>
  <c r="AF4875" i="2" s="1"/>
  <c r="AE4876" i="2"/>
  <c r="AF4876" i="2" s="1"/>
  <c r="AE4877" i="2"/>
  <c r="AF4877" i="2" s="1"/>
  <c r="AE4878" i="2"/>
  <c r="AF4878" i="2" s="1"/>
  <c r="AE4879" i="2"/>
  <c r="AF4879" i="2" s="1"/>
  <c r="AE4880" i="2"/>
  <c r="AF4880" i="2" s="1"/>
  <c r="AE4881" i="2"/>
  <c r="AF4881" i="2" s="1"/>
  <c r="AE4882" i="2"/>
  <c r="AF4882" i="2" s="1"/>
  <c r="AE4883" i="2"/>
  <c r="AF4883" i="2" s="1"/>
  <c r="AE4884" i="2"/>
  <c r="AF4884" i="2" s="1"/>
  <c r="AE4885" i="2"/>
  <c r="AF4885" i="2" s="1"/>
  <c r="AE4886" i="2"/>
  <c r="AF4886" i="2" s="1"/>
  <c r="AE4887" i="2"/>
  <c r="AF4887" i="2" s="1"/>
  <c r="AE4888" i="2"/>
  <c r="AF4888" i="2" s="1"/>
  <c r="AE4889" i="2"/>
  <c r="AF4889" i="2" s="1"/>
  <c r="AE4890" i="2"/>
  <c r="AF4890" i="2" s="1"/>
  <c r="AE4891" i="2"/>
  <c r="AF4891" i="2" s="1"/>
  <c r="AE4892" i="2"/>
  <c r="AF4892" i="2" s="1"/>
  <c r="AE4893" i="2"/>
  <c r="AF4893" i="2" s="1"/>
  <c r="AB4894" i="2"/>
  <c r="AE4894" i="2"/>
  <c r="AF4894" i="2" s="1"/>
  <c r="AE4895" i="2"/>
  <c r="AF4895" i="2" s="1"/>
  <c r="AE4896" i="2"/>
  <c r="AF4896" i="2" s="1"/>
  <c r="AE4897" i="2"/>
  <c r="AF4897" i="2" s="1"/>
  <c r="AE4898" i="2"/>
  <c r="AF4898" i="2" s="1"/>
  <c r="AE4899" i="2"/>
  <c r="AF4899" i="2" s="1"/>
  <c r="AE4900" i="2"/>
  <c r="AF4900" i="2" s="1"/>
  <c r="AE4901" i="2"/>
  <c r="AF4901" i="2" s="1"/>
  <c r="AE4902" i="2"/>
  <c r="AF4902" i="2" s="1"/>
  <c r="AE4903" i="2"/>
  <c r="AF4903" i="2" s="1"/>
  <c r="AE4904" i="2"/>
  <c r="AF4904" i="2" s="1"/>
  <c r="AE4905" i="2"/>
  <c r="AF4905" i="2" s="1"/>
  <c r="AE4906" i="2"/>
  <c r="AF4906" i="2" s="1"/>
  <c r="AE4907" i="2"/>
  <c r="AF4907" i="2" s="1"/>
  <c r="AE4908" i="2"/>
  <c r="AF4908" i="2" s="1"/>
  <c r="AE4909" i="2"/>
  <c r="AF4909" i="2" s="1"/>
  <c r="AB4910" i="2"/>
  <c r="AE4910" i="2"/>
  <c r="AF4910" i="2" s="1"/>
  <c r="AE4911" i="2"/>
  <c r="AF4911" i="2" s="1"/>
  <c r="AE4912" i="2"/>
  <c r="AF4912" i="2" s="1"/>
  <c r="AE4913" i="2"/>
  <c r="AF4913" i="2" s="1"/>
  <c r="AE4914" i="2"/>
  <c r="AF4914" i="2" s="1"/>
  <c r="AB4915" i="2"/>
  <c r="AE4915" i="2"/>
  <c r="AF4915" i="2" s="1"/>
  <c r="AE4916" i="2"/>
  <c r="AF4916" i="2" s="1"/>
  <c r="AE4917" i="2"/>
  <c r="AF4917" i="2" s="1"/>
  <c r="AB4571" i="2"/>
  <c r="AC4571" i="2"/>
  <c r="AE4571" i="2"/>
  <c r="AF4571" i="2" s="1"/>
  <c r="AB4572" i="2"/>
  <c r="AC4572" i="2"/>
  <c r="AE4572" i="2"/>
  <c r="AF4572" i="2" s="1"/>
  <c r="AB4573" i="2"/>
  <c r="AC4573" i="2"/>
  <c r="AE4573" i="2"/>
  <c r="AF4573" i="2" s="1"/>
  <c r="AB4574" i="2"/>
  <c r="AC4574" i="2"/>
  <c r="AE4574" i="2"/>
  <c r="AF4574" i="2" s="1"/>
  <c r="AB4575" i="2"/>
  <c r="AC4575" i="2"/>
  <c r="AE4575" i="2"/>
  <c r="AF4575" i="2" s="1"/>
  <c r="AB4576" i="2"/>
  <c r="AC4576" i="2"/>
  <c r="AE4576" i="2"/>
  <c r="AB4577" i="2"/>
  <c r="AC4577" i="2"/>
  <c r="AE4577" i="2"/>
  <c r="AF4577" i="2" s="1"/>
  <c r="AB4578" i="2"/>
  <c r="AC4578" i="2"/>
  <c r="AE4578" i="2"/>
  <c r="AB4579" i="2"/>
  <c r="AC4579" i="2"/>
  <c r="AE4579" i="2"/>
  <c r="AF4579" i="2" s="1"/>
  <c r="AB4580" i="2"/>
  <c r="AC4580" i="2"/>
  <c r="AE4580" i="2"/>
  <c r="AB4581" i="2"/>
  <c r="AC4581" i="2"/>
  <c r="AE4581" i="2"/>
  <c r="AF4581" i="2" s="1"/>
  <c r="AB4582" i="2"/>
  <c r="AC4582" i="2"/>
  <c r="AE4582" i="2"/>
  <c r="AB4583" i="2"/>
  <c r="AC4583" i="2"/>
  <c r="AE4583" i="2"/>
  <c r="AF4583" i="2" s="1"/>
  <c r="AB4584" i="2"/>
  <c r="AC4584" i="2"/>
  <c r="AE4584" i="2"/>
  <c r="AB50" i="2"/>
  <c r="AC50" i="2"/>
  <c r="AE50" i="2"/>
  <c r="AB51" i="2"/>
  <c r="AC51" i="2"/>
  <c r="AE51" i="2"/>
  <c r="AB52" i="2"/>
  <c r="AC52" i="2"/>
  <c r="AE52" i="2"/>
  <c r="AB53" i="2"/>
  <c r="AB74" i="2" s="1"/>
  <c r="AB95" i="2" s="1"/>
  <c r="AC53" i="2"/>
  <c r="AE53" i="2"/>
  <c r="AB54" i="2"/>
  <c r="AC54" i="2"/>
  <c r="AE54" i="2"/>
  <c r="AB55" i="2"/>
  <c r="AC55" i="2"/>
  <c r="AE55" i="2"/>
  <c r="AB56" i="2"/>
  <c r="AC56" i="2"/>
  <c r="AE56" i="2"/>
  <c r="AB57" i="2"/>
  <c r="AB78" i="2" s="1"/>
  <c r="AB99" i="2" s="1"/>
  <c r="AC57" i="2"/>
  <c r="AE57" i="2"/>
  <c r="AB58" i="2"/>
  <c r="AC58" i="2"/>
  <c r="AE58" i="2"/>
  <c r="AB59" i="2"/>
  <c r="AC59" i="2"/>
  <c r="AE59" i="2"/>
  <c r="AB60" i="2"/>
  <c r="AC60" i="2"/>
  <c r="AE60" i="2"/>
  <c r="AB61" i="2"/>
  <c r="AB82" i="2" s="1"/>
  <c r="AB103" i="2" s="1"/>
  <c r="AC61" i="2"/>
  <c r="AE61" i="2"/>
  <c r="AB62" i="2"/>
  <c r="AC62" i="2"/>
  <c r="AE62" i="2"/>
  <c r="AB63" i="2"/>
  <c r="AC63" i="2"/>
  <c r="AE63" i="2"/>
  <c r="AB64" i="2"/>
  <c r="AC64" i="2"/>
  <c r="AE64" i="2"/>
  <c r="AB65" i="2"/>
  <c r="AB86" i="2" s="1"/>
  <c r="AB107" i="2" s="1"/>
  <c r="AB128" i="2" s="1"/>
  <c r="AB149" i="2" s="1"/>
  <c r="AB170" i="2" s="1"/>
  <c r="AB191" i="2" s="1"/>
  <c r="AB212" i="2" s="1"/>
  <c r="AB233" i="2" s="1"/>
  <c r="AB254" i="2" s="1"/>
  <c r="AB275" i="2" s="1"/>
  <c r="AB296" i="2" s="1"/>
  <c r="AB317" i="2" s="1"/>
  <c r="AB338" i="2" s="1"/>
  <c r="AB359" i="2" s="1"/>
  <c r="AB380" i="2" s="1"/>
  <c r="AB401" i="2" s="1"/>
  <c r="AB422" i="2" s="1"/>
  <c r="AB443" i="2" s="1"/>
  <c r="AB464" i="2" s="1"/>
  <c r="AB485" i="2" s="1"/>
  <c r="AB506" i="2" s="1"/>
  <c r="AB527" i="2" s="1"/>
  <c r="AB548" i="2" s="1"/>
  <c r="AB569" i="2" s="1"/>
  <c r="AB590" i="2" s="1"/>
  <c r="AB611" i="2" s="1"/>
  <c r="AB632" i="2" s="1"/>
  <c r="AB653" i="2" s="1"/>
  <c r="AB674" i="2" s="1"/>
  <c r="AB695" i="2" s="1"/>
  <c r="AB716" i="2" s="1"/>
  <c r="AB737" i="2" s="1"/>
  <c r="AB758" i="2" s="1"/>
  <c r="AB779" i="2" s="1"/>
  <c r="AB800" i="2" s="1"/>
  <c r="AB821" i="2" s="1"/>
  <c r="AB842" i="2" s="1"/>
  <c r="AB863" i="2" s="1"/>
  <c r="AB884" i="2" s="1"/>
  <c r="AB905" i="2" s="1"/>
  <c r="AB926" i="2" s="1"/>
  <c r="AB947" i="2" s="1"/>
  <c r="AB968" i="2" s="1"/>
  <c r="AB989" i="2" s="1"/>
  <c r="AB1010" i="2" s="1"/>
  <c r="AB1031" i="2" s="1"/>
  <c r="AB1052" i="2" s="1"/>
  <c r="AB1073" i="2" s="1"/>
  <c r="AB1094" i="2" s="1"/>
  <c r="AB1115" i="2" s="1"/>
  <c r="AB1136" i="2" s="1"/>
  <c r="AB1157" i="2" s="1"/>
  <c r="AB1178" i="2" s="1"/>
  <c r="AB1199" i="2" s="1"/>
  <c r="AB1220" i="2" s="1"/>
  <c r="AB1241" i="2" s="1"/>
  <c r="AB1262" i="2" s="1"/>
  <c r="AB1283" i="2" s="1"/>
  <c r="AB1304" i="2" s="1"/>
  <c r="AB1325" i="2" s="1"/>
  <c r="AB1346" i="2" s="1"/>
  <c r="AB1367" i="2" s="1"/>
  <c r="AB1388" i="2" s="1"/>
  <c r="AB1409" i="2" s="1"/>
  <c r="AB1430" i="2" s="1"/>
  <c r="AB1451" i="2" s="1"/>
  <c r="AB1472" i="2" s="1"/>
  <c r="AB1493" i="2" s="1"/>
  <c r="AB1514" i="2" s="1"/>
  <c r="AB1535" i="2" s="1"/>
  <c r="AB1556" i="2" s="1"/>
  <c r="AB1577" i="2" s="1"/>
  <c r="AB1598" i="2" s="1"/>
  <c r="AB1619" i="2" s="1"/>
  <c r="AB1640" i="2" s="1"/>
  <c r="AB1661" i="2" s="1"/>
  <c r="AB1682" i="2" s="1"/>
  <c r="AB1703" i="2" s="1"/>
  <c r="AB1724" i="2" s="1"/>
  <c r="AB1745" i="2" s="1"/>
  <c r="AB1766" i="2" s="1"/>
  <c r="AB1787" i="2" s="1"/>
  <c r="AB1808" i="2" s="1"/>
  <c r="AB1829" i="2" s="1"/>
  <c r="AB1850" i="2" s="1"/>
  <c r="AB1871" i="2" s="1"/>
  <c r="AB1892" i="2" s="1"/>
  <c r="AB1913" i="2" s="1"/>
  <c r="AB1934" i="2" s="1"/>
  <c r="AB1955" i="2" s="1"/>
  <c r="AB1976" i="2" s="1"/>
  <c r="AB1997" i="2" s="1"/>
  <c r="AB2018" i="2" s="1"/>
  <c r="AB2039" i="2" s="1"/>
  <c r="AB2060" i="2" s="1"/>
  <c r="AB2081" i="2" s="1"/>
  <c r="AB2102" i="2" s="1"/>
  <c r="AB2123" i="2" s="1"/>
  <c r="AB2144" i="2" s="1"/>
  <c r="AB2165" i="2" s="1"/>
  <c r="AB2186" i="2" s="1"/>
  <c r="AB2207" i="2" s="1"/>
  <c r="AB2228" i="2" s="1"/>
  <c r="AB2249" i="2" s="1"/>
  <c r="AB2270" i="2" s="1"/>
  <c r="AB2291" i="2" s="1"/>
  <c r="AB2312" i="2" s="1"/>
  <c r="AB2333" i="2" s="1"/>
  <c r="AB2354" i="2" s="1"/>
  <c r="AB2375" i="2" s="1"/>
  <c r="AB2396" i="2" s="1"/>
  <c r="AB2417" i="2" s="1"/>
  <c r="AB2438" i="2" s="1"/>
  <c r="AB2459" i="2" s="1"/>
  <c r="AB2480" i="2" s="1"/>
  <c r="AB2501" i="2" s="1"/>
  <c r="AB2522" i="2" s="1"/>
  <c r="AB2543" i="2" s="1"/>
  <c r="AB2564" i="2" s="1"/>
  <c r="AB2585" i="2" s="1"/>
  <c r="AB2606" i="2" s="1"/>
  <c r="AB2627" i="2" s="1"/>
  <c r="AB2648" i="2" s="1"/>
  <c r="AB2669" i="2" s="1"/>
  <c r="AB2690" i="2" s="1"/>
  <c r="AB2711" i="2" s="1"/>
  <c r="AB2732" i="2" s="1"/>
  <c r="AB2753" i="2" s="1"/>
  <c r="AB2774" i="2" s="1"/>
  <c r="AB2795" i="2" s="1"/>
  <c r="AB2816" i="2" s="1"/>
  <c r="AB2837" i="2" s="1"/>
  <c r="AB2858" i="2" s="1"/>
  <c r="AB2879" i="2" s="1"/>
  <c r="AB2900" i="2" s="1"/>
  <c r="AB2921" i="2" s="1"/>
  <c r="AB2942" i="2" s="1"/>
  <c r="AB2963" i="2" s="1"/>
  <c r="AB2984" i="2" s="1"/>
  <c r="AB3005" i="2" s="1"/>
  <c r="AB3026" i="2" s="1"/>
  <c r="AB3047" i="2" s="1"/>
  <c r="AB3068" i="2" s="1"/>
  <c r="AB3089" i="2" s="1"/>
  <c r="AB3110" i="2" s="1"/>
  <c r="AB3131" i="2" s="1"/>
  <c r="AB3152" i="2" s="1"/>
  <c r="AB3173" i="2" s="1"/>
  <c r="AB3194" i="2" s="1"/>
  <c r="AB3215" i="2" s="1"/>
  <c r="AB3236" i="2" s="1"/>
  <c r="AB3257" i="2" s="1"/>
  <c r="AB3278" i="2" s="1"/>
  <c r="AB3299" i="2" s="1"/>
  <c r="AB3320" i="2" s="1"/>
  <c r="AB3341" i="2" s="1"/>
  <c r="AB3362" i="2" s="1"/>
  <c r="AB3383" i="2" s="1"/>
  <c r="AB3404" i="2" s="1"/>
  <c r="AB3425" i="2" s="1"/>
  <c r="AB3446" i="2" s="1"/>
  <c r="AB3467" i="2" s="1"/>
  <c r="AB3488" i="2" s="1"/>
  <c r="AB3509" i="2" s="1"/>
  <c r="AB3530" i="2" s="1"/>
  <c r="AB3551" i="2" s="1"/>
  <c r="AB3572" i="2" s="1"/>
  <c r="AB3593" i="2" s="1"/>
  <c r="AB3614" i="2" s="1"/>
  <c r="AB3635" i="2" s="1"/>
  <c r="AB3656" i="2" s="1"/>
  <c r="AB3677" i="2" s="1"/>
  <c r="AB3698" i="2" s="1"/>
  <c r="AB3719" i="2" s="1"/>
  <c r="AB3740" i="2" s="1"/>
  <c r="AB3761" i="2" s="1"/>
  <c r="AB3782" i="2" s="1"/>
  <c r="AB3803" i="2" s="1"/>
  <c r="AB3824" i="2" s="1"/>
  <c r="AB3845" i="2" s="1"/>
  <c r="AB3866" i="2" s="1"/>
  <c r="AB3887" i="2" s="1"/>
  <c r="AB3908" i="2" s="1"/>
  <c r="AB3929" i="2" s="1"/>
  <c r="AB3950" i="2" s="1"/>
  <c r="AB3971" i="2" s="1"/>
  <c r="AB3992" i="2" s="1"/>
  <c r="AB4013" i="2" s="1"/>
  <c r="AB4034" i="2" s="1"/>
  <c r="AB4055" i="2" s="1"/>
  <c r="AB4076" i="2" s="1"/>
  <c r="AB4097" i="2" s="1"/>
  <c r="AB4118" i="2" s="1"/>
  <c r="AB4139" i="2" s="1"/>
  <c r="AB4160" i="2" s="1"/>
  <c r="AB4181" i="2" s="1"/>
  <c r="AC65" i="2"/>
  <c r="AE65" i="2"/>
  <c r="AB66" i="2"/>
  <c r="AC66" i="2"/>
  <c r="AE66" i="2"/>
  <c r="AB67" i="2"/>
  <c r="AC67" i="2"/>
  <c r="AE67" i="2"/>
  <c r="AB68" i="2"/>
  <c r="AC68" i="2"/>
  <c r="AE68" i="2"/>
  <c r="AB69" i="2"/>
  <c r="AB90" i="2" s="1"/>
  <c r="AB111" i="2" s="1"/>
  <c r="AC69" i="2"/>
  <c r="AE69" i="2"/>
  <c r="AB70" i="2"/>
  <c r="AC70" i="2"/>
  <c r="AE70" i="2"/>
  <c r="AB71" i="2"/>
  <c r="AC71" i="2"/>
  <c r="AE71" i="2"/>
  <c r="AB72" i="2"/>
  <c r="AC72" i="2"/>
  <c r="AE72" i="2"/>
  <c r="AB73" i="2"/>
  <c r="AB94" i="2" s="1"/>
  <c r="AB115" i="2" s="1"/>
  <c r="AE73" i="2"/>
  <c r="AC74" i="2"/>
  <c r="AE74" i="2"/>
  <c r="AB75" i="2"/>
  <c r="AC75" i="2"/>
  <c r="AE75" i="2"/>
  <c r="AB76" i="2"/>
  <c r="AC76" i="2"/>
  <c r="AE76" i="2"/>
  <c r="AB77" i="2"/>
  <c r="AB98" i="2" s="1"/>
  <c r="AB119" i="2" s="1"/>
  <c r="AE77" i="2"/>
  <c r="AC78" i="2"/>
  <c r="AE78" i="2"/>
  <c r="AB79" i="2"/>
  <c r="AC79" i="2"/>
  <c r="AE79" i="2"/>
  <c r="AB80" i="2"/>
  <c r="AC80" i="2"/>
  <c r="AE80" i="2"/>
  <c r="AB81" i="2"/>
  <c r="AB102" i="2" s="1"/>
  <c r="AB123" i="2" s="1"/>
  <c r="AE81" i="2"/>
  <c r="AC82" i="2"/>
  <c r="AE82" i="2"/>
  <c r="AB83" i="2"/>
  <c r="AC83" i="2"/>
  <c r="AE83" i="2"/>
  <c r="AB84" i="2"/>
  <c r="AC84" i="2"/>
  <c r="AE84" i="2"/>
  <c r="AB85" i="2"/>
  <c r="AB106" i="2" s="1"/>
  <c r="AB127" i="2" s="1"/>
  <c r="AE85" i="2"/>
  <c r="AC86" i="2"/>
  <c r="AE86" i="2"/>
  <c r="AB87" i="2"/>
  <c r="AC87" i="2"/>
  <c r="AE87" i="2"/>
  <c r="AB88" i="2"/>
  <c r="AC88" i="2"/>
  <c r="AE88" i="2"/>
  <c r="AB89" i="2"/>
  <c r="AB110" i="2" s="1"/>
  <c r="AB131" i="2" s="1"/>
  <c r="AE89" i="2"/>
  <c r="AC90" i="2"/>
  <c r="AE90" i="2"/>
  <c r="AB91" i="2"/>
  <c r="AC91" i="2"/>
  <c r="AE91" i="2"/>
  <c r="AB92" i="2"/>
  <c r="AC92" i="2"/>
  <c r="AE92" i="2"/>
  <c r="AB93" i="2"/>
  <c r="AB114" i="2" s="1"/>
  <c r="AB135" i="2" s="1"/>
  <c r="AE93" i="2"/>
  <c r="AE94" i="2"/>
  <c r="AC95" i="2"/>
  <c r="AE95" i="2"/>
  <c r="AB96" i="2"/>
  <c r="AB117" i="2" s="1"/>
  <c r="AB138" i="2" s="1"/>
  <c r="AB159" i="2" s="1"/>
  <c r="AB180" i="2" s="1"/>
  <c r="AB201" i="2" s="1"/>
  <c r="AB222" i="2" s="1"/>
  <c r="AB243" i="2" s="1"/>
  <c r="AB264" i="2" s="1"/>
  <c r="AB285" i="2" s="1"/>
  <c r="AB306" i="2" s="1"/>
  <c r="AB327" i="2" s="1"/>
  <c r="AB348" i="2" s="1"/>
  <c r="AB369" i="2" s="1"/>
  <c r="AB390" i="2" s="1"/>
  <c r="AB411" i="2" s="1"/>
  <c r="AB432" i="2" s="1"/>
  <c r="AB453" i="2" s="1"/>
  <c r="AB474" i="2" s="1"/>
  <c r="AB495" i="2" s="1"/>
  <c r="AB516" i="2" s="1"/>
  <c r="AB537" i="2" s="1"/>
  <c r="AB558" i="2" s="1"/>
  <c r="AB579" i="2" s="1"/>
  <c r="AB600" i="2" s="1"/>
  <c r="AB621" i="2" s="1"/>
  <c r="AB642" i="2" s="1"/>
  <c r="AB663" i="2" s="1"/>
  <c r="AB684" i="2" s="1"/>
  <c r="AB705" i="2" s="1"/>
  <c r="AB726" i="2" s="1"/>
  <c r="AB747" i="2" s="1"/>
  <c r="AB768" i="2" s="1"/>
  <c r="AB789" i="2" s="1"/>
  <c r="AB810" i="2" s="1"/>
  <c r="AB831" i="2" s="1"/>
  <c r="AB852" i="2" s="1"/>
  <c r="AB873" i="2" s="1"/>
  <c r="AB894" i="2" s="1"/>
  <c r="AB915" i="2" s="1"/>
  <c r="AB936" i="2" s="1"/>
  <c r="AB957" i="2" s="1"/>
  <c r="AB978" i="2" s="1"/>
  <c r="AB999" i="2" s="1"/>
  <c r="AB1020" i="2" s="1"/>
  <c r="AB1041" i="2" s="1"/>
  <c r="AB1062" i="2" s="1"/>
  <c r="AB1083" i="2" s="1"/>
  <c r="AB1104" i="2" s="1"/>
  <c r="AB1125" i="2" s="1"/>
  <c r="AB1146" i="2" s="1"/>
  <c r="AB1167" i="2" s="1"/>
  <c r="AB1188" i="2" s="1"/>
  <c r="AB1209" i="2" s="1"/>
  <c r="AB1230" i="2" s="1"/>
  <c r="AB1251" i="2" s="1"/>
  <c r="AB1272" i="2" s="1"/>
  <c r="AB1293" i="2" s="1"/>
  <c r="AB1314" i="2" s="1"/>
  <c r="AB1335" i="2" s="1"/>
  <c r="AB1356" i="2" s="1"/>
  <c r="AB1377" i="2" s="1"/>
  <c r="AB1398" i="2" s="1"/>
  <c r="AB1419" i="2" s="1"/>
  <c r="AB1440" i="2" s="1"/>
  <c r="AB1461" i="2" s="1"/>
  <c r="AB1482" i="2" s="1"/>
  <c r="AB1503" i="2" s="1"/>
  <c r="AB1524" i="2" s="1"/>
  <c r="AB1545" i="2" s="1"/>
  <c r="AB1566" i="2" s="1"/>
  <c r="AB1587" i="2" s="1"/>
  <c r="AB1608" i="2" s="1"/>
  <c r="AB1629" i="2" s="1"/>
  <c r="AB1650" i="2" s="1"/>
  <c r="AB1671" i="2" s="1"/>
  <c r="AB1692" i="2" s="1"/>
  <c r="AB1713" i="2" s="1"/>
  <c r="AB1734" i="2" s="1"/>
  <c r="AB1755" i="2" s="1"/>
  <c r="AB1776" i="2" s="1"/>
  <c r="AB1797" i="2" s="1"/>
  <c r="AB1818" i="2" s="1"/>
  <c r="AB1839" i="2" s="1"/>
  <c r="AB1860" i="2" s="1"/>
  <c r="AB1881" i="2" s="1"/>
  <c r="AB1902" i="2" s="1"/>
  <c r="AB1923" i="2" s="1"/>
  <c r="AB1944" i="2" s="1"/>
  <c r="AB1965" i="2" s="1"/>
  <c r="AB1986" i="2" s="1"/>
  <c r="AB2007" i="2" s="1"/>
  <c r="AB2028" i="2" s="1"/>
  <c r="AB2049" i="2" s="1"/>
  <c r="AB2070" i="2" s="1"/>
  <c r="AB2091" i="2" s="1"/>
  <c r="AB2112" i="2" s="1"/>
  <c r="AB2133" i="2" s="1"/>
  <c r="AB2154" i="2" s="1"/>
  <c r="AB2175" i="2" s="1"/>
  <c r="AB2196" i="2" s="1"/>
  <c r="AB2217" i="2" s="1"/>
  <c r="AB2238" i="2" s="1"/>
  <c r="AB2259" i="2" s="1"/>
  <c r="AB2280" i="2" s="1"/>
  <c r="AB2301" i="2" s="1"/>
  <c r="AB2322" i="2" s="1"/>
  <c r="AB2343" i="2" s="1"/>
  <c r="AB2364" i="2" s="1"/>
  <c r="AB2385" i="2" s="1"/>
  <c r="AB2406" i="2" s="1"/>
  <c r="AB2427" i="2" s="1"/>
  <c r="AB2448" i="2" s="1"/>
  <c r="AB2469" i="2" s="1"/>
  <c r="AB2490" i="2" s="1"/>
  <c r="AC96" i="2"/>
  <c r="AE96" i="2"/>
  <c r="AB97" i="2"/>
  <c r="AB118" i="2" s="1"/>
  <c r="AB139" i="2" s="1"/>
  <c r="AB160" i="2" s="1"/>
  <c r="AB181" i="2" s="1"/>
  <c r="AB202" i="2" s="1"/>
  <c r="AB223" i="2" s="1"/>
  <c r="AB244" i="2" s="1"/>
  <c r="AB265" i="2" s="1"/>
  <c r="AB286" i="2" s="1"/>
  <c r="AB307" i="2" s="1"/>
  <c r="AB328" i="2" s="1"/>
  <c r="AB349" i="2" s="1"/>
  <c r="AB370" i="2" s="1"/>
  <c r="AB391" i="2" s="1"/>
  <c r="AB412" i="2" s="1"/>
  <c r="AB433" i="2" s="1"/>
  <c r="AB454" i="2" s="1"/>
  <c r="AB475" i="2" s="1"/>
  <c r="AB496" i="2" s="1"/>
  <c r="AB517" i="2" s="1"/>
  <c r="AB538" i="2" s="1"/>
  <c r="AB559" i="2" s="1"/>
  <c r="AB580" i="2" s="1"/>
  <c r="AB601" i="2" s="1"/>
  <c r="AB622" i="2" s="1"/>
  <c r="AB643" i="2" s="1"/>
  <c r="AB664" i="2" s="1"/>
  <c r="AB685" i="2" s="1"/>
  <c r="AB706" i="2" s="1"/>
  <c r="AB727" i="2" s="1"/>
  <c r="AB748" i="2" s="1"/>
  <c r="AB769" i="2" s="1"/>
  <c r="AB790" i="2" s="1"/>
  <c r="AB811" i="2" s="1"/>
  <c r="AB832" i="2" s="1"/>
  <c r="AB853" i="2" s="1"/>
  <c r="AB874" i="2" s="1"/>
  <c r="AB895" i="2" s="1"/>
  <c r="AB916" i="2" s="1"/>
  <c r="AB937" i="2" s="1"/>
  <c r="AB958" i="2" s="1"/>
  <c r="AB979" i="2" s="1"/>
  <c r="AB1000" i="2" s="1"/>
  <c r="AB1021" i="2" s="1"/>
  <c r="AB1042" i="2" s="1"/>
  <c r="AB1063" i="2" s="1"/>
  <c r="AB1084" i="2" s="1"/>
  <c r="AB1105" i="2" s="1"/>
  <c r="AB1126" i="2" s="1"/>
  <c r="AB1147" i="2" s="1"/>
  <c r="AB1168" i="2" s="1"/>
  <c r="AB1189" i="2" s="1"/>
  <c r="AB1210" i="2" s="1"/>
  <c r="AB1231" i="2" s="1"/>
  <c r="AB1252" i="2" s="1"/>
  <c r="AB1273" i="2" s="1"/>
  <c r="AB1294" i="2" s="1"/>
  <c r="AB1315" i="2" s="1"/>
  <c r="AB1336" i="2" s="1"/>
  <c r="AB1357" i="2" s="1"/>
  <c r="AB1378" i="2" s="1"/>
  <c r="AB1399" i="2" s="1"/>
  <c r="AB1420" i="2" s="1"/>
  <c r="AB1441" i="2" s="1"/>
  <c r="AB1462" i="2" s="1"/>
  <c r="AB1483" i="2" s="1"/>
  <c r="AB1504" i="2" s="1"/>
  <c r="AB1525" i="2" s="1"/>
  <c r="AB1546" i="2" s="1"/>
  <c r="AB1567" i="2" s="1"/>
  <c r="AB1588" i="2" s="1"/>
  <c r="AB1609" i="2" s="1"/>
  <c r="AB1630" i="2" s="1"/>
  <c r="AB1651" i="2" s="1"/>
  <c r="AB1672" i="2" s="1"/>
  <c r="AB1693" i="2" s="1"/>
  <c r="AB1714" i="2" s="1"/>
  <c r="AB1735" i="2" s="1"/>
  <c r="AB1756" i="2" s="1"/>
  <c r="AB1777" i="2" s="1"/>
  <c r="AB1798" i="2" s="1"/>
  <c r="AB1819" i="2" s="1"/>
  <c r="AB1840" i="2" s="1"/>
  <c r="AB1861" i="2" s="1"/>
  <c r="AB1882" i="2" s="1"/>
  <c r="AB1903" i="2" s="1"/>
  <c r="AB1924" i="2" s="1"/>
  <c r="AB1945" i="2" s="1"/>
  <c r="AB1966" i="2" s="1"/>
  <c r="AB1987" i="2" s="1"/>
  <c r="AB2008" i="2" s="1"/>
  <c r="AB2029" i="2" s="1"/>
  <c r="AB2050" i="2" s="1"/>
  <c r="AB2071" i="2" s="1"/>
  <c r="AB2092" i="2" s="1"/>
  <c r="AB2113" i="2" s="1"/>
  <c r="AB2134" i="2" s="1"/>
  <c r="AB2155" i="2" s="1"/>
  <c r="AB2176" i="2" s="1"/>
  <c r="AB2197" i="2" s="1"/>
  <c r="AB2218" i="2" s="1"/>
  <c r="AB2239" i="2" s="1"/>
  <c r="AB2260" i="2" s="1"/>
  <c r="AB2281" i="2" s="1"/>
  <c r="AB2302" i="2" s="1"/>
  <c r="AB2323" i="2" s="1"/>
  <c r="AB2344" i="2" s="1"/>
  <c r="AB2365" i="2" s="1"/>
  <c r="AB2386" i="2" s="1"/>
  <c r="AB2407" i="2" s="1"/>
  <c r="AB2428" i="2" s="1"/>
  <c r="AB2449" i="2" s="1"/>
  <c r="AB2470" i="2" s="1"/>
  <c r="AB2491" i="2" s="1"/>
  <c r="AB2512" i="2" s="1"/>
  <c r="AB2533" i="2" s="1"/>
  <c r="AB2554" i="2" s="1"/>
  <c r="AE97" i="2"/>
  <c r="AE98" i="2"/>
  <c r="AC99" i="2"/>
  <c r="AE99" i="2"/>
  <c r="AB100" i="2"/>
  <c r="AC100" i="2"/>
  <c r="AE100" i="2"/>
  <c r="AB101" i="2"/>
  <c r="AB122" i="2" s="1"/>
  <c r="AB143" i="2" s="1"/>
  <c r="AE101" i="2"/>
  <c r="AE102" i="2"/>
  <c r="AC103" i="2"/>
  <c r="AE103" i="2"/>
  <c r="AB104" i="2"/>
  <c r="AB125" i="2" s="1"/>
  <c r="AB146" i="2" s="1"/>
  <c r="AB167" i="2" s="1"/>
  <c r="AB188" i="2" s="1"/>
  <c r="AC104" i="2"/>
  <c r="AE104" i="2"/>
  <c r="AB105" i="2"/>
  <c r="AB126" i="2" s="1"/>
  <c r="AB147" i="2" s="1"/>
  <c r="AE105" i="2"/>
  <c r="AE106" i="2"/>
  <c r="AC107" i="2"/>
  <c r="AE107" i="2"/>
  <c r="AB108" i="2"/>
  <c r="AC108" i="2"/>
  <c r="AE108" i="2"/>
  <c r="AB109" i="2"/>
  <c r="AB130" i="2" s="1"/>
  <c r="AB151" i="2" s="1"/>
  <c r="AE109" i="2"/>
  <c r="AE110" i="2"/>
  <c r="AC111" i="2"/>
  <c r="AE111" i="2"/>
  <c r="AB112" i="2"/>
  <c r="AB133" i="2" s="1"/>
  <c r="AB154" i="2" s="1"/>
  <c r="AB175" i="2" s="1"/>
  <c r="AB196" i="2" s="1"/>
  <c r="AB217" i="2" s="1"/>
  <c r="AB238" i="2" s="1"/>
  <c r="AB259" i="2" s="1"/>
  <c r="AB280" i="2" s="1"/>
  <c r="AB301" i="2" s="1"/>
  <c r="AB322" i="2" s="1"/>
  <c r="AB343" i="2" s="1"/>
  <c r="AB364" i="2" s="1"/>
  <c r="AB385" i="2" s="1"/>
  <c r="AB406" i="2" s="1"/>
  <c r="AB427" i="2" s="1"/>
  <c r="AB448" i="2" s="1"/>
  <c r="AB469" i="2" s="1"/>
  <c r="AB490" i="2" s="1"/>
  <c r="AB511" i="2" s="1"/>
  <c r="AB532" i="2" s="1"/>
  <c r="AB553" i="2" s="1"/>
  <c r="AB574" i="2" s="1"/>
  <c r="AB595" i="2" s="1"/>
  <c r="AB616" i="2" s="1"/>
  <c r="AB637" i="2" s="1"/>
  <c r="AB658" i="2" s="1"/>
  <c r="AB679" i="2" s="1"/>
  <c r="AB700" i="2" s="1"/>
  <c r="AB721" i="2" s="1"/>
  <c r="AB742" i="2" s="1"/>
  <c r="AB763" i="2" s="1"/>
  <c r="AB784" i="2" s="1"/>
  <c r="AB805" i="2" s="1"/>
  <c r="AB826" i="2" s="1"/>
  <c r="AB847" i="2" s="1"/>
  <c r="AB868" i="2" s="1"/>
  <c r="AB889" i="2" s="1"/>
  <c r="AB910" i="2" s="1"/>
  <c r="AB931" i="2" s="1"/>
  <c r="AB952" i="2" s="1"/>
  <c r="AB973" i="2" s="1"/>
  <c r="AB994" i="2" s="1"/>
  <c r="AB1015" i="2" s="1"/>
  <c r="AB1036" i="2" s="1"/>
  <c r="AB1057" i="2" s="1"/>
  <c r="AB1078" i="2" s="1"/>
  <c r="AB1099" i="2" s="1"/>
  <c r="AB1120" i="2" s="1"/>
  <c r="AB1141" i="2" s="1"/>
  <c r="AB1162" i="2" s="1"/>
  <c r="AB1183" i="2" s="1"/>
  <c r="AB1204" i="2" s="1"/>
  <c r="AB1225" i="2" s="1"/>
  <c r="AB1246" i="2" s="1"/>
  <c r="AB1267" i="2" s="1"/>
  <c r="AB1288" i="2" s="1"/>
  <c r="AB1309" i="2" s="1"/>
  <c r="AB1330" i="2" s="1"/>
  <c r="AB1351" i="2" s="1"/>
  <c r="AB1372" i="2" s="1"/>
  <c r="AB1393" i="2" s="1"/>
  <c r="AB1414" i="2" s="1"/>
  <c r="AB1435" i="2" s="1"/>
  <c r="AB1456" i="2" s="1"/>
  <c r="AB1477" i="2" s="1"/>
  <c r="AB1498" i="2" s="1"/>
  <c r="AB1519" i="2" s="1"/>
  <c r="AB1540" i="2" s="1"/>
  <c r="AB1561" i="2" s="1"/>
  <c r="AB1582" i="2" s="1"/>
  <c r="AB1603" i="2" s="1"/>
  <c r="AB1624" i="2" s="1"/>
  <c r="AB1645" i="2" s="1"/>
  <c r="AB1666" i="2" s="1"/>
  <c r="AB1687" i="2" s="1"/>
  <c r="AB1708" i="2" s="1"/>
  <c r="AB1729" i="2" s="1"/>
  <c r="AB1750" i="2" s="1"/>
  <c r="AB1771" i="2" s="1"/>
  <c r="AB1792" i="2" s="1"/>
  <c r="AB1813" i="2" s="1"/>
  <c r="AB1834" i="2" s="1"/>
  <c r="AB1855" i="2" s="1"/>
  <c r="AB1876" i="2" s="1"/>
  <c r="AB1897" i="2" s="1"/>
  <c r="AB1918" i="2" s="1"/>
  <c r="AB1939" i="2" s="1"/>
  <c r="AB1960" i="2" s="1"/>
  <c r="AB1981" i="2" s="1"/>
  <c r="AB2002" i="2" s="1"/>
  <c r="AB2023" i="2" s="1"/>
  <c r="AB2044" i="2" s="1"/>
  <c r="AB2065" i="2" s="1"/>
  <c r="AB2086" i="2" s="1"/>
  <c r="AB2107" i="2" s="1"/>
  <c r="AB2128" i="2" s="1"/>
  <c r="AB2149" i="2" s="1"/>
  <c r="AB2170" i="2" s="1"/>
  <c r="AB2191" i="2" s="1"/>
  <c r="AB2212" i="2" s="1"/>
  <c r="AB2233" i="2" s="1"/>
  <c r="AB2254" i="2" s="1"/>
  <c r="AB2275" i="2" s="1"/>
  <c r="AB2296" i="2" s="1"/>
  <c r="AB2317" i="2" s="1"/>
  <c r="AB2338" i="2" s="1"/>
  <c r="AB2359" i="2" s="1"/>
  <c r="AB2380" i="2" s="1"/>
  <c r="AB2401" i="2" s="1"/>
  <c r="AB2422" i="2" s="1"/>
  <c r="AB2443" i="2" s="1"/>
  <c r="AB2464" i="2" s="1"/>
  <c r="AB2485" i="2" s="1"/>
  <c r="AB2506" i="2" s="1"/>
  <c r="AB2527" i="2" s="1"/>
  <c r="AB2548" i="2" s="1"/>
  <c r="AB2569" i="2" s="1"/>
  <c r="AB2590" i="2" s="1"/>
  <c r="AB2611" i="2" s="1"/>
  <c r="AB2632" i="2" s="1"/>
  <c r="AB2653" i="2" s="1"/>
  <c r="AB2674" i="2" s="1"/>
  <c r="AB2695" i="2" s="1"/>
  <c r="AB2716" i="2" s="1"/>
  <c r="AB2737" i="2" s="1"/>
  <c r="AB2758" i="2" s="1"/>
  <c r="AB2779" i="2" s="1"/>
  <c r="AB2800" i="2" s="1"/>
  <c r="AB2821" i="2" s="1"/>
  <c r="AB2842" i="2" s="1"/>
  <c r="AB2863" i="2" s="1"/>
  <c r="AB2884" i="2" s="1"/>
  <c r="AB2905" i="2" s="1"/>
  <c r="AB2926" i="2" s="1"/>
  <c r="AB2947" i="2" s="1"/>
  <c r="AB2968" i="2" s="1"/>
  <c r="AB2989" i="2" s="1"/>
  <c r="AB3010" i="2" s="1"/>
  <c r="AB3031" i="2" s="1"/>
  <c r="AB3052" i="2" s="1"/>
  <c r="AB3073" i="2" s="1"/>
  <c r="AB3094" i="2" s="1"/>
  <c r="AB3115" i="2" s="1"/>
  <c r="AB3136" i="2" s="1"/>
  <c r="AB3157" i="2" s="1"/>
  <c r="AB3178" i="2" s="1"/>
  <c r="AB3199" i="2" s="1"/>
  <c r="AB3220" i="2" s="1"/>
  <c r="AB3241" i="2" s="1"/>
  <c r="AB3262" i="2" s="1"/>
  <c r="AB3283" i="2" s="1"/>
  <c r="AB3304" i="2" s="1"/>
  <c r="AB3325" i="2" s="1"/>
  <c r="AB3346" i="2" s="1"/>
  <c r="AB3367" i="2" s="1"/>
  <c r="AB3388" i="2" s="1"/>
  <c r="AB3409" i="2" s="1"/>
  <c r="AB3430" i="2" s="1"/>
  <c r="AB3451" i="2" s="1"/>
  <c r="AB3472" i="2" s="1"/>
  <c r="AB3493" i="2" s="1"/>
  <c r="AB3514" i="2" s="1"/>
  <c r="AB3535" i="2" s="1"/>
  <c r="AB3556" i="2" s="1"/>
  <c r="AB3577" i="2" s="1"/>
  <c r="AB3598" i="2" s="1"/>
  <c r="AB3619" i="2" s="1"/>
  <c r="AB3640" i="2" s="1"/>
  <c r="AB3661" i="2" s="1"/>
  <c r="AB3682" i="2" s="1"/>
  <c r="AB3703" i="2" s="1"/>
  <c r="AB3724" i="2" s="1"/>
  <c r="AB3745" i="2" s="1"/>
  <c r="AB3766" i="2" s="1"/>
  <c r="AB3787" i="2" s="1"/>
  <c r="AB3808" i="2" s="1"/>
  <c r="AB3829" i="2" s="1"/>
  <c r="AB3850" i="2" s="1"/>
  <c r="AB3871" i="2" s="1"/>
  <c r="AB3892" i="2" s="1"/>
  <c r="AB3913" i="2" s="1"/>
  <c r="AB3934" i="2" s="1"/>
  <c r="AB3955" i="2" s="1"/>
  <c r="AB3976" i="2" s="1"/>
  <c r="AB3997" i="2" s="1"/>
  <c r="AB4018" i="2" s="1"/>
  <c r="AB4039" i="2" s="1"/>
  <c r="AB4060" i="2" s="1"/>
  <c r="AB4081" i="2" s="1"/>
  <c r="AB4102" i="2" s="1"/>
  <c r="AB4123" i="2" s="1"/>
  <c r="AB4144" i="2" s="1"/>
  <c r="AB4165" i="2" s="1"/>
  <c r="AC112" i="2"/>
  <c r="AE112" i="2"/>
  <c r="AB113" i="2"/>
  <c r="AB134" i="2" s="1"/>
  <c r="AB155" i="2" s="1"/>
  <c r="AB176" i="2" s="1"/>
  <c r="AB197" i="2" s="1"/>
  <c r="AB218" i="2" s="1"/>
  <c r="AB239" i="2" s="1"/>
  <c r="AB260" i="2" s="1"/>
  <c r="AB281" i="2" s="1"/>
  <c r="AB302" i="2" s="1"/>
  <c r="AB323" i="2" s="1"/>
  <c r="AB344" i="2" s="1"/>
  <c r="AB365" i="2" s="1"/>
  <c r="AB386" i="2" s="1"/>
  <c r="AB407" i="2" s="1"/>
  <c r="AB428" i="2" s="1"/>
  <c r="AB449" i="2" s="1"/>
  <c r="AB470" i="2" s="1"/>
  <c r="AB491" i="2" s="1"/>
  <c r="AB512" i="2" s="1"/>
  <c r="AB533" i="2" s="1"/>
  <c r="AB554" i="2" s="1"/>
  <c r="AB575" i="2" s="1"/>
  <c r="AB596" i="2" s="1"/>
  <c r="AB617" i="2" s="1"/>
  <c r="AB638" i="2" s="1"/>
  <c r="AB659" i="2" s="1"/>
  <c r="AB680" i="2" s="1"/>
  <c r="AB701" i="2" s="1"/>
  <c r="AB722" i="2" s="1"/>
  <c r="AB743" i="2" s="1"/>
  <c r="AB764" i="2" s="1"/>
  <c r="AB785" i="2" s="1"/>
  <c r="AB806" i="2" s="1"/>
  <c r="AB827" i="2" s="1"/>
  <c r="AB848" i="2" s="1"/>
  <c r="AB869" i="2" s="1"/>
  <c r="AB890" i="2" s="1"/>
  <c r="AB911" i="2" s="1"/>
  <c r="AB932" i="2" s="1"/>
  <c r="AB953" i="2" s="1"/>
  <c r="AB974" i="2" s="1"/>
  <c r="AB995" i="2" s="1"/>
  <c r="AB1016" i="2" s="1"/>
  <c r="AB1037" i="2" s="1"/>
  <c r="AB1058" i="2" s="1"/>
  <c r="AB1079" i="2" s="1"/>
  <c r="AB1100" i="2" s="1"/>
  <c r="AB1121" i="2" s="1"/>
  <c r="AB1142" i="2" s="1"/>
  <c r="AB1163" i="2" s="1"/>
  <c r="AB1184" i="2" s="1"/>
  <c r="AB1205" i="2" s="1"/>
  <c r="AB1226" i="2" s="1"/>
  <c r="AB1247" i="2" s="1"/>
  <c r="AB1268" i="2" s="1"/>
  <c r="AB1289" i="2" s="1"/>
  <c r="AB1310" i="2" s="1"/>
  <c r="AB1331" i="2" s="1"/>
  <c r="AB1352" i="2" s="1"/>
  <c r="AB1373" i="2" s="1"/>
  <c r="AB1394" i="2" s="1"/>
  <c r="AB1415" i="2" s="1"/>
  <c r="AB1436" i="2" s="1"/>
  <c r="AB1457" i="2" s="1"/>
  <c r="AB1478" i="2" s="1"/>
  <c r="AB1499" i="2" s="1"/>
  <c r="AB1520" i="2" s="1"/>
  <c r="AB1541" i="2" s="1"/>
  <c r="AB1562" i="2" s="1"/>
  <c r="AB1583" i="2" s="1"/>
  <c r="AB1604" i="2" s="1"/>
  <c r="AB1625" i="2" s="1"/>
  <c r="AB1646" i="2" s="1"/>
  <c r="AB1667" i="2" s="1"/>
  <c r="AB1688" i="2" s="1"/>
  <c r="AB1709" i="2" s="1"/>
  <c r="AB1730" i="2" s="1"/>
  <c r="AB1751" i="2" s="1"/>
  <c r="AB1772" i="2" s="1"/>
  <c r="AB1793" i="2" s="1"/>
  <c r="AB1814" i="2" s="1"/>
  <c r="AB1835" i="2" s="1"/>
  <c r="AB1856" i="2" s="1"/>
  <c r="AB1877" i="2" s="1"/>
  <c r="AB1898" i="2" s="1"/>
  <c r="AB1919" i="2" s="1"/>
  <c r="AB1940" i="2" s="1"/>
  <c r="AB1961" i="2" s="1"/>
  <c r="AB1982" i="2" s="1"/>
  <c r="AB2003" i="2" s="1"/>
  <c r="AB2024" i="2" s="1"/>
  <c r="AB2045" i="2" s="1"/>
  <c r="AB2066" i="2" s="1"/>
  <c r="AB2087" i="2" s="1"/>
  <c r="AB2108" i="2" s="1"/>
  <c r="AB2129" i="2" s="1"/>
  <c r="AB2150" i="2" s="1"/>
  <c r="AB2171" i="2" s="1"/>
  <c r="AB2192" i="2" s="1"/>
  <c r="AB2213" i="2" s="1"/>
  <c r="AB2234" i="2" s="1"/>
  <c r="AB2255" i="2" s="1"/>
  <c r="AB2276" i="2" s="1"/>
  <c r="AB2297" i="2" s="1"/>
  <c r="AB2318" i="2" s="1"/>
  <c r="AB2339" i="2" s="1"/>
  <c r="AB2360" i="2" s="1"/>
  <c r="AB2381" i="2" s="1"/>
  <c r="AB2402" i="2" s="1"/>
  <c r="AB2423" i="2" s="1"/>
  <c r="AB2444" i="2" s="1"/>
  <c r="AB2465" i="2" s="1"/>
  <c r="AB2486" i="2" s="1"/>
  <c r="AB2507" i="2" s="1"/>
  <c r="AB2528" i="2" s="1"/>
  <c r="AB2549" i="2" s="1"/>
  <c r="AB2570" i="2" s="1"/>
  <c r="AB2591" i="2" s="1"/>
  <c r="AB2612" i="2" s="1"/>
  <c r="AB2633" i="2" s="1"/>
  <c r="AB2654" i="2" s="1"/>
  <c r="AB2675" i="2" s="1"/>
  <c r="AB2696" i="2" s="1"/>
  <c r="AB2717" i="2" s="1"/>
  <c r="AB2738" i="2" s="1"/>
  <c r="AB2759" i="2" s="1"/>
  <c r="AB2780" i="2" s="1"/>
  <c r="AB2801" i="2" s="1"/>
  <c r="AB2822" i="2" s="1"/>
  <c r="AB2843" i="2" s="1"/>
  <c r="AB2864" i="2" s="1"/>
  <c r="AB2885" i="2" s="1"/>
  <c r="AB2906" i="2" s="1"/>
  <c r="AB2927" i="2" s="1"/>
  <c r="AB2948" i="2" s="1"/>
  <c r="AB2969" i="2" s="1"/>
  <c r="AB2990" i="2" s="1"/>
  <c r="AB3011" i="2" s="1"/>
  <c r="AB3032" i="2" s="1"/>
  <c r="AB3053" i="2" s="1"/>
  <c r="AB3074" i="2" s="1"/>
  <c r="AB3095" i="2" s="1"/>
  <c r="AB3116" i="2" s="1"/>
  <c r="AB3137" i="2" s="1"/>
  <c r="AB3158" i="2" s="1"/>
  <c r="AB3179" i="2" s="1"/>
  <c r="AB3200" i="2" s="1"/>
  <c r="AB3221" i="2" s="1"/>
  <c r="AB3242" i="2" s="1"/>
  <c r="AB3263" i="2" s="1"/>
  <c r="AB3284" i="2" s="1"/>
  <c r="AB3305" i="2" s="1"/>
  <c r="AB3326" i="2" s="1"/>
  <c r="AB3347" i="2" s="1"/>
  <c r="AB3368" i="2" s="1"/>
  <c r="AB3389" i="2" s="1"/>
  <c r="AB3410" i="2" s="1"/>
  <c r="AB3431" i="2" s="1"/>
  <c r="AB3452" i="2" s="1"/>
  <c r="AB3473" i="2" s="1"/>
  <c r="AB3494" i="2" s="1"/>
  <c r="AB3515" i="2" s="1"/>
  <c r="AB3536" i="2" s="1"/>
  <c r="AB3557" i="2" s="1"/>
  <c r="AB3578" i="2" s="1"/>
  <c r="AB3599" i="2" s="1"/>
  <c r="AB3620" i="2" s="1"/>
  <c r="AB3641" i="2" s="1"/>
  <c r="AB3662" i="2" s="1"/>
  <c r="AB3683" i="2" s="1"/>
  <c r="AB3704" i="2" s="1"/>
  <c r="AB3725" i="2" s="1"/>
  <c r="AB3746" i="2" s="1"/>
  <c r="AB3767" i="2" s="1"/>
  <c r="AB3788" i="2" s="1"/>
  <c r="AB3809" i="2" s="1"/>
  <c r="AB3830" i="2" s="1"/>
  <c r="AB3851" i="2" s="1"/>
  <c r="AB3872" i="2" s="1"/>
  <c r="AB3893" i="2" s="1"/>
  <c r="AB3914" i="2" s="1"/>
  <c r="AB3935" i="2" s="1"/>
  <c r="AB3956" i="2" s="1"/>
  <c r="AB3977" i="2" s="1"/>
  <c r="AB3998" i="2" s="1"/>
  <c r="AB4019" i="2" s="1"/>
  <c r="AB4040" i="2" s="1"/>
  <c r="AB4061" i="2" s="1"/>
  <c r="AB4082" i="2" s="1"/>
  <c r="AB4103" i="2" s="1"/>
  <c r="AB4124" i="2" s="1"/>
  <c r="AB4145" i="2" s="1"/>
  <c r="AE113" i="2"/>
  <c r="AE114" i="2"/>
  <c r="AE115" i="2"/>
  <c r="AB116" i="2"/>
  <c r="AC116" i="2"/>
  <c r="AE116" i="2"/>
  <c r="AE117" i="2"/>
  <c r="AE118" i="2"/>
  <c r="AE119" i="2"/>
  <c r="AB120" i="2"/>
  <c r="AC120" i="2"/>
  <c r="AE120" i="2"/>
  <c r="AB121" i="2"/>
  <c r="AB142" i="2" s="1"/>
  <c r="AB163" i="2" s="1"/>
  <c r="AB184" i="2" s="1"/>
  <c r="AB205" i="2" s="1"/>
  <c r="AB226" i="2" s="1"/>
  <c r="AB247" i="2" s="1"/>
  <c r="AE121" i="2"/>
  <c r="AE122" i="2"/>
  <c r="AE123" i="2"/>
  <c r="AB124" i="2"/>
  <c r="AB145" i="2" s="1"/>
  <c r="AE124" i="2"/>
  <c r="AE125" i="2"/>
  <c r="AE126" i="2"/>
  <c r="AE127" i="2"/>
  <c r="AC128" i="2"/>
  <c r="AE128" i="2"/>
  <c r="AB129" i="2"/>
  <c r="AB150" i="2" s="1"/>
  <c r="AB171" i="2" s="1"/>
  <c r="AB192" i="2" s="1"/>
  <c r="AE129" i="2"/>
  <c r="AE130" i="2"/>
  <c r="AE131" i="2"/>
  <c r="AB132" i="2"/>
  <c r="AB153" i="2" s="1"/>
  <c r="AC132" i="2"/>
  <c r="AE132" i="2"/>
  <c r="AE133" i="2"/>
  <c r="AE134" i="2"/>
  <c r="AE135" i="2"/>
  <c r="AB136" i="2"/>
  <c r="AB157" i="2" s="1"/>
  <c r="AE136" i="2"/>
  <c r="AB137" i="2"/>
  <c r="AE137" i="2"/>
  <c r="AE138" i="2"/>
  <c r="AE139" i="2"/>
  <c r="AB140" i="2"/>
  <c r="AB161" i="2" s="1"/>
  <c r="AE140" i="2"/>
  <c r="AB141" i="2"/>
  <c r="AE141" i="2"/>
  <c r="AE142" i="2"/>
  <c r="AE143" i="2"/>
  <c r="AB144" i="2"/>
  <c r="AB165" i="2" s="1"/>
  <c r="AE144" i="2"/>
  <c r="AE145" i="2"/>
  <c r="AE146" i="2"/>
  <c r="AE147" i="2"/>
  <c r="AB148" i="2"/>
  <c r="AB169" i="2" s="1"/>
  <c r="AE148" i="2"/>
  <c r="AC149" i="2"/>
  <c r="AE149" i="2"/>
  <c r="AE150" i="2"/>
  <c r="AE151" i="2"/>
  <c r="AB152" i="2"/>
  <c r="AB173" i="2" s="1"/>
  <c r="AE152" i="2"/>
  <c r="AE153" i="2"/>
  <c r="AE154" i="2"/>
  <c r="AE155" i="2"/>
  <c r="AB156" i="2"/>
  <c r="AB177" i="2" s="1"/>
  <c r="AE156" i="2"/>
  <c r="AE157" i="2"/>
  <c r="AB158" i="2"/>
  <c r="AB179" i="2" s="1"/>
  <c r="AB200" i="2" s="1"/>
  <c r="AE158" i="2"/>
  <c r="AE159" i="2"/>
  <c r="AE160" i="2"/>
  <c r="AE161" i="2"/>
  <c r="AB162" i="2"/>
  <c r="AB183" i="2" s="1"/>
  <c r="AB204" i="2" s="1"/>
  <c r="AE162" i="2"/>
  <c r="AE163" i="2"/>
  <c r="AB164" i="2"/>
  <c r="AB185" i="2" s="1"/>
  <c r="AE164" i="2"/>
  <c r="AE165" i="2"/>
  <c r="AB166" i="2"/>
  <c r="AB187" i="2" s="1"/>
  <c r="AB208" i="2" s="1"/>
  <c r="AE166" i="2"/>
  <c r="AE167" i="2"/>
  <c r="AB168" i="2"/>
  <c r="AB189" i="2" s="1"/>
  <c r="AE168" i="2"/>
  <c r="AE169" i="2"/>
  <c r="AC170" i="2"/>
  <c r="AE170" i="2"/>
  <c r="AE171" i="2"/>
  <c r="AB172" i="2"/>
  <c r="AB193" i="2" s="1"/>
  <c r="AE172" i="2"/>
  <c r="AE173" i="2"/>
  <c r="AB174" i="2"/>
  <c r="AB195" i="2" s="1"/>
  <c r="AB216" i="2" s="1"/>
  <c r="AE174" i="2"/>
  <c r="AE175" i="2"/>
  <c r="AE176" i="2"/>
  <c r="AE177" i="2"/>
  <c r="AB178" i="2"/>
  <c r="AE178" i="2"/>
  <c r="AE179" i="2"/>
  <c r="AE180" i="2"/>
  <c r="AE181" i="2"/>
  <c r="AB182" i="2"/>
  <c r="AE182" i="2"/>
  <c r="AE183" i="2"/>
  <c r="AE184" i="2"/>
  <c r="AE185" i="2"/>
  <c r="AB186" i="2"/>
  <c r="AE186" i="2"/>
  <c r="AE187" i="2"/>
  <c r="AE188" i="2"/>
  <c r="AE189" i="2"/>
  <c r="AB190" i="2"/>
  <c r="AE190" i="2"/>
  <c r="AC191" i="2"/>
  <c r="AE191" i="2"/>
  <c r="AE192" i="2"/>
  <c r="AE193" i="2"/>
  <c r="AB194" i="2"/>
  <c r="AE194" i="2"/>
  <c r="AE195" i="2"/>
  <c r="AE196" i="2"/>
  <c r="AE197" i="2"/>
  <c r="AB198" i="2"/>
  <c r="AE198" i="2"/>
  <c r="AB199" i="2"/>
  <c r="AB220" i="2" s="1"/>
  <c r="AE199" i="2"/>
  <c r="AE200" i="2"/>
  <c r="AE201" i="2"/>
  <c r="AE202" i="2"/>
  <c r="AB203" i="2"/>
  <c r="AB224" i="2" s="1"/>
  <c r="AE203" i="2"/>
  <c r="AE204" i="2"/>
  <c r="AE205" i="2"/>
  <c r="AB206" i="2"/>
  <c r="AE206" i="2"/>
  <c r="AB207" i="2"/>
  <c r="AB228" i="2" s="1"/>
  <c r="AB249" i="2" s="1"/>
  <c r="AE207" i="2"/>
  <c r="AE208" i="2"/>
  <c r="AB209" i="2"/>
  <c r="AB230" i="2" s="1"/>
  <c r="AB251" i="2" s="1"/>
  <c r="AE209" i="2"/>
  <c r="AB210" i="2"/>
  <c r="AE210" i="2"/>
  <c r="AB211" i="2"/>
  <c r="AB232" i="2" s="1"/>
  <c r="AE211" i="2"/>
  <c r="AC212" i="2"/>
  <c r="AE212" i="2"/>
  <c r="AB213" i="2"/>
  <c r="AE213" i="2"/>
  <c r="AB214" i="2"/>
  <c r="AE214" i="2"/>
  <c r="AB215" i="2"/>
  <c r="AB236" i="2" s="1"/>
  <c r="AB257" i="2" s="1"/>
  <c r="AE215" i="2"/>
  <c r="AE216" i="2"/>
  <c r="AE217" i="2"/>
  <c r="AE218" i="2"/>
  <c r="AB219" i="2"/>
  <c r="AE219" i="2"/>
  <c r="AE220" i="2"/>
  <c r="AB221" i="2"/>
  <c r="AE221" i="2"/>
  <c r="AE222" i="2"/>
  <c r="AE223" i="2"/>
  <c r="AE224" i="2"/>
  <c r="AB225" i="2"/>
  <c r="AE225" i="2"/>
  <c r="AE226" i="2"/>
  <c r="AB227" i="2"/>
  <c r="AE227" i="2"/>
  <c r="AE228" i="2"/>
  <c r="AB229" i="2"/>
  <c r="AE229" i="2"/>
  <c r="AE230" i="2"/>
  <c r="AB231" i="2"/>
  <c r="AB252" i="2" s="1"/>
  <c r="AB273" i="2" s="1"/>
  <c r="AB294" i="2" s="1"/>
  <c r="AB315" i="2" s="1"/>
  <c r="AB336" i="2" s="1"/>
  <c r="AB357" i="2" s="1"/>
  <c r="AB378" i="2" s="1"/>
  <c r="AE231" i="2"/>
  <c r="AE232" i="2"/>
  <c r="AE233" i="2"/>
  <c r="AB234" i="2"/>
  <c r="AB255" i="2" s="1"/>
  <c r="AE234" i="2"/>
  <c r="AB235" i="2"/>
  <c r="AE235" i="2"/>
  <c r="AE236" i="2"/>
  <c r="AB237" i="2"/>
  <c r="AE237" i="2"/>
  <c r="AE238" i="2"/>
  <c r="AE239" i="2"/>
  <c r="AB240" i="2"/>
  <c r="AB261" i="2" s="1"/>
  <c r="AE240" i="2"/>
  <c r="AB241" i="2"/>
  <c r="AE241" i="2"/>
  <c r="AB242" i="2"/>
  <c r="AB263" i="2" s="1"/>
  <c r="AE242" i="2"/>
  <c r="AE243" i="2"/>
  <c r="AE244" i="2"/>
  <c r="AB245" i="2"/>
  <c r="AE245" i="2"/>
  <c r="AB246" i="2"/>
  <c r="AB267" i="2" s="1"/>
  <c r="AE246" i="2"/>
  <c r="AE247" i="2"/>
  <c r="AB248" i="2"/>
  <c r="AB269" i="2" s="1"/>
  <c r="AE248" i="2"/>
  <c r="AE249" i="2"/>
  <c r="AB250" i="2"/>
  <c r="AB271" i="2" s="1"/>
  <c r="AE250" i="2"/>
  <c r="AE251" i="2"/>
  <c r="AE252" i="2"/>
  <c r="AB253" i="2"/>
  <c r="AE253" i="2"/>
  <c r="AE254" i="2"/>
  <c r="AE255" i="2"/>
  <c r="AB256" i="2"/>
  <c r="AB277" i="2" s="1"/>
  <c r="AB298" i="2" s="1"/>
  <c r="AB319" i="2" s="1"/>
  <c r="AB340" i="2" s="1"/>
  <c r="AB361" i="2" s="1"/>
  <c r="AE256" i="2"/>
  <c r="AE257" i="2"/>
  <c r="AB258" i="2"/>
  <c r="AB279" i="2" s="1"/>
  <c r="AE258" i="2"/>
  <c r="AE259" i="2"/>
  <c r="AE260" i="2"/>
  <c r="AE261" i="2"/>
  <c r="AB262" i="2"/>
  <c r="AB283" i="2" s="1"/>
  <c r="AE262" i="2"/>
  <c r="AE263" i="2"/>
  <c r="AE264" i="2"/>
  <c r="AE265" i="2"/>
  <c r="AB266" i="2"/>
  <c r="AB287" i="2" s="1"/>
  <c r="AE266" i="2"/>
  <c r="AE267" i="2"/>
  <c r="AB268" i="2"/>
  <c r="AB289" i="2" s="1"/>
  <c r="AB310" i="2" s="1"/>
  <c r="AB331" i="2" s="1"/>
  <c r="AB352" i="2" s="1"/>
  <c r="AB373" i="2" s="1"/>
  <c r="AE268" i="2"/>
  <c r="AE269" i="2"/>
  <c r="AB270" i="2"/>
  <c r="AB291" i="2" s="1"/>
  <c r="AE270" i="2"/>
  <c r="AE271" i="2"/>
  <c r="AB272" i="2"/>
  <c r="AB293" i="2" s="1"/>
  <c r="AB314" i="2" s="1"/>
  <c r="AB335" i="2" s="1"/>
  <c r="AE272" i="2"/>
  <c r="AE273" i="2"/>
  <c r="AB274" i="2"/>
  <c r="AB295" i="2" s="1"/>
  <c r="AE274" i="2"/>
  <c r="AE275" i="2"/>
  <c r="AB276" i="2"/>
  <c r="AB297" i="2" s="1"/>
  <c r="AB318" i="2" s="1"/>
  <c r="AB339" i="2" s="1"/>
  <c r="AB360" i="2" s="1"/>
  <c r="AB381" i="2" s="1"/>
  <c r="AB402" i="2" s="1"/>
  <c r="AB423" i="2" s="1"/>
  <c r="AB444" i="2" s="1"/>
  <c r="AB465" i="2" s="1"/>
  <c r="AB486" i="2" s="1"/>
  <c r="AB507" i="2" s="1"/>
  <c r="AB528" i="2" s="1"/>
  <c r="AB549" i="2" s="1"/>
  <c r="AB570" i="2" s="1"/>
  <c r="AE276" i="2"/>
  <c r="AE277" i="2"/>
  <c r="AB278" i="2"/>
  <c r="AB299" i="2" s="1"/>
  <c r="AE278" i="2"/>
  <c r="AE279" i="2"/>
  <c r="AE280" i="2"/>
  <c r="AE281" i="2"/>
  <c r="AB282" i="2"/>
  <c r="AB303" i="2" s="1"/>
  <c r="AE282" i="2"/>
  <c r="AE283" i="2"/>
  <c r="AB284" i="2"/>
  <c r="AB305" i="2" s="1"/>
  <c r="AB326" i="2" s="1"/>
  <c r="AB347" i="2" s="1"/>
  <c r="AB368" i="2" s="1"/>
  <c r="AB389" i="2" s="1"/>
  <c r="AE284" i="2"/>
  <c r="AE285" i="2"/>
  <c r="AE286" i="2"/>
  <c r="AE287" i="2"/>
  <c r="AB288" i="2"/>
  <c r="AB309" i="2" s="1"/>
  <c r="AB330" i="2" s="1"/>
  <c r="AB351" i="2" s="1"/>
  <c r="AB372" i="2" s="1"/>
  <c r="AB393" i="2" s="1"/>
  <c r="AB414" i="2" s="1"/>
  <c r="AB435" i="2" s="1"/>
  <c r="AB456" i="2" s="1"/>
  <c r="AB477" i="2" s="1"/>
  <c r="AB498" i="2" s="1"/>
  <c r="AB519" i="2" s="1"/>
  <c r="AB540" i="2" s="1"/>
  <c r="AB561" i="2" s="1"/>
  <c r="AB582" i="2" s="1"/>
  <c r="AB603" i="2" s="1"/>
  <c r="AB624" i="2" s="1"/>
  <c r="AB645" i="2" s="1"/>
  <c r="AB666" i="2" s="1"/>
  <c r="AB687" i="2" s="1"/>
  <c r="AB708" i="2" s="1"/>
  <c r="AB729" i="2" s="1"/>
  <c r="AB750" i="2" s="1"/>
  <c r="AB771" i="2" s="1"/>
  <c r="AB792" i="2" s="1"/>
  <c r="AB813" i="2" s="1"/>
  <c r="AB834" i="2" s="1"/>
  <c r="AB855" i="2" s="1"/>
  <c r="AB876" i="2" s="1"/>
  <c r="AB897" i="2" s="1"/>
  <c r="AB918" i="2" s="1"/>
  <c r="AB939" i="2" s="1"/>
  <c r="AB960" i="2" s="1"/>
  <c r="AB981" i="2" s="1"/>
  <c r="AB1002" i="2" s="1"/>
  <c r="AB1023" i="2" s="1"/>
  <c r="AB1044" i="2" s="1"/>
  <c r="AB1065" i="2" s="1"/>
  <c r="AB1086" i="2" s="1"/>
  <c r="AB1107" i="2" s="1"/>
  <c r="AB1128" i="2" s="1"/>
  <c r="AB1149" i="2" s="1"/>
  <c r="AB1170" i="2" s="1"/>
  <c r="AB1191" i="2" s="1"/>
  <c r="AB1212" i="2" s="1"/>
  <c r="AB1233" i="2" s="1"/>
  <c r="AB1254" i="2" s="1"/>
  <c r="AB1275" i="2" s="1"/>
  <c r="AB1296" i="2" s="1"/>
  <c r="AB1317" i="2" s="1"/>
  <c r="AB1338" i="2" s="1"/>
  <c r="AB1359" i="2" s="1"/>
  <c r="AB1380" i="2" s="1"/>
  <c r="AB1401" i="2" s="1"/>
  <c r="AB1422" i="2" s="1"/>
  <c r="AB1443" i="2" s="1"/>
  <c r="AB1464" i="2" s="1"/>
  <c r="AB1485" i="2" s="1"/>
  <c r="AB1506" i="2" s="1"/>
  <c r="AB1527" i="2" s="1"/>
  <c r="AB1548" i="2" s="1"/>
  <c r="AB1569" i="2" s="1"/>
  <c r="AB1590" i="2" s="1"/>
  <c r="AB1611" i="2" s="1"/>
  <c r="AB1632" i="2" s="1"/>
  <c r="AB1653" i="2" s="1"/>
  <c r="AB1674" i="2" s="1"/>
  <c r="AB1695" i="2" s="1"/>
  <c r="AB1716" i="2" s="1"/>
  <c r="AB1737" i="2" s="1"/>
  <c r="AB1758" i="2" s="1"/>
  <c r="AB1779" i="2" s="1"/>
  <c r="AB1800" i="2" s="1"/>
  <c r="AB1821" i="2" s="1"/>
  <c r="AB1842" i="2" s="1"/>
  <c r="AB1863" i="2" s="1"/>
  <c r="AB1884" i="2" s="1"/>
  <c r="AB1905" i="2" s="1"/>
  <c r="AB1926" i="2" s="1"/>
  <c r="AB1947" i="2" s="1"/>
  <c r="AB1968" i="2" s="1"/>
  <c r="AB1989" i="2" s="1"/>
  <c r="AB2010" i="2" s="1"/>
  <c r="AB2031" i="2" s="1"/>
  <c r="AB2052" i="2" s="1"/>
  <c r="AB2073" i="2" s="1"/>
  <c r="AB2094" i="2" s="1"/>
  <c r="AB2115" i="2" s="1"/>
  <c r="AB2136" i="2" s="1"/>
  <c r="AB2157" i="2" s="1"/>
  <c r="AB2178" i="2" s="1"/>
  <c r="AB2199" i="2" s="1"/>
  <c r="AB2220" i="2" s="1"/>
  <c r="AB2241" i="2" s="1"/>
  <c r="AB2262" i="2" s="1"/>
  <c r="AB2283" i="2" s="1"/>
  <c r="AB2304" i="2" s="1"/>
  <c r="AB2325" i="2" s="1"/>
  <c r="AB2346" i="2" s="1"/>
  <c r="AB2367" i="2" s="1"/>
  <c r="AB2388" i="2" s="1"/>
  <c r="AB2409" i="2" s="1"/>
  <c r="AB2430" i="2" s="1"/>
  <c r="AB2451" i="2" s="1"/>
  <c r="AB2472" i="2" s="1"/>
  <c r="AB2493" i="2" s="1"/>
  <c r="AB2514" i="2" s="1"/>
  <c r="AB2535" i="2" s="1"/>
  <c r="AB2556" i="2" s="1"/>
  <c r="AB2577" i="2" s="1"/>
  <c r="AB2598" i="2" s="1"/>
  <c r="AB2619" i="2" s="1"/>
  <c r="AB2640" i="2" s="1"/>
  <c r="AB2661" i="2" s="1"/>
  <c r="AB2682" i="2" s="1"/>
  <c r="AB2703" i="2" s="1"/>
  <c r="AB2724" i="2" s="1"/>
  <c r="AB2745" i="2" s="1"/>
  <c r="AB2766" i="2" s="1"/>
  <c r="AB2787" i="2" s="1"/>
  <c r="AB2808" i="2" s="1"/>
  <c r="AB2829" i="2" s="1"/>
  <c r="AB2850" i="2" s="1"/>
  <c r="AB2871" i="2" s="1"/>
  <c r="AB2892" i="2" s="1"/>
  <c r="AB2913" i="2" s="1"/>
  <c r="AB2934" i="2" s="1"/>
  <c r="AB2955" i="2" s="1"/>
  <c r="AB2976" i="2" s="1"/>
  <c r="AB2997" i="2" s="1"/>
  <c r="AB3018" i="2" s="1"/>
  <c r="AB3039" i="2" s="1"/>
  <c r="AB3060" i="2" s="1"/>
  <c r="AB3081" i="2" s="1"/>
  <c r="AB3102" i="2" s="1"/>
  <c r="AB3123" i="2" s="1"/>
  <c r="AB3144" i="2" s="1"/>
  <c r="AB3165" i="2" s="1"/>
  <c r="AB3186" i="2" s="1"/>
  <c r="AB3207" i="2" s="1"/>
  <c r="AB3228" i="2" s="1"/>
  <c r="AB3249" i="2" s="1"/>
  <c r="AB3270" i="2" s="1"/>
  <c r="AB3291" i="2" s="1"/>
  <c r="AB3312" i="2" s="1"/>
  <c r="AB3333" i="2" s="1"/>
  <c r="AB3354" i="2" s="1"/>
  <c r="AB3375" i="2" s="1"/>
  <c r="AB3396" i="2" s="1"/>
  <c r="AB3417" i="2" s="1"/>
  <c r="AB3438" i="2" s="1"/>
  <c r="AB3459" i="2" s="1"/>
  <c r="AB3480" i="2" s="1"/>
  <c r="AB3501" i="2" s="1"/>
  <c r="AB3522" i="2" s="1"/>
  <c r="AB3543" i="2" s="1"/>
  <c r="AB3564" i="2" s="1"/>
  <c r="AB3585" i="2" s="1"/>
  <c r="AB3606" i="2" s="1"/>
  <c r="AB3627" i="2" s="1"/>
  <c r="AB3648" i="2" s="1"/>
  <c r="AB3669" i="2" s="1"/>
  <c r="AB3690" i="2" s="1"/>
  <c r="AB3711" i="2" s="1"/>
  <c r="AB3732" i="2" s="1"/>
  <c r="AB3753" i="2" s="1"/>
  <c r="AB3774" i="2" s="1"/>
  <c r="AB3795" i="2" s="1"/>
  <c r="AB3816" i="2" s="1"/>
  <c r="AB3837" i="2" s="1"/>
  <c r="AB3858" i="2" s="1"/>
  <c r="AB3879" i="2" s="1"/>
  <c r="AB3900" i="2" s="1"/>
  <c r="AB3921" i="2" s="1"/>
  <c r="AB3942" i="2" s="1"/>
  <c r="AB3963" i="2" s="1"/>
  <c r="AB3984" i="2" s="1"/>
  <c r="AB4005" i="2" s="1"/>
  <c r="AB4026" i="2" s="1"/>
  <c r="AB4047" i="2" s="1"/>
  <c r="AB4068" i="2" s="1"/>
  <c r="AB4089" i="2" s="1"/>
  <c r="AB4110" i="2" s="1"/>
  <c r="AB4131" i="2" s="1"/>
  <c r="AB4152" i="2" s="1"/>
  <c r="AB4173" i="2" s="1"/>
  <c r="AE288" i="2"/>
  <c r="AE289" i="2"/>
  <c r="AB290" i="2"/>
  <c r="AB311" i="2" s="1"/>
  <c r="AE290" i="2"/>
  <c r="AE291" i="2"/>
  <c r="AB292" i="2"/>
  <c r="AB313" i="2" s="1"/>
  <c r="AB334" i="2" s="1"/>
  <c r="AB355" i="2" s="1"/>
  <c r="AE292" i="2"/>
  <c r="AE293" i="2"/>
  <c r="AE294" i="2"/>
  <c r="AE295" i="2"/>
  <c r="AE296" i="2"/>
  <c r="AE297" i="2"/>
  <c r="AE298" i="2"/>
  <c r="AE299" i="2"/>
  <c r="AB300" i="2"/>
  <c r="AE300" i="2"/>
  <c r="AE301" i="2"/>
  <c r="AE302" i="2"/>
  <c r="AE303" i="2"/>
  <c r="AB304" i="2"/>
  <c r="AB325" i="2" s="1"/>
  <c r="AB346" i="2" s="1"/>
  <c r="AB367" i="2" s="1"/>
  <c r="AB388" i="2" s="1"/>
  <c r="AB409" i="2" s="1"/>
  <c r="AE304" i="2"/>
  <c r="AE305" i="2"/>
  <c r="AE306" i="2"/>
  <c r="AE307" i="2"/>
  <c r="AB308" i="2"/>
  <c r="AB329" i="2" s="1"/>
  <c r="AB350" i="2" s="1"/>
  <c r="AB371" i="2" s="1"/>
  <c r="AB392" i="2" s="1"/>
  <c r="AB413" i="2" s="1"/>
  <c r="AE308" i="2"/>
  <c r="AE309" i="2"/>
  <c r="AE310" i="2"/>
  <c r="AE311" i="2"/>
  <c r="AB312" i="2"/>
  <c r="AB333" i="2" s="1"/>
  <c r="AB354" i="2" s="1"/>
  <c r="AB375" i="2" s="1"/>
  <c r="AB396" i="2" s="1"/>
  <c r="AB417" i="2" s="1"/>
  <c r="AE312" i="2"/>
  <c r="AE313" i="2"/>
  <c r="AE314" i="2"/>
  <c r="AE315" i="2"/>
  <c r="AB316" i="2"/>
  <c r="AB337" i="2" s="1"/>
  <c r="AB358" i="2" s="1"/>
  <c r="AB379" i="2" s="1"/>
  <c r="AB400" i="2" s="1"/>
  <c r="AB421" i="2" s="1"/>
  <c r="AE316" i="2"/>
  <c r="AE317" i="2"/>
  <c r="AE318" i="2"/>
  <c r="AE319" i="2"/>
  <c r="AB320" i="2"/>
  <c r="AB341" i="2" s="1"/>
  <c r="AB362" i="2" s="1"/>
  <c r="AE320" i="2"/>
  <c r="AB321" i="2"/>
  <c r="AE321" i="2"/>
  <c r="AE322" i="2"/>
  <c r="AE323" i="2"/>
  <c r="AB324" i="2"/>
  <c r="AB345" i="2" s="1"/>
  <c r="AB366" i="2" s="1"/>
  <c r="AE324" i="2"/>
  <c r="AE325" i="2"/>
  <c r="AE326" i="2"/>
  <c r="AE327" i="2"/>
  <c r="AE328" i="2"/>
  <c r="AE329" i="2"/>
  <c r="AE330" i="2"/>
  <c r="AE331" i="2"/>
  <c r="AB332" i="2"/>
  <c r="AB353" i="2" s="1"/>
  <c r="AB374" i="2" s="1"/>
  <c r="AE332" i="2"/>
  <c r="AE333" i="2"/>
  <c r="AE334" i="2"/>
  <c r="AE335" i="2"/>
  <c r="AE336" i="2"/>
  <c r="AE337" i="2"/>
  <c r="AE338" i="2"/>
  <c r="AE339" i="2"/>
  <c r="AE340" i="2"/>
  <c r="AE341" i="2"/>
  <c r="AB342" i="2"/>
  <c r="AB363" i="2" s="1"/>
  <c r="AE342" i="2"/>
  <c r="AE343" i="2"/>
  <c r="AE344" i="2"/>
  <c r="AE345" i="2"/>
  <c r="AE346" i="2"/>
  <c r="AE347" i="2"/>
  <c r="AE348" i="2"/>
  <c r="AE349" i="2"/>
  <c r="AE350" i="2"/>
  <c r="AE351" i="2"/>
  <c r="AE352" i="2"/>
  <c r="AE353" i="2"/>
  <c r="AE354" i="2"/>
  <c r="AE355" i="2"/>
  <c r="AB356" i="2"/>
  <c r="AB377" i="2" s="1"/>
  <c r="AE356" i="2"/>
  <c r="AE357" i="2"/>
  <c r="AE358" i="2"/>
  <c r="AE359" i="2"/>
  <c r="AE360" i="2"/>
  <c r="AE361" i="2"/>
  <c r="AE362" i="2"/>
  <c r="AE363" i="2"/>
  <c r="AE364" i="2"/>
  <c r="AE365" i="2"/>
  <c r="AE366" i="2"/>
  <c r="AE367" i="2"/>
  <c r="AE368" i="2"/>
  <c r="AE369" i="2"/>
  <c r="AE370" i="2"/>
  <c r="AE371" i="2"/>
  <c r="AE372" i="2"/>
  <c r="AE373" i="2"/>
  <c r="AE374" i="2"/>
  <c r="AE375" i="2"/>
  <c r="AB376" i="2"/>
  <c r="AB397" i="2" s="1"/>
  <c r="AE376" i="2"/>
  <c r="AE377" i="2"/>
  <c r="AE378" i="2"/>
  <c r="AE379" i="2"/>
  <c r="AE380" i="2"/>
  <c r="AE381" i="2"/>
  <c r="AB382" i="2"/>
  <c r="AE382" i="2"/>
  <c r="AB383" i="2"/>
  <c r="AB404" i="2" s="1"/>
  <c r="AB425" i="2" s="1"/>
  <c r="AE383" i="2"/>
  <c r="AB384" i="2"/>
  <c r="AB405" i="2" s="1"/>
  <c r="AE384" i="2"/>
  <c r="AE385" i="2"/>
  <c r="AE386" i="2"/>
  <c r="AB387" i="2"/>
  <c r="AB408" i="2" s="1"/>
  <c r="AB429" i="2" s="1"/>
  <c r="AB450" i="2" s="1"/>
  <c r="AB471" i="2" s="1"/>
  <c r="AB492" i="2" s="1"/>
  <c r="AB513" i="2" s="1"/>
  <c r="AB534" i="2" s="1"/>
  <c r="AB555" i="2" s="1"/>
  <c r="AB576" i="2" s="1"/>
  <c r="AE387" i="2"/>
  <c r="AE388" i="2"/>
  <c r="AE389" i="2"/>
  <c r="AE390" i="2"/>
  <c r="AE391" i="2"/>
  <c r="AE392" i="2"/>
  <c r="AE393" i="2"/>
  <c r="AB394" i="2"/>
  <c r="AE394" i="2"/>
  <c r="AB395" i="2"/>
  <c r="AB416" i="2" s="1"/>
  <c r="AB437" i="2" s="1"/>
  <c r="AB458" i="2" s="1"/>
  <c r="AB479" i="2" s="1"/>
  <c r="AB500" i="2" s="1"/>
  <c r="AB521" i="2" s="1"/>
  <c r="AB542" i="2" s="1"/>
  <c r="AB563" i="2" s="1"/>
  <c r="AE395" i="2"/>
  <c r="AE396" i="2"/>
  <c r="AE397" i="2"/>
  <c r="AB398" i="2"/>
  <c r="AE398" i="2"/>
  <c r="AB399" i="2"/>
  <c r="AB420" i="2" s="1"/>
  <c r="AB441" i="2" s="1"/>
  <c r="AE399" i="2"/>
  <c r="AE400" i="2"/>
  <c r="AE401" i="2"/>
  <c r="AE402" i="2"/>
  <c r="AB403" i="2"/>
  <c r="AB424" i="2" s="1"/>
  <c r="AB445" i="2" s="1"/>
  <c r="AB466" i="2" s="1"/>
  <c r="AB487" i="2" s="1"/>
  <c r="AB508" i="2" s="1"/>
  <c r="AB529" i="2" s="1"/>
  <c r="AB550" i="2" s="1"/>
  <c r="AB571" i="2" s="1"/>
  <c r="AB592" i="2" s="1"/>
  <c r="AB613" i="2" s="1"/>
  <c r="AB634" i="2" s="1"/>
  <c r="AB655" i="2" s="1"/>
  <c r="AB676" i="2" s="1"/>
  <c r="AB697" i="2" s="1"/>
  <c r="AB718" i="2" s="1"/>
  <c r="AB739" i="2" s="1"/>
  <c r="AB760" i="2" s="1"/>
  <c r="AE403" i="2"/>
  <c r="AE404" i="2"/>
  <c r="AE405" i="2"/>
  <c r="AE406" i="2"/>
  <c r="AE407" i="2"/>
  <c r="AE408" i="2"/>
  <c r="AE409" i="2"/>
  <c r="AB410" i="2"/>
  <c r="AE410" i="2"/>
  <c r="AE411" i="2"/>
  <c r="AE412" i="2"/>
  <c r="AE413" i="2"/>
  <c r="AE414" i="2"/>
  <c r="AB415" i="2"/>
  <c r="AB436" i="2" s="1"/>
  <c r="AB457" i="2" s="1"/>
  <c r="AE415" i="2"/>
  <c r="AE416" i="2"/>
  <c r="AE417" i="2"/>
  <c r="AB418" i="2"/>
  <c r="AE418" i="2"/>
  <c r="AB419" i="2"/>
  <c r="AB440" i="2" s="1"/>
  <c r="AB461" i="2" s="1"/>
  <c r="AB482" i="2" s="1"/>
  <c r="AB503" i="2" s="1"/>
  <c r="AB524" i="2" s="1"/>
  <c r="AB545" i="2" s="1"/>
  <c r="AB566" i="2" s="1"/>
  <c r="AB587" i="2" s="1"/>
  <c r="AB608" i="2" s="1"/>
  <c r="AB629" i="2" s="1"/>
  <c r="AB650" i="2" s="1"/>
  <c r="AB671" i="2" s="1"/>
  <c r="AB692" i="2" s="1"/>
  <c r="AB713" i="2" s="1"/>
  <c r="AB734" i="2" s="1"/>
  <c r="AB755" i="2" s="1"/>
  <c r="AB776" i="2" s="1"/>
  <c r="AB797" i="2" s="1"/>
  <c r="AB818" i="2" s="1"/>
  <c r="AB839" i="2" s="1"/>
  <c r="AB860" i="2" s="1"/>
  <c r="AB881" i="2" s="1"/>
  <c r="AB902" i="2" s="1"/>
  <c r="AB923" i="2" s="1"/>
  <c r="AE419" i="2"/>
  <c r="AE420" i="2"/>
  <c r="AE421" i="2"/>
  <c r="AE422" i="2"/>
  <c r="AE423" i="2"/>
  <c r="AE424" i="2"/>
  <c r="AE425" i="2"/>
  <c r="AB426" i="2"/>
  <c r="AE426" i="2"/>
  <c r="AE427" i="2"/>
  <c r="AE428" i="2"/>
  <c r="AE429" i="2"/>
  <c r="AB430" i="2"/>
  <c r="AB451" i="2" s="1"/>
  <c r="AB472" i="2" s="1"/>
  <c r="AB493" i="2" s="1"/>
  <c r="AB514" i="2" s="1"/>
  <c r="AB535" i="2" s="1"/>
  <c r="AB556" i="2" s="1"/>
  <c r="AB577" i="2" s="1"/>
  <c r="AB598" i="2" s="1"/>
  <c r="AE430" i="2"/>
  <c r="AB431" i="2"/>
  <c r="AB452" i="2" s="1"/>
  <c r="AB473" i="2" s="1"/>
  <c r="AE431" i="2"/>
  <c r="AE432" i="2"/>
  <c r="AE433" i="2"/>
  <c r="AB434" i="2"/>
  <c r="AB455" i="2" s="1"/>
  <c r="AB476" i="2" s="1"/>
  <c r="AB497" i="2" s="1"/>
  <c r="AE434" i="2"/>
  <c r="AE435" i="2"/>
  <c r="AE436" i="2"/>
  <c r="AE437" i="2"/>
  <c r="AB438" i="2"/>
  <c r="AB459" i="2" s="1"/>
  <c r="AB480" i="2" s="1"/>
  <c r="AB501" i="2" s="1"/>
  <c r="AB522" i="2" s="1"/>
  <c r="AB543" i="2" s="1"/>
  <c r="AB564" i="2" s="1"/>
  <c r="AB585" i="2" s="1"/>
  <c r="AB606" i="2" s="1"/>
  <c r="AB627" i="2" s="1"/>
  <c r="AB648" i="2" s="1"/>
  <c r="AB669" i="2" s="1"/>
  <c r="AB690" i="2" s="1"/>
  <c r="AB711" i="2" s="1"/>
  <c r="AB732" i="2" s="1"/>
  <c r="AE438" i="2"/>
  <c r="AB439" i="2"/>
  <c r="AB460" i="2" s="1"/>
  <c r="AB481" i="2" s="1"/>
  <c r="AE439" i="2"/>
  <c r="AE440" i="2"/>
  <c r="AE441" i="2"/>
  <c r="AB442" i="2"/>
  <c r="AB463" i="2" s="1"/>
  <c r="AB484" i="2" s="1"/>
  <c r="AB505" i="2" s="1"/>
  <c r="AE442" i="2"/>
  <c r="AE443" i="2"/>
  <c r="AE444" i="2"/>
  <c r="AE445" i="2"/>
  <c r="AB446" i="2"/>
  <c r="AB467" i="2" s="1"/>
  <c r="AB488" i="2" s="1"/>
  <c r="AB509" i="2" s="1"/>
  <c r="AB530" i="2" s="1"/>
  <c r="AB551" i="2" s="1"/>
  <c r="AB572" i="2" s="1"/>
  <c r="AE446" i="2"/>
  <c r="AB447" i="2"/>
  <c r="AB468" i="2" s="1"/>
  <c r="AB489" i="2" s="1"/>
  <c r="AE447" i="2"/>
  <c r="AE448" i="2"/>
  <c r="AE449" i="2"/>
  <c r="AE450" i="2"/>
  <c r="AE451" i="2"/>
  <c r="AE452" i="2"/>
  <c r="AE453" i="2"/>
  <c r="AE454" i="2"/>
  <c r="AE455" i="2"/>
  <c r="AE456" i="2"/>
  <c r="AE457" i="2"/>
  <c r="AE458" i="2"/>
  <c r="AE459" i="2"/>
  <c r="AE460" i="2"/>
  <c r="AE461" i="2"/>
  <c r="AB462" i="2"/>
  <c r="AB483" i="2" s="1"/>
  <c r="AB504" i="2" s="1"/>
  <c r="AB525" i="2" s="1"/>
  <c r="AE462" i="2"/>
  <c r="AE463" i="2"/>
  <c r="AE464" i="2"/>
  <c r="AE465" i="2"/>
  <c r="AE466" i="2"/>
  <c r="AE467" i="2"/>
  <c r="AE468" i="2"/>
  <c r="AE469" i="2"/>
  <c r="AE470" i="2"/>
  <c r="AE471" i="2"/>
  <c r="AE472" i="2"/>
  <c r="AE473" i="2"/>
  <c r="AE474" i="2"/>
  <c r="AE475" i="2"/>
  <c r="AE476" i="2"/>
  <c r="AE477" i="2"/>
  <c r="AB478" i="2"/>
  <c r="AB499" i="2" s="1"/>
  <c r="AB520" i="2" s="1"/>
  <c r="AB541" i="2" s="1"/>
  <c r="AE478" i="2"/>
  <c r="AE479" i="2"/>
  <c r="AE480" i="2"/>
  <c r="AE481" i="2"/>
  <c r="AE482" i="2"/>
  <c r="AE483" i="2"/>
  <c r="AE484" i="2"/>
  <c r="AE485" i="2"/>
  <c r="AE486" i="2"/>
  <c r="AE487" i="2"/>
  <c r="AE488" i="2"/>
  <c r="AE489" i="2"/>
  <c r="AE490" i="2"/>
  <c r="AE491" i="2"/>
  <c r="AE492" i="2"/>
  <c r="AE493" i="2"/>
  <c r="AB494" i="2"/>
  <c r="AB515" i="2" s="1"/>
  <c r="AB536" i="2" s="1"/>
  <c r="AB557" i="2" s="1"/>
  <c r="AE494" i="2"/>
  <c r="AE495" i="2"/>
  <c r="AE496" i="2"/>
  <c r="AE497" i="2"/>
  <c r="AE498" i="2"/>
  <c r="AE499" i="2"/>
  <c r="AE500" i="2"/>
  <c r="AE501" i="2"/>
  <c r="AB502" i="2"/>
  <c r="AB523" i="2" s="1"/>
  <c r="AB544" i="2" s="1"/>
  <c r="AB565" i="2" s="1"/>
  <c r="AE502" i="2"/>
  <c r="AE503" i="2"/>
  <c r="AE504" i="2"/>
  <c r="AE505" i="2"/>
  <c r="AE506" i="2"/>
  <c r="AE507" i="2"/>
  <c r="AE508" i="2"/>
  <c r="AE509" i="2"/>
  <c r="AB510" i="2"/>
  <c r="AB531" i="2" s="1"/>
  <c r="AB552" i="2" s="1"/>
  <c r="AB573" i="2" s="1"/>
  <c r="AE510" i="2"/>
  <c r="AE511" i="2"/>
  <c r="AE512" i="2"/>
  <c r="AE513" i="2"/>
  <c r="AE514" i="2"/>
  <c r="AE515" i="2"/>
  <c r="AE516" i="2"/>
  <c r="AE517" i="2"/>
  <c r="AB518" i="2"/>
  <c r="AB539" i="2" s="1"/>
  <c r="AB560" i="2" s="1"/>
  <c r="AB581" i="2" s="1"/>
  <c r="AE518" i="2"/>
  <c r="AE519" i="2"/>
  <c r="AE520" i="2"/>
  <c r="AE521" i="2"/>
  <c r="AE522" i="2"/>
  <c r="AE523" i="2"/>
  <c r="AE524" i="2"/>
  <c r="AE525" i="2"/>
  <c r="AB526" i="2"/>
  <c r="AB547" i="2" s="1"/>
  <c r="AB568" i="2" s="1"/>
  <c r="AE526" i="2"/>
  <c r="AE527" i="2"/>
  <c r="AE528" i="2"/>
  <c r="AE529" i="2"/>
  <c r="AE530" i="2"/>
  <c r="AE531" i="2"/>
  <c r="AE532" i="2"/>
  <c r="AE533" i="2"/>
  <c r="AE534" i="2"/>
  <c r="AE535" i="2"/>
  <c r="AE536" i="2"/>
  <c r="AE537" i="2"/>
  <c r="AE538" i="2"/>
  <c r="AE539" i="2"/>
  <c r="AE540" i="2"/>
  <c r="AE541" i="2"/>
  <c r="AE542" i="2"/>
  <c r="AE543" i="2"/>
  <c r="AE544" i="2"/>
  <c r="AE545" i="2"/>
  <c r="AB546" i="2"/>
  <c r="AB567" i="2" s="1"/>
  <c r="AE546" i="2"/>
  <c r="AE547" i="2"/>
  <c r="AE548" i="2"/>
  <c r="AE549" i="2"/>
  <c r="AE550" i="2"/>
  <c r="AE551" i="2"/>
  <c r="AE552" i="2"/>
  <c r="AE553" i="2"/>
  <c r="AE554" i="2"/>
  <c r="AE555" i="2"/>
  <c r="AE556" i="2"/>
  <c r="AE557" i="2"/>
  <c r="AE558" i="2"/>
  <c r="AE559" i="2"/>
  <c r="AE560" i="2"/>
  <c r="AE561" i="2"/>
  <c r="AB562" i="2"/>
  <c r="AB583" i="2" s="1"/>
  <c r="AB604" i="2" s="1"/>
  <c r="AB625" i="2" s="1"/>
  <c r="AB646" i="2" s="1"/>
  <c r="AB667" i="2" s="1"/>
  <c r="AB688" i="2" s="1"/>
  <c r="AB709" i="2" s="1"/>
  <c r="AB730" i="2" s="1"/>
  <c r="AB751" i="2" s="1"/>
  <c r="AB772" i="2" s="1"/>
  <c r="AE562" i="2"/>
  <c r="AE563" i="2"/>
  <c r="AE564" i="2"/>
  <c r="AE565" i="2"/>
  <c r="AE566" i="2"/>
  <c r="AE567" i="2"/>
  <c r="AE568" i="2"/>
  <c r="AE569" i="2"/>
  <c r="AE570" i="2"/>
  <c r="AE571" i="2"/>
  <c r="AE572" i="2"/>
  <c r="AE573" i="2"/>
  <c r="AE574" i="2"/>
  <c r="AE575" i="2"/>
  <c r="AE576" i="2"/>
  <c r="AE577" i="2"/>
  <c r="AB578" i="2"/>
  <c r="AE578" i="2"/>
  <c r="AE579" i="2"/>
  <c r="AE580" i="2"/>
  <c r="AE581" i="2"/>
  <c r="AE582" i="2"/>
  <c r="AE583" i="2"/>
  <c r="AB584" i="2"/>
  <c r="AE584" i="2"/>
  <c r="AE585" i="2"/>
  <c r="AB586" i="2"/>
  <c r="AE586" i="2"/>
  <c r="AE587" i="2"/>
  <c r="AB588" i="2"/>
  <c r="AB609" i="2" s="1"/>
  <c r="AB630" i="2" s="1"/>
  <c r="AB651" i="2" s="1"/>
  <c r="AB672" i="2" s="1"/>
  <c r="AB693" i="2" s="1"/>
  <c r="AB714" i="2" s="1"/>
  <c r="AB735" i="2" s="1"/>
  <c r="AB756" i="2" s="1"/>
  <c r="AB777" i="2" s="1"/>
  <c r="AB798" i="2" s="1"/>
  <c r="AB819" i="2" s="1"/>
  <c r="AB840" i="2" s="1"/>
  <c r="AB861" i="2" s="1"/>
  <c r="AB882" i="2" s="1"/>
  <c r="AB903" i="2" s="1"/>
  <c r="AE588" i="2"/>
  <c r="AB589" i="2"/>
  <c r="AE589" i="2"/>
  <c r="AE590" i="2"/>
  <c r="AB591" i="2"/>
  <c r="AB612" i="2" s="1"/>
  <c r="AB633" i="2" s="1"/>
  <c r="AB654" i="2" s="1"/>
  <c r="AB675" i="2" s="1"/>
  <c r="AB696" i="2" s="1"/>
  <c r="AB717" i="2" s="1"/>
  <c r="AB738" i="2" s="1"/>
  <c r="AB759" i="2" s="1"/>
  <c r="AB780" i="2" s="1"/>
  <c r="AB801" i="2" s="1"/>
  <c r="AB822" i="2" s="1"/>
  <c r="AB843" i="2" s="1"/>
  <c r="AB864" i="2" s="1"/>
  <c r="AB885" i="2" s="1"/>
  <c r="AB906" i="2" s="1"/>
  <c r="AB927" i="2" s="1"/>
  <c r="AB948" i="2" s="1"/>
  <c r="AB969" i="2" s="1"/>
  <c r="AB990" i="2" s="1"/>
  <c r="AB1011" i="2" s="1"/>
  <c r="AB1032" i="2" s="1"/>
  <c r="AB1053" i="2" s="1"/>
  <c r="AB1074" i="2" s="1"/>
  <c r="AB1095" i="2" s="1"/>
  <c r="AB1116" i="2" s="1"/>
  <c r="AB1137" i="2" s="1"/>
  <c r="AB1158" i="2" s="1"/>
  <c r="AB1179" i="2" s="1"/>
  <c r="AB1200" i="2" s="1"/>
  <c r="AB1221" i="2" s="1"/>
  <c r="AB1242" i="2" s="1"/>
  <c r="AB1263" i="2" s="1"/>
  <c r="AB1284" i="2" s="1"/>
  <c r="AB1305" i="2" s="1"/>
  <c r="AB1326" i="2" s="1"/>
  <c r="AB1347" i="2" s="1"/>
  <c r="AB1368" i="2" s="1"/>
  <c r="AB1389" i="2" s="1"/>
  <c r="AB1410" i="2" s="1"/>
  <c r="AB1431" i="2" s="1"/>
  <c r="AB1452" i="2" s="1"/>
  <c r="AB1473" i="2" s="1"/>
  <c r="AB1494" i="2" s="1"/>
  <c r="AE591" i="2"/>
  <c r="AE592" i="2"/>
  <c r="AB593" i="2"/>
  <c r="AB614" i="2" s="1"/>
  <c r="AB635" i="2" s="1"/>
  <c r="AB656" i="2" s="1"/>
  <c r="AB677" i="2" s="1"/>
  <c r="AB698" i="2" s="1"/>
  <c r="AB719" i="2" s="1"/>
  <c r="AB740" i="2" s="1"/>
  <c r="AE593" i="2"/>
  <c r="AB594" i="2"/>
  <c r="AE594" i="2"/>
  <c r="AE595" i="2"/>
  <c r="AE596" i="2"/>
  <c r="AB597" i="2"/>
  <c r="AB618" i="2" s="1"/>
  <c r="AE597" i="2"/>
  <c r="AE598" i="2"/>
  <c r="AB599" i="2"/>
  <c r="AB620" i="2" s="1"/>
  <c r="AE599" i="2"/>
  <c r="AE600" i="2"/>
  <c r="AE601" i="2"/>
  <c r="AB602" i="2"/>
  <c r="AE602" i="2"/>
  <c r="AE603" i="2"/>
  <c r="AE604" i="2"/>
  <c r="AB605" i="2"/>
  <c r="AB626" i="2" s="1"/>
  <c r="AB647" i="2" s="1"/>
  <c r="AB668" i="2" s="1"/>
  <c r="AB689" i="2" s="1"/>
  <c r="AB710" i="2" s="1"/>
  <c r="AB731" i="2" s="1"/>
  <c r="AB752" i="2" s="1"/>
  <c r="AE605" i="2"/>
  <c r="AE606" i="2"/>
  <c r="AB607" i="2"/>
  <c r="AB628" i="2" s="1"/>
  <c r="AB649" i="2" s="1"/>
  <c r="AB670" i="2" s="1"/>
  <c r="AB691" i="2" s="1"/>
  <c r="AB712" i="2" s="1"/>
  <c r="AB733" i="2" s="1"/>
  <c r="AB754" i="2" s="1"/>
  <c r="AB775" i="2" s="1"/>
  <c r="AB796" i="2" s="1"/>
  <c r="AB817" i="2" s="1"/>
  <c r="AB838" i="2" s="1"/>
  <c r="AB859" i="2" s="1"/>
  <c r="AB880" i="2" s="1"/>
  <c r="AB901" i="2" s="1"/>
  <c r="AB922" i="2" s="1"/>
  <c r="AB943" i="2" s="1"/>
  <c r="AB964" i="2" s="1"/>
  <c r="AB985" i="2" s="1"/>
  <c r="AB1006" i="2" s="1"/>
  <c r="AB1027" i="2" s="1"/>
  <c r="AB1048" i="2" s="1"/>
  <c r="AB1069" i="2" s="1"/>
  <c r="AB1090" i="2" s="1"/>
  <c r="AB1111" i="2" s="1"/>
  <c r="AB1132" i="2" s="1"/>
  <c r="AB1153" i="2" s="1"/>
  <c r="AB1174" i="2" s="1"/>
  <c r="AB1195" i="2" s="1"/>
  <c r="AB1216" i="2" s="1"/>
  <c r="AB1237" i="2" s="1"/>
  <c r="AB1258" i="2" s="1"/>
  <c r="AB1279" i="2" s="1"/>
  <c r="AB1300" i="2" s="1"/>
  <c r="AB1321" i="2" s="1"/>
  <c r="AB1342" i="2" s="1"/>
  <c r="AB1363" i="2" s="1"/>
  <c r="AB1384" i="2" s="1"/>
  <c r="AB1405" i="2" s="1"/>
  <c r="AE607" i="2"/>
  <c r="AE608" i="2"/>
  <c r="AE609" i="2"/>
  <c r="AB610" i="2"/>
  <c r="AE610" i="2"/>
  <c r="AE611" i="2"/>
  <c r="AE612" i="2"/>
  <c r="AE613" i="2"/>
  <c r="AE614" i="2"/>
  <c r="AB615" i="2"/>
  <c r="AB636" i="2" s="1"/>
  <c r="AB657" i="2" s="1"/>
  <c r="AB678" i="2" s="1"/>
  <c r="AB699" i="2" s="1"/>
  <c r="AB720" i="2" s="1"/>
  <c r="AE615" i="2"/>
  <c r="AE616" i="2"/>
  <c r="AE617" i="2"/>
  <c r="AE618" i="2"/>
  <c r="AB619" i="2"/>
  <c r="AB640" i="2" s="1"/>
  <c r="AB661" i="2" s="1"/>
  <c r="AB682" i="2" s="1"/>
  <c r="AB703" i="2" s="1"/>
  <c r="AB724" i="2" s="1"/>
  <c r="AE619" i="2"/>
  <c r="AE620" i="2"/>
  <c r="AE621" i="2"/>
  <c r="AE622" i="2"/>
  <c r="AB623" i="2"/>
  <c r="AB644" i="2" s="1"/>
  <c r="AB665" i="2" s="1"/>
  <c r="AB686" i="2" s="1"/>
  <c r="AB707" i="2" s="1"/>
  <c r="AB728" i="2" s="1"/>
  <c r="AB749" i="2" s="1"/>
  <c r="AB770" i="2" s="1"/>
  <c r="AB791" i="2" s="1"/>
  <c r="AB812" i="2" s="1"/>
  <c r="AB833" i="2" s="1"/>
  <c r="AB854" i="2" s="1"/>
  <c r="AB875" i="2" s="1"/>
  <c r="AB896" i="2" s="1"/>
  <c r="AB917" i="2" s="1"/>
  <c r="AB938" i="2" s="1"/>
  <c r="AB959" i="2" s="1"/>
  <c r="AB980" i="2" s="1"/>
  <c r="AB1001" i="2" s="1"/>
  <c r="AB1022" i="2" s="1"/>
  <c r="AB1043" i="2" s="1"/>
  <c r="AB1064" i="2" s="1"/>
  <c r="AB1085" i="2" s="1"/>
  <c r="AB1106" i="2" s="1"/>
  <c r="AB1127" i="2" s="1"/>
  <c r="AB1148" i="2" s="1"/>
  <c r="AB1169" i="2" s="1"/>
  <c r="AB1190" i="2" s="1"/>
  <c r="AB1211" i="2" s="1"/>
  <c r="AB1232" i="2" s="1"/>
  <c r="AB1253" i="2" s="1"/>
  <c r="AB1274" i="2" s="1"/>
  <c r="AB1295" i="2" s="1"/>
  <c r="AB1316" i="2" s="1"/>
  <c r="AB1337" i="2" s="1"/>
  <c r="AB1358" i="2" s="1"/>
  <c r="AB1379" i="2" s="1"/>
  <c r="AB1400" i="2" s="1"/>
  <c r="AB1421" i="2" s="1"/>
  <c r="AE623" i="2"/>
  <c r="AE624" i="2"/>
  <c r="AE625" i="2"/>
  <c r="AE626" i="2"/>
  <c r="AE627" i="2"/>
  <c r="AE628" i="2"/>
  <c r="AE629" i="2"/>
  <c r="AE630" i="2"/>
  <c r="AB631" i="2"/>
  <c r="AB652" i="2" s="1"/>
  <c r="AB673" i="2" s="1"/>
  <c r="AB694" i="2" s="1"/>
  <c r="AB715" i="2" s="1"/>
  <c r="AB736" i="2" s="1"/>
  <c r="AE631" i="2"/>
  <c r="AE632" i="2"/>
  <c r="AE633" i="2"/>
  <c r="AE634" i="2"/>
  <c r="AE635" i="2"/>
  <c r="AE636" i="2"/>
  <c r="AE637" i="2"/>
  <c r="AE638" i="2"/>
  <c r="AB639" i="2"/>
  <c r="AB660" i="2" s="1"/>
  <c r="AB681" i="2" s="1"/>
  <c r="AB702" i="2" s="1"/>
  <c r="AB723" i="2" s="1"/>
  <c r="AB744" i="2" s="1"/>
  <c r="AE639" i="2"/>
  <c r="AE640" i="2"/>
  <c r="AB641" i="2"/>
  <c r="AB662" i="2" s="1"/>
  <c r="AE641" i="2"/>
  <c r="AE642" i="2"/>
  <c r="AE643" i="2"/>
  <c r="AE644" i="2"/>
  <c r="AE645" i="2"/>
  <c r="AE646" i="2"/>
  <c r="AE647" i="2"/>
  <c r="AE648" i="2"/>
  <c r="AE649" i="2"/>
  <c r="AE650" i="2"/>
  <c r="AE651" i="2"/>
  <c r="AE652" i="2"/>
  <c r="AE653" i="2"/>
  <c r="AE654" i="2"/>
  <c r="AE655" i="2"/>
  <c r="AE656" i="2"/>
  <c r="AE657" i="2"/>
  <c r="AE658" i="2"/>
  <c r="AE659" i="2"/>
  <c r="AE660" i="2"/>
  <c r="AE661" i="2"/>
  <c r="AE662" i="2"/>
  <c r="AE663" i="2"/>
  <c r="AE664" i="2"/>
  <c r="AE665" i="2"/>
  <c r="AE666" i="2"/>
  <c r="AE667" i="2"/>
  <c r="AE668" i="2"/>
  <c r="AE669" i="2"/>
  <c r="AE670" i="2"/>
  <c r="AE671" i="2"/>
  <c r="AE672" i="2"/>
  <c r="AE673" i="2"/>
  <c r="AE674" i="2"/>
  <c r="AE675" i="2"/>
  <c r="AE676" i="2"/>
  <c r="AE677" i="2"/>
  <c r="AE678" i="2"/>
  <c r="AE679" i="2"/>
  <c r="AE680" i="2"/>
  <c r="AE681" i="2"/>
  <c r="AE682" i="2"/>
  <c r="AB683" i="2"/>
  <c r="AB704" i="2" s="1"/>
  <c r="AE683" i="2"/>
  <c r="AE684" i="2"/>
  <c r="AE685" i="2"/>
  <c r="AE686" i="2"/>
  <c r="AE687" i="2"/>
  <c r="AE688" i="2"/>
  <c r="AE689" i="2"/>
  <c r="AE690" i="2"/>
  <c r="AE691" i="2"/>
  <c r="AE692" i="2"/>
  <c r="AE693" i="2"/>
  <c r="AE694" i="2"/>
  <c r="AE695" i="2"/>
  <c r="AE696" i="2"/>
  <c r="AE697" i="2"/>
  <c r="AE698" i="2"/>
  <c r="AE699" i="2"/>
  <c r="AE700" i="2"/>
  <c r="AE701" i="2"/>
  <c r="AE702" i="2"/>
  <c r="AE703" i="2"/>
  <c r="AE704" i="2"/>
  <c r="AE705" i="2"/>
  <c r="AE706" i="2"/>
  <c r="AE707" i="2"/>
  <c r="AE708" i="2"/>
  <c r="AE709" i="2"/>
  <c r="AE710" i="2"/>
  <c r="AE711" i="2"/>
  <c r="AE712" i="2"/>
  <c r="AE713" i="2"/>
  <c r="AE714" i="2"/>
  <c r="AE715" i="2"/>
  <c r="AE716" i="2"/>
  <c r="AE717" i="2"/>
  <c r="AE718" i="2"/>
  <c r="AE719" i="2"/>
  <c r="AE720" i="2"/>
  <c r="AE721" i="2"/>
  <c r="AE722" i="2"/>
  <c r="AE723" i="2"/>
  <c r="AE724" i="2"/>
  <c r="AB725" i="2"/>
  <c r="AB746" i="2" s="1"/>
  <c r="AB767" i="2" s="1"/>
  <c r="AB788" i="2" s="1"/>
  <c r="AE725" i="2"/>
  <c r="AE726" i="2"/>
  <c r="AE727" i="2"/>
  <c r="AE728" i="2"/>
  <c r="AE729" i="2"/>
  <c r="AE730" i="2"/>
  <c r="AE731" i="2"/>
  <c r="AE732" i="2"/>
  <c r="AE733" i="2"/>
  <c r="AE734" i="2"/>
  <c r="AE735" i="2"/>
  <c r="AE736" i="2"/>
  <c r="AE737" i="2"/>
  <c r="AE738" i="2"/>
  <c r="AE739" i="2"/>
  <c r="AE740" i="2"/>
  <c r="AB741" i="2"/>
  <c r="AB762" i="2" s="1"/>
  <c r="AB783" i="2" s="1"/>
  <c r="AB804" i="2" s="1"/>
  <c r="AE741" i="2"/>
  <c r="AE742" i="2"/>
  <c r="AE743" i="2"/>
  <c r="AE744" i="2"/>
  <c r="AB745" i="2"/>
  <c r="AB766" i="2" s="1"/>
  <c r="AB787" i="2" s="1"/>
  <c r="AB808" i="2" s="1"/>
  <c r="AE745" i="2"/>
  <c r="AE746" i="2"/>
  <c r="AE747" i="2"/>
  <c r="AE748" i="2"/>
  <c r="AE749" i="2"/>
  <c r="AE750" i="2"/>
  <c r="AE751" i="2"/>
  <c r="AE752" i="2"/>
  <c r="AB753" i="2"/>
  <c r="AB774" i="2" s="1"/>
  <c r="AB795" i="2" s="1"/>
  <c r="AB816" i="2" s="1"/>
  <c r="AE753" i="2"/>
  <c r="AE754" i="2"/>
  <c r="AE755" i="2"/>
  <c r="AE756" i="2"/>
  <c r="AB757" i="2"/>
  <c r="AB778" i="2" s="1"/>
  <c r="AB799" i="2" s="1"/>
  <c r="AB820" i="2" s="1"/>
  <c r="AE757" i="2"/>
  <c r="AE758" i="2"/>
  <c r="AE759" i="2"/>
  <c r="AE760" i="2"/>
  <c r="AB761" i="2"/>
  <c r="AB782" i="2" s="1"/>
  <c r="AB803" i="2" s="1"/>
  <c r="AB824" i="2" s="1"/>
  <c r="AE761" i="2"/>
  <c r="AE762" i="2"/>
  <c r="AE763" i="2"/>
  <c r="AE764" i="2"/>
  <c r="AB765" i="2"/>
  <c r="AB786" i="2" s="1"/>
  <c r="AB807" i="2" s="1"/>
  <c r="AB828" i="2" s="1"/>
  <c r="AE765" i="2"/>
  <c r="AE766" i="2"/>
  <c r="AE767" i="2"/>
  <c r="AE768" i="2"/>
  <c r="AE769" i="2"/>
  <c r="AE770" i="2"/>
  <c r="AE771" i="2"/>
  <c r="AE772" i="2"/>
  <c r="AB773" i="2"/>
  <c r="AB794" i="2" s="1"/>
  <c r="AB815" i="2" s="1"/>
  <c r="AB836" i="2" s="1"/>
  <c r="AE773" i="2"/>
  <c r="AE774" i="2"/>
  <c r="AE775" i="2"/>
  <c r="AE776" i="2"/>
  <c r="AE777" i="2"/>
  <c r="AE778" i="2"/>
  <c r="AE779" i="2"/>
  <c r="AE780" i="2"/>
  <c r="AB781" i="2"/>
  <c r="AB802" i="2" s="1"/>
  <c r="AB823" i="2" s="1"/>
  <c r="AB844" i="2" s="1"/>
  <c r="AB865" i="2" s="1"/>
  <c r="AB886" i="2" s="1"/>
  <c r="AB907" i="2" s="1"/>
  <c r="AB928" i="2" s="1"/>
  <c r="AB949" i="2" s="1"/>
  <c r="AB970" i="2" s="1"/>
  <c r="AB991" i="2" s="1"/>
  <c r="AE781" i="2"/>
  <c r="AE782" i="2"/>
  <c r="AE783" i="2"/>
  <c r="AE784" i="2"/>
  <c r="AE785" i="2"/>
  <c r="AE786" i="2"/>
  <c r="AE787" i="2"/>
  <c r="AE788" i="2"/>
  <c r="AE789" i="2"/>
  <c r="AE790" i="2"/>
  <c r="AE791" i="2"/>
  <c r="AE792" i="2"/>
  <c r="AB793" i="2"/>
  <c r="AB814" i="2" s="1"/>
  <c r="AB835" i="2" s="1"/>
  <c r="AB856" i="2" s="1"/>
  <c r="AB877" i="2" s="1"/>
  <c r="AB898" i="2" s="1"/>
  <c r="AB919" i="2" s="1"/>
  <c r="AE793" i="2"/>
  <c r="AE794" i="2"/>
  <c r="AE795" i="2"/>
  <c r="AE796" i="2"/>
  <c r="AE797" i="2"/>
  <c r="AE798" i="2"/>
  <c r="AE799" i="2"/>
  <c r="AE800" i="2"/>
  <c r="AE801" i="2"/>
  <c r="AE802" i="2"/>
  <c r="AE803" i="2"/>
  <c r="AE804" i="2"/>
  <c r="AE805" i="2"/>
  <c r="AE806" i="2"/>
  <c r="AE807" i="2"/>
  <c r="AE808" i="2"/>
  <c r="AB809" i="2"/>
  <c r="AB830" i="2" s="1"/>
  <c r="AB851" i="2" s="1"/>
  <c r="AE809" i="2"/>
  <c r="AE810" i="2"/>
  <c r="AE811" i="2"/>
  <c r="AE812" i="2"/>
  <c r="AE813" i="2"/>
  <c r="AE814" i="2"/>
  <c r="AE815" i="2"/>
  <c r="AE816" i="2"/>
  <c r="AE817" i="2"/>
  <c r="AE818" i="2"/>
  <c r="AE819" i="2"/>
  <c r="AE820" i="2"/>
  <c r="AE821" i="2"/>
  <c r="AE822" i="2"/>
  <c r="AE823" i="2"/>
  <c r="AE824" i="2"/>
  <c r="AB825" i="2"/>
  <c r="AB846" i="2" s="1"/>
  <c r="AB867" i="2" s="1"/>
  <c r="AE825" i="2"/>
  <c r="AE826" i="2"/>
  <c r="AE827" i="2"/>
  <c r="AE828" i="2"/>
  <c r="AB829" i="2"/>
  <c r="AB850" i="2" s="1"/>
  <c r="AB871" i="2" s="1"/>
  <c r="AE829" i="2"/>
  <c r="AE830" i="2"/>
  <c r="AE831" i="2"/>
  <c r="AE832" i="2"/>
  <c r="AE833" i="2"/>
  <c r="AE834" i="2"/>
  <c r="AE835" i="2"/>
  <c r="AE836" i="2"/>
  <c r="AB837" i="2"/>
  <c r="AB858" i="2" s="1"/>
  <c r="AB879" i="2" s="1"/>
  <c r="AE837" i="2"/>
  <c r="AE838" i="2"/>
  <c r="AE839" i="2"/>
  <c r="AE840" i="2"/>
  <c r="AB841" i="2"/>
  <c r="AB862" i="2" s="1"/>
  <c r="AB883" i="2" s="1"/>
  <c r="AE841" i="2"/>
  <c r="AE842" i="2"/>
  <c r="AE843" i="2"/>
  <c r="AE844" i="2"/>
  <c r="AB845" i="2"/>
  <c r="AB866" i="2" s="1"/>
  <c r="AB887" i="2" s="1"/>
  <c r="AE845" i="2"/>
  <c r="AE846" i="2"/>
  <c r="AE847" i="2"/>
  <c r="AE848" i="2"/>
  <c r="AB849" i="2"/>
  <c r="AB870" i="2" s="1"/>
  <c r="AB891" i="2" s="1"/>
  <c r="AB912" i="2" s="1"/>
  <c r="AB933" i="2" s="1"/>
  <c r="AB954" i="2" s="1"/>
  <c r="AB975" i="2" s="1"/>
  <c r="AE849" i="2"/>
  <c r="AE850" i="2"/>
  <c r="AE851" i="2"/>
  <c r="AE852" i="2"/>
  <c r="AE853" i="2"/>
  <c r="AE854" i="2"/>
  <c r="AE855" i="2"/>
  <c r="AE856" i="2"/>
  <c r="AB857" i="2"/>
  <c r="AB878" i="2" s="1"/>
  <c r="AB899" i="2" s="1"/>
  <c r="AB920" i="2" s="1"/>
  <c r="AB941" i="2" s="1"/>
  <c r="AB962" i="2" s="1"/>
  <c r="AB983" i="2" s="1"/>
  <c r="AB1004" i="2" s="1"/>
  <c r="AB1025" i="2" s="1"/>
  <c r="AB1046" i="2" s="1"/>
  <c r="AB1067" i="2" s="1"/>
  <c r="AB1088" i="2" s="1"/>
  <c r="AB1109" i="2" s="1"/>
  <c r="AB1130" i="2" s="1"/>
  <c r="AB1151" i="2" s="1"/>
  <c r="AB1172" i="2" s="1"/>
  <c r="AB1193" i="2" s="1"/>
  <c r="AB1214" i="2" s="1"/>
  <c r="AB1235" i="2" s="1"/>
  <c r="AB1256" i="2" s="1"/>
  <c r="AB1277" i="2" s="1"/>
  <c r="AB1298" i="2" s="1"/>
  <c r="AB1319" i="2" s="1"/>
  <c r="AB1340" i="2" s="1"/>
  <c r="AB1361" i="2" s="1"/>
  <c r="AB1382" i="2" s="1"/>
  <c r="AB1403" i="2" s="1"/>
  <c r="AB1424" i="2" s="1"/>
  <c r="AB1445" i="2" s="1"/>
  <c r="AE857" i="2"/>
  <c r="AE858" i="2"/>
  <c r="AE859" i="2"/>
  <c r="AE860" i="2"/>
  <c r="AE861" i="2"/>
  <c r="AE862" i="2"/>
  <c r="AE863" i="2"/>
  <c r="AE864" i="2"/>
  <c r="AE865" i="2"/>
  <c r="AE866" i="2"/>
  <c r="AE867" i="2"/>
  <c r="AE868" i="2"/>
  <c r="AE869" i="2"/>
  <c r="AE870" i="2"/>
  <c r="AE871" i="2"/>
  <c r="AB872" i="2"/>
  <c r="AB893" i="2" s="1"/>
  <c r="AB914" i="2" s="1"/>
  <c r="AB935" i="2" s="1"/>
  <c r="AE872" i="2"/>
  <c r="AE873" i="2"/>
  <c r="AE874" i="2"/>
  <c r="AE875" i="2"/>
  <c r="AE876" i="2"/>
  <c r="AE877" i="2"/>
  <c r="AE878" i="2"/>
  <c r="AE879" i="2"/>
  <c r="AE880" i="2"/>
  <c r="AE881" i="2"/>
  <c r="AE882" i="2"/>
  <c r="AE883" i="2"/>
  <c r="AE884" i="2"/>
  <c r="AE885" i="2"/>
  <c r="AE886" i="2"/>
  <c r="AE887" i="2"/>
  <c r="AB888" i="2"/>
  <c r="AB909" i="2" s="1"/>
  <c r="AB930" i="2" s="1"/>
  <c r="AB951" i="2" s="1"/>
  <c r="AE888" i="2"/>
  <c r="AE889" i="2"/>
  <c r="AE890" i="2"/>
  <c r="AE891" i="2"/>
  <c r="AB892" i="2"/>
  <c r="AB913" i="2" s="1"/>
  <c r="AB934" i="2" s="1"/>
  <c r="AB955" i="2" s="1"/>
  <c r="AE892" i="2"/>
  <c r="AE893" i="2"/>
  <c r="AE894" i="2"/>
  <c r="AE895" i="2"/>
  <c r="AE896" i="2"/>
  <c r="AE897" i="2"/>
  <c r="AE898" i="2"/>
  <c r="AE899" i="2"/>
  <c r="AB900" i="2"/>
  <c r="AB921" i="2" s="1"/>
  <c r="AB942" i="2" s="1"/>
  <c r="AB963" i="2" s="1"/>
  <c r="AE900" i="2"/>
  <c r="AE901" i="2"/>
  <c r="AE902" i="2"/>
  <c r="AE903" i="2"/>
  <c r="AB904" i="2"/>
  <c r="AB925" i="2" s="1"/>
  <c r="AB946" i="2" s="1"/>
  <c r="AB967" i="2" s="1"/>
  <c r="AE904" i="2"/>
  <c r="AE905" i="2"/>
  <c r="AE906" i="2"/>
  <c r="AE907" i="2"/>
  <c r="AB908" i="2"/>
  <c r="AB929" i="2" s="1"/>
  <c r="AB950" i="2" s="1"/>
  <c r="AB971" i="2" s="1"/>
  <c r="AE908" i="2"/>
  <c r="AE909" i="2"/>
  <c r="AE910" i="2"/>
  <c r="AE911" i="2"/>
  <c r="AE912" i="2"/>
  <c r="AE913" i="2"/>
  <c r="AE914" i="2"/>
  <c r="AE915" i="2"/>
  <c r="AE916" i="2"/>
  <c r="AE917" i="2"/>
  <c r="AE918" i="2"/>
  <c r="AE919" i="2"/>
  <c r="AE920" i="2"/>
  <c r="AE921" i="2"/>
  <c r="AE922" i="2"/>
  <c r="AE923" i="2"/>
  <c r="AB924" i="2"/>
  <c r="AB945" i="2" s="1"/>
  <c r="AB966" i="2" s="1"/>
  <c r="AB987" i="2" s="1"/>
  <c r="AE924" i="2"/>
  <c r="AE925" i="2"/>
  <c r="AE926" i="2"/>
  <c r="AE927" i="2"/>
  <c r="AE928" i="2"/>
  <c r="AE929" i="2"/>
  <c r="AE930" i="2"/>
  <c r="AE931" i="2"/>
  <c r="AE932" i="2"/>
  <c r="AE933" i="2"/>
  <c r="AE934" i="2"/>
  <c r="AE935" i="2"/>
  <c r="AE936" i="2"/>
  <c r="AE937" i="2"/>
  <c r="AE938" i="2"/>
  <c r="AE939" i="2"/>
  <c r="AB940" i="2"/>
  <c r="AB961" i="2" s="1"/>
  <c r="AB982" i="2" s="1"/>
  <c r="AB1003" i="2" s="1"/>
  <c r="AE940" i="2"/>
  <c r="AE941" i="2"/>
  <c r="AE942" i="2"/>
  <c r="AE943" i="2"/>
  <c r="AB944" i="2"/>
  <c r="AB965" i="2" s="1"/>
  <c r="AB986" i="2" s="1"/>
  <c r="AB1007" i="2" s="1"/>
  <c r="AE944" i="2"/>
  <c r="AE945" i="2"/>
  <c r="AE946" i="2"/>
  <c r="AE947" i="2"/>
  <c r="AE948" i="2"/>
  <c r="AE949" i="2"/>
  <c r="AE950" i="2"/>
  <c r="AE951" i="2"/>
  <c r="AE952" i="2"/>
  <c r="AE953" i="2"/>
  <c r="AE954" i="2"/>
  <c r="AE955" i="2"/>
  <c r="AB956" i="2"/>
  <c r="AB977" i="2" s="1"/>
  <c r="AB998" i="2" s="1"/>
  <c r="AB1019" i="2" s="1"/>
  <c r="AE956" i="2"/>
  <c r="AE957" i="2"/>
  <c r="AE958" i="2"/>
  <c r="AE959" i="2"/>
  <c r="AE960" i="2"/>
  <c r="AE961" i="2"/>
  <c r="AE962" i="2"/>
  <c r="AE963" i="2"/>
  <c r="AE964" i="2"/>
  <c r="AE965" i="2"/>
  <c r="AE966" i="2"/>
  <c r="AE967" i="2"/>
  <c r="AE968" i="2"/>
  <c r="AE969" i="2"/>
  <c r="AE970" i="2"/>
  <c r="AE971" i="2"/>
  <c r="AB972" i="2"/>
  <c r="AB993" i="2" s="1"/>
  <c r="AB1014" i="2" s="1"/>
  <c r="AB1035" i="2" s="1"/>
  <c r="AE972" i="2"/>
  <c r="AE973" i="2"/>
  <c r="AE974" i="2"/>
  <c r="AE975" i="2"/>
  <c r="AB976" i="2"/>
  <c r="AB997" i="2" s="1"/>
  <c r="AB1018" i="2" s="1"/>
  <c r="AB1039" i="2" s="1"/>
  <c r="AE976" i="2"/>
  <c r="AE977" i="2"/>
  <c r="AE978" i="2"/>
  <c r="AE979" i="2"/>
  <c r="AE980" i="2"/>
  <c r="AE981" i="2"/>
  <c r="AE982" i="2"/>
  <c r="AE983" i="2"/>
  <c r="AB984" i="2"/>
  <c r="AB1005" i="2" s="1"/>
  <c r="AB1026" i="2" s="1"/>
  <c r="AB1047" i="2" s="1"/>
  <c r="AE984" i="2"/>
  <c r="AE985" i="2"/>
  <c r="AE986" i="2"/>
  <c r="AE987" i="2"/>
  <c r="AB988" i="2"/>
  <c r="AB1009" i="2" s="1"/>
  <c r="AB1030" i="2" s="1"/>
  <c r="AB1051" i="2" s="1"/>
  <c r="AE988" i="2"/>
  <c r="AE989" i="2"/>
  <c r="AE990" i="2"/>
  <c r="AE991" i="2"/>
  <c r="AB992" i="2"/>
  <c r="AB1013" i="2" s="1"/>
  <c r="AB1034" i="2" s="1"/>
  <c r="AB1055" i="2" s="1"/>
  <c r="AE992" i="2"/>
  <c r="AE993" i="2"/>
  <c r="AE994" i="2"/>
  <c r="AE995" i="2"/>
  <c r="AB996" i="2"/>
  <c r="AB1017" i="2" s="1"/>
  <c r="AB1038" i="2" s="1"/>
  <c r="AB1059" i="2" s="1"/>
  <c r="AB1080" i="2" s="1"/>
  <c r="AB1101" i="2" s="1"/>
  <c r="AB1122" i="2" s="1"/>
  <c r="AB1143" i="2" s="1"/>
  <c r="AB1164" i="2" s="1"/>
  <c r="AB1185" i="2" s="1"/>
  <c r="AB1206" i="2" s="1"/>
  <c r="AB1227" i="2" s="1"/>
  <c r="AB1248" i="2" s="1"/>
  <c r="AB1269" i="2" s="1"/>
  <c r="AB1290" i="2" s="1"/>
  <c r="AB1311" i="2" s="1"/>
  <c r="AB1332" i="2" s="1"/>
  <c r="AB1353" i="2" s="1"/>
  <c r="AB1374" i="2" s="1"/>
  <c r="AB1395" i="2" s="1"/>
  <c r="AB1416" i="2" s="1"/>
  <c r="AB1437" i="2" s="1"/>
  <c r="AE996" i="2"/>
  <c r="AE997" i="2"/>
  <c r="AE998" i="2"/>
  <c r="AE999" i="2"/>
  <c r="AE1000" i="2"/>
  <c r="AE1001" i="2"/>
  <c r="AE1002" i="2"/>
  <c r="AE1003" i="2"/>
  <c r="AE1004" i="2"/>
  <c r="AE1005" i="2"/>
  <c r="AE1006" i="2"/>
  <c r="AE1007" i="2"/>
  <c r="AB1008" i="2"/>
  <c r="AB1029" i="2" s="1"/>
  <c r="AB1050" i="2" s="1"/>
  <c r="AB1071" i="2" s="1"/>
  <c r="AB1092" i="2" s="1"/>
  <c r="AB1113" i="2" s="1"/>
  <c r="AB1134" i="2" s="1"/>
  <c r="AB1155" i="2" s="1"/>
  <c r="AB1176" i="2" s="1"/>
  <c r="AB1197" i="2" s="1"/>
  <c r="AB1218" i="2" s="1"/>
  <c r="AB1239" i="2" s="1"/>
  <c r="AB1260" i="2" s="1"/>
  <c r="AB1281" i="2" s="1"/>
  <c r="AB1302" i="2" s="1"/>
  <c r="AB1323" i="2" s="1"/>
  <c r="AB1344" i="2" s="1"/>
  <c r="AB1365" i="2" s="1"/>
  <c r="AB1386" i="2" s="1"/>
  <c r="AB1407" i="2" s="1"/>
  <c r="AB1428" i="2" s="1"/>
  <c r="AB1449" i="2" s="1"/>
  <c r="AE1008" i="2"/>
  <c r="AE1009" i="2"/>
  <c r="AE1010" i="2"/>
  <c r="AE1011" i="2"/>
  <c r="AB1012" i="2"/>
  <c r="AB1033" i="2" s="1"/>
  <c r="AB1054" i="2" s="1"/>
  <c r="AB1075" i="2" s="1"/>
  <c r="AB1096" i="2" s="1"/>
  <c r="AB1117" i="2" s="1"/>
  <c r="AB1138" i="2" s="1"/>
  <c r="AB1159" i="2" s="1"/>
  <c r="AB1180" i="2" s="1"/>
  <c r="AB1201" i="2" s="1"/>
  <c r="AB1222" i="2" s="1"/>
  <c r="AB1243" i="2" s="1"/>
  <c r="AB1264" i="2" s="1"/>
  <c r="AB1285" i="2" s="1"/>
  <c r="AB1306" i="2" s="1"/>
  <c r="AB1327" i="2" s="1"/>
  <c r="AB1348" i="2" s="1"/>
  <c r="AB1369" i="2" s="1"/>
  <c r="AB1390" i="2" s="1"/>
  <c r="AB1411" i="2" s="1"/>
  <c r="AB1432" i="2" s="1"/>
  <c r="AB1453" i="2" s="1"/>
  <c r="AE1012" i="2"/>
  <c r="AE1013" i="2"/>
  <c r="AE1014" i="2"/>
  <c r="AE1015" i="2"/>
  <c r="AE1016" i="2"/>
  <c r="AE1017" i="2"/>
  <c r="AE1018" i="2"/>
  <c r="AE1019" i="2"/>
  <c r="AE1020" i="2"/>
  <c r="AE1021" i="2"/>
  <c r="AE1022" i="2"/>
  <c r="AE1023" i="2"/>
  <c r="AB1024" i="2"/>
  <c r="AB1045" i="2" s="1"/>
  <c r="AB1066" i="2" s="1"/>
  <c r="AB1087" i="2" s="1"/>
  <c r="AB1108" i="2" s="1"/>
  <c r="AB1129" i="2" s="1"/>
  <c r="AB1150" i="2" s="1"/>
  <c r="AB1171" i="2" s="1"/>
  <c r="AB1192" i="2" s="1"/>
  <c r="AB1213" i="2" s="1"/>
  <c r="AB1234" i="2" s="1"/>
  <c r="AB1255" i="2" s="1"/>
  <c r="AB1276" i="2" s="1"/>
  <c r="AB1297" i="2" s="1"/>
  <c r="AB1318" i="2" s="1"/>
  <c r="AB1339" i="2" s="1"/>
  <c r="AB1360" i="2" s="1"/>
  <c r="AB1381" i="2" s="1"/>
  <c r="AB1402" i="2" s="1"/>
  <c r="AB1423" i="2" s="1"/>
  <c r="AB1444" i="2" s="1"/>
  <c r="AB1465" i="2" s="1"/>
  <c r="AB1486" i="2" s="1"/>
  <c r="AE1024" i="2"/>
  <c r="AE1025" i="2"/>
  <c r="AE1026" i="2"/>
  <c r="AE1027" i="2"/>
  <c r="AB1028" i="2"/>
  <c r="AB1049" i="2" s="1"/>
  <c r="AB1070" i="2" s="1"/>
  <c r="AB1091" i="2" s="1"/>
  <c r="AB1112" i="2" s="1"/>
  <c r="AB1133" i="2" s="1"/>
  <c r="AB1154" i="2" s="1"/>
  <c r="AB1175" i="2" s="1"/>
  <c r="AB1196" i="2" s="1"/>
  <c r="AB1217" i="2" s="1"/>
  <c r="AB1238" i="2" s="1"/>
  <c r="AB1259" i="2" s="1"/>
  <c r="AB1280" i="2" s="1"/>
  <c r="AB1301" i="2" s="1"/>
  <c r="AB1322" i="2" s="1"/>
  <c r="AB1343" i="2" s="1"/>
  <c r="AB1364" i="2" s="1"/>
  <c r="AB1385" i="2" s="1"/>
  <c r="AB1406" i="2" s="1"/>
  <c r="AB1427" i="2" s="1"/>
  <c r="AB1448" i="2" s="1"/>
  <c r="AB1469" i="2" s="1"/>
  <c r="AB1490" i="2" s="1"/>
  <c r="AB1511" i="2" s="1"/>
  <c r="AB1532" i="2" s="1"/>
  <c r="AB1553" i="2" s="1"/>
  <c r="AB1574" i="2" s="1"/>
  <c r="AB1595" i="2" s="1"/>
  <c r="AB1616" i="2" s="1"/>
  <c r="AB1637" i="2" s="1"/>
  <c r="AB1658" i="2" s="1"/>
  <c r="AB1679" i="2" s="1"/>
  <c r="AB1700" i="2" s="1"/>
  <c r="AB1721" i="2" s="1"/>
  <c r="AB1742" i="2" s="1"/>
  <c r="AB1763" i="2" s="1"/>
  <c r="AB1784" i="2" s="1"/>
  <c r="AB1805" i="2" s="1"/>
  <c r="AB1826" i="2" s="1"/>
  <c r="AB1847" i="2" s="1"/>
  <c r="AB1868" i="2" s="1"/>
  <c r="AB1889" i="2" s="1"/>
  <c r="AB1910" i="2" s="1"/>
  <c r="AB1931" i="2" s="1"/>
  <c r="AB1952" i="2" s="1"/>
  <c r="AE1028" i="2"/>
  <c r="AE1029" i="2"/>
  <c r="AE1030" i="2"/>
  <c r="AE1031" i="2"/>
  <c r="AE1032" i="2"/>
  <c r="AE1033" i="2"/>
  <c r="AE1034" i="2"/>
  <c r="AE1035" i="2"/>
  <c r="AE1036" i="2"/>
  <c r="AE1037" i="2"/>
  <c r="AE1038" i="2"/>
  <c r="AE1039" i="2"/>
  <c r="AB1040" i="2"/>
  <c r="AB1061" i="2" s="1"/>
  <c r="AB1082" i="2" s="1"/>
  <c r="AB1103" i="2" s="1"/>
  <c r="AB1124" i="2" s="1"/>
  <c r="AB1145" i="2" s="1"/>
  <c r="AB1166" i="2" s="1"/>
  <c r="AB1187" i="2" s="1"/>
  <c r="AB1208" i="2" s="1"/>
  <c r="AB1229" i="2" s="1"/>
  <c r="AB1250" i="2" s="1"/>
  <c r="AB1271" i="2" s="1"/>
  <c r="AB1292" i="2" s="1"/>
  <c r="AB1313" i="2" s="1"/>
  <c r="AB1334" i="2" s="1"/>
  <c r="AB1355" i="2" s="1"/>
  <c r="AB1376" i="2" s="1"/>
  <c r="AB1397" i="2" s="1"/>
  <c r="AB1418" i="2" s="1"/>
  <c r="AB1439" i="2" s="1"/>
  <c r="AB1460" i="2" s="1"/>
  <c r="AE1040" i="2"/>
  <c r="AE1041" i="2"/>
  <c r="AE1042" i="2"/>
  <c r="AE1043" i="2"/>
  <c r="AE1044" i="2"/>
  <c r="AE1045" i="2"/>
  <c r="AE1046" i="2"/>
  <c r="AE1047" i="2"/>
  <c r="AE1048" i="2"/>
  <c r="AE1049" i="2"/>
  <c r="AE1050" i="2"/>
  <c r="AE1051" i="2"/>
  <c r="AE1052" i="2"/>
  <c r="AE1053" i="2"/>
  <c r="AE1054" i="2"/>
  <c r="AE1055" i="2"/>
  <c r="AB1056" i="2"/>
  <c r="AB1077" i="2" s="1"/>
  <c r="AB1098" i="2" s="1"/>
  <c r="AB1119" i="2" s="1"/>
  <c r="AB1140" i="2" s="1"/>
  <c r="AB1161" i="2" s="1"/>
  <c r="AB1182" i="2" s="1"/>
  <c r="AB1203" i="2" s="1"/>
  <c r="AB1224" i="2" s="1"/>
  <c r="AB1245" i="2" s="1"/>
  <c r="AB1266" i="2" s="1"/>
  <c r="AB1287" i="2" s="1"/>
  <c r="AB1308" i="2" s="1"/>
  <c r="AB1329" i="2" s="1"/>
  <c r="AB1350" i="2" s="1"/>
  <c r="AB1371" i="2" s="1"/>
  <c r="AB1392" i="2" s="1"/>
  <c r="AB1413" i="2" s="1"/>
  <c r="AB1434" i="2" s="1"/>
  <c r="AB1455" i="2" s="1"/>
  <c r="AB1476" i="2" s="1"/>
  <c r="AB1497" i="2" s="1"/>
  <c r="AB1518" i="2" s="1"/>
  <c r="AB1539" i="2" s="1"/>
  <c r="AB1560" i="2" s="1"/>
  <c r="AB1581" i="2" s="1"/>
  <c r="AB1602" i="2" s="1"/>
  <c r="AB1623" i="2" s="1"/>
  <c r="AB1644" i="2" s="1"/>
  <c r="AB1665" i="2" s="1"/>
  <c r="AB1686" i="2" s="1"/>
  <c r="AB1707" i="2" s="1"/>
  <c r="AB1728" i="2" s="1"/>
  <c r="AB1749" i="2" s="1"/>
  <c r="AB1770" i="2" s="1"/>
  <c r="AB1791" i="2" s="1"/>
  <c r="AB1812" i="2" s="1"/>
  <c r="AB1833" i="2" s="1"/>
  <c r="AB1854" i="2" s="1"/>
  <c r="AB1875" i="2" s="1"/>
  <c r="AB1896" i="2" s="1"/>
  <c r="AE1056" i="2"/>
  <c r="AE1057" i="2"/>
  <c r="AE1058" i="2"/>
  <c r="AE1059" i="2"/>
  <c r="AB1060" i="2"/>
  <c r="AB1081" i="2" s="1"/>
  <c r="AB1102" i="2" s="1"/>
  <c r="AB1123" i="2" s="1"/>
  <c r="AB1144" i="2" s="1"/>
  <c r="AB1165" i="2" s="1"/>
  <c r="AB1186" i="2" s="1"/>
  <c r="AB1207" i="2" s="1"/>
  <c r="AB1228" i="2" s="1"/>
  <c r="AB1249" i="2" s="1"/>
  <c r="AB1270" i="2" s="1"/>
  <c r="AB1291" i="2" s="1"/>
  <c r="AB1312" i="2" s="1"/>
  <c r="AB1333" i="2" s="1"/>
  <c r="AB1354" i="2" s="1"/>
  <c r="AB1375" i="2" s="1"/>
  <c r="AB1396" i="2" s="1"/>
  <c r="AB1417" i="2" s="1"/>
  <c r="AB1438" i="2" s="1"/>
  <c r="AB1459" i="2" s="1"/>
  <c r="AB1480" i="2" s="1"/>
  <c r="AB1501" i="2" s="1"/>
  <c r="AB1522" i="2" s="1"/>
  <c r="AB1543" i="2" s="1"/>
  <c r="AB1564" i="2" s="1"/>
  <c r="AB1585" i="2" s="1"/>
  <c r="AB1606" i="2" s="1"/>
  <c r="AB1627" i="2" s="1"/>
  <c r="AB1648" i="2" s="1"/>
  <c r="AB1669" i="2" s="1"/>
  <c r="AB1690" i="2" s="1"/>
  <c r="AB1711" i="2" s="1"/>
  <c r="AB1732" i="2" s="1"/>
  <c r="AB1753" i="2" s="1"/>
  <c r="AB1774" i="2" s="1"/>
  <c r="AB1795" i="2" s="1"/>
  <c r="AB1816" i="2" s="1"/>
  <c r="AB1837" i="2" s="1"/>
  <c r="AB1858" i="2" s="1"/>
  <c r="AB1879" i="2" s="1"/>
  <c r="AB1900" i="2" s="1"/>
  <c r="AE1060" i="2"/>
  <c r="AE1061" i="2"/>
  <c r="AE1062" i="2"/>
  <c r="AE1063" i="2"/>
  <c r="AE1064" i="2"/>
  <c r="AE1065" i="2"/>
  <c r="AE1066" i="2"/>
  <c r="AE1067" i="2"/>
  <c r="AB1068" i="2"/>
  <c r="AB1089" i="2" s="1"/>
  <c r="AB1110" i="2" s="1"/>
  <c r="AB1131" i="2" s="1"/>
  <c r="AB1152" i="2" s="1"/>
  <c r="AB1173" i="2" s="1"/>
  <c r="AB1194" i="2" s="1"/>
  <c r="AB1215" i="2" s="1"/>
  <c r="AB1236" i="2" s="1"/>
  <c r="AB1257" i="2" s="1"/>
  <c r="AB1278" i="2" s="1"/>
  <c r="AB1299" i="2" s="1"/>
  <c r="AB1320" i="2" s="1"/>
  <c r="AB1341" i="2" s="1"/>
  <c r="AB1362" i="2" s="1"/>
  <c r="AB1383" i="2" s="1"/>
  <c r="AB1404" i="2" s="1"/>
  <c r="AB1425" i="2" s="1"/>
  <c r="AE1068" i="2"/>
  <c r="AE1069" i="2"/>
  <c r="AE1070" i="2"/>
  <c r="AE1071" i="2"/>
  <c r="AB1072" i="2"/>
  <c r="AB1093" i="2" s="1"/>
  <c r="AB1114" i="2" s="1"/>
  <c r="AB1135" i="2" s="1"/>
  <c r="AB1156" i="2" s="1"/>
  <c r="AB1177" i="2" s="1"/>
  <c r="AB1198" i="2" s="1"/>
  <c r="AB1219" i="2" s="1"/>
  <c r="AB1240" i="2" s="1"/>
  <c r="AB1261" i="2" s="1"/>
  <c r="AB1282" i="2" s="1"/>
  <c r="AB1303" i="2" s="1"/>
  <c r="AB1324" i="2" s="1"/>
  <c r="AB1345" i="2" s="1"/>
  <c r="AB1366" i="2" s="1"/>
  <c r="AB1387" i="2" s="1"/>
  <c r="AB1408" i="2" s="1"/>
  <c r="AB1429" i="2" s="1"/>
  <c r="AE1072" i="2"/>
  <c r="AE1073" i="2"/>
  <c r="AE1074" i="2"/>
  <c r="AE1075" i="2"/>
  <c r="AB1076" i="2"/>
  <c r="AB1097" i="2" s="1"/>
  <c r="AB1118" i="2" s="1"/>
  <c r="AB1139" i="2" s="1"/>
  <c r="AB1160" i="2" s="1"/>
  <c r="AB1181" i="2" s="1"/>
  <c r="AB1202" i="2" s="1"/>
  <c r="AB1223" i="2" s="1"/>
  <c r="AB1244" i="2" s="1"/>
  <c r="AB1265" i="2" s="1"/>
  <c r="AB1286" i="2" s="1"/>
  <c r="AB1307" i="2" s="1"/>
  <c r="AB1328" i="2" s="1"/>
  <c r="AB1349" i="2" s="1"/>
  <c r="AB1370" i="2" s="1"/>
  <c r="AB1391" i="2" s="1"/>
  <c r="AB1412" i="2" s="1"/>
  <c r="AB1433" i="2" s="1"/>
  <c r="AE1076" i="2"/>
  <c r="AE1077" i="2"/>
  <c r="AE1078" i="2"/>
  <c r="AE1079" i="2"/>
  <c r="AE1080" i="2"/>
  <c r="AE1081" i="2"/>
  <c r="AE1082" i="2"/>
  <c r="AE1083" i="2"/>
  <c r="AE1084" i="2"/>
  <c r="AE1085" i="2"/>
  <c r="AE1086" i="2"/>
  <c r="AE1087" i="2"/>
  <c r="AE1088" i="2"/>
  <c r="AE1089" i="2"/>
  <c r="AE1090" i="2"/>
  <c r="AE1091" i="2"/>
  <c r="AE1092" i="2"/>
  <c r="AE1093" i="2"/>
  <c r="AE1094" i="2"/>
  <c r="AE1095" i="2"/>
  <c r="AE1096" i="2"/>
  <c r="AE1097" i="2"/>
  <c r="AE1098" i="2"/>
  <c r="AE1099" i="2"/>
  <c r="AE1100" i="2"/>
  <c r="AE1101" i="2"/>
  <c r="AE1102" i="2"/>
  <c r="AE1103" i="2"/>
  <c r="AE1104" i="2"/>
  <c r="AE1105" i="2"/>
  <c r="AE1106" i="2"/>
  <c r="AE1107" i="2"/>
  <c r="AE1108" i="2"/>
  <c r="AE1109" i="2"/>
  <c r="AE1110" i="2"/>
  <c r="AE1111" i="2"/>
  <c r="AE1112" i="2"/>
  <c r="AE1113" i="2"/>
  <c r="AE1114" i="2"/>
  <c r="AE1115" i="2"/>
  <c r="AE1116" i="2"/>
  <c r="AE1117" i="2"/>
  <c r="AE1118" i="2"/>
  <c r="AE1119" i="2"/>
  <c r="AE1120" i="2"/>
  <c r="AE1121" i="2"/>
  <c r="AE1122" i="2"/>
  <c r="AE1123" i="2"/>
  <c r="AE1124" i="2"/>
  <c r="AE1125" i="2"/>
  <c r="AE1126" i="2"/>
  <c r="AE1127" i="2"/>
  <c r="AE1128" i="2"/>
  <c r="AE1129" i="2"/>
  <c r="AE1130" i="2"/>
  <c r="AE1131" i="2"/>
  <c r="AE1132" i="2"/>
  <c r="AE1133" i="2"/>
  <c r="AE1134" i="2"/>
  <c r="AE1135" i="2"/>
  <c r="AE1136" i="2"/>
  <c r="AE1137" i="2"/>
  <c r="AE1138" i="2"/>
  <c r="AE1139" i="2"/>
  <c r="AE1140" i="2"/>
  <c r="AE1141" i="2"/>
  <c r="AE1142" i="2"/>
  <c r="AE1143" i="2"/>
  <c r="AE1144" i="2"/>
  <c r="AE1145" i="2"/>
  <c r="AE1146" i="2"/>
  <c r="AE1147" i="2"/>
  <c r="AE1148" i="2"/>
  <c r="AE1149" i="2"/>
  <c r="AE1150" i="2"/>
  <c r="AE1151" i="2"/>
  <c r="AE1152" i="2"/>
  <c r="AE1153" i="2"/>
  <c r="AE1154" i="2"/>
  <c r="AE1155" i="2"/>
  <c r="AE1156" i="2"/>
  <c r="AE1157" i="2"/>
  <c r="AE1158" i="2"/>
  <c r="AE1159" i="2"/>
  <c r="AE1160" i="2"/>
  <c r="AE1161" i="2"/>
  <c r="AE1162" i="2"/>
  <c r="AE1163" i="2"/>
  <c r="AE1164" i="2"/>
  <c r="AE1165" i="2"/>
  <c r="AE1166" i="2"/>
  <c r="AE1167" i="2"/>
  <c r="AE1168" i="2"/>
  <c r="AE1169" i="2"/>
  <c r="AE1170" i="2"/>
  <c r="AE1171" i="2"/>
  <c r="AE1172" i="2"/>
  <c r="AE1173" i="2"/>
  <c r="AE1174" i="2"/>
  <c r="AE1175" i="2"/>
  <c r="AE1176" i="2"/>
  <c r="AE1177" i="2"/>
  <c r="AE1178" i="2"/>
  <c r="AE1179" i="2"/>
  <c r="AE1180" i="2"/>
  <c r="AE1181" i="2"/>
  <c r="AE1182" i="2"/>
  <c r="AE1183" i="2"/>
  <c r="AE1184" i="2"/>
  <c r="AE1185" i="2"/>
  <c r="AE1186" i="2"/>
  <c r="AE1187" i="2"/>
  <c r="AE1188" i="2"/>
  <c r="AE1189" i="2"/>
  <c r="AE1190" i="2"/>
  <c r="AE1191" i="2"/>
  <c r="AE1192" i="2"/>
  <c r="AE1193" i="2"/>
  <c r="AE1194" i="2"/>
  <c r="AE1195" i="2"/>
  <c r="AE1196" i="2"/>
  <c r="AE1197" i="2"/>
  <c r="AE1198" i="2"/>
  <c r="AE1199" i="2"/>
  <c r="AE1200" i="2"/>
  <c r="AE1201" i="2"/>
  <c r="AE1202" i="2"/>
  <c r="AE1203" i="2"/>
  <c r="AE1204" i="2"/>
  <c r="AE1205" i="2"/>
  <c r="AE1206" i="2"/>
  <c r="AE1207" i="2"/>
  <c r="AE1208" i="2"/>
  <c r="AE1209" i="2"/>
  <c r="AE1210" i="2"/>
  <c r="AE1211" i="2"/>
  <c r="AE1212" i="2"/>
  <c r="AE1213" i="2"/>
  <c r="AE1214" i="2"/>
  <c r="AE1215" i="2"/>
  <c r="AE1216" i="2"/>
  <c r="AE1217" i="2"/>
  <c r="AE1218" i="2"/>
  <c r="AE1219" i="2"/>
  <c r="AE1220" i="2"/>
  <c r="AE1221" i="2"/>
  <c r="AE1222" i="2"/>
  <c r="AE1223" i="2"/>
  <c r="AE1224" i="2"/>
  <c r="AE1225" i="2"/>
  <c r="AE1226" i="2"/>
  <c r="AE1227" i="2"/>
  <c r="AE1228" i="2"/>
  <c r="AE1229" i="2"/>
  <c r="AE1230" i="2"/>
  <c r="AE1231" i="2"/>
  <c r="AE1232" i="2"/>
  <c r="AE1233" i="2"/>
  <c r="AE1234" i="2"/>
  <c r="AE1235" i="2"/>
  <c r="AE1236" i="2"/>
  <c r="AE1237" i="2"/>
  <c r="AE1238" i="2"/>
  <c r="AE1239" i="2"/>
  <c r="AE1240" i="2"/>
  <c r="AE1241" i="2"/>
  <c r="AE1242" i="2"/>
  <c r="AE1243" i="2"/>
  <c r="AE1244" i="2"/>
  <c r="AE1245" i="2"/>
  <c r="AE1246" i="2"/>
  <c r="AE1247" i="2"/>
  <c r="AE1248" i="2"/>
  <c r="AE1249" i="2"/>
  <c r="AE1250" i="2"/>
  <c r="AE1251" i="2"/>
  <c r="AE1252" i="2"/>
  <c r="AE1253" i="2"/>
  <c r="AE1254" i="2"/>
  <c r="AE1255" i="2"/>
  <c r="AE1256" i="2"/>
  <c r="AE1257" i="2"/>
  <c r="AE1258" i="2"/>
  <c r="AE1259" i="2"/>
  <c r="AE1260" i="2"/>
  <c r="AE1261" i="2"/>
  <c r="AE1262" i="2"/>
  <c r="AE1263" i="2"/>
  <c r="AE1264" i="2"/>
  <c r="AE1265" i="2"/>
  <c r="AE1266" i="2"/>
  <c r="AE1267" i="2"/>
  <c r="AE1268" i="2"/>
  <c r="AE1269" i="2"/>
  <c r="AE1270" i="2"/>
  <c r="AE1271" i="2"/>
  <c r="AE1272" i="2"/>
  <c r="AE1273" i="2"/>
  <c r="AE1274" i="2"/>
  <c r="AE1275" i="2"/>
  <c r="AE1276" i="2"/>
  <c r="AE1277" i="2"/>
  <c r="AE1278" i="2"/>
  <c r="AE1279" i="2"/>
  <c r="AE1280" i="2"/>
  <c r="AE1281" i="2"/>
  <c r="AE1282" i="2"/>
  <c r="AE1283" i="2"/>
  <c r="AE1284" i="2"/>
  <c r="AE1285" i="2"/>
  <c r="AE1286" i="2"/>
  <c r="AE1287" i="2"/>
  <c r="AE1288" i="2"/>
  <c r="AE1289" i="2"/>
  <c r="AE1290" i="2"/>
  <c r="AE1291" i="2"/>
  <c r="AE1292" i="2"/>
  <c r="AE1293" i="2"/>
  <c r="AE1294" i="2"/>
  <c r="AE1295" i="2"/>
  <c r="AE1296" i="2"/>
  <c r="AE1297" i="2"/>
  <c r="AE1298" i="2"/>
  <c r="AE1299" i="2"/>
  <c r="AE1300" i="2"/>
  <c r="AE1301" i="2"/>
  <c r="AE1302" i="2"/>
  <c r="AE1303" i="2"/>
  <c r="AE1304" i="2"/>
  <c r="AE1305" i="2"/>
  <c r="AE1306" i="2"/>
  <c r="AE1307" i="2"/>
  <c r="AE1308" i="2"/>
  <c r="AE1309" i="2"/>
  <c r="AE1310" i="2"/>
  <c r="AE1311" i="2"/>
  <c r="AE1312" i="2"/>
  <c r="AE1313" i="2"/>
  <c r="AE1314" i="2"/>
  <c r="AE1315" i="2"/>
  <c r="AE1316" i="2"/>
  <c r="AE1317" i="2"/>
  <c r="AE1318" i="2"/>
  <c r="AE1319" i="2"/>
  <c r="AF1319" i="2" s="1"/>
  <c r="AE1320" i="2"/>
  <c r="AE1321" i="2"/>
  <c r="AE1322" i="2"/>
  <c r="AE1323" i="2"/>
  <c r="AE1324" i="2"/>
  <c r="AE1325" i="2"/>
  <c r="AE1326" i="2"/>
  <c r="AE1327" i="2"/>
  <c r="AE1328" i="2"/>
  <c r="AE1329" i="2"/>
  <c r="AE1330" i="2"/>
  <c r="AE1331" i="2"/>
  <c r="AE1332" i="2"/>
  <c r="AE1333" i="2"/>
  <c r="AE1334" i="2"/>
  <c r="AE1335" i="2"/>
  <c r="AE1336" i="2"/>
  <c r="AE1337" i="2"/>
  <c r="AE1338" i="2"/>
  <c r="AE1339" i="2"/>
  <c r="AE1340" i="2"/>
  <c r="AE1341" i="2"/>
  <c r="AE1342" i="2"/>
  <c r="AE1343" i="2"/>
  <c r="AE1344" i="2"/>
  <c r="AE1345" i="2"/>
  <c r="AE1346" i="2"/>
  <c r="AE1347" i="2"/>
  <c r="AE1348" i="2"/>
  <c r="AE1349" i="2"/>
  <c r="AE1350" i="2"/>
  <c r="AE1351" i="2"/>
  <c r="AE1352" i="2"/>
  <c r="AE1353" i="2"/>
  <c r="AE1354" i="2"/>
  <c r="AE1355" i="2"/>
  <c r="AE1356" i="2"/>
  <c r="AE1357" i="2"/>
  <c r="AE1358" i="2"/>
  <c r="AE1359" i="2"/>
  <c r="AE1360" i="2"/>
  <c r="AE1361" i="2"/>
  <c r="AE1362" i="2"/>
  <c r="AE1363" i="2"/>
  <c r="AE1364" i="2"/>
  <c r="AE1365" i="2"/>
  <c r="AE1366" i="2"/>
  <c r="AE1367" i="2"/>
  <c r="AE1368" i="2"/>
  <c r="AE1369" i="2"/>
  <c r="AE1370" i="2"/>
  <c r="AE1371" i="2"/>
  <c r="AE1372" i="2"/>
  <c r="AE1373" i="2"/>
  <c r="AE1374" i="2"/>
  <c r="AE1375" i="2"/>
  <c r="AE1376" i="2"/>
  <c r="AE1377" i="2"/>
  <c r="AE1378" i="2"/>
  <c r="AE1379" i="2"/>
  <c r="AE1380" i="2"/>
  <c r="AE1381" i="2"/>
  <c r="AE1382" i="2"/>
  <c r="AE1383" i="2"/>
  <c r="AE1384" i="2"/>
  <c r="AE1385" i="2"/>
  <c r="AE1386" i="2"/>
  <c r="AE1387" i="2"/>
  <c r="AE1388" i="2"/>
  <c r="AE1389" i="2"/>
  <c r="AE1390" i="2"/>
  <c r="AE1391" i="2"/>
  <c r="AE1392" i="2"/>
  <c r="AE1393" i="2"/>
  <c r="AE1394" i="2"/>
  <c r="AE1395" i="2"/>
  <c r="AE1396" i="2"/>
  <c r="AE1397" i="2"/>
  <c r="AE1398" i="2"/>
  <c r="AE1399" i="2"/>
  <c r="AE1400" i="2"/>
  <c r="AE1401" i="2"/>
  <c r="AE1402" i="2"/>
  <c r="AE1403" i="2"/>
  <c r="AE1404" i="2"/>
  <c r="AE1405" i="2"/>
  <c r="AE1406" i="2"/>
  <c r="AE1407" i="2"/>
  <c r="AE1408" i="2"/>
  <c r="AE1409" i="2"/>
  <c r="AE1410" i="2"/>
  <c r="AE1411" i="2"/>
  <c r="AE1412" i="2"/>
  <c r="AE1413" i="2"/>
  <c r="AE1414" i="2"/>
  <c r="AE1415" i="2"/>
  <c r="AE1416" i="2"/>
  <c r="AE1417" i="2"/>
  <c r="AE1418" i="2"/>
  <c r="AE1419" i="2"/>
  <c r="AE1420" i="2"/>
  <c r="AE1421" i="2"/>
  <c r="AE1422" i="2"/>
  <c r="AE1423" i="2"/>
  <c r="AE1424" i="2"/>
  <c r="AE1425" i="2"/>
  <c r="AB1426" i="2"/>
  <c r="AB1447" i="2" s="1"/>
  <c r="AB1468" i="2" s="1"/>
  <c r="AE1426" i="2"/>
  <c r="AE1427" i="2"/>
  <c r="AE1428" i="2"/>
  <c r="AE1429" i="2"/>
  <c r="AE1430" i="2"/>
  <c r="AE1431" i="2"/>
  <c r="AE1432" i="2"/>
  <c r="AE1433" i="2"/>
  <c r="AE1434" i="2"/>
  <c r="AE1435" i="2"/>
  <c r="AE1436" i="2"/>
  <c r="AE1437" i="2"/>
  <c r="AE1438" i="2"/>
  <c r="AE1439" i="2"/>
  <c r="AE1440" i="2"/>
  <c r="AE1441" i="2"/>
  <c r="AB1442" i="2"/>
  <c r="AB1463" i="2" s="1"/>
  <c r="AB1484" i="2" s="1"/>
  <c r="AE1442" i="2"/>
  <c r="AE1443" i="2"/>
  <c r="AE1444" i="2"/>
  <c r="AE1445" i="2"/>
  <c r="AB1446" i="2"/>
  <c r="AB1467" i="2" s="1"/>
  <c r="AB1488" i="2" s="1"/>
  <c r="AE1446" i="2"/>
  <c r="AE1447" i="2"/>
  <c r="AE1448" i="2"/>
  <c r="AE1449" i="2"/>
  <c r="AB1450" i="2"/>
  <c r="AB1471" i="2" s="1"/>
  <c r="AB1492" i="2" s="1"/>
  <c r="AE1450" i="2"/>
  <c r="AE1451" i="2"/>
  <c r="AE1452" i="2"/>
  <c r="AE1453" i="2"/>
  <c r="AB1454" i="2"/>
  <c r="AB1475" i="2" s="1"/>
  <c r="AB1496" i="2" s="1"/>
  <c r="AE1454" i="2"/>
  <c r="AE1455" i="2"/>
  <c r="AE1456" i="2"/>
  <c r="AE1457" i="2"/>
  <c r="AB1458" i="2"/>
  <c r="AB1479" i="2" s="1"/>
  <c r="AB1500" i="2" s="1"/>
  <c r="AB1521" i="2" s="1"/>
  <c r="AB1542" i="2" s="1"/>
  <c r="AB1563" i="2" s="1"/>
  <c r="AB1584" i="2" s="1"/>
  <c r="AB1605" i="2" s="1"/>
  <c r="AB1626" i="2" s="1"/>
  <c r="AB1647" i="2" s="1"/>
  <c r="AB1668" i="2" s="1"/>
  <c r="AB1689" i="2" s="1"/>
  <c r="AB1710" i="2" s="1"/>
  <c r="AB1731" i="2" s="1"/>
  <c r="AB1752" i="2" s="1"/>
  <c r="AB1773" i="2" s="1"/>
  <c r="AB1794" i="2" s="1"/>
  <c r="AB1815" i="2" s="1"/>
  <c r="AB1836" i="2" s="1"/>
  <c r="AB1857" i="2" s="1"/>
  <c r="AB1878" i="2" s="1"/>
  <c r="AB1899" i="2" s="1"/>
  <c r="AB1920" i="2" s="1"/>
  <c r="AB1941" i="2" s="1"/>
  <c r="AB1962" i="2" s="1"/>
  <c r="AB1983" i="2" s="1"/>
  <c r="AB2004" i="2" s="1"/>
  <c r="AB2025" i="2" s="1"/>
  <c r="AB2046" i="2" s="1"/>
  <c r="AB2067" i="2" s="1"/>
  <c r="AB2088" i="2" s="1"/>
  <c r="AB2109" i="2" s="1"/>
  <c r="AB2130" i="2" s="1"/>
  <c r="AB2151" i="2" s="1"/>
  <c r="AB2172" i="2" s="1"/>
  <c r="AB2193" i="2" s="1"/>
  <c r="AB2214" i="2" s="1"/>
  <c r="AE1458" i="2"/>
  <c r="AE1459" i="2"/>
  <c r="AE1460" i="2"/>
  <c r="AE1461" i="2"/>
  <c r="AE1462" i="2"/>
  <c r="AE1463" i="2"/>
  <c r="AE1464" i="2"/>
  <c r="AE1465" i="2"/>
  <c r="AB1466" i="2"/>
  <c r="AB1487" i="2" s="1"/>
  <c r="AB1508" i="2" s="1"/>
  <c r="AB1529" i="2" s="1"/>
  <c r="AB1550" i="2" s="1"/>
  <c r="AB1571" i="2" s="1"/>
  <c r="AB1592" i="2" s="1"/>
  <c r="AB1613" i="2" s="1"/>
  <c r="AB1634" i="2" s="1"/>
  <c r="AB1655" i="2" s="1"/>
  <c r="AB1676" i="2" s="1"/>
  <c r="AB1697" i="2" s="1"/>
  <c r="AB1718" i="2" s="1"/>
  <c r="AB1739" i="2" s="1"/>
  <c r="AB1760" i="2" s="1"/>
  <c r="AB1781" i="2" s="1"/>
  <c r="AB1802" i="2" s="1"/>
  <c r="AB1823" i="2" s="1"/>
  <c r="AB1844" i="2" s="1"/>
  <c r="AB1865" i="2" s="1"/>
  <c r="AB1886" i="2" s="1"/>
  <c r="AB1907" i="2" s="1"/>
  <c r="AB1928" i="2" s="1"/>
  <c r="AE1466" i="2"/>
  <c r="AE1467" i="2"/>
  <c r="AE1468" i="2"/>
  <c r="AE1469" i="2"/>
  <c r="AB1470" i="2"/>
  <c r="AB1491" i="2" s="1"/>
  <c r="AB1512" i="2" s="1"/>
  <c r="AB1533" i="2" s="1"/>
  <c r="AB1554" i="2" s="1"/>
  <c r="AB1575" i="2" s="1"/>
  <c r="AB1596" i="2" s="1"/>
  <c r="AB1617" i="2" s="1"/>
  <c r="AB1638" i="2" s="1"/>
  <c r="AB1659" i="2" s="1"/>
  <c r="AB1680" i="2" s="1"/>
  <c r="AB1701" i="2" s="1"/>
  <c r="AB1722" i="2" s="1"/>
  <c r="AB1743" i="2" s="1"/>
  <c r="AB1764" i="2" s="1"/>
  <c r="AB1785" i="2" s="1"/>
  <c r="AB1806" i="2" s="1"/>
  <c r="AB1827" i="2" s="1"/>
  <c r="AB1848" i="2" s="1"/>
  <c r="AB1869" i="2" s="1"/>
  <c r="AB1890" i="2" s="1"/>
  <c r="AB1911" i="2" s="1"/>
  <c r="AB1932" i="2" s="1"/>
  <c r="AB1953" i="2" s="1"/>
  <c r="AB1974" i="2" s="1"/>
  <c r="AB1995" i="2" s="1"/>
  <c r="AB2016" i="2" s="1"/>
  <c r="AB2037" i="2" s="1"/>
  <c r="AB2058" i="2" s="1"/>
  <c r="AB2079" i="2" s="1"/>
  <c r="AB2100" i="2" s="1"/>
  <c r="AB2121" i="2" s="1"/>
  <c r="AB2142" i="2" s="1"/>
  <c r="AB2163" i="2" s="1"/>
  <c r="AB2184" i="2" s="1"/>
  <c r="AB2205" i="2" s="1"/>
  <c r="AB2226" i="2" s="1"/>
  <c r="AE1470" i="2"/>
  <c r="AE1471" i="2"/>
  <c r="AE1472" i="2"/>
  <c r="AE1473" i="2"/>
  <c r="AB1474" i="2"/>
  <c r="AB1495" i="2" s="1"/>
  <c r="AB1516" i="2" s="1"/>
  <c r="AB1537" i="2" s="1"/>
  <c r="AB1558" i="2" s="1"/>
  <c r="AB1579" i="2" s="1"/>
  <c r="AB1600" i="2" s="1"/>
  <c r="AB1621" i="2" s="1"/>
  <c r="AB1642" i="2" s="1"/>
  <c r="AB1663" i="2" s="1"/>
  <c r="AB1684" i="2" s="1"/>
  <c r="AB1705" i="2" s="1"/>
  <c r="AB1726" i="2" s="1"/>
  <c r="AB1747" i="2" s="1"/>
  <c r="AB1768" i="2" s="1"/>
  <c r="AB1789" i="2" s="1"/>
  <c r="AB1810" i="2" s="1"/>
  <c r="AB1831" i="2" s="1"/>
  <c r="AB1852" i="2" s="1"/>
  <c r="AB1873" i="2" s="1"/>
  <c r="AB1894" i="2" s="1"/>
  <c r="AB1915" i="2" s="1"/>
  <c r="AB1936" i="2" s="1"/>
  <c r="AE1474" i="2"/>
  <c r="AE1475" i="2"/>
  <c r="AE1476" i="2"/>
  <c r="AE1477" i="2"/>
  <c r="AE1478" i="2"/>
  <c r="AE1479" i="2"/>
  <c r="AE1480" i="2"/>
  <c r="AB1481" i="2"/>
  <c r="AB1502" i="2" s="1"/>
  <c r="AB1523" i="2" s="1"/>
  <c r="AB1544" i="2" s="1"/>
  <c r="AB1565" i="2" s="1"/>
  <c r="AB1586" i="2" s="1"/>
  <c r="AB1607" i="2" s="1"/>
  <c r="AB1628" i="2" s="1"/>
  <c r="AB1649" i="2" s="1"/>
  <c r="AB1670" i="2" s="1"/>
  <c r="AB1691" i="2" s="1"/>
  <c r="AB1712" i="2" s="1"/>
  <c r="AB1733" i="2" s="1"/>
  <c r="AB1754" i="2" s="1"/>
  <c r="AB1775" i="2" s="1"/>
  <c r="AB1796" i="2" s="1"/>
  <c r="AB1817" i="2" s="1"/>
  <c r="AB1838" i="2" s="1"/>
  <c r="AB1859" i="2" s="1"/>
  <c r="AB1880" i="2" s="1"/>
  <c r="AE1481" i="2"/>
  <c r="AE1482" i="2"/>
  <c r="AE1483" i="2"/>
  <c r="AE1484" i="2"/>
  <c r="AE1485" i="2"/>
  <c r="AE1486" i="2"/>
  <c r="AE1487" i="2"/>
  <c r="AE1488" i="2"/>
  <c r="AB1489" i="2"/>
  <c r="AB1510" i="2" s="1"/>
  <c r="AB1531" i="2" s="1"/>
  <c r="AB1552" i="2" s="1"/>
  <c r="AB1573" i="2" s="1"/>
  <c r="AB1594" i="2" s="1"/>
  <c r="AB1615" i="2" s="1"/>
  <c r="AB1636" i="2" s="1"/>
  <c r="AB1657" i="2" s="1"/>
  <c r="AB1678" i="2" s="1"/>
  <c r="AB1699" i="2" s="1"/>
  <c r="AB1720" i="2" s="1"/>
  <c r="AB1741" i="2" s="1"/>
  <c r="AB1762" i="2" s="1"/>
  <c r="AB1783" i="2" s="1"/>
  <c r="AB1804" i="2" s="1"/>
  <c r="AB1825" i="2" s="1"/>
  <c r="AB1846" i="2" s="1"/>
  <c r="AB1867" i="2" s="1"/>
  <c r="AB1888" i="2" s="1"/>
  <c r="AB1909" i="2" s="1"/>
  <c r="AB1930" i="2" s="1"/>
  <c r="AB1951" i="2" s="1"/>
  <c r="AB1972" i="2" s="1"/>
  <c r="AB1993" i="2" s="1"/>
  <c r="AB2014" i="2" s="1"/>
  <c r="AB2035" i="2" s="1"/>
  <c r="AB2056" i="2" s="1"/>
  <c r="AB2077" i="2" s="1"/>
  <c r="AB2098" i="2" s="1"/>
  <c r="AB2119" i="2" s="1"/>
  <c r="AB2140" i="2" s="1"/>
  <c r="AB2161" i="2" s="1"/>
  <c r="AB2182" i="2" s="1"/>
  <c r="AB2203" i="2" s="1"/>
  <c r="AB2224" i="2" s="1"/>
  <c r="AB2245" i="2" s="1"/>
  <c r="AB2266" i="2" s="1"/>
  <c r="AE1489" i="2"/>
  <c r="AE1490" i="2"/>
  <c r="AE1491" i="2"/>
  <c r="AE1492" i="2"/>
  <c r="AE1493" i="2"/>
  <c r="AE1494" i="2"/>
  <c r="AE1495" i="2"/>
  <c r="AE1496" i="2"/>
  <c r="AE1497" i="2"/>
  <c r="AE1498" i="2"/>
  <c r="AE1499" i="2"/>
  <c r="AE1500" i="2"/>
  <c r="AE1501" i="2"/>
  <c r="AE1502" i="2"/>
  <c r="AE1503" i="2"/>
  <c r="AE1504" i="2"/>
  <c r="AB1505" i="2"/>
  <c r="AB1526" i="2" s="1"/>
  <c r="AB1547" i="2" s="1"/>
  <c r="AB1568" i="2" s="1"/>
  <c r="AB1589" i="2" s="1"/>
  <c r="AB1610" i="2" s="1"/>
  <c r="AB1631" i="2" s="1"/>
  <c r="AB1652" i="2" s="1"/>
  <c r="AB1673" i="2" s="1"/>
  <c r="AB1694" i="2" s="1"/>
  <c r="AB1715" i="2" s="1"/>
  <c r="AB1736" i="2" s="1"/>
  <c r="AB1757" i="2" s="1"/>
  <c r="AB1778" i="2" s="1"/>
  <c r="AB1799" i="2" s="1"/>
  <c r="AB1820" i="2" s="1"/>
  <c r="AB1841" i="2" s="1"/>
  <c r="AB1862" i="2" s="1"/>
  <c r="AB1883" i="2" s="1"/>
  <c r="AB1904" i="2" s="1"/>
  <c r="AE1505" i="2"/>
  <c r="AE1506" i="2"/>
  <c r="AB1507" i="2"/>
  <c r="AB1528" i="2" s="1"/>
  <c r="AE1507" i="2"/>
  <c r="AE1508" i="2"/>
  <c r="AB1509" i="2"/>
  <c r="AB1530" i="2" s="1"/>
  <c r="AB1551" i="2" s="1"/>
  <c r="AB1572" i="2" s="1"/>
  <c r="AB1593" i="2" s="1"/>
  <c r="AB1614" i="2" s="1"/>
  <c r="AB1635" i="2" s="1"/>
  <c r="AB1656" i="2" s="1"/>
  <c r="AB1677" i="2" s="1"/>
  <c r="AB1698" i="2" s="1"/>
  <c r="AB1719" i="2" s="1"/>
  <c r="AB1740" i="2" s="1"/>
  <c r="AB1761" i="2" s="1"/>
  <c r="AB1782" i="2" s="1"/>
  <c r="AB1803" i="2" s="1"/>
  <c r="AB1824" i="2" s="1"/>
  <c r="AB1845" i="2" s="1"/>
  <c r="AB1866" i="2" s="1"/>
  <c r="AB1887" i="2" s="1"/>
  <c r="AB1908" i="2" s="1"/>
  <c r="AB1929" i="2" s="1"/>
  <c r="AB1950" i="2" s="1"/>
  <c r="AB1971" i="2" s="1"/>
  <c r="AB1992" i="2" s="1"/>
  <c r="AB2013" i="2" s="1"/>
  <c r="AB2034" i="2" s="1"/>
  <c r="AB2055" i="2" s="1"/>
  <c r="AB2076" i="2" s="1"/>
  <c r="AB2097" i="2" s="1"/>
  <c r="AB2118" i="2" s="1"/>
  <c r="AB2139" i="2" s="1"/>
  <c r="AB2160" i="2" s="1"/>
  <c r="AB2181" i="2" s="1"/>
  <c r="AB2202" i="2" s="1"/>
  <c r="AE1509" i="2"/>
  <c r="AE1510" i="2"/>
  <c r="AE1511" i="2"/>
  <c r="AE1512" i="2"/>
  <c r="AB1513" i="2"/>
  <c r="AB1534" i="2" s="1"/>
  <c r="AB1555" i="2" s="1"/>
  <c r="AB1576" i="2" s="1"/>
  <c r="AB1597" i="2" s="1"/>
  <c r="AB1618" i="2" s="1"/>
  <c r="AB1639" i="2" s="1"/>
  <c r="AB1660" i="2" s="1"/>
  <c r="AB1681" i="2" s="1"/>
  <c r="AB1702" i="2" s="1"/>
  <c r="AB1723" i="2" s="1"/>
  <c r="AB1744" i="2" s="1"/>
  <c r="AB1765" i="2" s="1"/>
  <c r="AB1786" i="2" s="1"/>
  <c r="AB1807" i="2" s="1"/>
  <c r="AB1828" i="2" s="1"/>
  <c r="AB1849" i="2" s="1"/>
  <c r="AB1870" i="2" s="1"/>
  <c r="AB1891" i="2" s="1"/>
  <c r="AB1912" i="2" s="1"/>
  <c r="AB1933" i="2" s="1"/>
  <c r="AB1954" i="2" s="1"/>
  <c r="AB1975" i="2" s="1"/>
  <c r="AB1996" i="2" s="1"/>
  <c r="AB2017" i="2" s="1"/>
  <c r="AB2038" i="2" s="1"/>
  <c r="AB2059" i="2" s="1"/>
  <c r="AB2080" i="2" s="1"/>
  <c r="AB2101" i="2" s="1"/>
  <c r="AB2122" i="2" s="1"/>
  <c r="AB2143" i="2" s="1"/>
  <c r="AB2164" i="2" s="1"/>
  <c r="AB2185" i="2" s="1"/>
  <c r="AB2206" i="2" s="1"/>
  <c r="AB2227" i="2" s="1"/>
  <c r="AB2248" i="2" s="1"/>
  <c r="AB2269" i="2" s="1"/>
  <c r="AB2290" i="2" s="1"/>
  <c r="AB2311" i="2" s="1"/>
  <c r="AB2332" i="2" s="1"/>
  <c r="AB2353" i="2" s="1"/>
  <c r="AB2374" i="2" s="1"/>
  <c r="AE1513" i="2"/>
  <c r="AE1514" i="2"/>
  <c r="AB1515" i="2"/>
  <c r="AB1536" i="2" s="1"/>
  <c r="AE1515" i="2"/>
  <c r="AE1516" i="2"/>
  <c r="AB1517" i="2"/>
  <c r="AB1538" i="2" s="1"/>
  <c r="AB1559" i="2" s="1"/>
  <c r="AB1580" i="2" s="1"/>
  <c r="AB1601" i="2" s="1"/>
  <c r="AB1622" i="2" s="1"/>
  <c r="AB1643" i="2" s="1"/>
  <c r="AB1664" i="2" s="1"/>
  <c r="AB1685" i="2" s="1"/>
  <c r="AB1706" i="2" s="1"/>
  <c r="AB1727" i="2" s="1"/>
  <c r="AB1748" i="2" s="1"/>
  <c r="AB1769" i="2" s="1"/>
  <c r="AB1790" i="2" s="1"/>
  <c r="AB1811" i="2" s="1"/>
  <c r="AB1832" i="2" s="1"/>
  <c r="AB1853" i="2" s="1"/>
  <c r="AB1874" i="2" s="1"/>
  <c r="AB1895" i="2" s="1"/>
  <c r="AB1916" i="2" s="1"/>
  <c r="AE1517" i="2"/>
  <c r="AE1518" i="2"/>
  <c r="AE1519" i="2"/>
  <c r="AE1520" i="2"/>
  <c r="AE1521" i="2"/>
  <c r="AE1522" i="2"/>
  <c r="AE1523" i="2"/>
  <c r="AE1524" i="2"/>
  <c r="AE1525" i="2"/>
  <c r="AE1526" i="2"/>
  <c r="AE1527" i="2"/>
  <c r="AE1528" i="2"/>
  <c r="AE1529" i="2"/>
  <c r="AE1530" i="2"/>
  <c r="AE1531" i="2"/>
  <c r="AE1532" i="2"/>
  <c r="AE1533" i="2"/>
  <c r="AE1534" i="2"/>
  <c r="AE1535" i="2"/>
  <c r="AE1536" i="2"/>
  <c r="AE1537" i="2"/>
  <c r="AE1538" i="2"/>
  <c r="AE1539" i="2"/>
  <c r="AE1540" i="2"/>
  <c r="AE1541" i="2"/>
  <c r="AE1542" i="2"/>
  <c r="AE1543" i="2"/>
  <c r="AE1544" i="2"/>
  <c r="AE1545" i="2"/>
  <c r="AE1546" i="2"/>
  <c r="AE1547" i="2"/>
  <c r="AE1548" i="2"/>
  <c r="AB1549" i="2"/>
  <c r="AB1570" i="2" s="1"/>
  <c r="AB1591" i="2" s="1"/>
  <c r="AB1612" i="2" s="1"/>
  <c r="AB1633" i="2" s="1"/>
  <c r="AB1654" i="2" s="1"/>
  <c r="AB1675" i="2" s="1"/>
  <c r="AB1696" i="2" s="1"/>
  <c r="AB1717" i="2" s="1"/>
  <c r="AB1738" i="2" s="1"/>
  <c r="AB1759" i="2" s="1"/>
  <c r="AB1780" i="2" s="1"/>
  <c r="AB1801" i="2" s="1"/>
  <c r="AB1822" i="2" s="1"/>
  <c r="AB1843" i="2" s="1"/>
  <c r="AB1864" i="2" s="1"/>
  <c r="AB1885" i="2" s="1"/>
  <c r="AB1906" i="2" s="1"/>
  <c r="AB1927" i="2" s="1"/>
  <c r="AB1948" i="2" s="1"/>
  <c r="AB1969" i="2" s="1"/>
  <c r="AB1990" i="2" s="1"/>
  <c r="AB2011" i="2" s="1"/>
  <c r="AB2032" i="2" s="1"/>
  <c r="AB2053" i="2" s="1"/>
  <c r="AB2074" i="2" s="1"/>
  <c r="AB2095" i="2" s="1"/>
  <c r="AB2116" i="2" s="1"/>
  <c r="AB2137" i="2" s="1"/>
  <c r="AB2158" i="2" s="1"/>
  <c r="AB2179" i="2" s="1"/>
  <c r="AB2200" i="2" s="1"/>
  <c r="AB2221" i="2" s="1"/>
  <c r="AB2242" i="2" s="1"/>
  <c r="AB2263" i="2" s="1"/>
  <c r="AB2284" i="2" s="1"/>
  <c r="AB2305" i="2" s="1"/>
  <c r="AB2326" i="2" s="1"/>
  <c r="AE1549" i="2"/>
  <c r="AE1550" i="2"/>
  <c r="AE1551" i="2"/>
  <c r="AE1552" i="2"/>
  <c r="AE1553" i="2"/>
  <c r="AE1554" i="2"/>
  <c r="AE1555" i="2"/>
  <c r="AE1556" i="2"/>
  <c r="AB1557" i="2"/>
  <c r="AB1578" i="2" s="1"/>
  <c r="AB1599" i="2" s="1"/>
  <c r="AB1620" i="2" s="1"/>
  <c r="AB1641" i="2" s="1"/>
  <c r="AB1662" i="2" s="1"/>
  <c r="AB1683" i="2" s="1"/>
  <c r="AB1704" i="2" s="1"/>
  <c r="AB1725" i="2" s="1"/>
  <c r="AB1746" i="2" s="1"/>
  <c r="AB1767" i="2" s="1"/>
  <c r="AB1788" i="2" s="1"/>
  <c r="AB1809" i="2" s="1"/>
  <c r="AB1830" i="2" s="1"/>
  <c r="AB1851" i="2" s="1"/>
  <c r="AB1872" i="2" s="1"/>
  <c r="AB1893" i="2" s="1"/>
  <c r="AB1914" i="2" s="1"/>
  <c r="AB1935" i="2" s="1"/>
  <c r="AB1956" i="2" s="1"/>
  <c r="AE1557" i="2"/>
  <c r="AE1558" i="2"/>
  <c r="AE1559" i="2"/>
  <c r="AE1560" i="2"/>
  <c r="AE1561" i="2"/>
  <c r="AE1562" i="2"/>
  <c r="AE1563" i="2"/>
  <c r="AE1564" i="2"/>
  <c r="AE1565" i="2"/>
  <c r="AE1566" i="2"/>
  <c r="AE1567" i="2"/>
  <c r="AE1568" i="2"/>
  <c r="AE1569" i="2"/>
  <c r="AE1570" i="2"/>
  <c r="AE1571" i="2"/>
  <c r="AE1572" i="2"/>
  <c r="AE1573" i="2"/>
  <c r="AE1574" i="2"/>
  <c r="AE1575" i="2"/>
  <c r="AF1575" i="2" s="1"/>
  <c r="AE1576" i="2"/>
  <c r="AE1577" i="2"/>
  <c r="AE1578" i="2"/>
  <c r="AE1579" i="2"/>
  <c r="AE1580" i="2"/>
  <c r="AE1581" i="2"/>
  <c r="AE1582" i="2"/>
  <c r="AE1583" i="2"/>
  <c r="AE1584" i="2"/>
  <c r="AE1585" i="2"/>
  <c r="AE1586" i="2"/>
  <c r="AE1587" i="2"/>
  <c r="AE1588" i="2"/>
  <c r="AE1589" i="2"/>
  <c r="AE1590" i="2"/>
  <c r="AE1591" i="2"/>
  <c r="AE1592" i="2"/>
  <c r="AE1593" i="2"/>
  <c r="AE1594" i="2"/>
  <c r="AE1595" i="2"/>
  <c r="AE1596" i="2"/>
  <c r="AE1597" i="2"/>
  <c r="AE1598" i="2"/>
  <c r="AE1599" i="2"/>
  <c r="AE1600" i="2"/>
  <c r="AE1601" i="2"/>
  <c r="AE1602" i="2"/>
  <c r="AE1603" i="2"/>
  <c r="AE1604" i="2"/>
  <c r="AE1605" i="2"/>
  <c r="AE1606" i="2"/>
  <c r="AE1607" i="2"/>
  <c r="AE1608" i="2"/>
  <c r="AE1609" i="2"/>
  <c r="AE1610" i="2"/>
  <c r="AE1611" i="2"/>
  <c r="AE1612" i="2"/>
  <c r="AE1613" i="2"/>
  <c r="AE1614" i="2"/>
  <c r="AE1615" i="2"/>
  <c r="AE1616" i="2"/>
  <c r="AE1617" i="2"/>
  <c r="AE1618" i="2"/>
  <c r="AE1619" i="2"/>
  <c r="AE1620" i="2"/>
  <c r="AE1621" i="2"/>
  <c r="AE1622" i="2"/>
  <c r="AE1623" i="2"/>
  <c r="AE1624" i="2"/>
  <c r="AE1625" i="2"/>
  <c r="AE1626" i="2"/>
  <c r="AE1627" i="2"/>
  <c r="AE1628" i="2"/>
  <c r="AE1629" i="2"/>
  <c r="AE1630" i="2"/>
  <c r="AE1631" i="2"/>
  <c r="AE1632" i="2"/>
  <c r="AE1633" i="2"/>
  <c r="AE1634" i="2"/>
  <c r="AE1635" i="2"/>
  <c r="AE1636" i="2"/>
  <c r="AE1637" i="2"/>
  <c r="AE1638" i="2"/>
  <c r="AE1639" i="2"/>
  <c r="AE1640" i="2"/>
  <c r="AE1641" i="2"/>
  <c r="AE1642" i="2"/>
  <c r="AE1643" i="2"/>
  <c r="AE1644" i="2"/>
  <c r="AE1645" i="2"/>
  <c r="AE1646" i="2"/>
  <c r="AE1647" i="2"/>
  <c r="AE1648" i="2"/>
  <c r="AE1649" i="2"/>
  <c r="AE1650" i="2"/>
  <c r="AE1651" i="2"/>
  <c r="AE1652" i="2"/>
  <c r="AE1653" i="2"/>
  <c r="AE1654" i="2"/>
  <c r="AE1655" i="2"/>
  <c r="AE1656" i="2"/>
  <c r="AE1657" i="2"/>
  <c r="AE1658" i="2"/>
  <c r="AE1659" i="2"/>
  <c r="AE1660" i="2"/>
  <c r="AE1661" i="2"/>
  <c r="AE1662" i="2"/>
  <c r="AE1663" i="2"/>
  <c r="AE1664" i="2"/>
  <c r="AE1665" i="2"/>
  <c r="AE1666" i="2"/>
  <c r="AE1667" i="2"/>
  <c r="AE1668" i="2"/>
  <c r="AE1669" i="2"/>
  <c r="AE1670" i="2"/>
  <c r="AE1671" i="2"/>
  <c r="AE1672" i="2"/>
  <c r="AE1673" i="2"/>
  <c r="AE1674" i="2"/>
  <c r="AE1675" i="2"/>
  <c r="AE1676" i="2"/>
  <c r="AE1677" i="2"/>
  <c r="AE1678" i="2"/>
  <c r="AE1679" i="2"/>
  <c r="AE1680" i="2"/>
  <c r="AE1681" i="2"/>
  <c r="AE1682" i="2"/>
  <c r="AE1683" i="2"/>
  <c r="AE1684" i="2"/>
  <c r="AE1685" i="2"/>
  <c r="AE1686" i="2"/>
  <c r="AE1687" i="2"/>
  <c r="AE1688" i="2"/>
  <c r="AE1689" i="2"/>
  <c r="AE1690" i="2"/>
  <c r="AE1691" i="2"/>
  <c r="AE1692" i="2"/>
  <c r="AE1693" i="2"/>
  <c r="AE1694" i="2"/>
  <c r="AE1695" i="2"/>
  <c r="AE1696" i="2"/>
  <c r="AE1697" i="2"/>
  <c r="AE1698" i="2"/>
  <c r="AE1699" i="2"/>
  <c r="AE1700" i="2"/>
  <c r="AE1701" i="2"/>
  <c r="AE1702" i="2"/>
  <c r="AE1703" i="2"/>
  <c r="AE1704" i="2"/>
  <c r="AE1705" i="2"/>
  <c r="AE1706" i="2"/>
  <c r="AE1707" i="2"/>
  <c r="AE1708" i="2"/>
  <c r="AE1709" i="2"/>
  <c r="AE1710" i="2"/>
  <c r="AE1711" i="2"/>
  <c r="AE1712" i="2"/>
  <c r="AE1713" i="2"/>
  <c r="AE1714" i="2"/>
  <c r="AE1715" i="2"/>
  <c r="AE1716" i="2"/>
  <c r="AE1717" i="2"/>
  <c r="AE1718" i="2"/>
  <c r="AE1719" i="2"/>
  <c r="AE1720" i="2"/>
  <c r="AE1721" i="2"/>
  <c r="AE1722" i="2"/>
  <c r="AE1723" i="2"/>
  <c r="AE1724" i="2"/>
  <c r="AE1725" i="2"/>
  <c r="AE1726" i="2"/>
  <c r="AE1727" i="2"/>
  <c r="AE1728" i="2"/>
  <c r="AE1729" i="2"/>
  <c r="AE1730" i="2"/>
  <c r="AE1731" i="2"/>
  <c r="AE1732" i="2"/>
  <c r="AE1733" i="2"/>
  <c r="AE1734" i="2"/>
  <c r="AE1735" i="2"/>
  <c r="AE1736" i="2"/>
  <c r="AE1737" i="2"/>
  <c r="AE1738" i="2"/>
  <c r="AE1739" i="2"/>
  <c r="AE1740" i="2"/>
  <c r="AE1741" i="2"/>
  <c r="AE1742" i="2"/>
  <c r="AE1743" i="2"/>
  <c r="AE1744" i="2"/>
  <c r="AE1745" i="2"/>
  <c r="AE1746" i="2"/>
  <c r="AE1747" i="2"/>
  <c r="AE1748" i="2"/>
  <c r="AE1749" i="2"/>
  <c r="AE1750" i="2"/>
  <c r="AE1751" i="2"/>
  <c r="AE1752" i="2"/>
  <c r="AE1753" i="2"/>
  <c r="AE1754" i="2"/>
  <c r="AE1755" i="2"/>
  <c r="AE1756" i="2"/>
  <c r="AE1757" i="2"/>
  <c r="AE1758" i="2"/>
  <c r="AE1759" i="2"/>
  <c r="AE1760" i="2"/>
  <c r="AE1761" i="2"/>
  <c r="AE1762" i="2"/>
  <c r="AE1763" i="2"/>
  <c r="AE1764" i="2"/>
  <c r="AE1765" i="2"/>
  <c r="AE1766" i="2"/>
  <c r="AE1767" i="2"/>
  <c r="AE1768" i="2"/>
  <c r="AE1769" i="2"/>
  <c r="AE1770" i="2"/>
  <c r="AE1771" i="2"/>
  <c r="AE1772" i="2"/>
  <c r="AE1773" i="2"/>
  <c r="AE1774" i="2"/>
  <c r="AE1775" i="2"/>
  <c r="AE1776" i="2"/>
  <c r="AE1777" i="2"/>
  <c r="AE1778" i="2"/>
  <c r="AE1779" i="2"/>
  <c r="AE1780" i="2"/>
  <c r="AE1781" i="2"/>
  <c r="AE1782" i="2"/>
  <c r="AE1783" i="2"/>
  <c r="AE1784" i="2"/>
  <c r="AE1785" i="2"/>
  <c r="AE1786" i="2"/>
  <c r="AE1787" i="2"/>
  <c r="AE1788" i="2"/>
  <c r="AE1789" i="2"/>
  <c r="AE1790" i="2"/>
  <c r="AE1791" i="2"/>
  <c r="AE1792" i="2"/>
  <c r="AE1793" i="2"/>
  <c r="AE1794" i="2"/>
  <c r="AE1795" i="2"/>
  <c r="AE1796" i="2"/>
  <c r="AE1797" i="2"/>
  <c r="AE1798" i="2"/>
  <c r="AE1799" i="2"/>
  <c r="AE1800" i="2"/>
  <c r="AE1801" i="2"/>
  <c r="AE1802" i="2"/>
  <c r="AE1803" i="2"/>
  <c r="AE1804" i="2"/>
  <c r="AE1805" i="2"/>
  <c r="AE1806" i="2"/>
  <c r="AE1807" i="2"/>
  <c r="AE1808" i="2"/>
  <c r="AE1809" i="2"/>
  <c r="AE1810" i="2"/>
  <c r="AE1811" i="2"/>
  <c r="AE1812" i="2"/>
  <c r="AE1813" i="2"/>
  <c r="AE1814" i="2"/>
  <c r="AE1815" i="2"/>
  <c r="AE1816" i="2"/>
  <c r="AE1817" i="2"/>
  <c r="AE1818" i="2"/>
  <c r="AE1819" i="2"/>
  <c r="AE1820" i="2"/>
  <c r="AE1821" i="2"/>
  <c r="AE1822" i="2"/>
  <c r="AE1823" i="2"/>
  <c r="AE1824" i="2"/>
  <c r="AE1825" i="2"/>
  <c r="AE1826" i="2"/>
  <c r="AE1827" i="2"/>
  <c r="AE1828" i="2"/>
  <c r="AE1829" i="2"/>
  <c r="AE1830" i="2"/>
  <c r="AE1831" i="2"/>
  <c r="AE1832" i="2"/>
  <c r="AE1833" i="2"/>
  <c r="AE1834" i="2"/>
  <c r="AE1835" i="2"/>
  <c r="AE1836" i="2"/>
  <c r="AE1837" i="2"/>
  <c r="AE1838" i="2"/>
  <c r="AE1839" i="2"/>
  <c r="AE1840" i="2"/>
  <c r="AE1841" i="2"/>
  <c r="AE1842" i="2"/>
  <c r="AE1843" i="2"/>
  <c r="AE1844" i="2"/>
  <c r="AE1845" i="2"/>
  <c r="AE1846" i="2"/>
  <c r="AE1847" i="2"/>
  <c r="AE1848" i="2"/>
  <c r="AE1849" i="2"/>
  <c r="AE1850" i="2"/>
  <c r="AE1851" i="2"/>
  <c r="AE1852" i="2"/>
  <c r="AE1853" i="2"/>
  <c r="AE1854" i="2"/>
  <c r="AE1855" i="2"/>
  <c r="AE1856" i="2"/>
  <c r="AE1857" i="2"/>
  <c r="AE1858" i="2"/>
  <c r="AE1859" i="2"/>
  <c r="AE1860" i="2"/>
  <c r="AE1861" i="2"/>
  <c r="AE1862" i="2"/>
  <c r="AE1863" i="2"/>
  <c r="AE1864" i="2"/>
  <c r="AE1865" i="2"/>
  <c r="AE1866" i="2"/>
  <c r="AE1867" i="2"/>
  <c r="AE1868" i="2"/>
  <c r="AE1869" i="2"/>
  <c r="AE1870" i="2"/>
  <c r="AE1871" i="2"/>
  <c r="AE1872" i="2"/>
  <c r="AE1873" i="2"/>
  <c r="AE1874" i="2"/>
  <c r="AE1875" i="2"/>
  <c r="AE1876" i="2"/>
  <c r="AE1877" i="2"/>
  <c r="AE1878" i="2"/>
  <c r="AE1879" i="2"/>
  <c r="AE1880" i="2"/>
  <c r="AE1881" i="2"/>
  <c r="AE1882" i="2"/>
  <c r="AE1883" i="2"/>
  <c r="AE1884" i="2"/>
  <c r="AE1885" i="2"/>
  <c r="AE1886" i="2"/>
  <c r="AE1887" i="2"/>
  <c r="AE1888" i="2"/>
  <c r="AE1889" i="2"/>
  <c r="AE1890" i="2"/>
  <c r="AE1891" i="2"/>
  <c r="AE1892" i="2"/>
  <c r="AE1893" i="2"/>
  <c r="AE1894" i="2"/>
  <c r="AE1895" i="2"/>
  <c r="AE1896" i="2"/>
  <c r="AE1897" i="2"/>
  <c r="AE1898" i="2"/>
  <c r="AE1899" i="2"/>
  <c r="AE1900" i="2"/>
  <c r="AB1901" i="2"/>
  <c r="AB1922" i="2" s="1"/>
  <c r="AB1943" i="2" s="1"/>
  <c r="AB1964" i="2" s="1"/>
  <c r="AE1901" i="2"/>
  <c r="AE1902" i="2"/>
  <c r="AE1903" i="2"/>
  <c r="AE1904" i="2"/>
  <c r="AE1905" i="2"/>
  <c r="AE1906" i="2"/>
  <c r="AE1907" i="2"/>
  <c r="AE1908" i="2"/>
  <c r="AE1909" i="2"/>
  <c r="AE1910" i="2"/>
  <c r="AE1911" i="2"/>
  <c r="AE1912" i="2"/>
  <c r="AE1913" i="2"/>
  <c r="AE1914" i="2"/>
  <c r="AE1915" i="2"/>
  <c r="AE1916" i="2"/>
  <c r="AB1917" i="2"/>
  <c r="AB1938" i="2" s="1"/>
  <c r="AB1959" i="2" s="1"/>
  <c r="AB1980" i="2" s="1"/>
  <c r="AE1917" i="2"/>
  <c r="AE1918" i="2"/>
  <c r="AE1919" i="2"/>
  <c r="AE1920" i="2"/>
  <c r="AB1921" i="2"/>
  <c r="AB1942" i="2" s="1"/>
  <c r="AB1963" i="2" s="1"/>
  <c r="AB1984" i="2" s="1"/>
  <c r="AE1921" i="2"/>
  <c r="AE1922" i="2"/>
  <c r="AE1923" i="2"/>
  <c r="AE1924" i="2"/>
  <c r="AB1925" i="2"/>
  <c r="AB1946" i="2" s="1"/>
  <c r="AB1967" i="2" s="1"/>
  <c r="AB1988" i="2" s="1"/>
  <c r="AE1925" i="2"/>
  <c r="AE1926" i="2"/>
  <c r="AE1927" i="2"/>
  <c r="AE1928" i="2"/>
  <c r="AE1929" i="2"/>
  <c r="AE1930" i="2"/>
  <c r="AE1931" i="2"/>
  <c r="AE1932" i="2"/>
  <c r="AE1933" i="2"/>
  <c r="AE1934" i="2"/>
  <c r="AE1935" i="2"/>
  <c r="AE1936" i="2"/>
  <c r="AB1937" i="2"/>
  <c r="AB1958" i="2" s="1"/>
  <c r="AB1979" i="2" s="1"/>
  <c r="AB2000" i="2" s="1"/>
  <c r="AE1937" i="2"/>
  <c r="AE1938" i="2"/>
  <c r="AE1939" i="2"/>
  <c r="AE1940" i="2"/>
  <c r="AE1941" i="2"/>
  <c r="AE1942" i="2"/>
  <c r="AE1943" i="2"/>
  <c r="AE1944" i="2"/>
  <c r="AE1945" i="2"/>
  <c r="AE1946" i="2"/>
  <c r="AE1947" i="2"/>
  <c r="AE1948" i="2"/>
  <c r="AB1949" i="2"/>
  <c r="AB1970" i="2" s="1"/>
  <c r="AB1991" i="2" s="1"/>
  <c r="AB2012" i="2" s="1"/>
  <c r="AE1949" i="2"/>
  <c r="AE1950" i="2"/>
  <c r="AE1951" i="2"/>
  <c r="AE1952" i="2"/>
  <c r="AE1953" i="2"/>
  <c r="AE1954" i="2"/>
  <c r="AE1955" i="2"/>
  <c r="AE1956" i="2"/>
  <c r="AB1957" i="2"/>
  <c r="AB1978" i="2" s="1"/>
  <c r="AB1999" i="2" s="1"/>
  <c r="AB2020" i="2" s="1"/>
  <c r="AE1957" i="2"/>
  <c r="AE1958" i="2"/>
  <c r="AE1959" i="2"/>
  <c r="AE1960" i="2"/>
  <c r="AE1961" i="2"/>
  <c r="AE1962" i="2"/>
  <c r="AE1963" i="2"/>
  <c r="AE1964" i="2"/>
  <c r="AE1965" i="2"/>
  <c r="AE1966" i="2"/>
  <c r="AE1967" i="2"/>
  <c r="AE1968" i="2"/>
  <c r="AE1969" i="2"/>
  <c r="AE1970" i="2"/>
  <c r="AE1971" i="2"/>
  <c r="AE1972" i="2"/>
  <c r="AB1973" i="2"/>
  <c r="AB1994" i="2" s="1"/>
  <c r="AB2015" i="2" s="1"/>
  <c r="AB2036" i="2" s="1"/>
  <c r="AE1973" i="2"/>
  <c r="AE1974" i="2"/>
  <c r="AE1975" i="2"/>
  <c r="AE1976" i="2"/>
  <c r="AB1977" i="2"/>
  <c r="AB1998" i="2" s="1"/>
  <c r="AB2019" i="2" s="1"/>
  <c r="AB2040" i="2" s="1"/>
  <c r="AE1977" i="2"/>
  <c r="AE1978" i="2"/>
  <c r="AE1979" i="2"/>
  <c r="AE1980" i="2"/>
  <c r="AE1981" i="2"/>
  <c r="AE1982" i="2"/>
  <c r="AE1983" i="2"/>
  <c r="AE1984" i="2"/>
  <c r="AB1985" i="2"/>
  <c r="AB2006" i="2" s="1"/>
  <c r="AB2027" i="2" s="1"/>
  <c r="AB2048" i="2" s="1"/>
  <c r="AE1985" i="2"/>
  <c r="AE1986" i="2"/>
  <c r="AE1987" i="2"/>
  <c r="AE1988" i="2"/>
  <c r="AE1989" i="2"/>
  <c r="AE1990" i="2"/>
  <c r="AE1991" i="2"/>
  <c r="AE1992" i="2"/>
  <c r="AE1993" i="2"/>
  <c r="AE1994" i="2"/>
  <c r="AE1995" i="2"/>
  <c r="AE1996" i="2"/>
  <c r="AE1997" i="2"/>
  <c r="AE1998" i="2"/>
  <c r="AE1999" i="2"/>
  <c r="AE2000" i="2"/>
  <c r="AB2001" i="2"/>
  <c r="AB2022" i="2" s="1"/>
  <c r="AB2043" i="2" s="1"/>
  <c r="AB2064" i="2" s="1"/>
  <c r="AE2001" i="2"/>
  <c r="AE2002" i="2"/>
  <c r="AE2003" i="2"/>
  <c r="AE2004" i="2"/>
  <c r="AB2005" i="2"/>
  <c r="AB2026" i="2" s="1"/>
  <c r="AB2047" i="2" s="1"/>
  <c r="AB2068" i="2" s="1"/>
  <c r="AE2005" i="2"/>
  <c r="AE2006" i="2"/>
  <c r="AE2007" i="2"/>
  <c r="AE2008" i="2"/>
  <c r="AB2009" i="2"/>
  <c r="AB2030" i="2" s="1"/>
  <c r="AB2051" i="2" s="1"/>
  <c r="AB2072" i="2" s="1"/>
  <c r="AE2009" i="2"/>
  <c r="AE2010" i="2"/>
  <c r="AE2011" i="2"/>
  <c r="AE2012" i="2"/>
  <c r="AE2013" i="2"/>
  <c r="AE2014" i="2"/>
  <c r="AE2015" i="2"/>
  <c r="AE2016" i="2"/>
  <c r="AE2017" i="2"/>
  <c r="AE2018" i="2"/>
  <c r="AE2019" i="2"/>
  <c r="AE2020" i="2"/>
  <c r="AB2021" i="2"/>
  <c r="AB2042" i="2" s="1"/>
  <c r="AB2063" i="2" s="1"/>
  <c r="AB2084" i="2" s="1"/>
  <c r="AE2021" i="2"/>
  <c r="AE2022" i="2"/>
  <c r="AE2023" i="2"/>
  <c r="AE2024" i="2"/>
  <c r="AE2025" i="2"/>
  <c r="AE2026" i="2"/>
  <c r="AE2027" i="2"/>
  <c r="AE2028" i="2"/>
  <c r="AE2029" i="2"/>
  <c r="AE2030" i="2"/>
  <c r="AE2031" i="2"/>
  <c r="AE2032" i="2"/>
  <c r="AB2033" i="2"/>
  <c r="AB2054" i="2" s="1"/>
  <c r="AB2075" i="2" s="1"/>
  <c r="AB2096" i="2" s="1"/>
  <c r="AE2033" i="2"/>
  <c r="AE2034" i="2"/>
  <c r="AE2035" i="2"/>
  <c r="AE2036" i="2"/>
  <c r="AE2037" i="2"/>
  <c r="AE2038" i="2"/>
  <c r="AE2039" i="2"/>
  <c r="AE2040" i="2"/>
  <c r="AB2041" i="2"/>
  <c r="AB2062" i="2" s="1"/>
  <c r="AB2083" i="2" s="1"/>
  <c r="AB2104" i="2" s="1"/>
  <c r="AE2041" i="2"/>
  <c r="AE2042" i="2"/>
  <c r="AE2043" i="2"/>
  <c r="AE2044" i="2"/>
  <c r="AE2045" i="2"/>
  <c r="AE2046" i="2"/>
  <c r="AE2047" i="2"/>
  <c r="AE2048" i="2"/>
  <c r="AE2049" i="2"/>
  <c r="AE2050" i="2"/>
  <c r="AE2051" i="2"/>
  <c r="AE2052" i="2"/>
  <c r="AE2053" i="2"/>
  <c r="AE2054" i="2"/>
  <c r="AE2055" i="2"/>
  <c r="AE2056" i="2"/>
  <c r="AB2057" i="2"/>
  <c r="AB2078" i="2" s="1"/>
  <c r="AB2099" i="2" s="1"/>
  <c r="AB2120" i="2" s="1"/>
  <c r="AE2057" i="2"/>
  <c r="AE2058" i="2"/>
  <c r="AE2059" i="2"/>
  <c r="AE2060" i="2"/>
  <c r="AB2061" i="2"/>
  <c r="AB2082" i="2" s="1"/>
  <c r="AB2103" i="2" s="1"/>
  <c r="AB2124" i="2" s="1"/>
  <c r="AE2061" i="2"/>
  <c r="AE2062" i="2"/>
  <c r="AE2063" i="2"/>
  <c r="AE2064" i="2"/>
  <c r="AE2065" i="2"/>
  <c r="AE2066" i="2"/>
  <c r="AE2067" i="2"/>
  <c r="AE2068" i="2"/>
  <c r="AB2069" i="2"/>
  <c r="AB2090" i="2" s="1"/>
  <c r="AB2111" i="2" s="1"/>
  <c r="AB2132" i="2" s="1"/>
  <c r="AE2069" i="2"/>
  <c r="AE2070" i="2"/>
  <c r="AE2071" i="2"/>
  <c r="AE2072" i="2"/>
  <c r="AE2073" i="2"/>
  <c r="AE2074" i="2"/>
  <c r="AE2075" i="2"/>
  <c r="AE2076" i="2"/>
  <c r="AE2077" i="2"/>
  <c r="AE2078" i="2"/>
  <c r="AE2079" i="2"/>
  <c r="AE2080" i="2"/>
  <c r="AE2081" i="2"/>
  <c r="AE2082" i="2"/>
  <c r="AE2083" i="2"/>
  <c r="AE2084" i="2"/>
  <c r="AB2085" i="2"/>
  <c r="AB2106" i="2" s="1"/>
  <c r="AB2127" i="2" s="1"/>
  <c r="AB2148" i="2" s="1"/>
  <c r="AE2085" i="2"/>
  <c r="AE2086" i="2"/>
  <c r="AE2087" i="2"/>
  <c r="AE2088" i="2"/>
  <c r="AB2089" i="2"/>
  <c r="AB2110" i="2" s="1"/>
  <c r="AB2131" i="2" s="1"/>
  <c r="AB2152" i="2" s="1"/>
  <c r="AE2089" i="2"/>
  <c r="AE2090" i="2"/>
  <c r="AE2091" i="2"/>
  <c r="AE2092" i="2"/>
  <c r="AB2093" i="2"/>
  <c r="AB2114" i="2" s="1"/>
  <c r="AB2135" i="2" s="1"/>
  <c r="AB2156" i="2" s="1"/>
  <c r="AE2093" i="2"/>
  <c r="AE2094" i="2"/>
  <c r="AE2095" i="2"/>
  <c r="AE2096" i="2"/>
  <c r="AE2097" i="2"/>
  <c r="AE2098" i="2"/>
  <c r="AE2099" i="2"/>
  <c r="AE2100" i="2"/>
  <c r="AE2101" i="2"/>
  <c r="AE2102" i="2"/>
  <c r="AE2103" i="2"/>
  <c r="AE2104" i="2"/>
  <c r="AB2105" i="2"/>
  <c r="AB2126" i="2" s="1"/>
  <c r="AB2147" i="2" s="1"/>
  <c r="AB2168" i="2" s="1"/>
  <c r="AE2105" i="2"/>
  <c r="AE2106" i="2"/>
  <c r="AE2107" i="2"/>
  <c r="AE2108" i="2"/>
  <c r="AE2109" i="2"/>
  <c r="AE2110" i="2"/>
  <c r="AE2111" i="2"/>
  <c r="AE2112" i="2"/>
  <c r="AE2113" i="2"/>
  <c r="AE2114" i="2"/>
  <c r="AE2115" i="2"/>
  <c r="AE2116" i="2"/>
  <c r="AB2117" i="2"/>
  <c r="AB2138" i="2" s="1"/>
  <c r="AB2159" i="2" s="1"/>
  <c r="AB2180" i="2" s="1"/>
  <c r="AE2117" i="2"/>
  <c r="AE2118" i="2"/>
  <c r="AE2119" i="2"/>
  <c r="AE2120" i="2"/>
  <c r="AE2121" i="2"/>
  <c r="AE2122" i="2"/>
  <c r="AE2123" i="2"/>
  <c r="AE2124" i="2"/>
  <c r="AB2125" i="2"/>
  <c r="AB2146" i="2" s="1"/>
  <c r="AB2167" i="2" s="1"/>
  <c r="AB2188" i="2" s="1"/>
  <c r="AE2125" i="2"/>
  <c r="AE2126" i="2"/>
  <c r="AE2127" i="2"/>
  <c r="AE2128" i="2"/>
  <c r="AE2129" i="2"/>
  <c r="AE2130" i="2"/>
  <c r="AE2131" i="2"/>
  <c r="AE2132" i="2"/>
  <c r="AE2133" i="2"/>
  <c r="AE2134" i="2"/>
  <c r="AE2135" i="2"/>
  <c r="AE2136" i="2"/>
  <c r="AE2137" i="2"/>
  <c r="AE2138" i="2"/>
  <c r="AE2139" i="2"/>
  <c r="AE2140" i="2"/>
  <c r="AB2141" i="2"/>
  <c r="AB2162" i="2" s="1"/>
  <c r="AB2183" i="2" s="1"/>
  <c r="AB2204" i="2" s="1"/>
  <c r="AB2225" i="2" s="1"/>
  <c r="AE2141" i="2"/>
  <c r="AE2142" i="2"/>
  <c r="AE2143" i="2"/>
  <c r="AE2144" i="2"/>
  <c r="AB2145" i="2"/>
  <c r="AB2166" i="2" s="1"/>
  <c r="AB2187" i="2" s="1"/>
  <c r="AB2208" i="2" s="1"/>
  <c r="AB2229" i="2" s="1"/>
  <c r="AE2145" i="2"/>
  <c r="AE2146" i="2"/>
  <c r="AE2147" i="2"/>
  <c r="AE2148" i="2"/>
  <c r="AE2149" i="2"/>
  <c r="AE2150" i="2"/>
  <c r="AE2151" i="2"/>
  <c r="AE2152" i="2"/>
  <c r="AB2153" i="2"/>
  <c r="AB2174" i="2" s="1"/>
  <c r="AB2195" i="2" s="1"/>
  <c r="AB2216" i="2" s="1"/>
  <c r="AB2237" i="2" s="1"/>
  <c r="AE2153" i="2"/>
  <c r="AE2154" i="2"/>
  <c r="AE2155" i="2"/>
  <c r="AE2156" i="2"/>
  <c r="AE2157" i="2"/>
  <c r="AE2158" i="2"/>
  <c r="AE2159" i="2"/>
  <c r="AE2160" i="2"/>
  <c r="AE2161" i="2"/>
  <c r="AE2162" i="2"/>
  <c r="AE2163" i="2"/>
  <c r="AE2164" i="2"/>
  <c r="AE2165" i="2"/>
  <c r="AE2166" i="2"/>
  <c r="AE2167" i="2"/>
  <c r="AE2168" i="2"/>
  <c r="AB2169" i="2"/>
  <c r="AB2190" i="2" s="1"/>
  <c r="AB2211" i="2" s="1"/>
  <c r="AE2169" i="2"/>
  <c r="AE2170" i="2"/>
  <c r="AE2171" i="2"/>
  <c r="AE2172" i="2"/>
  <c r="AB2173" i="2"/>
  <c r="AB2194" i="2" s="1"/>
  <c r="AB2215" i="2" s="1"/>
  <c r="AE2173" i="2"/>
  <c r="AE2174" i="2"/>
  <c r="AE2175" i="2"/>
  <c r="AE2176" i="2"/>
  <c r="AB2177" i="2"/>
  <c r="AB2198" i="2" s="1"/>
  <c r="AB2219" i="2" s="1"/>
  <c r="AE2177" i="2"/>
  <c r="AE2178" i="2"/>
  <c r="AE2179" i="2"/>
  <c r="AE2180" i="2"/>
  <c r="AE2181" i="2"/>
  <c r="AE2182" i="2"/>
  <c r="AE2183" i="2"/>
  <c r="AE2184" i="2"/>
  <c r="AE2185" i="2"/>
  <c r="AE2186" i="2"/>
  <c r="AE2187" i="2"/>
  <c r="AE2188" i="2"/>
  <c r="AB2189" i="2"/>
  <c r="AB2210" i="2" s="1"/>
  <c r="AE2189" i="2"/>
  <c r="AE2190" i="2"/>
  <c r="AE2191" i="2"/>
  <c r="AE2192" i="2"/>
  <c r="AE2193" i="2"/>
  <c r="AE2194" i="2"/>
  <c r="AE2195" i="2"/>
  <c r="AE2196" i="2"/>
  <c r="AE2197" i="2"/>
  <c r="AE2198" i="2"/>
  <c r="AE2199" i="2"/>
  <c r="AE2200" i="2"/>
  <c r="AB2201" i="2"/>
  <c r="AE2201" i="2"/>
  <c r="AE2202" i="2"/>
  <c r="AE2203" i="2"/>
  <c r="AE2204" i="2"/>
  <c r="AE2205" i="2"/>
  <c r="AE2206" i="2"/>
  <c r="AE2207" i="2"/>
  <c r="AE2208" i="2"/>
  <c r="AB2209" i="2"/>
  <c r="AE2209" i="2"/>
  <c r="AE2210" i="2"/>
  <c r="AE2211" i="2"/>
  <c r="AE2212" i="2"/>
  <c r="AE2213" i="2"/>
  <c r="AE2214" i="2"/>
  <c r="AE2215" i="2"/>
  <c r="AE2216" i="2"/>
  <c r="AE2217" i="2"/>
  <c r="AE2218" i="2"/>
  <c r="AE2219" i="2"/>
  <c r="AE2220" i="2"/>
  <c r="AE2221" i="2"/>
  <c r="AB2222" i="2"/>
  <c r="AE2222" i="2"/>
  <c r="AB2223" i="2"/>
  <c r="AE2223" i="2"/>
  <c r="AE2224" i="2"/>
  <c r="AE2225" i="2"/>
  <c r="AE2226" i="2"/>
  <c r="AE2227" i="2"/>
  <c r="AE2228" i="2"/>
  <c r="AE2229" i="2"/>
  <c r="AB2230" i="2"/>
  <c r="AE2230" i="2"/>
  <c r="AB2231" i="2"/>
  <c r="AB2252" i="2" s="1"/>
  <c r="AB2273" i="2" s="1"/>
  <c r="AB2294" i="2" s="1"/>
  <c r="AB2315" i="2" s="1"/>
  <c r="AB2336" i="2" s="1"/>
  <c r="AB2357" i="2" s="1"/>
  <c r="AB2378" i="2" s="1"/>
  <c r="AE2231" i="2"/>
  <c r="AB2232" i="2"/>
  <c r="AB2253" i="2" s="1"/>
  <c r="AB2274" i="2" s="1"/>
  <c r="AE2232" i="2"/>
  <c r="AE2233" i="2"/>
  <c r="AE2234" i="2"/>
  <c r="AB2235" i="2"/>
  <c r="AB2256" i="2" s="1"/>
  <c r="AB2277" i="2" s="1"/>
  <c r="AB2298" i="2" s="1"/>
  <c r="AE2235" i="2"/>
  <c r="AB2236" i="2"/>
  <c r="AB2257" i="2" s="1"/>
  <c r="AB2278" i="2" s="1"/>
  <c r="AE2236" i="2"/>
  <c r="AE2237" i="2"/>
  <c r="AE2238" i="2"/>
  <c r="AE2239" i="2"/>
  <c r="AB2240" i="2"/>
  <c r="AB2261" i="2" s="1"/>
  <c r="AB2282" i="2" s="1"/>
  <c r="AE2240" i="2"/>
  <c r="AE2241" i="2"/>
  <c r="AE2242" i="2"/>
  <c r="AB2243" i="2"/>
  <c r="AE2243" i="2"/>
  <c r="AB2244" i="2"/>
  <c r="AB2265" i="2" s="1"/>
  <c r="AB2286" i="2" s="1"/>
  <c r="AB2307" i="2" s="1"/>
  <c r="AE2244" i="2"/>
  <c r="AE2245" i="2"/>
  <c r="AB2246" i="2"/>
  <c r="AE2246" i="2"/>
  <c r="AB2247" i="2"/>
  <c r="AB2268" i="2" s="1"/>
  <c r="AB2289" i="2" s="1"/>
  <c r="AB2310" i="2" s="1"/>
  <c r="AB2331" i="2" s="1"/>
  <c r="AB2352" i="2" s="1"/>
  <c r="AB2373" i="2" s="1"/>
  <c r="AB2394" i="2" s="1"/>
  <c r="AB2415" i="2" s="1"/>
  <c r="AB2436" i="2" s="1"/>
  <c r="AB2457" i="2" s="1"/>
  <c r="AB2478" i="2" s="1"/>
  <c r="AB2499" i="2" s="1"/>
  <c r="AB2520" i="2" s="1"/>
  <c r="AB2541" i="2" s="1"/>
  <c r="AB2562" i="2" s="1"/>
  <c r="AB2583" i="2" s="1"/>
  <c r="AB2604" i="2" s="1"/>
  <c r="AB2625" i="2" s="1"/>
  <c r="AB2646" i="2" s="1"/>
  <c r="AB2667" i="2" s="1"/>
  <c r="AB2688" i="2" s="1"/>
  <c r="AB2709" i="2" s="1"/>
  <c r="AB2730" i="2" s="1"/>
  <c r="AB2751" i="2" s="1"/>
  <c r="AB2772" i="2" s="1"/>
  <c r="AB2793" i="2" s="1"/>
  <c r="AB2814" i="2" s="1"/>
  <c r="AB2835" i="2" s="1"/>
  <c r="AB2856" i="2" s="1"/>
  <c r="AB2877" i="2" s="1"/>
  <c r="AB2898" i="2" s="1"/>
  <c r="AB2919" i="2" s="1"/>
  <c r="AB2940" i="2" s="1"/>
  <c r="AB2961" i="2" s="1"/>
  <c r="AB2982" i="2" s="1"/>
  <c r="AB3003" i="2" s="1"/>
  <c r="AB3024" i="2" s="1"/>
  <c r="AB3045" i="2" s="1"/>
  <c r="AB3066" i="2" s="1"/>
  <c r="AB3087" i="2" s="1"/>
  <c r="AB3108" i="2" s="1"/>
  <c r="AB3129" i="2" s="1"/>
  <c r="AB3150" i="2" s="1"/>
  <c r="AB3171" i="2" s="1"/>
  <c r="AB3192" i="2" s="1"/>
  <c r="AB3213" i="2" s="1"/>
  <c r="AB3234" i="2" s="1"/>
  <c r="AB3255" i="2" s="1"/>
  <c r="AB3276" i="2" s="1"/>
  <c r="AB3297" i="2" s="1"/>
  <c r="AB3318" i="2" s="1"/>
  <c r="AB3339" i="2" s="1"/>
  <c r="AB3360" i="2" s="1"/>
  <c r="AB3381" i="2" s="1"/>
  <c r="AB3402" i="2" s="1"/>
  <c r="AB3423" i="2" s="1"/>
  <c r="AB3444" i="2" s="1"/>
  <c r="AB3465" i="2" s="1"/>
  <c r="AB3486" i="2" s="1"/>
  <c r="AB3507" i="2" s="1"/>
  <c r="AB3528" i="2" s="1"/>
  <c r="AB3549" i="2" s="1"/>
  <c r="AB3570" i="2" s="1"/>
  <c r="AB3591" i="2" s="1"/>
  <c r="AB3612" i="2" s="1"/>
  <c r="AB3633" i="2" s="1"/>
  <c r="AB3654" i="2" s="1"/>
  <c r="AB3675" i="2" s="1"/>
  <c r="AB3696" i="2" s="1"/>
  <c r="AB3717" i="2" s="1"/>
  <c r="AB3738" i="2" s="1"/>
  <c r="AB3759" i="2" s="1"/>
  <c r="AB3780" i="2" s="1"/>
  <c r="AB3801" i="2" s="1"/>
  <c r="AB3822" i="2" s="1"/>
  <c r="AB3843" i="2" s="1"/>
  <c r="AB3864" i="2" s="1"/>
  <c r="AB3885" i="2" s="1"/>
  <c r="AB3906" i="2" s="1"/>
  <c r="AB3927" i="2" s="1"/>
  <c r="AB3948" i="2" s="1"/>
  <c r="AB3969" i="2" s="1"/>
  <c r="AB3990" i="2" s="1"/>
  <c r="AB4011" i="2" s="1"/>
  <c r="AB4032" i="2" s="1"/>
  <c r="AB4053" i="2" s="1"/>
  <c r="AB4074" i="2" s="1"/>
  <c r="AB4095" i="2" s="1"/>
  <c r="AB4116" i="2" s="1"/>
  <c r="AB4137" i="2" s="1"/>
  <c r="AE2247" i="2"/>
  <c r="AE2248" i="2"/>
  <c r="AE2249" i="2"/>
  <c r="AB2250" i="2"/>
  <c r="AE2250" i="2"/>
  <c r="AB2251" i="2"/>
  <c r="AE2251" i="2"/>
  <c r="AE2252" i="2"/>
  <c r="AE2253" i="2"/>
  <c r="AE2254" i="2"/>
  <c r="AE2255" i="2"/>
  <c r="AE2256" i="2"/>
  <c r="AE2257" i="2"/>
  <c r="AB2258" i="2"/>
  <c r="AE2258" i="2"/>
  <c r="AE2259" i="2"/>
  <c r="AE2260" i="2"/>
  <c r="AE2261" i="2"/>
  <c r="AE2262" i="2"/>
  <c r="AE2263" i="2"/>
  <c r="AB2264" i="2"/>
  <c r="AB2285" i="2" s="1"/>
  <c r="AB2306" i="2" s="1"/>
  <c r="AB2327" i="2" s="1"/>
  <c r="AB2348" i="2" s="1"/>
  <c r="AB2369" i="2" s="1"/>
  <c r="AB2390" i="2" s="1"/>
  <c r="AB2411" i="2" s="1"/>
  <c r="AB2432" i="2" s="1"/>
  <c r="AB2453" i="2" s="1"/>
  <c r="AB2474" i="2" s="1"/>
  <c r="AB2495" i="2" s="1"/>
  <c r="AB2516" i="2" s="1"/>
  <c r="AB2537" i="2" s="1"/>
  <c r="AB2558" i="2" s="1"/>
  <c r="AB2579" i="2" s="1"/>
  <c r="AB2600" i="2" s="1"/>
  <c r="AB2621" i="2" s="1"/>
  <c r="AB2642" i="2" s="1"/>
  <c r="AB2663" i="2" s="1"/>
  <c r="AB2684" i="2" s="1"/>
  <c r="AB2705" i="2" s="1"/>
  <c r="AB2726" i="2" s="1"/>
  <c r="AB2747" i="2" s="1"/>
  <c r="AB2768" i="2" s="1"/>
  <c r="AB2789" i="2" s="1"/>
  <c r="AB2810" i="2" s="1"/>
  <c r="AB2831" i="2" s="1"/>
  <c r="AB2852" i="2" s="1"/>
  <c r="AB2873" i="2" s="1"/>
  <c r="AB2894" i="2" s="1"/>
  <c r="AB2915" i="2" s="1"/>
  <c r="AB2936" i="2" s="1"/>
  <c r="AB2957" i="2" s="1"/>
  <c r="AB2978" i="2" s="1"/>
  <c r="AB2999" i="2" s="1"/>
  <c r="AB3020" i="2" s="1"/>
  <c r="AB3041" i="2" s="1"/>
  <c r="AB3062" i="2" s="1"/>
  <c r="AB3083" i="2" s="1"/>
  <c r="AB3104" i="2" s="1"/>
  <c r="AB3125" i="2" s="1"/>
  <c r="AB3146" i="2" s="1"/>
  <c r="AB3167" i="2" s="1"/>
  <c r="AB3188" i="2" s="1"/>
  <c r="AB3209" i="2" s="1"/>
  <c r="AB3230" i="2" s="1"/>
  <c r="AB3251" i="2" s="1"/>
  <c r="AB3272" i="2" s="1"/>
  <c r="AB3293" i="2" s="1"/>
  <c r="AB3314" i="2" s="1"/>
  <c r="AB3335" i="2" s="1"/>
  <c r="AB3356" i="2" s="1"/>
  <c r="AB3377" i="2" s="1"/>
  <c r="AB3398" i="2" s="1"/>
  <c r="AB3419" i="2" s="1"/>
  <c r="AB3440" i="2" s="1"/>
  <c r="AB3461" i="2" s="1"/>
  <c r="AB3482" i="2" s="1"/>
  <c r="AB3503" i="2" s="1"/>
  <c r="AB3524" i="2" s="1"/>
  <c r="AB3545" i="2" s="1"/>
  <c r="AB3566" i="2" s="1"/>
  <c r="AB3587" i="2" s="1"/>
  <c r="AB3608" i="2" s="1"/>
  <c r="AB3629" i="2" s="1"/>
  <c r="AB3650" i="2" s="1"/>
  <c r="AB3671" i="2" s="1"/>
  <c r="AB3692" i="2" s="1"/>
  <c r="AB3713" i="2" s="1"/>
  <c r="AB3734" i="2" s="1"/>
  <c r="AB3755" i="2" s="1"/>
  <c r="AB3776" i="2" s="1"/>
  <c r="AB3797" i="2" s="1"/>
  <c r="AB3818" i="2" s="1"/>
  <c r="AB3839" i="2" s="1"/>
  <c r="AB3860" i="2" s="1"/>
  <c r="AB3881" i="2" s="1"/>
  <c r="AB3902" i="2" s="1"/>
  <c r="AB3923" i="2" s="1"/>
  <c r="AB3944" i="2" s="1"/>
  <c r="AB3965" i="2" s="1"/>
  <c r="AB3986" i="2" s="1"/>
  <c r="AB4007" i="2" s="1"/>
  <c r="AB4028" i="2" s="1"/>
  <c r="AB4049" i="2" s="1"/>
  <c r="AB4070" i="2" s="1"/>
  <c r="AB4091" i="2" s="1"/>
  <c r="AB4112" i="2" s="1"/>
  <c r="AB4133" i="2" s="1"/>
  <c r="AE2264" i="2"/>
  <c r="AE2265" i="2"/>
  <c r="AE2266" i="2"/>
  <c r="AB2267" i="2"/>
  <c r="AB2288" i="2" s="1"/>
  <c r="AB2309" i="2" s="1"/>
  <c r="AB2330" i="2" s="1"/>
  <c r="AE2267" i="2"/>
  <c r="AE2268" i="2"/>
  <c r="AE2269" i="2"/>
  <c r="AE2270" i="2"/>
  <c r="AB2271" i="2"/>
  <c r="AE2271" i="2"/>
  <c r="AB2272" i="2"/>
  <c r="AB2293" i="2" s="1"/>
  <c r="AB2314" i="2" s="1"/>
  <c r="AE2272" i="2"/>
  <c r="AE2273" i="2"/>
  <c r="AE2274" i="2"/>
  <c r="AE2275" i="2"/>
  <c r="AE2276" i="2"/>
  <c r="AE2277" i="2"/>
  <c r="AE2278" i="2"/>
  <c r="AB2279" i="2"/>
  <c r="AB2300" i="2" s="1"/>
  <c r="AB2321" i="2" s="1"/>
  <c r="AB2342" i="2" s="1"/>
  <c r="AB2363" i="2" s="1"/>
  <c r="AB2384" i="2" s="1"/>
  <c r="AB2405" i="2" s="1"/>
  <c r="AB2426" i="2" s="1"/>
  <c r="AE2279" i="2"/>
  <c r="AE2280" i="2"/>
  <c r="AE2281" i="2"/>
  <c r="AE2282" i="2"/>
  <c r="AE2283" i="2"/>
  <c r="AE2284" i="2"/>
  <c r="AE2285" i="2"/>
  <c r="AE2286" i="2"/>
  <c r="AB2287" i="2"/>
  <c r="AE2287" i="2"/>
  <c r="AE2288" i="2"/>
  <c r="AE2289" i="2"/>
  <c r="AE2290" i="2"/>
  <c r="AE2291" i="2"/>
  <c r="AB2292" i="2"/>
  <c r="AB2313" i="2" s="1"/>
  <c r="AB2334" i="2" s="1"/>
  <c r="AB2355" i="2" s="1"/>
  <c r="AE2292" i="2"/>
  <c r="AE2293" i="2"/>
  <c r="AE2294" i="2"/>
  <c r="AB2295" i="2"/>
  <c r="AB2316" i="2" s="1"/>
  <c r="AB2337" i="2" s="1"/>
  <c r="AB2358" i="2" s="1"/>
  <c r="AE2295" i="2"/>
  <c r="AE2296" i="2"/>
  <c r="AE2297" i="2"/>
  <c r="AE2298" i="2"/>
  <c r="AB2299" i="2"/>
  <c r="AB2320" i="2" s="1"/>
  <c r="AB2341" i="2" s="1"/>
  <c r="AB2362" i="2" s="1"/>
  <c r="AE2299" i="2"/>
  <c r="AE2300" i="2"/>
  <c r="AE2301" i="2"/>
  <c r="AE2302" i="2"/>
  <c r="AB2303" i="2"/>
  <c r="AB2324" i="2" s="1"/>
  <c r="AB2345" i="2" s="1"/>
  <c r="AB2366" i="2" s="1"/>
  <c r="AB2387" i="2" s="1"/>
  <c r="AB2408" i="2" s="1"/>
  <c r="AB2429" i="2" s="1"/>
  <c r="AB2450" i="2" s="1"/>
  <c r="AB2471" i="2" s="1"/>
  <c r="AB2492" i="2" s="1"/>
  <c r="AB2513" i="2" s="1"/>
  <c r="AB2534" i="2" s="1"/>
  <c r="AB2555" i="2" s="1"/>
  <c r="AB2576" i="2" s="1"/>
  <c r="AB2597" i="2" s="1"/>
  <c r="AB2618" i="2" s="1"/>
  <c r="AB2639" i="2" s="1"/>
  <c r="AB2660" i="2" s="1"/>
  <c r="AB2681" i="2" s="1"/>
  <c r="AB2702" i="2" s="1"/>
  <c r="AB2723" i="2" s="1"/>
  <c r="AB2744" i="2" s="1"/>
  <c r="AB2765" i="2" s="1"/>
  <c r="AB2786" i="2" s="1"/>
  <c r="AB2807" i="2" s="1"/>
  <c r="AB2828" i="2" s="1"/>
  <c r="AB2849" i="2" s="1"/>
  <c r="AB2870" i="2" s="1"/>
  <c r="AB2891" i="2" s="1"/>
  <c r="AB2912" i="2" s="1"/>
  <c r="AB2933" i="2" s="1"/>
  <c r="AB2954" i="2" s="1"/>
  <c r="AB2975" i="2" s="1"/>
  <c r="AB2996" i="2" s="1"/>
  <c r="AB3017" i="2" s="1"/>
  <c r="AB3038" i="2" s="1"/>
  <c r="AB3059" i="2" s="1"/>
  <c r="AB3080" i="2" s="1"/>
  <c r="AB3101" i="2" s="1"/>
  <c r="AB3122" i="2" s="1"/>
  <c r="AB3143" i="2" s="1"/>
  <c r="AB3164" i="2" s="1"/>
  <c r="AB3185" i="2" s="1"/>
  <c r="AB3206" i="2" s="1"/>
  <c r="AB3227" i="2" s="1"/>
  <c r="AB3248" i="2" s="1"/>
  <c r="AB3269" i="2" s="1"/>
  <c r="AB3290" i="2" s="1"/>
  <c r="AB3311" i="2" s="1"/>
  <c r="AB3332" i="2" s="1"/>
  <c r="AB3353" i="2" s="1"/>
  <c r="AB3374" i="2" s="1"/>
  <c r="AB3395" i="2" s="1"/>
  <c r="AB3416" i="2" s="1"/>
  <c r="AB3437" i="2" s="1"/>
  <c r="AB3458" i="2" s="1"/>
  <c r="AB3479" i="2" s="1"/>
  <c r="AB3500" i="2" s="1"/>
  <c r="AB3521" i="2" s="1"/>
  <c r="AB3542" i="2" s="1"/>
  <c r="AB3563" i="2" s="1"/>
  <c r="AB3584" i="2" s="1"/>
  <c r="AB3605" i="2" s="1"/>
  <c r="AB3626" i="2" s="1"/>
  <c r="AB3647" i="2" s="1"/>
  <c r="AB3668" i="2" s="1"/>
  <c r="AB3689" i="2" s="1"/>
  <c r="AB3710" i="2" s="1"/>
  <c r="AB3731" i="2" s="1"/>
  <c r="AB3752" i="2" s="1"/>
  <c r="AB3773" i="2" s="1"/>
  <c r="AB3794" i="2" s="1"/>
  <c r="AB3815" i="2" s="1"/>
  <c r="AB3836" i="2" s="1"/>
  <c r="AB3857" i="2" s="1"/>
  <c r="AB3878" i="2" s="1"/>
  <c r="AB3899" i="2" s="1"/>
  <c r="AB3920" i="2" s="1"/>
  <c r="AB3941" i="2" s="1"/>
  <c r="AB3962" i="2" s="1"/>
  <c r="AB3983" i="2" s="1"/>
  <c r="AB4004" i="2" s="1"/>
  <c r="AB4025" i="2" s="1"/>
  <c r="AB4046" i="2" s="1"/>
  <c r="AB4067" i="2" s="1"/>
  <c r="AB4088" i="2" s="1"/>
  <c r="AB4109" i="2" s="1"/>
  <c r="AE2303" i="2"/>
  <c r="AE2304" i="2"/>
  <c r="AE2305" i="2"/>
  <c r="AE2306" i="2"/>
  <c r="AE2307" i="2"/>
  <c r="AB2308" i="2"/>
  <c r="AB2329" i="2" s="1"/>
  <c r="AB2350" i="2" s="1"/>
  <c r="AB2371" i="2" s="1"/>
  <c r="AB2392" i="2" s="1"/>
  <c r="AB2413" i="2" s="1"/>
  <c r="AB2434" i="2" s="1"/>
  <c r="AB2455" i="2" s="1"/>
  <c r="AB2476" i="2" s="1"/>
  <c r="AB2497" i="2" s="1"/>
  <c r="AB2518" i="2" s="1"/>
  <c r="AB2539" i="2" s="1"/>
  <c r="AB2560" i="2" s="1"/>
  <c r="AB2581" i="2" s="1"/>
  <c r="AB2602" i="2" s="1"/>
  <c r="AB2623" i="2" s="1"/>
  <c r="AB2644" i="2" s="1"/>
  <c r="AB2665" i="2" s="1"/>
  <c r="AB2686" i="2" s="1"/>
  <c r="AB2707" i="2" s="1"/>
  <c r="AB2728" i="2" s="1"/>
  <c r="AB2749" i="2" s="1"/>
  <c r="AB2770" i="2" s="1"/>
  <c r="AB2791" i="2" s="1"/>
  <c r="AB2812" i="2" s="1"/>
  <c r="AB2833" i="2" s="1"/>
  <c r="AB2854" i="2" s="1"/>
  <c r="AB2875" i="2" s="1"/>
  <c r="AB2896" i="2" s="1"/>
  <c r="AB2917" i="2" s="1"/>
  <c r="AB2938" i="2" s="1"/>
  <c r="AB2959" i="2" s="1"/>
  <c r="AB2980" i="2" s="1"/>
  <c r="AB3001" i="2" s="1"/>
  <c r="AB3022" i="2" s="1"/>
  <c r="AB3043" i="2" s="1"/>
  <c r="AB3064" i="2" s="1"/>
  <c r="AB3085" i="2" s="1"/>
  <c r="AB3106" i="2" s="1"/>
  <c r="AB3127" i="2" s="1"/>
  <c r="AB3148" i="2" s="1"/>
  <c r="AB3169" i="2" s="1"/>
  <c r="AB3190" i="2" s="1"/>
  <c r="AB3211" i="2" s="1"/>
  <c r="AB3232" i="2" s="1"/>
  <c r="AB3253" i="2" s="1"/>
  <c r="AB3274" i="2" s="1"/>
  <c r="AB3295" i="2" s="1"/>
  <c r="AB3316" i="2" s="1"/>
  <c r="AB3337" i="2" s="1"/>
  <c r="AB3358" i="2" s="1"/>
  <c r="AB3379" i="2" s="1"/>
  <c r="AB3400" i="2" s="1"/>
  <c r="AB3421" i="2" s="1"/>
  <c r="AB3442" i="2" s="1"/>
  <c r="AB3463" i="2" s="1"/>
  <c r="AB3484" i="2" s="1"/>
  <c r="AB3505" i="2" s="1"/>
  <c r="AB3526" i="2" s="1"/>
  <c r="AB3547" i="2" s="1"/>
  <c r="AB3568" i="2" s="1"/>
  <c r="AB3589" i="2" s="1"/>
  <c r="AB3610" i="2" s="1"/>
  <c r="AB3631" i="2" s="1"/>
  <c r="AB3652" i="2" s="1"/>
  <c r="AB3673" i="2" s="1"/>
  <c r="AB3694" i="2" s="1"/>
  <c r="AB3715" i="2" s="1"/>
  <c r="AB3736" i="2" s="1"/>
  <c r="AB3757" i="2" s="1"/>
  <c r="AB3778" i="2" s="1"/>
  <c r="AB3799" i="2" s="1"/>
  <c r="AB3820" i="2" s="1"/>
  <c r="AB3841" i="2" s="1"/>
  <c r="AB3862" i="2" s="1"/>
  <c r="AB3883" i="2" s="1"/>
  <c r="AB3904" i="2" s="1"/>
  <c r="AB3925" i="2" s="1"/>
  <c r="AB3946" i="2" s="1"/>
  <c r="AB3967" i="2" s="1"/>
  <c r="AB3988" i="2" s="1"/>
  <c r="AB4009" i="2" s="1"/>
  <c r="AB4030" i="2" s="1"/>
  <c r="AB4051" i="2" s="1"/>
  <c r="AB4072" i="2" s="1"/>
  <c r="AB4093" i="2" s="1"/>
  <c r="AB4114" i="2" s="1"/>
  <c r="AB4135" i="2" s="1"/>
  <c r="AB4156" i="2" s="1"/>
  <c r="AB4177" i="2" s="1"/>
  <c r="AE2308" i="2"/>
  <c r="AE2309" i="2"/>
  <c r="AE2310" i="2"/>
  <c r="AE2311" i="2"/>
  <c r="AE2312" i="2"/>
  <c r="AE2313" i="2"/>
  <c r="AE2314" i="2"/>
  <c r="AE2315" i="2"/>
  <c r="AE2316" i="2"/>
  <c r="AE2317" i="2"/>
  <c r="AE2318" i="2"/>
  <c r="AB2319" i="2"/>
  <c r="AB2340" i="2" s="1"/>
  <c r="AB2361" i="2" s="1"/>
  <c r="AB2382" i="2" s="1"/>
  <c r="AB2403" i="2" s="1"/>
  <c r="AB2424" i="2" s="1"/>
  <c r="AB2445" i="2" s="1"/>
  <c r="AB2466" i="2" s="1"/>
  <c r="AB2487" i="2" s="1"/>
  <c r="AB2508" i="2" s="1"/>
  <c r="AB2529" i="2" s="1"/>
  <c r="AB2550" i="2" s="1"/>
  <c r="AB2571" i="2" s="1"/>
  <c r="AB2592" i="2" s="1"/>
  <c r="AB2613" i="2" s="1"/>
  <c r="AB2634" i="2" s="1"/>
  <c r="AB2655" i="2" s="1"/>
  <c r="AB2676" i="2" s="1"/>
  <c r="AB2697" i="2" s="1"/>
  <c r="AB2718" i="2" s="1"/>
  <c r="AB2739" i="2" s="1"/>
  <c r="AB2760" i="2" s="1"/>
  <c r="AB2781" i="2" s="1"/>
  <c r="AB2802" i="2" s="1"/>
  <c r="AB2823" i="2" s="1"/>
  <c r="AB2844" i="2" s="1"/>
  <c r="AB2865" i="2" s="1"/>
  <c r="AB2886" i="2" s="1"/>
  <c r="AB2907" i="2" s="1"/>
  <c r="AB2928" i="2" s="1"/>
  <c r="AB2949" i="2" s="1"/>
  <c r="AB2970" i="2" s="1"/>
  <c r="AB2991" i="2" s="1"/>
  <c r="AB3012" i="2" s="1"/>
  <c r="AB3033" i="2" s="1"/>
  <c r="AB3054" i="2" s="1"/>
  <c r="AB3075" i="2" s="1"/>
  <c r="AB3096" i="2" s="1"/>
  <c r="AB3117" i="2" s="1"/>
  <c r="AB3138" i="2" s="1"/>
  <c r="AB3159" i="2" s="1"/>
  <c r="AB3180" i="2" s="1"/>
  <c r="AB3201" i="2" s="1"/>
  <c r="AB3222" i="2" s="1"/>
  <c r="AB3243" i="2" s="1"/>
  <c r="AB3264" i="2" s="1"/>
  <c r="AB3285" i="2" s="1"/>
  <c r="AB3306" i="2" s="1"/>
  <c r="AB3327" i="2" s="1"/>
  <c r="AB3348" i="2" s="1"/>
  <c r="AB3369" i="2" s="1"/>
  <c r="AB3390" i="2" s="1"/>
  <c r="AB3411" i="2" s="1"/>
  <c r="AB3432" i="2" s="1"/>
  <c r="AB3453" i="2" s="1"/>
  <c r="AB3474" i="2" s="1"/>
  <c r="AB3495" i="2" s="1"/>
  <c r="AB3516" i="2" s="1"/>
  <c r="AB3537" i="2" s="1"/>
  <c r="AB3558" i="2" s="1"/>
  <c r="AB3579" i="2" s="1"/>
  <c r="AB3600" i="2" s="1"/>
  <c r="AB3621" i="2" s="1"/>
  <c r="AB3642" i="2" s="1"/>
  <c r="AB3663" i="2" s="1"/>
  <c r="AB3684" i="2" s="1"/>
  <c r="AB3705" i="2" s="1"/>
  <c r="AB3726" i="2" s="1"/>
  <c r="AB3747" i="2" s="1"/>
  <c r="AB3768" i="2" s="1"/>
  <c r="AB3789" i="2" s="1"/>
  <c r="AB3810" i="2" s="1"/>
  <c r="AB3831" i="2" s="1"/>
  <c r="AB3852" i="2" s="1"/>
  <c r="AB3873" i="2" s="1"/>
  <c r="AB3894" i="2" s="1"/>
  <c r="AB3915" i="2" s="1"/>
  <c r="AB3936" i="2" s="1"/>
  <c r="AB3957" i="2" s="1"/>
  <c r="AB3978" i="2" s="1"/>
  <c r="AB3999" i="2" s="1"/>
  <c r="AB4020" i="2" s="1"/>
  <c r="AB4041" i="2" s="1"/>
  <c r="AB4062" i="2" s="1"/>
  <c r="AB4083" i="2" s="1"/>
  <c r="AB4104" i="2" s="1"/>
  <c r="AB4125" i="2" s="1"/>
  <c r="AE2319" i="2"/>
  <c r="AE2320" i="2"/>
  <c r="AE2321" i="2"/>
  <c r="AE2322" i="2"/>
  <c r="AE2323" i="2"/>
  <c r="AE2324" i="2"/>
  <c r="AE2325" i="2"/>
  <c r="AE2326" i="2"/>
  <c r="AE2327" i="2"/>
  <c r="AB2328" i="2"/>
  <c r="AB2349" i="2" s="1"/>
  <c r="AB2370" i="2" s="1"/>
  <c r="AB2391" i="2" s="1"/>
  <c r="AB2412" i="2" s="1"/>
  <c r="AB2433" i="2" s="1"/>
  <c r="AB2454" i="2" s="1"/>
  <c r="AB2475" i="2" s="1"/>
  <c r="AB2496" i="2" s="1"/>
  <c r="AB2517" i="2" s="1"/>
  <c r="AB2538" i="2" s="1"/>
  <c r="AB2559" i="2" s="1"/>
  <c r="AB2580" i="2" s="1"/>
  <c r="AB2601" i="2" s="1"/>
  <c r="AB2622" i="2" s="1"/>
  <c r="AB2643" i="2" s="1"/>
  <c r="AB2664" i="2" s="1"/>
  <c r="AB2685" i="2" s="1"/>
  <c r="AB2706" i="2" s="1"/>
  <c r="AB2727" i="2" s="1"/>
  <c r="AB2748" i="2" s="1"/>
  <c r="AB2769" i="2" s="1"/>
  <c r="AB2790" i="2" s="1"/>
  <c r="AB2811" i="2" s="1"/>
  <c r="AB2832" i="2" s="1"/>
  <c r="AB2853" i="2" s="1"/>
  <c r="AB2874" i="2" s="1"/>
  <c r="AB2895" i="2" s="1"/>
  <c r="AB2916" i="2" s="1"/>
  <c r="AB2937" i="2" s="1"/>
  <c r="AB2958" i="2" s="1"/>
  <c r="AB2979" i="2" s="1"/>
  <c r="AB3000" i="2" s="1"/>
  <c r="AB3021" i="2" s="1"/>
  <c r="AB3042" i="2" s="1"/>
  <c r="AB3063" i="2" s="1"/>
  <c r="AB3084" i="2" s="1"/>
  <c r="AB3105" i="2" s="1"/>
  <c r="AB3126" i="2" s="1"/>
  <c r="AB3147" i="2" s="1"/>
  <c r="AB3168" i="2" s="1"/>
  <c r="AB3189" i="2" s="1"/>
  <c r="AB3210" i="2" s="1"/>
  <c r="AB3231" i="2" s="1"/>
  <c r="AB3252" i="2" s="1"/>
  <c r="AB3273" i="2" s="1"/>
  <c r="AB3294" i="2" s="1"/>
  <c r="AB3315" i="2" s="1"/>
  <c r="AB3336" i="2" s="1"/>
  <c r="AB3357" i="2" s="1"/>
  <c r="AB3378" i="2" s="1"/>
  <c r="AB3399" i="2" s="1"/>
  <c r="AB3420" i="2" s="1"/>
  <c r="AB3441" i="2" s="1"/>
  <c r="AB3462" i="2" s="1"/>
  <c r="AB3483" i="2" s="1"/>
  <c r="AB3504" i="2" s="1"/>
  <c r="AB3525" i="2" s="1"/>
  <c r="AB3546" i="2" s="1"/>
  <c r="AB3567" i="2" s="1"/>
  <c r="AB3588" i="2" s="1"/>
  <c r="AB3609" i="2" s="1"/>
  <c r="AB3630" i="2" s="1"/>
  <c r="AB3651" i="2" s="1"/>
  <c r="AB3672" i="2" s="1"/>
  <c r="AB3693" i="2" s="1"/>
  <c r="AB3714" i="2" s="1"/>
  <c r="AB3735" i="2" s="1"/>
  <c r="AB3756" i="2" s="1"/>
  <c r="AB3777" i="2" s="1"/>
  <c r="AB3798" i="2" s="1"/>
  <c r="AB3819" i="2" s="1"/>
  <c r="AB3840" i="2" s="1"/>
  <c r="AB3861" i="2" s="1"/>
  <c r="AB3882" i="2" s="1"/>
  <c r="AB3903" i="2" s="1"/>
  <c r="AB3924" i="2" s="1"/>
  <c r="AB3945" i="2" s="1"/>
  <c r="AB3966" i="2" s="1"/>
  <c r="AB3987" i="2" s="1"/>
  <c r="AB4008" i="2" s="1"/>
  <c r="AB4029" i="2" s="1"/>
  <c r="AB4050" i="2" s="1"/>
  <c r="AB4071" i="2" s="1"/>
  <c r="AB4092" i="2" s="1"/>
  <c r="AB4113" i="2" s="1"/>
  <c r="AB4134" i="2" s="1"/>
  <c r="AB4155" i="2" s="1"/>
  <c r="AB4176" i="2" s="1"/>
  <c r="AB4197" i="2" s="1"/>
  <c r="AB4218" i="2" s="1"/>
  <c r="AB4239" i="2" s="1"/>
  <c r="AB4260" i="2" s="1"/>
  <c r="AB4281" i="2" s="1"/>
  <c r="AB4302" i="2" s="1"/>
  <c r="AB4323" i="2" s="1"/>
  <c r="AB4344" i="2" s="1"/>
  <c r="AB4365" i="2" s="1"/>
  <c r="AB4386" i="2" s="1"/>
  <c r="AB4407" i="2" s="1"/>
  <c r="AB4428" i="2" s="1"/>
  <c r="AB4449" i="2" s="1"/>
  <c r="AB4470" i="2" s="1"/>
  <c r="AB4491" i="2" s="1"/>
  <c r="AB4512" i="2" s="1"/>
  <c r="AB4533" i="2" s="1"/>
  <c r="AB4554" i="2" s="1"/>
  <c r="AE2328" i="2"/>
  <c r="AE2329" i="2"/>
  <c r="AE2330" i="2"/>
  <c r="AE2331" i="2"/>
  <c r="AE2332" i="2"/>
  <c r="AE2333" i="2"/>
  <c r="AE2334" i="2"/>
  <c r="AB2335" i="2"/>
  <c r="AB2356" i="2" s="1"/>
  <c r="AB2377" i="2" s="1"/>
  <c r="AB2398" i="2" s="1"/>
  <c r="AB2419" i="2" s="1"/>
  <c r="AB2440" i="2" s="1"/>
  <c r="AB2461" i="2" s="1"/>
  <c r="AB2482" i="2" s="1"/>
  <c r="AB2503" i="2" s="1"/>
  <c r="AB2524" i="2" s="1"/>
  <c r="AB2545" i="2" s="1"/>
  <c r="AB2566" i="2" s="1"/>
  <c r="AB2587" i="2" s="1"/>
  <c r="AB2608" i="2" s="1"/>
  <c r="AB2629" i="2" s="1"/>
  <c r="AB2650" i="2" s="1"/>
  <c r="AB2671" i="2" s="1"/>
  <c r="AB2692" i="2" s="1"/>
  <c r="AB2713" i="2" s="1"/>
  <c r="AB2734" i="2" s="1"/>
  <c r="AB2755" i="2" s="1"/>
  <c r="AB2776" i="2" s="1"/>
  <c r="AB2797" i="2" s="1"/>
  <c r="AB2818" i="2" s="1"/>
  <c r="AB2839" i="2" s="1"/>
  <c r="AB2860" i="2" s="1"/>
  <c r="AB2881" i="2" s="1"/>
  <c r="AB2902" i="2" s="1"/>
  <c r="AB2923" i="2" s="1"/>
  <c r="AB2944" i="2" s="1"/>
  <c r="AB2965" i="2" s="1"/>
  <c r="AB2986" i="2" s="1"/>
  <c r="AB3007" i="2" s="1"/>
  <c r="AB3028" i="2" s="1"/>
  <c r="AB3049" i="2" s="1"/>
  <c r="AB3070" i="2" s="1"/>
  <c r="AB3091" i="2" s="1"/>
  <c r="AB3112" i="2" s="1"/>
  <c r="AB3133" i="2" s="1"/>
  <c r="AB3154" i="2" s="1"/>
  <c r="AB3175" i="2" s="1"/>
  <c r="AB3196" i="2" s="1"/>
  <c r="AB3217" i="2" s="1"/>
  <c r="AB3238" i="2" s="1"/>
  <c r="AB3259" i="2" s="1"/>
  <c r="AB3280" i="2" s="1"/>
  <c r="AB3301" i="2" s="1"/>
  <c r="AB3322" i="2" s="1"/>
  <c r="AB3343" i="2" s="1"/>
  <c r="AB3364" i="2" s="1"/>
  <c r="AB3385" i="2" s="1"/>
  <c r="AB3406" i="2" s="1"/>
  <c r="AB3427" i="2" s="1"/>
  <c r="AB3448" i="2" s="1"/>
  <c r="AB3469" i="2" s="1"/>
  <c r="AB3490" i="2" s="1"/>
  <c r="AB3511" i="2" s="1"/>
  <c r="AB3532" i="2" s="1"/>
  <c r="AB3553" i="2" s="1"/>
  <c r="AB3574" i="2" s="1"/>
  <c r="AB3595" i="2" s="1"/>
  <c r="AB3616" i="2" s="1"/>
  <c r="AB3637" i="2" s="1"/>
  <c r="AB3658" i="2" s="1"/>
  <c r="AB3679" i="2" s="1"/>
  <c r="AB3700" i="2" s="1"/>
  <c r="AB3721" i="2" s="1"/>
  <c r="AB3742" i="2" s="1"/>
  <c r="AB3763" i="2" s="1"/>
  <c r="AB3784" i="2" s="1"/>
  <c r="AB3805" i="2" s="1"/>
  <c r="AB3826" i="2" s="1"/>
  <c r="AB3847" i="2" s="1"/>
  <c r="AB3868" i="2" s="1"/>
  <c r="AB3889" i="2" s="1"/>
  <c r="AB3910" i="2" s="1"/>
  <c r="AB3931" i="2" s="1"/>
  <c r="AB3952" i="2" s="1"/>
  <c r="AB3973" i="2" s="1"/>
  <c r="AB3994" i="2" s="1"/>
  <c r="AB4015" i="2" s="1"/>
  <c r="AB4036" i="2" s="1"/>
  <c r="AB4057" i="2" s="1"/>
  <c r="AB4078" i="2" s="1"/>
  <c r="AB4099" i="2" s="1"/>
  <c r="AB4120" i="2" s="1"/>
  <c r="AB4141" i="2" s="1"/>
  <c r="AE2335" i="2"/>
  <c r="AE2336" i="2"/>
  <c r="AE2337" i="2"/>
  <c r="AE2338" i="2"/>
  <c r="AE2339" i="2"/>
  <c r="AE2340" i="2"/>
  <c r="AE2341" i="2"/>
  <c r="AE2342" i="2"/>
  <c r="AE2343" i="2"/>
  <c r="AE2344" i="2"/>
  <c r="AE2345" i="2"/>
  <c r="AE2346" i="2"/>
  <c r="AB2347" i="2"/>
  <c r="AB2368" i="2" s="1"/>
  <c r="AB2389" i="2" s="1"/>
  <c r="AB2410" i="2" s="1"/>
  <c r="AE2347" i="2"/>
  <c r="AE2348" i="2"/>
  <c r="AE2349" i="2"/>
  <c r="AE2350" i="2"/>
  <c r="AB2351" i="2"/>
  <c r="AB2372" i="2" s="1"/>
  <c r="AB2393" i="2" s="1"/>
  <c r="AB2414" i="2" s="1"/>
  <c r="AB2435" i="2" s="1"/>
  <c r="AB2456" i="2" s="1"/>
  <c r="AB2477" i="2" s="1"/>
  <c r="AB2498" i="2" s="1"/>
  <c r="AB2519" i="2" s="1"/>
  <c r="AB2540" i="2" s="1"/>
  <c r="AB2561" i="2" s="1"/>
  <c r="AB2582" i="2" s="1"/>
  <c r="AB2603" i="2" s="1"/>
  <c r="AB2624" i="2" s="1"/>
  <c r="AB2645" i="2" s="1"/>
  <c r="AB2666" i="2" s="1"/>
  <c r="AB2687" i="2" s="1"/>
  <c r="AB2708" i="2" s="1"/>
  <c r="AB2729" i="2" s="1"/>
  <c r="AB2750" i="2" s="1"/>
  <c r="AB2771" i="2" s="1"/>
  <c r="AB2792" i="2" s="1"/>
  <c r="AB2813" i="2" s="1"/>
  <c r="AB2834" i="2" s="1"/>
  <c r="AB2855" i="2" s="1"/>
  <c r="AB2876" i="2" s="1"/>
  <c r="AB2897" i="2" s="1"/>
  <c r="AB2918" i="2" s="1"/>
  <c r="AB2939" i="2" s="1"/>
  <c r="AB2960" i="2" s="1"/>
  <c r="AB2981" i="2" s="1"/>
  <c r="AB3002" i="2" s="1"/>
  <c r="AB3023" i="2" s="1"/>
  <c r="AB3044" i="2" s="1"/>
  <c r="AB3065" i="2" s="1"/>
  <c r="AB3086" i="2" s="1"/>
  <c r="AB3107" i="2" s="1"/>
  <c r="AB3128" i="2" s="1"/>
  <c r="AB3149" i="2" s="1"/>
  <c r="AB3170" i="2" s="1"/>
  <c r="AB3191" i="2" s="1"/>
  <c r="AB3212" i="2" s="1"/>
  <c r="AB3233" i="2" s="1"/>
  <c r="AB3254" i="2" s="1"/>
  <c r="AB3275" i="2" s="1"/>
  <c r="AB3296" i="2" s="1"/>
  <c r="AB3317" i="2" s="1"/>
  <c r="AB3338" i="2" s="1"/>
  <c r="AB3359" i="2" s="1"/>
  <c r="AB3380" i="2" s="1"/>
  <c r="AB3401" i="2" s="1"/>
  <c r="AB3422" i="2" s="1"/>
  <c r="AB3443" i="2" s="1"/>
  <c r="AB3464" i="2" s="1"/>
  <c r="AB3485" i="2" s="1"/>
  <c r="AB3506" i="2" s="1"/>
  <c r="AB3527" i="2" s="1"/>
  <c r="AB3548" i="2" s="1"/>
  <c r="AB3569" i="2" s="1"/>
  <c r="AB3590" i="2" s="1"/>
  <c r="AB3611" i="2" s="1"/>
  <c r="AB3632" i="2" s="1"/>
  <c r="AB3653" i="2" s="1"/>
  <c r="AB3674" i="2" s="1"/>
  <c r="AB3695" i="2" s="1"/>
  <c r="AB3716" i="2" s="1"/>
  <c r="AB3737" i="2" s="1"/>
  <c r="AB3758" i="2" s="1"/>
  <c r="AB3779" i="2" s="1"/>
  <c r="AB3800" i="2" s="1"/>
  <c r="AB3821" i="2" s="1"/>
  <c r="AB3842" i="2" s="1"/>
  <c r="AB3863" i="2" s="1"/>
  <c r="AB3884" i="2" s="1"/>
  <c r="AB3905" i="2" s="1"/>
  <c r="AB3926" i="2" s="1"/>
  <c r="AB3947" i="2" s="1"/>
  <c r="AB3968" i="2" s="1"/>
  <c r="AB3989" i="2" s="1"/>
  <c r="AB4010" i="2" s="1"/>
  <c r="AB4031" i="2" s="1"/>
  <c r="AB4052" i="2" s="1"/>
  <c r="AB4073" i="2" s="1"/>
  <c r="AB4094" i="2" s="1"/>
  <c r="AB4115" i="2" s="1"/>
  <c r="AB4136" i="2" s="1"/>
  <c r="AB4157" i="2" s="1"/>
  <c r="AB4178" i="2" s="1"/>
  <c r="AB4199" i="2" s="1"/>
  <c r="AB4220" i="2" s="1"/>
  <c r="AB4241" i="2" s="1"/>
  <c r="AB4262" i="2" s="1"/>
  <c r="AB4283" i="2" s="1"/>
  <c r="AB4304" i="2" s="1"/>
  <c r="AB4325" i="2" s="1"/>
  <c r="AB4346" i="2" s="1"/>
  <c r="AB4367" i="2" s="1"/>
  <c r="AB4388" i="2" s="1"/>
  <c r="AB4409" i="2" s="1"/>
  <c r="AB4430" i="2" s="1"/>
  <c r="AB4451" i="2" s="1"/>
  <c r="AB4472" i="2" s="1"/>
  <c r="AB4493" i="2" s="1"/>
  <c r="AB4514" i="2" s="1"/>
  <c r="AB4535" i="2" s="1"/>
  <c r="AB4556" i="2" s="1"/>
  <c r="AE2351" i="2"/>
  <c r="AE2352" i="2"/>
  <c r="AE2353" i="2"/>
  <c r="AE2354" i="2"/>
  <c r="AE2355" i="2"/>
  <c r="AE2356" i="2"/>
  <c r="AE2357" i="2"/>
  <c r="AE2358" i="2"/>
  <c r="AE2359" i="2"/>
  <c r="AE2360" i="2"/>
  <c r="AE2361" i="2"/>
  <c r="AE2362" i="2"/>
  <c r="AE2363" i="2"/>
  <c r="AE2364" i="2"/>
  <c r="AE2365" i="2"/>
  <c r="AE2366" i="2"/>
  <c r="AE2367" i="2"/>
  <c r="AE2368" i="2"/>
  <c r="AE2369" i="2"/>
  <c r="AE2370" i="2"/>
  <c r="AE2371" i="2"/>
  <c r="AE2372" i="2"/>
  <c r="AE2373" i="2"/>
  <c r="AE2374" i="2"/>
  <c r="AE2375" i="2"/>
  <c r="AB2376" i="2"/>
  <c r="AB2397" i="2" s="1"/>
  <c r="AB2418" i="2" s="1"/>
  <c r="AB2439" i="2" s="1"/>
  <c r="AB2460" i="2" s="1"/>
  <c r="AB2481" i="2" s="1"/>
  <c r="AB2502" i="2" s="1"/>
  <c r="AB2523" i="2" s="1"/>
  <c r="AB2544" i="2" s="1"/>
  <c r="AB2565" i="2" s="1"/>
  <c r="AB2586" i="2" s="1"/>
  <c r="AB2607" i="2" s="1"/>
  <c r="AB2628" i="2" s="1"/>
  <c r="AB2649" i="2" s="1"/>
  <c r="AB2670" i="2" s="1"/>
  <c r="AB2691" i="2" s="1"/>
  <c r="AB2712" i="2" s="1"/>
  <c r="AB2733" i="2" s="1"/>
  <c r="AB2754" i="2" s="1"/>
  <c r="AB2775" i="2" s="1"/>
  <c r="AB2796" i="2" s="1"/>
  <c r="AB2817" i="2" s="1"/>
  <c r="AB2838" i="2" s="1"/>
  <c r="AB2859" i="2" s="1"/>
  <c r="AB2880" i="2" s="1"/>
  <c r="AB2901" i="2" s="1"/>
  <c r="AB2922" i="2" s="1"/>
  <c r="AB2943" i="2" s="1"/>
  <c r="AB2964" i="2" s="1"/>
  <c r="AB2985" i="2" s="1"/>
  <c r="AB3006" i="2" s="1"/>
  <c r="AB3027" i="2" s="1"/>
  <c r="AB3048" i="2" s="1"/>
  <c r="AB3069" i="2" s="1"/>
  <c r="AB3090" i="2" s="1"/>
  <c r="AB3111" i="2" s="1"/>
  <c r="AB3132" i="2" s="1"/>
  <c r="AB3153" i="2" s="1"/>
  <c r="AB3174" i="2" s="1"/>
  <c r="AB3195" i="2" s="1"/>
  <c r="AB3216" i="2" s="1"/>
  <c r="AB3237" i="2" s="1"/>
  <c r="AB3258" i="2" s="1"/>
  <c r="AB3279" i="2" s="1"/>
  <c r="AB3300" i="2" s="1"/>
  <c r="AB3321" i="2" s="1"/>
  <c r="AB3342" i="2" s="1"/>
  <c r="AB3363" i="2" s="1"/>
  <c r="AB3384" i="2" s="1"/>
  <c r="AB3405" i="2" s="1"/>
  <c r="AB3426" i="2" s="1"/>
  <c r="AB3447" i="2" s="1"/>
  <c r="AB3468" i="2" s="1"/>
  <c r="AB3489" i="2" s="1"/>
  <c r="AB3510" i="2" s="1"/>
  <c r="AB3531" i="2" s="1"/>
  <c r="AB3552" i="2" s="1"/>
  <c r="AB3573" i="2" s="1"/>
  <c r="AB3594" i="2" s="1"/>
  <c r="AB3615" i="2" s="1"/>
  <c r="AB3636" i="2" s="1"/>
  <c r="AB3657" i="2" s="1"/>
  <c r="AB3678" i="2" s="1"/>
  <c r="AB3699" i="2" s="1"/>
  <c r="AB3720" i="2" s="1"/>
  <c r="AB3741" i="2" s="1"/>
  <c r="AB3762" i="2" s="1"/>
  <c r="AB3783" i="2" s="1"/>
  <c r="AB3804" i="2" s="1"/>
  <c r="AB3825" i="2" s="1"/>
  <c r="AB3846" i="2" s="1"/>
  <c r="AB3867" i="2" s="1"/>
  <c r="AB3888" i="2" s="1"/>
  <c r="AB3909" i="2" s="1"/>
  <c r="AB3930" i="2" s="1"/>
  <c r="AB3951" i="2" s="1"/>
  <c r="AB3972" i="2" s="1"/>
  <c r="AB3993" i="2" s="1"/>
  <c r="AB4014" i="2" s="1"/>
  <c r="AB4035" i="2" s="1"/>
  <c r="AB4056" i="2" s="1"/>
  <c r="AB4077" i="2" s="1"/>
  <c r="AB4098" i="2" s="1"/>
  <c r="AB4119" i="2" s="1"/>
  <c r="AB4140" i="2" s="1"/>
  <c r="AB4161" i="2" s="1"/>
  <c r="AB4182" i="2" s="1"/>
  <c r="AB4203" i="2" s="1"/>
  <c r="AB4224" i="2" s="1"/>
  <c r="AB4245" i="2" s="1"/>
  <c r="AB4266" i="2" s="1"/>
  <c r="AB4287" i="2" s="1"/>
  <c r="AB4308" i="2" s="1"/>
  <c r="AB4329" i="2" s="1"/>
  <c r="AB4350" i="2" s="1"/>
  <c r="AB4371" i="2" s="1"/>
  <c r="AB4392" i="2" s="1"/>
  <c r="AB4413" i="2" s="1"/>
  <c r="AB4434" i="2" s="1"/>
  <c r="AB4455" i="2" s="1"/>
  <c r="AB4476" i="2" s="1"/>
  <c r="AB4497" i="2" s="1"/>
  <c r="AB4518" i="2" s="1"/>
  <c r="AB4539" i="2" s="1"/>
  <c r="AB4560" i="2" s="1"/>
  <c r="AE2376" i="2"/>
  <c r="AE2377" i="2"/>
  <c r="AE2378" i="2"/>
  <c r="AB2379" i="2"/>
  <c r="AB2400" i="2" s="1"/>
  <c r="AB2421" i="2" s="1"/>
  <c r="AB2442" i="2" s="1"/>
  <c r="AE2379" i="2"/>
  <c r="AE2380" i="2"/>
  <c r="AE2381" i="2"/>
  <c r="AE2382" i="2"/>
  <c r="AB2383" i="2"/>
  <c r="AB2404" i="2" s="1"/>
  <c r="AB2425" i="2" s="1"/>
  <c r="AB2446" i="2" s="1"/>
  <c r="AB2467" i="2" s="1"/>
  <c r="AB2488" i="2" s="1"/>
  <c r="AB2509" i="2" s="1"/>
  <c r="AB2530" i="2" s="1"/>
  <c r="AB2551" i="2" s="1"/>
  <c r="AB2572" i="2" s="1"/>
  <c r="AB2593" i="2" s="1"/>
  <c r="AB2614" i="2" s="1"/>
  <c r="AB2635" i="2" s="1"/>
  <c r="AB2656" i="2" s="1"/>
  <c r="AB2677" i="2" s="1"/>
  <c r="AB2698" i="2" s="1"/>
  <c r="AB2719" i="2" s="1"/>
  <c r="AB2740" i="2" s="1"/>
  <c r="AB2761" i="2" s="1"/>
  <c r="AB2782" i="2" s="1"/>
  <c r="AB2803" i="2" s="1"/>
  <c r="AB2824" i="2" s="1"/>
  <c r="AB2845" i="2" s="1"/>
  <c r="AB2866" i="2" s="1"/>
  <c r="AB2887" i="2" s="1"/>
  <c r="AB2908" i="2" s="1"/>
  <c r="AB2929" i="2" s="1"/>
  <c r="AB2950" i="2" s="1"/>
  <c r="AB2971" i="2" s="1"/>
  <c r="AB2992" i="2" s="1"/>
  <c r="AB3013" i="2" s="1"/>
  <c r="AB3034" i="2" s="1"/>
  <c r="AB3055" i="2" s="1"/>
  <c r="AB3076" i="2" s="1"/>
  <c r="AB3097" i="2" s="1"/>
  <c r="AB3118" i="2" s="1"/>
  <c r="AB3139" i="2" s="1"/>
  <c r="AB3160" i="2" s="1"/>
  <c r="AB3181" i="2" s="1"/>
  <c r="AB3202" i="2" s="1"/>
  <c r="AB3223" i="2" s="1"/>
  <c r="AB3244" i="2" s="1"/>
  <c r="AB3265" i="2" s="1"/>
  <c r="AB3286" i="2" s="1"/>
  <c r="AB3307" i="2" s="1"/>
  <c r="AB3328" i="2" s="1"/>
  <c r="AB3349" i="2" s="1"/>
  <c r="AB3370" i="2" s="1"/>
  <c r="AB3391" i="2" s="1"/>
  <c r="AB3412" i="2" s="1"/>
  <c r="AB3433" i="2" s="1"/>
  <c r="AB3454" i="2" s="1"/>
  <c r="AB3475" i="2" s="1"/>
  <c r="AB3496" i="2" s="1"/>
  <c r="AB3517" i="2" s="1"/>
  <c r="AB3538" i="2" s="1"/>
  <c r="AB3559" i="2" s="1"/>
  <c r="AB3580" i="2" s="1"/>
  <c r="AB3601" i="2" s="1"/>
  <c r="AB3622" i="2" s="1"/>
  <c r="AB3643" i="2" s="1"/>
  <c r="AB3664" i="2" s="1"/>
  <c r="AB3685" i="2" s="1"/>
  <c r="AB3706" i="2" s="1"/>
  <c r="AB3727" i="2" s="1"/>
  <c r="AB3748" i="2" s="1"/>
  <c r="AB3769" i="2" s="1"/>
  <c r="AB3790" i="2" s="1"/>
  <c r="AB3811" i="2" s="1"/>
  <c r="AB3832" i="2" s="1"/>
  <c r="AB3853" i="2" s="1"/>
  <c r="AB3874" i="2" s="1"/>
  <c r="AB3895" i="2" s="1"/>
  <c r="AB3916" i="2" s="1"/>
  <c r="AB3937" i="2" s="1"/>
  <c r="AB3958" i="2" s="1"/>
  <c r="AB3979" i="2" s="1"/>
  <c r="AB4000" i="2" s="1"/>
  <c r="AB4021" i="2" s="1"/>
  <c r="AB4042" i="2" s="1"/>
  <c r="AB4063" i="2" s="1"/>
  <c r="AB4084" i="2" s="1"/>
  <c r="AB4105" i="2" s="1"/>
  <c r="AE2383" i="2"/>
  <c r="AE2384" i="2"/>
  <c r="AE2385" i="2"/>
  <c r="AE2386" i="2"/>
  <c r="AE2387" i="2"/>
  <c r="AE2388" i="2"/>
  <c r="AE2389" i="2"/>
  <c r="AE2390" i="2"/>
  <c r="AE2391" i="2"/>
  <c r="AE2392" i="2"/>
  <c r="AE2393" i="2"/>
  <c r="AE2394" i="2"/>
  <c r="AB2395" i="2"/>
  <c r="AB2416" i="2" s="1"/>
  <c r="AB2437" i="2" s="1"/>
  <c r="AB2458" i="2" s="1"/>
  <c r="AE2395" i="2"/>
  <c r="AE2396" i="2"/>
  <c r="AE2397" i="2"/>
  <c r="AE2398" i="2"/>
  <c r="AB2399" i="2"/>
  <c r="AB2420" i="2" s="1"/>
  <c r="AB2441" i="2" s="1"/>
  <c r="AB2462" i="2" s="1"/>
  <c r="AB2483" i="2" s="1"/>
  <c r="AB2504" i="2" s="1"/>
  <c r="AB2525" i="2" s="1"/>
  <c r="AB2546" i="2" s="1"/>
  <c r="AB2567" i="2" s="1"/>
  <c r="AB2588" i="2" s="1"/>
  <c r="AB2609" i="2" s="1"/>
  <c r="AB2630" i="2" s="1"/>
  <c r="AB2651" i="2" s="1"/>
  <c r="AB2672" i="2" s="1"/>
  <c r="AB2693" i="2" s="1"/>
  <c r="AB2714" i="2" s="1"/>
  <c r="AB2735" i="2" s="1"/>
  <c r="AB2756" i="2" s="1"/>
  <c r="AB2777" i="2" s="1"/>
  <c r="AB2798" i="2" s="1"/>
  <c r="AB2819" i="2" s="1"/>
  <c r="AB2840" i="2" s="1"/>
  <c r="AB2861" i="2" s="1"/>
  <c r="AB2882" i="2" s="1"/>
  <c r="AB2903" i="2" s="1"/>
  <c r="AB2924" i="2" s="1"/>
  <c r="AB2945" i="2" s="1"/>
  <c r="AB2966" i="2" s="1"/>
  <c r="AB2987" i="2" s="1"/>
  <c r="AB3008" i="2" s="1"/>
  <c r="AB3029" i="2" s="1"/>
  <c r="AB3050" i="2" s="1"/>
  <c r="AB3071" i="2" s="1"/>
  <c r="AB3092" i="2" s="1"/>
  <c r="AB3113" i="2" s="1"/>
  <c r="AB3134" i="2" s="1"/>
  <c r="AB3155" i="2" s="1"/>
  <c r="AB3176" i="2" s="1"/>
  <c r="AB3197" i="2" s="1"/>
  <c r="AB3218" i="2" s="1"/>
  <c r="AB3239" i="2" s="1"/>
  <c r="AB3260" i="2" s="1"/>
  <c r="AB3281" i="2" s="1"/>
  <c r="AB3302" i="2" s="1"/>
  <c r="AB3323" i="2" s="1"/>
  <c r="AB3344" i="2" s="1"/>
  <c r="AB3365" i="2" s="1"/>
  <c r="AB3386" i="2" s="1"/>
  <c r="AB3407" i="2" s="1"/>
  <c r="AB3428" i="2" s="1"/>
  <c r="AB3449" i="2" s="1"/>
  <c r="AB3470" i="2" s="1"/>
  <c r="AB3491" i="2" s="1"/>
  <c r="AB3512" i="2" s="1"/>
  <c r="AB3533" i="2" s="1"/>
  <c r="AB3554" i="2" s="1"/>
  <c r="AB3575" i="2" s="1"/>
  <c r="AB3596" i="2" s="1"/>
  <c r="AB3617" i="2" s="1"/>
  <c r="AB3638" i="2" s="1"/>
  <c r="AB3659" i="2" s="1"/>
  <c r="AB3680" i="2" s="1"/>
  <c r="AB3701" i="2" s="1"/>
  <c r="AB3722" i="2" s="1"/>
  <c r="AB3743" i="2" s="1"/>
  <c r="AB3764" i="2" s="1"/>
  <c r="AB3785" i="2" s="1"/>
  <c r="AB3806" i="2" s="1"/>
  <c r="AB3827" i="2" s="1"/>
  <c r="AB3848" i="2" s="1"/>
  <c r="AB3869" i="2" s="1"/>
  <c r="AB3890" i="2" s="1"/>
  <c r="AB3911" i="2" s="1"/>
  <c r="AB3932" i="2" s="1"/>
  <c r="AB3953" i="2" s="1"/>
  <c r="AB3974" i="2" s="1"/>
  <c r="AB3995" i="2" s="1"/>
  <c r="AB4016" i="2" s="1"/>
  <c r="AB4037" i="2" s="1"/>
  <c r="AB4058" i="2" s="1"/>
  <c r="AB4079" i="2" s="1"/>
  <c r="AB4100" i="2" s="1"/>
  <c r="AB4121" i="2" s="1"/>
  <c r="AE2399" i="2"/>
  <c r="AE2400" i="2"/>
  <c r="AE2401" i="2"/>
  <c r="AE2402" i="2"/>
  <c r="AE2403" i="2"/>
  <c r="AE2404" i="2"/>
  <c r="AE2405" i="2"/>
  <c r="AE2406" i="2"/>
  <c r="AE2407" i="2"/>
  <c r="AE2408" i="2"/>
  <c r="AE2409" i="2"/>
  <c r="AE2410" i="2"/>
  <c r="AE2411" i="2"/>
  <c r="AE2412" i="2"/>
  <c r="AE2413" i="2"/>
  <c r="AE2414" i="2"/>
  <c r="AE2415" i="2"/>
  <c r="AE2416" i="2"/>
  <c r="AE2417" i="2"/>
  <c r="AE2418" i="2"/>
  <c r="AE2419" i="2"/>
  <c r="AE2420" i="2"/>
  <c r="AE2421" i="2"/>
  <c r="AE2422" i="2"/>
  <c r="AE2423" i="2"/>
  <c r="AE2424" i="2"/>
  <c r="AE2425" i="2"/>
  <c r="AE2426" i="2"/>
  <c r="AE2427" i="2"/>
  <c r="AE2428" i="2"/>
  <c r="AE2429" i="2"/>
  <c r="AE2430" i="2"/>
  <c r="AB2431" i="2"/>
  <c r="AE2431" i="2"/>
  <c r="AE2432" i="2"/>
  <c r="AE2433" i="2"/>
  <c r="AE2434" i="2"/>
  <c r="AE2435" i="2"/>
  <c r="AE2436" i="2"/>
  <c r="AE2437" i="2"/>
  <c r="AE2438" i="2"/>
  <c r="AE2439" i="2"/>
  <c r="AE2440" i="2"/>
  <c r="AE2441" i="2"/>
  <c r="AE2442" i="2"/>
  <c r="AE2443" i="2"/>
  <c r="AE2444" i="2"/>
  <c r="AE2445" i="2"/>
  <c r="AE2446" i="2"/>
  <c r="AB2447" i="2"/>
  <c r="AB2468" i="2" s="1"/>
  <c r="AB2489" i="2" s="1"/>
  <c r="AB2510" i="2" s="1"/>
  <c r="AB2531" i="2" s="1"/>
  <c r="AB2552" i="2" s="1"/>
  <c r="AB2573" i="2" s="1"/>
  <c r="AB2594" i="2" s="1"/>
  <c r="AB2615" i="2" s="1"/>
  <c r="AB2636" i="2" s="1"/>
  <c r="AB2657" i="2" s="1"/>
  <c r="AB2678" i="2" s="1"/>
  <c r="AB2699" i="2" s="1"/>
  <c r="AB2720" i="2" s="1"/>
  <c r="AB2741" i="2" s="1"/>
  <c r="AB2762" i="2" s="1"/>
  <c r="AB2783" i="2" s="1"/>
  <c r="AB2804" i="2" s="1"/>
  <c r="AB2825" i="2" s="1"/>
  <c r="AB2846" i="2" s="1"/>
  <c r="AB2867" i="2" s="1"/>
  <c r="AB2888" i="2" s="1"/>
  <c r="AB2909" i="2" s="1"/>
  <c r="AB2930" i="2" s="1"/>
  <c r="AB2951" i="2" s="1"/>
  <c r="AB2972" i="2" s="1"/>
  <c r="AB2993" i="2" s="1"/>
  <c r="AB3014" i="2" s="1"/>
  <c r="AB3035" i="2" s="1"/>
  <c r="AB3056" i="2" s="1"/>
  <c r="AB3077" i="2" s="1"/>
  <c r="AB3098" i="2" s="1"/>
  <c r="AB3119" i="2" s="1"/>
  <c r="AB3140" i="2" s="1"/>
  <c r="AB3161" i="2" s="1"/>
  <c r="AB3182" i="2" s="1"/>
  <c r="AB3203" i="2" s="1"/>
  <c r="AB3224" i="2" s="1"/>
  <c r="AB3245" i="2" s="1"/>
  <c r="AB3266" i="2" s="1"/>
  <c r="AB3287" i="2" s="1"/>
  <c r="AB3308" i="2" s="1"/>
  <c r="AB3329" i="2" s="1"/>
  <c r="AB3350" i="2" s="1"/>
  <c r="AB3371" i="2" s="1"/>
  <c r="AB3392" i="2" s="1"/>
  <c r="AB3413" i="2" s="1"/>
  <c r="AB3434" i="2" s="1"/>
  <c r="AB3455" i="2" s="1"/>
  <c r="AB3476" i="2" s="1"/>
  <c r="AB3497" i="2" s="1"/>
  <c r="AB3518" i="2" s="1"/>
  <c r="AB3539" i="2" s="1"/>
  <c r="AB3560" i="2" s="1"/>
  <c r="AB3581" i="2" s="1"/>
  <c r="AB3602" i="2" s="1"/>
  <c r="AB3623" i="2" s="1"/>
  <c r="AB3644" i="2" s="1"/>
  <c r="AB3665" i="2" s="1"/>
  <c r="AB3686" i="2" s="1"/>
  <c r="AB3707" i="2" s="1"/>
  <c r="AB3728" i="2" s="1"/>
  <c r="AB3749" i="2" s="1"/>
  <c r="AB3770" i="2" s="1"/>
  <c r="AB3791" i="2" s="1"/>
  <c r="AB3812" i="2" s="1"/>
  <c r="AB3833" i="2" s="1"/>
  <c r="AB3854" i="2" s="1"/>
  <c r="AB3875" i="2" s="1"/>
  <c r="AB3896" i="2" s="1"/>
  <c r="AB3917" i="2" s="1"/>
  <c r="AB3938" i="2" s="1"/>
  <c r="AB3959" i="2" s="1"/>
  <c r="AB3980" i="2" s="1"/>
  <c r="AB4001" i="2" s="1"/>
  <c r="AB4022" i="2" s="1"/>
  <c r="AB4043" i="2" s="1"/>
  <c r="AB4064" i="2" s="1"/>
  <c r="AB4085" i="2" s="1"/>
  <c r="AB4106" i="2" s="1"/>
  <c r="AB4127" i="2" s="1"/>
  <c r="AB4148" i="2" s="1"/>
  <c r="AB4169" i="2" s="1"/>
  <c r="AE2447" i="2"/>
  <c r="AE2448" i="2"/>
  <c r="AE2449" i="2"/>
  <c r="AE2450" i="2"/>
  <c r="AE2451" i="2"/>
  <c r="AB2452" i="2"/>
  <c r="AB2473" i="2" s="1"/>
  <c r="AB2494" i="2" s="1"/>
  <c r="AB2515" i="2" s="1"/>
  <c r="AB2536" i="2" s="1"/>
  <c r="AB2557" i="2" s="1"/>
  <c r="AB2578" i="2" s="1"/>
  <c r="AB2599" i="2" s="1"/>
  <c r="AB2620" i="2" s="1"/>
  <c r="AB2641" i="2" s="1"/>
  <c r="AB2662" i="2" s="1"/>
  <c r="AB2683" i="2" s="1"/>
  <c r="AB2704" i="2" s="1"/>
  <c r="AB2725" i="2" s="1"/>
  <c r="AB2746" i="2" s="1"/>
  <c r="AE2452" i="2"/>
  <c r="AE2453" i="2"/>
  <c r="AE2454" i="2"/>
  <c r="AE2455" i="2"/>
  <c r="AE2456" i="2"/>
  <c r="AE2457" i="2"/>
  <c r="AE2458" i="2"/>
  <c r="AE2459" i="2"/>
  <c r="AE2460" i="2"/>
  <c r="AE2461" i="2"/>
  <c r="AE2462" i="2"/>
  <c r="AB2463" i="2"/>
  <c r="AB2484" i="2" s="1"/>
  <c r="AB2505" i="2" s="1"/>
  <c r="AB2526" i="2" s="1"/>
  <c r="AB2547" i="2" s="1"/>
  <c r="AB2568" i="2" s="1"/>
  <c r="AB2589" i="2" s="1"/>
  <c r="AB2610" i="2" s="1"/>
  <c r="AB2631" i="2" s="1"/>
  <c r="AB2652" i="2" s="1"/>
  <c r="AB2673" i="2" s="1"/>
  <c r="AB2694" i="2" s="1"/>
  <c r="AB2715" i="2" s="1"/>
  <c r="AB2736" i="2" s="1"/>
  <c r="AB2757" i="2" s="1"/>
  <c r="AB2778" i="2" s="1"/>
  <c r="AB2799" i="2" s="1"/>
  <c r="AB2820" i="2" s="1"/>
  <c r="AB2841" i="2" s="1"/>
  <c r="AB2862" i="2" s="1"/>
  <c r="AB2883" i="2" s="1"/>
  <c r="AB2904" i="2" s="1"/>
  <c r="AB2925" i="2" s="1"/>
  <c r="AB2946" i="2" s="1"/>
  <c r="AB2967" i="2" s="1"/>
  <c r="AB2988" i="2" s="1"/>
  <c r="AB3009" i="2" s="1"/>
  <c r="AB3030" i="2" s="1"/>
  <c r="AB3051" i="2" s="1"/>
  <c r="AB3072" i="2" s="1"/>
  <c r="AB3093" i="2" s="1"/>
  <c r="AB3114" i="2" s="1"/>
  <c r="AB3135" i="2" s="1"/>
  <c r="AB3156" i="2" s="1"/>
  <c r="AB3177" i="2" s="1"/>
  <c r="AB3198" i="2" s="1"/>
  <c r="AB3219" i="2" s="1"/>
  <c r="AB3240" i="2" s="1"/>
  <c r="AB3261" i="2" s="1"/>
  <c r="AB3282" i="2" s="1"/>
  <c r="AB3303" i="2" s="1"/>
  <c r="AB3324" i="2" s="1"/>
  <c r="AB3345" i="2" s="1"/>
  <c r="AB3366" i="2" s="1"/>
  <c r="AB3387" i="2" s="1"/>
  <c r="AB3408" i="2" s="1"/>
  <c r="AB3429" i="2" s="1"/>
  <c r="AB3450" i="2" s="1"/>
  <c r="AB3471" i="2" s="1"/>
  <c r="AB3492" i="2" s="1"/>
  <c r="AB3513" i="2" s="1"/>
  <c r="AB3534" i="2" s="1"/>
  <c r="AB3555" i="2" s="1"/>
  <c r="AB3576" i="2" s="1"/>
  <c r="AB3597" i="2" s="1"/>
  <c r="AB3618" i="2" s="1"/>
  <c r="AB3639" i="2" s="1"/>
  <c r="AB3660" i="2" s="1"/>
  <c r="AB3681" i="2" s="1"/>
  <c r="AB3702" i="2" s="1"/>
  <c r="AB3723" i="2" s="1"/>
  <c r="AB3744" i="2" s="1"/>
  <c r="AB3765" i="2" s="1"/>
  <c r="AB3786" i="2" s="1"/>
  <c r="AB3807" i="2" s="1"/>
  <c r="AB3828" i="2" s="1"/>
  <c r="AB3849" i="2" s="1"/>
  <c r="AB3870" i="2" s="1"/>
  <c r="AB3891" i="2" s="1"/>
  <c r="AB3912" i="2" s="1"/>
  <c r="AB3933" i="2" s="1"/>
  <c r="AB3954" i="2" s="1"/>
  <c r="AB3975" i="2" s="1"/>
  <c r="AB3996" i="2" s="1"/>
  <c r="AB4017" i="2" s="1"/>
  <c r="AB4038" i="2" s="1"/>
  <c r="AB4059" i="2" s="1"/>
  <c r="AB4080" i="2" s="1"/>
  <c r="AB4101" i="2" s="1"/>
  <c r="AE2463" i="2"/>
  <c r="AE2464" i="2"/>
  <c r="AE2465" i="2"/>
  <c r="AE2466" i="2"/>
  <c r="AE2467" i="2"/>
  <c r="AE2468" i="2"/>
  <c r="AE2469" i="2"/>
  <c r="AE2470" i="2"/>
  <c r="AE2471" i="2"/>
  <c r="AE2472" i="2"/>
  <c r="AE2473" i="2"/>
  <c r="AE2474" i="2"/>
  <c r="AE2475" i="2"/>
  <c r="AE2476" i="2"/>
  <c r="AE2477" i="2"/>
  <c r="AE2478" i="2"/>
  <c r="AB2479" i="2"/>
  <c r="AE2479" i="2"/>
  <c r="AE2480" i="2"/>
  <c r="AE2481" i="2"/>
  <c r="AE2482" i="2"/>
  <c r="AE2483" i="2"/>
  <c r="AE2484" i="2"/>
  <c r="AE2485" i="2"/>
  <c r="AE2486" i="2"/>
  <c r="AE2487" i="2"/>
  <c r="AE2488" i="2"/>
  <c r="AE2489" i="2"/>
  <c r="AE2490" i="2"/>
  <c r="AE2491" i="2"/>
  <c r="AE2492" i="2"/>
  <c r="AE2493" i="2"/>
  <c r="AE2494" i="2"/>
  <c r="AE2495" i="2"/>
  <c r="AE2496" i="2"/>
  <c r="AE2497" i="2"/>
  <c r="AE2498" i="2"/>
  <c r="AE2499" i="2"/>
  <c r="AB2500" i="2"/>
  <c r="AB2521" i="2" s="1"/>
  <c r="AB2542" i="2" s="1"/>
  <c r="AB2563" i="2" s="1"/>
  <c r="AB2584" i="2" s="1"/>
  <c r="AB2605" i="2" s="1"/>
  <c r="AB2626" i="2" s="1"/>
  <c r="AB2647" i="2" s="1"/>
  <c r="AB2668" i="2" s="1"/>
  <c r="AB2689" i="2" s="1"/>
  <c r="AB2710" i="2" s="1"/>
  <c r="AB2731" i="2" s="1"/>
  <c r="AB2752" i="2" s="1"/>
  <c r="AB2773" i="2" s="1"/>
  <c r="AB2794" i="2" s="1"/>
  <c r="AB2815" i="2" s="1"/>
  <c r="AB2836" i="2" s="1"/>
  <c r="AB2857" i="2" s="1"/>
  <c r="AB2878" i="2" s="1"/>
  <c r="AB2899" i="2" s="1"/>
  <c r="AB2920" i="2" s="1"/>
  <c r="AB2941" i="2" s="1"/>
  <c r="AB2962" i="2" s="1"/>
  <c r="AB2983" i="2" s="1"/>
  <c r="AB3004" i="2" s="1"/>
  <c r="AB3025" i="2" s="1"/>
  <c r="AB3046" i="2" s="1"/>
  <c r="AB3067" i="2" s="1"/>
  <c r="AB3088" i="2" s="1"/>
  <c r="AB3109" i="2" s="1"/>
  <c r="AB3130" i="2" s="1"/>
  <c r="AB3151" i="2" s="1"/>
  <c r="AB3172" i="2" s="1"/>
  <c r="AB3193" i="2" s="1"/>
  <c r="AB3214" i="2" s="1"/>
  <c r="AB3235" i="2" s="1"/>
  <c r="AB3256" i="2" s="1"/>
  <c r="AB3277" i="2" s="1"/>
  <c r="AB3298" i="2" s="1"/>
  <c r="AB3319" i="2" s="1"/>
  <c r="AB3340" i="2" s="1"/>
  <c r="AB3361" i="2" s="1"/>
  <c r="AB3382" i="2" s="1"/>
  <c r="AB3403" i="2" s="1"/>
  <c r="AB3424" i="2" s="1"/>
  <c r="AB3445" i="2" s="1"/>
  <c r="AB3466" i="2" s="1"/>
  <c r="AB3487" i="2" s="1"/>
  <c r="AB3508" i="2" s="1"/>
  <c r="AB3529" i="2" s="1"/>
  <c r="AB3550" i="2" s="1"/>
  <c r="AB3571" i="2" s="1"/>
  <c r="AB3592" i="2" s="1"/>
  <c r="AB3613" i="2" s="1"/>
  <c r="AB3634" i="2" s="1"/>
  <c r="AB3655" i="2" s="1"/>
  <c r="AB3676" i="2" s="1"/>
  <c r="AB3697" i="2" s="1"/>
  <c r="AB3718" i="2" s="1"/>
  <c r="AB3739" i="2" s="1"/>
  <c r="AB3760" i="2" s="1"/>
  <c r="AB3781" i="2" s="1"/>
  <c r="AB3802" i="2" s="1"/>
  <c r="AB3823" i="2" s="1"/>
  <c r="AB3844" i="2" s="1"/>
  <c r="AB3865" i="2" s="1"/>
  <c r="AB3886" i="2" s="1"/>
  <c r="AB3907" i="2" s="1"/>
  <c r="AB3928" i="2" s="1"/>
  <c r="AB3949" i="2" s="1"/>
  <c r="AB3970" i="2" s="1"/>
  <c r="AB3991" i="2" s="1"/>
  <c r="AB4012" i="2" s="1"/>
  <c r="AB4033" i="2" s="1"/>
  <c r="AB4054" i="2" s="1"/>
  <c r="AB4075" i="2" s="1"/>
  <c r="AB4096" i="2" s="1"/>
  <c r="AB4117" i="2" s="1"/>
  <c r="AE2500" i="2"/>
  <c r="AE2501" i="2"/>
  <c r="AE2502" i="2"/>
  <c r="AE2503" i="2"/>
  <c r="AE2504" i="2"/>
  <c r="AE2505" i="2"/>
  <c r="AE2506" i="2"/>
  <c r="AE2507" i="2"/>
  <c r="AE2508" i="2"/>
  <c r="AE2509" i="2"/>
  <c r="AE2510" i="2"/>
  <c r="AB2511" i="2"/>
  <c r="AB2532" i="2" s="1"/>
  <c r="AB2553" i="2" s="1"/>
  <c r="AB2574" i="2" s="1"/>
  <c r="AB2595" i="2" s="1"/>
  <c r="AB2616" i="2" s="1"/>
  <c r="AB2637" i="2" s="1"/>
  <c r="AB2658" i="2" s="1"/>
  <c r="AB2679" i="2" s="1"/>
  <c r="AB2700" i="2" s="1"/>
  <c r="AB2721" i="2" s="1"/>
  <c r="AB2742" i="2" s="1"/>
  <c r="AB2763" i="2" s="1"/>
  <c r="AB2784" i="2" s="1"/>
  <c r="AB2805" i="2" s="1"/>
  <c r="AB2826" i="2" s="1"/>
  <c r="AB2847" i="2" s="1"/>
  <c r="AB2868" i="2" s="1"/>
  <c r="AB2889" i="2" s="1"/>
  <c r="AB2910" i="2" s="1"/>
  <c r="AB2931" i="2" s="1"/>
  <c r="AB2952" i="2" s="1"/>
  <c r="AB2973" i="2" s="1"/>
  <c r="AB2994" i="2" s="1"/>
  <c r="AB3015" i="2" s="1"/>
  <c r="AB3036" i="2" s="1"/>
  <c r="AB3057" i="2" s="1"/>
  <c r="AB3078" i="2" s="1"/>
  <c r="AB3099" i="2" s="1"/>
  <c r="AB3120" i="2" s="1"/>
  <c r="AB3141" i="2" s="1"/>
  <c r="AB3162" i="2" s="1"/>
  <c r="AB3183" i="2" s="1"/>
  <c r="AB3204" i="2" s="1"/>
  <c r="AB3225" i="2" s="1"/>
  <c r="AB3246" i="2" s="1"/>
  <c r="AB3267" i="2" s="1"/>
  <c r="AB3288" i="2" s="1"/>
  <c r="AB3309" i="2" s="1"/>
  <c r="AB3330" i="2" s="1"/>
  <c r="AB3351" i="2" s="1"/>
  <c r="AB3372" i="2" s="1"/>
  <c r="AB3393" i="2" s="1"/>
  <c r="AB3414" i="2" s="1"/>
  <c r="AB3435" i="2" s="1"/>
  <c r="AB3456" i="2" s="1"/>
  <c r="AB3477" i="2" s="1"/>
  <c r="AB3498" i="2" s="1"/>
  <c r="AB3519" i="2" s="1"/>
  <c r="AB3540" i="2" s="1"/>
  <c r="AB3561" i="2" s="1"/>
  <c r="AB3582" i="2" s="1"/>
  <c r="AB3603" i="2" s="1"/>
  <c r="AB3624" i="2" s="1"/>
  <c r="AB3645" i="2" s="1"/>
  <c r="AB3666" i="2" s="1"/>
  <c r="AB3687" i="2" s="1"/>
  <c r="AB3708" i="2" s="1"/>
  <c r="AB3729" i="2" s="1"/>
  <c r="AB3750" i="2" s="1"/>
  <c r="AB3771" i="2" s="1"/>
  <c r="AB3792" i="2" s="1"/>
  <c r="AB3813" i="2" s="1"/>
  <c r="AB3834" i="2" s="1"/>
  <c r="AB3855" i="2" s="1"/>
  <c r="AB3876" i="2" s="1"/>
  <c r="AB3897" i="2" s="1"/>
  <c r="AB3918" i="2" s="1"/>
  <c r="AB3939" i="2" s="1"/>
  <c r="AB3960" i="2" s="1"/>
  <c r="AB3981" i="2" s="1"/>
  <c r="AB4002" i="2" s="1"/>
  <c r="AB4023" i="2" s="1"/>
  <c r="AB4044" i="2" s="1"/>
  <c r="AB4065" i="2" s="1"/>
  <c r="AB4086" i="2" s="1"/>
  <c r="AB4107" i="2" s="1"/>
  <c r="AB4128" i="2" s="1"/>
  <c r="AB4149" i="2" s="1"/>
  <c r="AB4170" i="2" s="1"/>
  <c r="AB4191" i="2" s="1"/>
  <c r="AB4212" i="2" s="1"/>
  <c r="AB4233" i="2" s="1"/>
  <c r="AB4254" i="2" s="1"/>
  <c r="AB4275" i="2" s="1"/>
  <c r="AB4296" i="2" s="1"/>
  <c r="AB4317" i="2" s="1"/>
  <c r="AB4338" i="2" s="1"/>
  <c r="AB4359" i="2" s="1"/>
  <c r="AB4380" i="2" s="1"/>
  <c r="AB4401" i="2" s="1"/>
  <c r="AB4422" i="2" s="1"/>
  <c r="AB4443" i="2" s="1"/>
  <c r="AB4464" i="2" s="1"/>
  <c r="AB4485" i="2" s="1"/>
  <c r="AB4506" i="2" s="1"/>
  <c r="AB4527" i="2" s="1"/>
  <c r="AB4548" i="2" s="1"/>
  <c r="AB4569" i="2" s="1"/>
  <c r="AE2511" i="2"/>
  <c r="AE2512" i="2"/>
  <c r="AE2513" i="2"/>
  <c r="AE2514" i="2"/>
  <c r="AE2515" i="2"/>
  <c r="AE2516" i="2"/>
  <c r="AE2517" i="2"/>
  <c r="AE2518" i="2"/>
  <c r="AE2519" i="2"/>
  <c r="AE2520" i="2"/>
  <c r="AE2521" i="2"/>
  <c r="AE2522" i="2"/>
  <c r="AE2523" i="2"/>
  <c r="AE2524" i="2"/>
  <c r="AE2525" i="2"/>
  <c r="AE2526" i="2"/>
  <c r="AE2527" i="2"/>
  <c r="AE2528" i="2"/>
  <c r="AE2529" i="2"/>
  <c r="AE2530" i="2"/>
  <c r="AE2531" i="2"/>
  <c r="AE2532" i="2"/>
  <c r="AE2533" i="2"/>
  <c r="AE2534" i="2"/>
  <c r="AE2535" i="2"/>
  <c r="AE2536" i="2"/>
  <c r="AE2537" i="2"/>
  <c r="AE2538" i="2"/>
  <c r="AE2539" i="2"/>
  <c r="AE2540" i="2"/>
  <c r="AE2541" i="2"/>
  <c r="AE2542" i="2"/>
  <c r="AE2543" i="2"/>
  <c r="AE2544" i="2"/>
  <c r="AE2545" i="2"/>
  <c r="AE2546" i="2"/>
  <c r="AE2547" i="2"/>
  <c r="AE2548" i="2"/>
  <c r="AE2549" i="2"/>
  <c r="AE2550" i="2"/>
  <c r="AE2551" i="2"/>
  <c r="AE2552" i="2"/>
  <c r="AE2553" i="2"/>
  <c r="AE2554" i="2"/>
  <c r="AE2555" i="2"/>
  <c r="AE2556" i="2"/>
  <c r="AE2557" i="2"/>
  <c r="AE2558" i="2"/>
  <c r="AE2559" i="2"/>
  <c r="AE2560" i="2"/>
  <c r="AE2561" i="2"/>
  <c r="AE2562" i="2"/>
  <c r="AE2563" i="2"/>
  <c r="AE2564" i="2"/>
  <c r="AE2565" i="2"/>
  <c r="AE2566" i="2"/>
  <c r="AE2567" i="2"/>
  <c r="AE2568" i="2"/>
  <c r="AE2569" i="2"/>
  <c r="AE2570" i="2"/>
  <c r="AE2571" i="2"/>
  <c r="AE2572" i="2"/>
  <c r="AE2573" i="2"/>
  <c r="AE2574" i="2"/>
  <c r="AB2575" i="2"/>
  <c r="AB2596" i="2" s="1"/>
  <c r="AB2617" i="2" s="1"/>
  <c r="AB2638" i="2" s="1"/>
  <c r="AB2659" i="2" s="1"/>
  <c r="AB2680" i="2" s="1"/>
  <c r="AB2701" i="2" s="1"/>
  <c r="AB2722" i="2" s="1"/>
  <c r="AB2743" i="2" s="1"/>
  <c r="AB2764" i="2" s="1"/>
  <c r="AB2785" i="2" s="1"/>
  <c r="AB2806" i="2" s="1"/>
  <c r="AB2827" i="2" s="1"/>
  <c r="AB2848" i="2" s="1"/>
  <c r="AB2869" i="2" s="1"/>
  <c r="AB2890" i="2" s="1"/>
  <c r="AB2911" i="2" s="1"/>
  <c r="AB2932" i="2" s="1"/>
  <c r="AB2953" i="2" s="1"/>
  <c r="AB2974" i="2" s="1"/>
  <c r="AB2995" i="2" s="1"/>
  <c r="AB3016" i="2" s="1"/>
  <c r="AB3037" i="2" s="1"/>
  <c r="AB3058" i="2" s="1"/>
  <c r="AB3079" i="2" s="1"/>
  <c r="AB3100" i="2" s="1"/>
  <c r="AB3121" i="2" s="1"/>
  <c r="AB3142" i="2" s="1"/>
  <c r="AB3163" i="2" s="1"/>
  <c r="AB3184" i="2" s="1"/>
  <c r="AB3205" i="2" s="1"/>
  <c r="AB3226" i="2" s="1"/>
  <c r="AB3247" i="2" s="1"/>
  <c r="AB3268" i="2" s="1"/>
  <c r="AB3289" i="2" s="1"/>
  <c r="AB3310" i="2" s="1"/>
  <c r="AB3331" i="2" s="1"/>
  <c r="AB3352" i="2" s="1"/>
  <c r="AB3373" i="2" s="1"/>
  <c r="AB3394" i="2" s="1"/>
  <c r="AB3415" i="2" s="1"/>
  <c r="AB3436" i="2" s="1"/>
  <c r="AB3457" i="2" s="1"/>
  <c r="AB3478" i="2" s="1"/>
  <c r="AB3499" i="2" s="1"/>
  <c r="AB3520" i="2" s="1"/>
  <c r="AB3541" i="2" s="1"/>
  <c r="AB3562" i="2" s="1"/>
  <c r="AB3583" i="2" s="1"/>
  <c r="AB3604" i="2" s="1"/>
  <c r="AB3625" i="2" s="1"/>
  <c r="AB3646" i="2" s="1"/>
  <c r="AB3667" i="2" s="1"/>
  <c r="AB3688" i="2" s="1"/>
  <c r="AB3709" i="2" s="1"/>
  <c r="AB3730" i="2" s="1"/>
  <c r="AB3751" i="2" s="1"/>
  <c r="AB3772" i="2" s="1"/>
  <c r="AB3793" i="2" s="1"/>
  <c r="AB3814" i="2" s="1"/>
  <c r="AB3835" i="2" s="1"/>
  <c r="AB3856" i="2" s="1"/>
  <c r="AB3877" i="2" s="1"/>
  <c r="AB3898" i="2" s="1"/>
  <c r="AB3919" i="2" s="1"/>
  <c r="AB3940" i="2" s="1"/>
  <c r="AB3961" i="2" s="1"/>
  <c r="AB3982" i="2" s="1"/>
  <c r="AB4003" i="2" s="1"/>
  <c r="AB4024" i="2" s="1"/>
  <c r="AB4045" i="2" s="1"/>
  <c r="AB4066" i="2" s="1"/>
  <c r="AB4087" i="2" s="1"/>
  <c r="AB4108" i="2" s="1"/>
  <c r="AB4129" i="2" s="1"/>
  <c r="AE2575" i="2"/>
  <c r="AE2576" i="2"/>
  <c r="AE2577" i="2"/>
  <c r="AE2578" i="2"/>
  <c r="AE2579" i="2"/>
  <c r="AE2580" i="2"/>
  <c r="AE2581" i="2"/>
  <c r="AE2582" i="2"/>
  <c r="AE2583" i="2"/>
  <c r="AE2584" i="2"/>
  <c r="AE2585" i="2"/>
  <c r="AE2586" i="2"/>
  <c r="AE2587" i="2"/>
  <c r="AE2588" i="2"/>
  <c r="AE2589" i="2"/>
  <c r="AE2590" i="2"/>
  <c r="AE2591" i="2"/>
  <c r="AE2592" i="2"/>
  <c r="AE2593" i="2"/>
  <c r="AE2594" i="2"/>
  <c r="AE2595" i="2"/>
  <c r="AE2596" i="2"/>
  <c r="AE2597" i="2"/>
  <c r="AE2598" i="2"/>
  <c r="AE2599" i="2"/>
  <c r="AE2600" i="2"/>
  <c r="AE2601" i="2"/>
  <c r="AE2602" i="2"/>
  <c r="AE2603" i="2"/>
  <c r="AE2604" i="2"/>
  <c r="AE2605" i="2"/>
  <c r="AE2606" i="2"/>
  <c r="AE2607" i="2"/>
  <c r="AE2608" i="2"/>
  <c r="AE2609" i="2"/>
  <c r="AE2610" i="2"/>
  <c r="AE2611" i="2"/>
  <c r="AE2612" i="2"/>
  <c r="AE2613" i="2"/>
  <c r="AE2614" i="2"/>
  <c r="AE2615" i="2"/>
  <c r="AE2616" i="2"/>
  <c r="AE2617" i="2"/>
  <c r="AE2618" i="2"/>
  <c r="AE2619" i="2"/>
  <c r="AE2620" i="2"/>
  <c r="AE2621" i="2"/>
  <c r="AE2622" i="2"/>
  <c r="AE2623" i="2"/>
  <c r="AE2624" i="2"/>
  <c r="AE2625" i="2"/>
  <c r="AE2626" i="2"/>
  <c r="AE2627" i="2"/>
  <c r="AE2628" i="2"/>
  <c r="AE2629" i="2"/>
  <c r="AE2630" i="2"/>
  <c r="AE2631" i="2"/>
  <c r="AE2632" i="2"/>
  <c r="AE2633" i="2"/>
  <c r="AE2634" i="2"/>
  <c r="AE2635" i="2"/>
  <c r="AE2636" i="2"/>
  <c r="AE2637" i="2"/>
  <c r="AE2638" i="2"/>
  <c r="AE2639" i="2"/>
  <c r="AE2640" i="2"/>
  <c r="AE2641" i="2"/>
  <c r="AE2642" i="2"/>
  <c r="AE2643" i="2"/>
  <c r="AE2644" i="2"/>
  <c r="AE2645" i="2"/>
  <c r="AE2646" i="2"/>
  <c r="AE2647" i="2"/>
  <c r="AE2648" i="2"/>
  <c r="AE2649" i="2"/>
  <c r="AE2650" i="2"/>
  <c r="AE2651" i="2"/>
  <c r="AE2652" i="2"/>
  <c r="AE2653" i="2"/>
  <c r="AE2654" i="2"/>
  <c r="AE2655" i="2"/>
  <c r="AE2656" i="2"/>
  <c r="AE2657" i="2"/>
  <c r="AE2658" i="2"/>
  <c r="AE2659" i="2"/>
  <c r="AE2660" i="2"/>
  <c r="AE2661" i="2"/>
  <c r="AE2662" i="2"/>
  <c r="AE2663" i="2"/>
  <c r="AE2664" i="2"/>
  <c r="AE2665" i="2"/>
  <c r="AE2666" i="2"/>
  <c r="AE2667" i="2"/>
  <c r="AE2668" i="2"/>
  <c r="AE2669" i="2"/>
  <c r="AE2670" i="2"/>
  <c r="AE2671" i="2"/>
  <c r="AE2672" i="2"/>
  <c r="AE2673" i="2"/>
  <c r="AE2674" i="2"/>
  <c r="AE2675" i="2"/>
  <c r="AE2676" i="2"/>
  <c r="AE2677" i="2"/>
  <c r="AE2678" i="2"/>
  <c r="AE2679" i="2"/>
  <c r="AE2680" i="2"/>
  <c r="AE2681" i="2"/>
  <c r="AE2682" i="2"/>
  <c r="AE2683" i="2"/>
  <c r="AE2684" i="2"/>
  <c r="AE2685" i="2"/>
  <c r="AE2686" i="2"/>
  <c r="AE2687" i="2"/>
  <c r="AE2688" i="2"/>
  <c r="AE2689" i="2"/>
  <c r="AE2690" i="2"/>
  <c r="AE2691" i="2"/>
  <c r="AE2692" i="2"/>
  <c r="AE2693" i="2"/>
  <c r="AE2694" i="2"/>
  <c r="AE2695" i="2"/>
  <c r="AE2696" i="2"/>
  <c r="AE2697" i="2"/>
  <c r="AE2698" i="2"/>
  <c r="AE2699" i="2"/>
  <c r="AE2700" i="2"/>
  <c r="AE2701" i="2"/>
  <c r="AE2702" i="2"/>
  <c r="AE2703" i="2"/>
  <c r="AE2704" i="2"/>
  <c r="AE2705" i="2"/>
  <c r="AE2706" i="2"/>
  <c r="AE2707" i="2"/>
  <c r="AE2708" i="2"/>
  <c r="AE2709" i="2"/>
  <c r="AE2710" i="2"/>
  <c r="AE2711" i="2"/>
  <c r="AE2712" i="2"/>
  <c r="AE2713" i="2"/>
  <c r="AE2714" i="2"/>
  <c r="AE2715" i="2"/>
  <c r="AE2716" i="2"/>
  <c r="AE2717" i="2"/>
  <c r="AE2718" i="2"/>
  <c r="AE2719" i="2"/>
  <c r="AE2720" i="2"/>
  <c r="AE2721" i="2"/>
  <c r="AE2722" i="2"/>
  <c r="AE2723" i="2"/>
  <c r="AE2724" i="2"/>
  <c r="AE2725" i="2"/>
  <c r="AE2726" i="2"/>
  <c r="AE2727" i="2"/>
  <c r="AE2728" i="2"/>
  <c r="AE2729" i="2"/>
  <c r="AE2730" i="2"/>
  <c r="AE2731" i="2"/>
  <c r="AE2732" i="2"/>
  <c r="AE2733" i="2"/>
  <c r="AE2734" i="2"/>
  <c r="AE2735" i="2"/>
  <c r="AE2736" i="2"/>
  <c r="AE2737" i="2"/>
  <c r="AE2738" i="2"/>
  <c r="AE2739" i="2"/>
  <c r="AE2740" i="2"/>
  <c r="AE2741" i="2"/>
  <c r="AE2742" i="2"/>
  <c r="AE2743" i="2"/>
  <c r="AE2744" i="2"/>
  <c r="AE2745" i="2"/>
  <c r="AE2746" i="2"/>
  <c r="AE2747" i="2"/>
  <c r="AE2748" i="2"/>
  <c r="AE2749" i="2"/>
  <c r="AE2750" i="2"/>
  <c r="AE2751" i="2"/>
  <c r="AE2752" i="2"/>
  <c r="AE2753" i="2"/>
  <c r="AE2754" i="2"/>
  <c r="AE2755" i="2"/>
  <c r="AE2756" i="2"/>
  <c r="AE2757" i="2"/>
  <c r="AE2758" i="2"/>
  <c r="AE2759" i="2"/>
  <c r="AE2760" i="2"/>
  <c r="AE2761" i="2"/>
  <c r="AE2762" i="2"/>
  <c r="AE2763" i="2"/>
  <c r="AE2764" i="2"/>
  <c r="AE2765" i="2"/>
  <c r="AE2766" i="2"/>
  <c r="AB2767" i="2"/>
  <c r="AB2788" i="2" s="1"/>
  <c r="AB2809" i="2" s="1"/>
  <c r="AB2830" i="2" s="1"/>
  <c r="AB2851" i="2" s="1"/>
  <c r="AB2872" i="2" s="1"/>
  <c r="AB2893" i="2" s="1"/>
  <c r="AB2914" i="2" s="1"/>
  <c r="AB2935" i="2" s="1"/>
  <c r="AB2956" i="2" s="1"/>
  <c r="AB2977" i="2" s="1"/>
  <c r="AB2998" i="2" s="1"/>
  <c r="AB3019" i="2" s="1"/>
  <c r="AB3040" i="2" s="1"/>
  <c r="AB3061" i="2" s="1"/>
  <c r="AB3082" i="2" s="1"/>
  <c r="AB3103" i="2" s="1"/>
  <c r="AB3124" i="2" s="1"/>
  <c r="AB3145" i="2" s="1"/>
  <c r="AB3166" i="2" s="1"/>
  <c r="AB3187" i="2" s="1"/>
  <c r="AB3208" i="2" s="1"/>
  <c r="AB3229" i="2" s="1"/>
  <c r="AB3250" i="2" s="1"/>
  <c r="AB3271" i="2" s="1"/>
  <c r="AB3292" i="2" s="1"/>
  <c r="AB3313" i="2" s="1"/>
  <c r="AB3334" i="2" s="1"/>
  <c r="AB3355" i="2" s="1"/>
  <c r="AB3376" i="2" s="1"/>
  <c r="AB3397" i="2" s="1"/>
  <c r="AB3418" i="2" s="1"/>
  <c r="AB3439" i="2" s="1"/>
  <c r="AB3460" i="2" s="1"/>
  <c r="AB3481" i="2" s="1"/>
  <c r="AB3502" i="2" s="1"/>
  <c r="AB3523" i="2" s="1"/>
  <c r="AB3544" i="2" s="1"/>
  <c r="AB3565" i="2" s="1"/>
  <c r="AB3586" i="2" s="1"/>
  <c r="AB3607" i="2" s="1"/>
  <c r="AB3628" i="2" s="1"/>
  <c r="AB3649" i="2" s="1"/>
  <c r="AB3670" i="2" s="1"/>
  <c r="AB3691" i="2" s="1"/>
  <c r="AB3712" i="2" s="1"/>
  <c r="AB3733" i="2" s="1"/>
  <c r="AB3754" i="2" s="1"/>
  <c r="AB3775" i="2" s="1"/>
  <c r="AB3796" i="2" s="1"/>
  <c r="AB3817" i="2" s="1"/>
  <c r="AB3838" i="2" s="1"/>
  <c r="AB3859" i="2" s="1"/>
  <c r="AB3880" i="2" s="1"/>
  <c r="AB3901" i="2" s="1"/>
  <c r="AB3922" i="2" s="1"/>
  <c r="AB3943" i="2" s="1"/>
  <c r="AB3964" i="2" s="1"/>
  <c r="AB3985" i="2" s="1"/>
  <c r="AB4006" i="2" s="1"/>
  <c r="AB4027" i="2" s="1"/>
  <c r="AB4048" i="2" s="1"/>
  <c r="AB4069" i="2" s="1"/>
  <c r="AB4090" i="2" s="1"/>
  <c r="AB4111" i="2" s="1"/>
  <c r="AB4132" i="2" s="1"/>
  <c r="AB4153" i="2" s="1"/>
  <c r="AE2767" i="2"/>
  <c r="AE2768" i="2"/>
  <c r="AE2769" i="2"/>
  <c r="AE2770" i="2"/>
  <c r="AE2771" i="2"/>
  <c r="AE2772" i="2"/>
  <c r="AE2773" i="2"/>
  <c r="AE2774" i="2"/>
  <c r="AE2775" i="2"/>
  <c r="AE2776" i="2"/>
  <c r="AE2777" i="2"/>
  <c r="AE2778" i="2"/>
  <c r="AE2779" i="2"/>
  <c r="AE2780" i="2"/>
  <c r="AE2781" i="2"/>
  <c r="AE2782" i="2"/>
  <c r="AE2783" i="2"/>
  <c r="AE2784" i="2"/>
  <c r="AE2785" i="2"/>
  <c r="AE2786" i="2"/>
  <c r="AE2787" i="2"/>
  <c r="AE2788" i="2"/>
  <c r="AE2789" i="2"/>
  <c r="AE2790" i="2"/>
  <c r="AE2791" i="2"/>
  <c r="AE2792" i="2"/>
  <c r="AE2793" i="2"/>
  <c r="AE2794" i="2"/>
  <c r="AE2795" i="2"/>
  <c r="AE2796" i="2"/>
  <c r="AE2797" i="2"/>
  <c r="AE2798" i="2"/>
  <c r="AE2799" i="2"/>
  <c r="AE2800" i="2"/>
  <c r="AE2801" i="2"/>
  <c r="AE2802" i="2"/>
  <c r="AE2803" i="2"/>
  <c r="AE2804" i="2"/>
  <c r="AE2805" i="2"/>
  <c r="AE2806" i="2"/>
  <c r="AE2807" i="2"/>
  <c r="AE2808" i="2"/>
  <c r="AE2809" i="2"/>
  <c r="AE2810" i="2"/>
  <c r="AE2811" i="2"/>
  <c r="AE2812" i="2"/>
  <c r="AE2813" i="2"/>
  <c r="AE2814" i="2"/>
  <c r="AE2815" i="2"/>
  <c r="AE2816" i="2"/>
  <c r="AE2817" i="2"/>
  <c r="AE2818" i="2"/>
  <c r="AE2819" i="2"/>
  <c r="AE2820" i="2"/>
  <c r="AE2821" i="2"/>
  <c r="AE2822" i="2"/>
  <c r="AE2823" i="2"/>
  <c r="AE2824" i="2"/>
  <c r="AE2825" i="2"/>
  <c r="AE2826" i="2"/>
  <c r="AE2827" i="2"/>
  <c r="AE2828" i="2"/>
  <c r="AE2829" i="2"/>
  <c r="AE2830" i="2"/>
  <c r="AE2831" i="2"/>
  <c r="AE2832" i="2"/>
  <c r="AE2833" i="2"/>
  <c r="AE2834" i="2"/>
  <c r="AE2835" i="2"/>
  <c r="AE2836" i="2"/>
  <c r="AE2837" i="2"/>
  <c r="AE2838" i="2"/>
  <c r="AE2839" i="2"/>
  <c r="AE2840" i="2"/>
  <c r="AE2841" i="2"/>
  <c r="AE2842" i="2"/>
  <c r="AE2843" i="2"/>
  <c r="AE2844" i="2"/>
  <c r="AE2845" i="2"/>
  <c r="AE2846" i="2"/>
  <c r="AE2847" i="2"/>
  <c r="AE2848" i="2"/>
  <c r="AE2849" i="2"/>
  <c r="AE2850" i="2"/>
  <c r="AE2851" i="2"/>
  <c r="AE2852" i="2"/>
  <c r="AE2853" i="2"/>
  <c r="AE2854" i="2"/>
  <c r="AE2855" i="2"/>
  <c r="AE2856" i="2"/>
  <c r="AE2857" i="2"/>
  <c r="AE2858" i="2"/>
  <c r="AE2859" i="2"/>
  <c r="AE2860" i="2"/>
  <c r="AE2861" i="2"/>
  <c r="AE2862" i="2"/>
  <c r="AE2863" i="2"/>
  <c r="AE2864" i="2"/>
  <c r="AE2865" i="2"/>
  <c r="AE2866" i="2"/>
  <c r="AE2867" i="2"/>
  <c r="AE2868" i="2"/>
  <c r="AE2869" i="2"/>
  <c r="AE2870" i="2"/>
  <c r="AE2871" i="2"/>
  <c r="AE2872" i="2"/>
  <c r="AE2873" i="2"/>
  <c r="AE2874" i="2"/>
  <c r="AE2875" i="2"/>
  <c r="AE2876" i="2"/>
  <c r="AE2877" i="2"/>
  <c r="AE2878" i="2"/>
  <c r="AE2879" i="2"/>
  <c r="AE2880" i="2"/>
  <c r="AE2881" i="2"/>
  <c r="AE2882" i="2"/>
  <c r="AE2883" i="2"/>
  <c r="AE2884" i="2"/>
  <c r="AE2885" i="2"/>
  <c r="AE2886" i="2"/>
  <c r="AE2887" i="2"/>
  <c r="AE2888" i="2"/>
  <c r="AE2889" i="2"/>
  <c r="AE2890" i="2"/>
  <c r="AE2891" i="2"/>
  <c r="AF2891" i="2" s="1"/>
  <c r="AE2892" i="2"/>
  <c r="AE2893" i="2"/>
  <c r="AE2894" i="2"/>
  <c r="AE2895" i="2"/>
  <c r="AE2896" i="2"/>
  <c r="AE2897" i="2"/>
  <c r="AE2898" i="2"/>
  <c r="AE2899" i="2"/>
  <c r="AE2900" i="2"/>
  <c r="AE2901" i="2"/>
  <c r="AE2902" i="2"/>
  <c r="AE2903" i="2"/>
  <c r="AE2904" i="2"/>
  <c r="AE2905" i="2"/>
  <c r="AE2906" i="2"/>
  <c r="AE2907" i="2"/>
  <c r="AE2908" i="2"/>
  <c r="AE2909" i="2"/>
  <c r="AE2910" i="2"/>
  <c r="AE2911" i="2"/>
  <c r="AE2912" i="2"/>
  <c r="AE2913" i="2"/>
  <c r="AE2914" i="2"/>
  <c r="AE2915" i="2"/>
  <c r="AE2916" i="2"/>
  <c r="AE2917" i="2"/>
  <c r="AE2918" i="2"/>
  <c r="AE2919" i="2"/>
  <c r="AE2920" i="2"/>
  <c r="AE2921" i="2"/>
  <c r="AE2922" i="2"/>
  <c r="AE2923" i="2"/>
  <c r="AE2924" i="2"/>
  <c r="AE2925" i="2"/>
  <c r="AE2926" i="2"/>
  <c r="AE2927" i="2"/>
  <c r="AE2928" i="2"/>
  <c r="AE2929" i="2"/>
  <c r="AE2930" i="2"/>
  <c r="AE2931" i="2"/>
  <c r="AE2932" i="2"/>
  <c r="AE2933" i="2"/>
  <c r="AE2934" i="2"/>
  <c r="AE2935" i="2"/>
  <c r="AE2936" i="2"/>
  <c r="AE2937" i="2"/>
  <c r="AE2938" i="2"/>
  <c r="AE2939" i="2"/>
  <c r="AE2940" i="2"/>
  <c r="AE2941" i="2"/>
  <c r="AE2942" i="2"/>
  <c r="AE2943" i="2"/>
  <c r="AE2944" i="2"/>
  <c r="AE2945" i="2"/>
  <c r="AE2946" i="2"/>
  <c r="AE2947" i="2"/>
  <c r="AE2948" i="2"/>
  <c r="AE2949" i="2"/>
  <c r="AE2950" i="2"/>
  <c r="AE2951" i="2"/>
  <c r="AE2952" i="2"/>
  <c r="AE2953" i="2"/>
  <c r="AE2954" i="2"/>
  <c r="AE2955" i="2"/>
  <c r="AE2956" i="2"/>
  <c r="AE2957" i="2"/>
  <c r="AE2958" i="2"/>
  <c r="AE2959" i="2"/>
  <c r="AE2960" i="2"/>
  <c r="AE2961" i="2"/>
  <c r="AE2962" i="2"/>
  <c r="AE2963" i="2"/>
  <c r="AE2964" i="2"/>
  <c r="AE2965" i="2"/>
  <c r="AE2966" i="2"/>
  <c r="AE2967" i="2"/>
  <c r="AE2968" i="2"/>
  <c r="AE2969" i="2"/>
  <c r="AE2970" i="2"/>
  <c r="AE2971" i="2"/>
  <c r="AE2972" i="2"/>
  <c r="AE2973" i="2"/>
  <c r="AE2974" i="2"/>
  <c r="AE2975" i="2"/>
  <c r="AE2976" i="2"/>
  <c r="AE2977" i="2"/>
  <c r="AE2978" i="2"/>
  <c r="AE2979" i="2"/>
  <c r="AE2980" i="2"/>
  <c r="AE2981" i="2"/>
  <c r="AE2982" i="2"/>
  <c r="AE2983" i="2"/>
  <c r="AE2984" i="2"/>
  <c r="AE2985" i="2"/>
  <c r="AE2986" i="2"/>
  <c r="AE2987" i="2"/>
  <c r="AE2988" i="2"/>
  <c r="AE2989" i="2"/>
  <c r="AE2990" i="2"/>
  <c r="AE2991" i="2"/>
  <c r="AE2992" i="2"/>
  <c r="AE2993" i="2"/>
  <c r="AE2994" i="2"/>
  <c r="AE2995" i="2"/>
  <c r="AE2996" i="2"/>
  <c r="AE2997" i="2"/>
  <c r="AE2998" i="2"/>
  <c r="AE2999" i="2"/>
  <c r="AE3000" i="2"/>
  <c r="AE3001" i="2"/>
  <c r="AE3002" i="2"/>
  <c r="AE3003" i="2"/>
  <c r="AE3004" i="2"/>
  <c r="AE3005" i="2"/>
  <c r="AE3006" i="2"/>
  <c r="AE3007" i="2"/>
  <c r="AE3008" i="2"/>
  <c r="AE3009" i="2"/>
  <c r="AE3010" i="2"/>
  <c r="AE3011" i="2"/>
  <c r="AE3012" i="2"/>
  <c r="AE3013" i="2"/>
  <c r="AE3014" i="2"/>
  <c r="AE3015" i="2"/>
  <c r="AE3016" i="2"/>
  <c r="AE3017" i="2"/>
  <c r="AE3018" i="2"/>
  <c r="AE3019" i="2"/>
  <c r="AE3020" i="2"/>
  <c r="AE3021" i="2"/>
  <c r="AE3022" i="2"/>
  <c r="AE3023" i="2"/>
  <c r="AE3024" i="2"/>
  <c r="AE3025" i="2"/>
  <c r="AE3026" i="2"/>
  <c r="AE3027" i="2"/>
  <c r="AE3028" i="2"/>
  <c r="AE3029" i="2"/>
  <c r="AE3030" i="2"/>
  <c r="AE3031" i="2"/>
  <c r="AE3032" i="2"/>
  <c r="AE3033" i="2"/>
  <c r="AE3034" i="2"/>
  <c r="AE3035" i="2"/>
  <c r="AE3036" i="2"/>
  <c r="AE3037" i="2"/>
  <c r="AE3038" i="2"/>
  <c r="AE3039" i="2"/>
  <c r="AE3040" i="2"/>
  <c r="AE3041" i="2"/>
  <c r="AE3042" i="2"/>
  <c r="AE3043" i="2"/>
  <c r="AE3044" i="2"/>
  <c r="AE3045" i="2"/>
  <c r="AE3046" i="2"/>
  <c r="AE3047" i="2"/>
  <c r="AE3048" i="2"/>
  <c r="AE3049" i="2"/>
  <c r="AE3050" i="2"/>
  <c r="AE3051" i="2"/>
  <c r="AE3052" i="2"/>
  <c r="AE3053" i="2"/>
  <c r="AE3054" i="2"/>
  <c r="AE3055" i="2"/>
  <c r="AE3056" i="2"/>
  <c r="AE3057" i="2"/>
  <c r="AE3058" i="2"/>
  <c r="AE3059" i="2"/>
  <c r="AE3060" i="2"/>
  <c r="AE3061" i="2"/>
  <c r="AE3062" i="2"/>
  <c r="AE3063" i="2"/>
  <c r="AE3064" i="2"/>
  <c r="AE3065" i="2"/>
  <c r="AE3066" i="2"/>
  <c r="AE3067" i="2"/>
  <c r="AE3068" i="2"/>
  <c r="AE3069" i="2"/>
  <c r="AE3070" i="2"/>
  <c r="AE3071" i="2"/>
  <c r="AE3072" i="2"/>
  <c r="AE3073" i="2"/>
  <c r="AE3074" i="2"/>
  <c r="AE3075" i="2"/>
  <c r="AE3076" i="2"/>
  <c r="AE3077" i="2"/>
  <c r="AE3078" i="2"/>
  <c r="AE3079" i="2"/>
  <c r="AE3080" i="2"/>
  <c r="AE3081" i="2"/>
  <c r="AE3082" i="2"/>
  <c r="AE3083" i="2"/>
  <c r="AE3084" i="2"/>
  <c r="AE3085" i="2"/>
  <c r="AE3086" i="2"/>
  <c r="AE3087" i="2"/>
  <c r="AE3088" i="2"/>
  <c r="AE3089" i="2"/>
  <c r="AE3090" i="2"/>
  <c r="AE3091" i="2"/>
  <c r="AE3092" i="2"/>
  <c r="AE3093" i="2"/>
  <c r="AE3094" i="2"/>
  <c r="AE3095" i="2"/>
  <c r="AE3096" i="2"/>
  <c r="AE3097" i="2"/>
  <c r="AE3098" i="2"/>
  <c r="AE3099" i="2"/>
  <c r="AE3100" i="2"/>
  <c r="AE3101" i="2"/>
  <c r="AE3102" i="2"/>
  <c r="AE3103" i="2"/>
  <c r="AE3104" i="2"/>
  <c r="AE3105" i="2"/>
  <c r="AE3106" i="2"/>
  <c r="AE3107" i="2"/>
  <c r="AE3108" i="2"/>
  <c r="AE3109" i="2"/>
  <c r="AE3110" i="2"/>
  <c r="AE3111" i="2"/>
  <c r="AE3112" i="2"/>
  <c r="AE3113" i="2"/>
  <c r="AE3114" i="2"/>
  <c r="AE3115" i="2"/>
  <c r="AE3116" i="2"/>
  <c r="AE3117" i="2"/>
  <c r="AE3118" i="2"/>
  <c r="AE3119" i="2"/>
  <c r="AE3120" i="2"/>
  <c r="AE3121" i="2"/>
  <c r="AE3122" i="2"/>
  <c r="AE3123" i="2"/>
  <c r="AE3124" i="2"/>
  <c r="AE3125" i="2"/>
  <c r="AE3126" i="2"/>
  <c r="AE3127" i="2"/>
  <c r="AE3128" i="2"/>
  <c r="AE3129" i="2"/>
  <c r="AE3130" i="2"/>
  <c r="AE3131" i="2"/>
  <c r="AE3132" i="2"/>
  <c r="AE3133" i="2"/>
  <c r="AE3134" i="2"/>
  <c r="AE3135" i="2"/>
  <c r="AE3136" i="2"/>
  <c r="AE3137" i="2"/>
  <c r="AE3138" i="2"/>
  <c r="AE3139" i="2"/>
  <c r="AE3140" i="2"/>
  <c r="AE3141" i="2"/>
  <c r="AE3142" i="2"/>
  <c r="AE3143" i="2"/>
  <c r="AE3144" i="2"/>
  <c r="AE3145" i="2"/>
  <c r="AE3146" i="2"/>
  <c r="AE3147" i="2"/>
  <c r="AE3148" i="2"/>
  <c r="AE3149" i="2"/>
  <c r="AE3150" i="2"/>
  <c r="AE3151" i="2"/>
  <c r="AE3152" i="2"/>
  <c r="AE3153" i="2"/>
  <c r="AE3154" i="2"/>
  <c r="AE3155" i="2"/>
  <c r="AE3156" i="2"/>
  <c r="AE3157" i="2"/>
  <c r="AE3158" i="2"/>
  <c r="AE3159" i="2"/>
  <c r="AE3160" i="2"/>
  <c r="AE3161" i="2"/>
  <c r="AE3162" i="2"/>
  <c r="AE3163" i="2"/>
  <c r="AE3164" i="2"/>
  <c r="AE3165" i="2"/>
  <c r="AE3166" i="2"/>
  <c r="AE3167" i="2"/>
  <c r="AE3168" i="2"/>
  <c r="AE3169" i="2"/>
  <c r="AE3170" i="2"/>
  <c r="AE3171" i="2"/>
  <c r="AE3172" i="2"/>
  <c r="AE3173" i="2"/>
  <c r="AE3174" i="2"/>
  <c r="AE3175" i="2"/>
  <c r="AE3176" i="2"/>
  <c r="AE3177" i="2"/>
  <c r="AE3178" i="2"/>
  <c r="AE3179" i="2"/>
  <c r="AE3180" i="2"/>
  <c r="AE3181" i="2"/>
  <c r="AE3182" i="2"/>
  <c r="AE3183" i="2"/>
  <c r="AE3184" i="2"/>
  <c r="AE3185" i="2"/>
  <c r="AE3186" i="2"/>
  <c r="AE3187" i="2"/>
  <c r="AE3188" i="2"/>
  <c r="AE3189" i="2"/>
  <c r="AE3190" i="2"/>
  <c r="AE3191" i="2"/>
  <c r="AE3192" i="2"/>
  <c r="AE3193" i="2"/>
  <c r="AE3194" i="2"/>
  <c r="AE3195" i="2"/>
  <c r="AE3196" i="2"/>
  <c r="AE3197" i="2"/>
  <c r="AE3198" i="2"/>
  <c r="AE3199" i="2"/>
  <c r="AE3200" i="2"/>
  <c r="AE3201" i="2"/>
  <c r="AE3202" i="2"/>
  <c r="AE3203" i="2"/>
  <c r="AE3204" i="2"/>
  <c r="AE3205" i="2"/>
  <c r="AE3206" i="2"/>
  <c r="AE3207" i="2"/>
  <c r="AE3208" i="2"/>
  <c r="AE3209" i="2"/>
  <c r="AE3210" i="2"/>
  <c r="AE3211" i="2"/>
  <c r="AE3212" i="2"/>
  <c r="AE3213" i="2"/>
  <c r="AE3214" i="2"/>
  <c r="AE3215" i="2"/>
  <c r="AE3216" i="2"/>
  <c r="AE3217" i="2"/>
  <c r="AE3218" i="2"/>
  <c r="AE3219" i="2"/>
  <c r="AE3220" i="2"/>
  <c r="AE3221" i="2"/>
  <c r="AE3222" i="2"/>
  <c r="AE3223" i="2"/>
  <c r="AE3224" i="2"/>
  <c r="AE3225" i="2"/>
  <c r="AE3226" i="2"/>
  <c r="AE3227" i="2"/>
  <c r="AE3228" i="2"/>
  <c r="AE3229" i="2"/>
  <c r="AE3230" i="2"/>
  <c r="AE3231" i="2"/>
  <c r="AE3232" i="2"/>
  <c r="AE3233" i="2"/>
  <c r="AE3234" i="2"/>
  <c r="AE3235" i="2"/>
  <c r="AE3236" i="2"/>
  <c r="AE3237" i="2"/>
  <c r="AE3238" i="2"/>
  <c r="AE3239" i="2"/>
  <c r="AE3240" i="2"/>
  <c r="AE3241" i="2"/>
  <c r="AE3242" i="2"/>
  <c r="AE3243" i="2"/>
  <c r="AE3244" i="2"/>
  <c r="AE3245" i="2"/>
  <c r="AE3246" i="2"/>
  <c r="AE3247" i="2"/>
  <c r="AE3248" i="2"/>
  <c r="AE3249" i="2"/>
  <c r="AE3250" i="2"/>
  <c r="AE3251" i="2"/>
  <c r="AE3252" i="2"/>
  <c r="AE3253" i="2"/>
  <c r="AE3254" i="2"/>
  <c r="AE3255" i="2"/>
  <c r="AE3256" i="2"/>
  <c r="AE3257" i="2"/>
  <c r="AE3258" i="2"/>
  <c r="AE3259" i="2"/>
  <c r="AE3260" i="2"/>
  <c r="AE3261" i="2"/>
  <c r="AE3262" i="2"/>
  <c r="AE3263" i="2"/>
  <c r="AE3264" i="2"/>
  <c r="AE3265" i="2"/>
  <c r="AE3266" i="2"/>
  <c r="AE3267" i="2"/>
  <c r="AE3268" i="2"/>
  <c r="AE3269" i="2"/>
  <c r="AE3270" i="2"/>
  <c r="AE3271" i="2"/>
  <c r="AE3272" i="2"/>
  <c r="AE3273" i="2"/>
  <c r="AE3274" i="2"/>
  <c r="AE3275" i="2"/>
  <c r="AE3276" i="2"/>
  <c r="AE3277" i="2"/>
  <c r="AE3278" i="2"/>
  <c r="AE3279" i="2"/>
  <c r="AE3280" i="2"/>
  <c r="AE3281" i="2"/>
  <c r="AE3282" i="2"/>
  <c r="AE3283" i="2"/>
  <c r="AE3284" i="2"/>
  <c r="AE3285" i="2"/>
  <c r="AE3286" i="2"/>
  <c r="AE3287" i="2"/>
  <c r="AE3288" i="2"/>
  <c r="AE3289" i="2"/>
  <c r="AE3290" i="2"/>
  <c r="AE3291" i="2"/>
  <c r="AE3292" i="2"/>
  <c r="AE3293" i="2"/>
  <c r="AE3294" i="2"/>
  <c r="AE3295" i="2"/>
  <c r="AE3296" i="2"/>
  <c r="AE3297" i="2"/>
  <c r="AE3298" i="2"/>
  <c r="AE3299" i="2"/>
  <c r="AE3300" i="2"/>
  <c r="AE3301" i="2"/>
  <c r="AE3302" i="2"/>
  <c r="AE3303" i="2"/>
  <c r="AE3304" i="2"/>
  <c r="AE3305" i="2"/>
  <c r="AE3306" i="2"/>
  <c r="AE3307" i="2"/>
  <c r="AE3308" i="2"/>
  <c r="AE3309" i="2"/>
  <c r="AE3310" i="2"/>
  <c r="AE3311" i="2"/>
  <c r="AE3312" i="2"/>
  <c r="AE3313" i="2"/>
  <c r="AE3314" i="2"/>
  <c r="AE3315" i="2"/>
  <c r="AE3316" i="2"/>
  <c r="AE3317" i="2"/>
  <c r="AE3318" i="2"/>
  <c r="AE3319" i="2"/>
  <c r="AE3320" i="2"/>
  <c r="AE3321" i="2"/>
  <c r="AE3322" i="2"/>
  <c r="AE3323" i="2"/>
  <c r="AE3324" i="2"/>
  <c r="AE3325" i="2"/>
  <c r="AE3326" i="2"/>
  <c r="AE3327" i="2"/>
  <c r="AE3328" i="2"/>
  <c r="AE3329" i="2"/>
  <c r="AE3330" i="2"/>
  <c r="AE3331" i="2"/>
  <c r="AE3332" i="2"/>
  <c r="AE3333" i="2"/>
  <c r="AE3334" i="2"/>
  <c r="AE3335" i="2"/>
  <c r="AE3336" i="2"/>
  <c r="AE3337" i="2"/>
  <c r="AE3338" i="2"/>
  <c r="AE3339" i="2"/>
  <c r="AE3340" i="2"/>
  <c r="AE3341" i="2"/>
  <c r="AE3342" i="2"/>
  <c r="AE3343" i="2"/>
  <c r="AE3344" i="2"/>
  <c r="AE3345" i="2"/>
  <c r="AE3346" i="2"/>
  <c r="AE3347" i="2"/>
  <c r="AE3348" i="2"/>
  <c r="AE3349" i="2"/>
  <c r="AE3350" i="2"/>
  <c r="AE3351" i="2"/>
  <c r="AE3352" i="2"/>
  <c r="AE3353" i="2"/>
  <c r="AE3354" i="2"/>
  <c r="AE3355" i="2"/>
  <c r="AE3356" i="2"/>
  <c r="AE3357" i="2"/>
  <c r="AE3358" i="2"/>
  <c r="AE3359" i="2"/>
  <c r="AE3360" i="2"/>
  <c r="AE3361" i="2"/>
  <c r="AE3362" i="2"/>
  <c r="AE3363" i="2"/>
  <c r="AE3364" i="2"/>
  <c r="AE3365" i="2"/>
  <c r="AE3366" i="2"/>
  <c r="AE3367" i="2"/>
  <c r="AE3368" i="2"/>
  <c r="AE3369" i="2"/>
  <c r="AE3370" i="2"/>
  <c r="AE3371" i="2"/>
  <c r="AE3372" i="2"/>
  <c r="AE3373" i="2"/>
  <c r="AE3374" i="2"/>
  <c r="AE3375" i="2"/>
  <c r="AE3376" i="2"/>
  <c r="AE3377" i="2"/>
  <c r="AE3378" i="2"/>
  <c r="AE3379" i="2"/>
  <c r="AE3380" i="2"/>
  <c r="AE3381" i="2"/>
  <c r="AE3382" i="2"/>
  <c r="AE3383" i="2"/>
  <c r="AE3384" i="2"/>
  <c r="AE3385" i="2"/>
  <c r="AE3386" i="2"/>
  <c r="AE3387" i="2"/>
  <c r="AE3388" i="2"/>
  <c r="AE3389" i="2"/>
  <c r="AE3390" i="2"/>
  <c r="AE3391" i="2"/>
  <c r="AE3392" i="2"/>
  <c r="AE3393" i="2"/>
  <c r="AE3394" i="2"/>
  <c r="AE3395" i="2"/>
  <c r="AE3396" i="2"/>
  <c r="AE3397" i="2"/>
  <c r="AE3398" i="2"/>
  <c r="AE3399" i="2"/>
  <c r="AE3400" i="2"/>
  <c r="AE3401" i="2"/>
  <c r="AE3402" i="2"/>
  <c r="AE3403" i="2"/>
  <c r="AE3404" i="2"/>
  <c r="AE3405" i="2"/>
  <c r="AE3406" i="2"/>
  <c r="AE3407" i="2"/>
  <c r="AE3408" i="2"/>
  <c r="AE3409" i="2"/>
  <c r="AE3410" i="2"/>
  <c r="AE3411" i="2"/>
  <c r="AE3412" i="2"/>
  <c r="AE3413" i="2"/>
  <c r="AE3414" i="2"/>
  <c r="AE3415" i="2"/>
  <c r="AE3416" i="2"/>
  <c r="AE3417" i="2"/>
  <c r="AE3418" i="2"/>
  <c r="AE3419" i="2"/>
  <c r="AE3420" i="2"/>
  <c r="AE3421" i="2"/>
  <c r="AE3422" i="2"/>
  <c r="AE3423" i="2"/>
  <c r="AE3424" i="2"/>
  <c r="AE3425" i="2"/>
  <c r="AE3426" i="2"/>
  <c r="AE3427" i="2"/>
  <c r="AE3428" i="2"/>
  <c r="AE3429" i="2"/>
  <c r="AE3430" i="2"/>
  <c r="AE3431" i="2"/>
  <c r="AE3432" i="2"/>
  <c r="AE3433" i="2"/>
  <c r="AE3434" i="2"/>
  <c r="AE3435" i="2"/>
  <c r="AE3436" i="2"/>
  <c r="AE3437" i="2"/>
  <c r="AE3438" i="2"/>
  <c r="AE3439" i="2"/>
  <c r="AE3440" i="2"/>
  <c r="AE3441" i="2"/>
  <c r="AE3442" i="2"/>
  <c r="AE3443" i="2"/>
  <c r="AE3444" i="2"/>
  <c r="AE3445" i="2"/>
  <c r="AE3446" i="2"/>
  <c r="AE3447" i="2"/>
  <c r="AE3448" i="2"/>
  <c r="AE3449" i="2"/>
  <c r="AE3450" i="2"/>
  <c r="AE3451" i="2"/>
  <c r="AE3452" i="2"/>
  <c r="AE3453" i="2"/>
  <c r="AE3454" i="2"/>
  <c r="AE3455" i="2"/>
  <c r="AE3456" i="2"/>
  <c r="AE3457" i="2"/>
  <c r="AE3458" i="2"/>
  <c r="AE3459" i="2"/>
  <c r="AE3460" i="2"/>
  <c r="AE3461" i="2"/>
  <c r="AE3462" i="2"/>
  <c r="AE3463" i="2"/>
  <c r="AE3464" i="2"/>
  <c r="AE3465" i="2"/>
  <c r="AE3466" i="2"/>
  <c r="AE3467" i="2"/>
  <c r="AE3468" i="2"/>
  <c r="AE3469" i="2"/>
  <c r="AE3470" i="2"/>
  <c r="AE3471" i="2"/>
  <c r="AE3472" i="2"/>
  <c r="AE3473" i="2"/>
  <c r="AE3474" i="2"/>
  <c r="AE3475" i="2"/>
  <c r="AE3476" i="2"/>
  <c r="AE3477" i="2"/>
  <c r="AE3478" i="2"/>
  <c r="AE3479" i="2"/>
  <c r="AE3480" i="2"/>
  <c r="AE3481" i="2"/>
  <c r="AE3482" i="2"/>
  <c r="AE3483" i="2"/>
  <c r="AE3484" i="2"/>
  <c r="AE3485" i="2"/>
  <c r="AE3486" i="2"/>
  <c r="AE3487" i="2"/>
  <c r="AE3488" i="2"/>
  <c r="AE3489" i="2"/>
  <c r="AE3490" i="2"/>
  <c r="AE3491" i="2"/>
  <c r="AE3492" i="2"/>
  <c r="AE3493" i="2"/>
  <c r="AE3494" i="2"/>
  <c r="AE3495" i="2"/>
  <c r="AE3496" i="2"/>
  <c r="AE3497" i="2"/>
  <c r="AE3498" i="2"/>
  <c r="AE3499" i="2"/>
  <c r="AE3500" i="2"/>
  <c r="AE3501" i="2"/>
  <c r="AE3502" i="2"/>
  <c r="AE3503" i="2"/>
  <c r="AE3504" i="2"/>
  <c r="AE3505" i="2"/>
  <c r="AE3506" i="2"/>
  <c r="AE3507" i="2"/>
  <c r="AE3508" i="2"/>
  <c r="AE3509" i="2"/>
  <c r="AE3510" i="2"/>
  <c r="AE3511" i="2"/>
  <c r="AE3512" i="2"/>
  <c r="AE3513" i="2"/>
  <c r="AE3514" i="2"/>
  <c r="AE3515" i="2"/>
  <c r="AE3516" i="2"/>
  <c r="AE3517" i="2"/>
  <c r="AE3518" i="2"/>
  <c r="AE3519" i="2"/>
  <c r="AE3520" i="2"/>
  <c r="AE3521" i="2"/>
  <c r="AE3522" i="2"/>
  <c r="AE3523" i="2"/>
  <c r="AE3524" i="2"/>
  <c r="AE3525" i="2"/>
  <c r="AE3526" i="2"/>
  <c r="AE3527" i="2"/>
  <c r="AE3528" i="2"/>
  <c r="AE3529" i="2"/>
  <c r="AE3530" i="2"/>
  <c r="AE3531" i="2"/>
  <c r="AE3532" i="2"/>
  <c r="AE3533" i="2"/>
  <c r="AE3534" i="2"/>
  <c r="AE3535" i="2"/>
  <c r="AE3536" i="2"/>
  <c r="AE3537" i="2"/>
  <c r="AE3538" i="2"/>
  <c r="AE3539" i="2"/>
  <c r="AE3540" i="2"/>
  <c r="AE3541" i="2"/>
  <c r="AE3542" i="2"/>
  <c r="AE3543" i="2"/>
  <c r="AE3544" i="2"/>
  <c r="AE3545" i="2"/>
  <c r="AE3546" i="2"/>
  <c r="AE3547" i="2"/>
  <c r="AE3548" i="2"/>
  <c r="AE3549" i="2"/>
  <c r="AE3550" i="2"/>
  <c r="AE3551" i="2"/>
  <c r="AE3552" i="2"/>
  <c r="AE3553" i="2"/>
  <c r="AE3554" i="2"/>
  <c r="AE3555" i="2"/>
  <c r="AE3556" i="2"/>
  <c r="AE3557" i="2"/>
  <c r="AE3558" i="2"/>
  <c r="AE3559" i="2"/>
  <c r="AE3560" i="2"/>
  <c r="AE3561" i="2"/>
  <c r="AE3562" i="2"/>
  <c r="AE3563" i="2"/>
  <c r="AE3564" i="2"/>
  <c r="AE3565" i="2"/>
  <c r="AE3566" i="2"/>
  <c r="AE3567" i="2"/>
  <c r="AE3568" i="2"/>
  <c r="AE3569" i="2"/>
  <c r="AE3570" i="2"/>
  <c r="AE3571" i="2"/>
  <c r="AE3572" i="2"/>
  <c r="AE3573" i="2"/>
  <c r="AE3574" i="2"/>
  <c r="AE3575" i="2"/>
  <c r="AE3576" i="2"/>
  <c r="AE3577" i="2"/>
  <c r="AE3578" i="2"/>
  <c r="AE3579" i="2"/>
  <c r="AE3580" i="2"/>
  <c r="AE3581" i="2"/>
  <c r="AE3582" i="2"/>
  <c r="AE3583" i="2"/>
  <c r="AE3584" i="2"/>
  <c r="AE3585" i="2"/>
  <c r="AE3586" i="2"/>
  <c r="AE3587" i="2"/>
  <c r="AE3588" i="2"/>
  <c r="AE3589" i="2"/>
  <c r="AE3590" i="2"/>
  <c r="AE3591" i="2"/>
  <c r="AE3592" i="2"/>
  <c r="AE3593" i="2"/>
  <c r="AE3594" i="2"/>
  <c r="AE3595" i="2"/>
  <c r="AE3596" i="2"/>
  <c r="AE3597" i="2"/>
  <c r="AE3598" i="2"/>
  <c r="AE3599" i="2"/>
  <c r="AE3600" i="2"/>
  <c r="AE3601" i="2"/>
  <c r="AE3602" i="2"/>
  <c r="AE3603" i="2"/>
  <c r="AE3604" i="2"/>
  <c r="AE3605" i="2"/>
  <c r="AE3606" i="2"/>
  <c r="AE3607" i="2"/>
  <c r="AE3608" i="2"/>
  <c r="AE3609" i="2"/>
  <c r="AE3610" i="2"/>
  <c r="AE3611" i="2"/>
  <c r="AE3612" i="2"/>
  <c r="AE3613" i="2"/>
  <c r="AE3614" i="2"/>
  <c r="AE3615" i="2"/>
  <c r="AE3616" i="2"/>
  <c r="AE3617" i="2"/>
  <c r="AE3618" i="2"/>
  <c r="AE3619" i="2"/>
  <c r="AE3620" i="2"/>
  <c r="AE3621" i="2"/>
  <c r="AE3622" i="2"/>
  <c r="AE3623" i="2"/>
  <c r="AE3624" i="2"/>
  <c r="AE3625" i="2"/>
  <c r="AE3626" i="2"/>
  <c r="AE3627" i="2"/>
  <c r="AE3628" i="2"/>
  <c r="AE3629" i="2"/>
  <c r="AE3630" i="2"/>
  <c r="AE3631" i="2"/>
  <c r="AE3632" i="2"/>
  <c r="AE3633" i="2"/>
  <c r="AE3634" i="2"/>
  <c r="AE3635" i="2"/>
  <c r="AE3636" i="2"/>
  <c r="AE3637" i="2"/>
  <c r="AE3638" i="2"/>
  <c r="AE3639" i="2"/>
  <c r="AE3640" i="2"/>
  <c r="AE3641" i="2"/>
  <c r="AE3642" i="2"/>
  <c r="AE3643" i="2"/>
  <c r="AE3644" i="2"/>
  <c r="AE3645" i="2"/>
  <c r="AE3646" i="2"/>
  <c r="AE3647" i="2"/>
  <c r="AE3648" i="2"/>
  <c r="AE3649" i="2"/>
  <c r="AE3650" i="2"/>
  <c r="AE3651" i="2"/>
  <c r="AE3652" i="2"/>
  <c r="AE3653" i="2"/>
  <c r="AE3654" i="2"/>
  <c r="AE3655" i="2"/>
  <c r="AE3656" i="2"/>
  <c r="AE3657" i="2"/>
  <c r="AE3658" i="2"/>
  <c r="AE3659" i="2"/>
  <c r="AE3660" i="2"/>
  <c r="AE3661" i="2"/>
  <c r="AE3662" i="2"/>
  <c r="AE3663" i="2"/>
  <c r="AE3664" i="2"/>
  <c r="AE3665" i="2"/>
  <c r="AE3666" i="2"/>
  <c r="AE3667" i="2"/>
  <c r="AE3668" i="2"/>
  <c r="AE3669" i="2"/>
  <c r="AE3670" i="2"/>
  <c r="AE3671" i="2"/>
  <c r="AE3672" i="2"/>
  <c r="AE3673" i="2"/>
  <c r="AE3674" i="2"/>
  <c r="AE3675" i="2"/>
  <c r="AE3676" i="2"/>
  <c r="AE3677" i="2"/>
  <c r="AE3678" i="2"/>
  <c r="AE3679" i="2"/>
  <c r="AE3680" i="2"/>
  <c r="AE3681" i="2"/>
  <c r="AE3682" i="2"/>
  <c r="AE3683" i="2"/>
  <c r="AE3684" i="2"/>
  <c r="AE3685" i="2"/>
  <c r="AE3686" i="2"/>
  <c r="AE3687" i="2"/>
  <c r="AE3688" i="2"/>
  <c r="AE3689" i="2"/>
  <c r="AE3690" i="2"/>
  <c r="AE3691" i="2"/>
  <c r="AE3692" i="2"/>
  <c r="AE3693" i="2"/>
  <c r="AE3694" i="2"/>
  <c r="AE3695" i="2"/>
  <c r="AE3696" i="2"/>
  <c r="AE3697" i="2"/>
  <c r="AE3698" i="2"/>
  <c r="AE3699" i="2"/>
  <c r="AE3700" i="2"/>
  <c r="AE3701" i="2"/>
  <c r="AE3702" i="2"/>
  <c r="AE3703" i="2"/>
  <c r="AE3704" i="2"/>
  <c r="AE3705" i="2"/>
  <c r="AE3706" i="2"/>
  <c r="AE3707" i="2"/>
  <c r="AE3708" i="2"/>
  <c r="AE3709" i="2"/>
  <c r="AE3710" i="2"/>
  <c r="AE3711" i="2"/>
  <c r="AE3712" i="2"/>
  <c r="AE3713" i="2"/>
  <c r="AE3714" i="2"/>
  <c r="AE3715" i="2"/>
  <c r="AE3716" i="2"/>
  <c r="AE3717" i="2"/>
  <c r="AE3718" i="2"/>
  <c r="AE3719" i="2"/>
  <c r="AE3720" i="2"/>
  <c r="AE3721" i="2"/>
  <c r="AE3722" i="2"/>
  <c r="AE3723" i="2"/>
  <c r="AE3724" i="2"/>
  <c r="AE3725" i="2"/>
  <c r="AE3726" i="2"/>
  <c r="AE3727" i="2"/>
  <c r="AE3728" i="2"/>
  <c r="AE3729" i="2"/>
  <c r="AE3730" i="2"/>
  <c r="AE3731" i="2"/>
  <c r="AE3732" i="2"/>
  <c r="AE3733" i="2"/>
  <c r="AE3734" i="2"/>
  <c r="AE3735" i="2"/>
  <c r="AE3736" i="2"/>
  <c r="AE3737" i="2"/>
  <c r="AE3738" i="2"/>
  <c r="AE3739" i="2"/>
  <c r="AE3740" i="2"/>
  <c r="AE3741" i="2"/>
  <c r="AE3742" i="2"/>
  <c r="AE3743" i="2"/>
  <c r="AE3744" i="2"/>
  <c r="AE3745" i="2"/>
  <c r="AE3746" i="2"/>
  <c r="AE3747" i="2"/>
  <c r="AE3748" i="2"/>
  <c r="AE3749" i="2"/>
  <c r="AE3750" i="2"/>
  <c r="AE3751" i="2"/>
  <c r="AE3752" i="2"/>
  <c r="AE3753" i="2"/>
  <c r="AE3754" i="2"/>
  <c r="AE3755" i="2"/>
  <c r="AE3756" i="2"/>
  <c r="AE3757" i="2"/>
  <c r="AE3758" i="2"/>
  <c r="AE3759" i="2"/>
  <c r="AE3760" i="2"/>
  <c r="AE3761" i="2"/>
  <c r="AE3762" i="2"/>
  <c r="AE3763" i="2"/>
  <c r="AE3764" i="2"/>
  <c r="AE3765" i="2"/>
  <c r="AE3766" i="2"/>
  <c r="AE3767" i="2"/>
  <c r="AE3768" i="2"/>
  <c r="AE3769" i="2"/>
  <c r="AE3770" i="2"/>
  <c r="AE3771" i="2"/>
  <c r="AE3772" i="2"/>
  <c r="AE3773" i="2"/>
  <c r="AE3774" i="2"/>
  <c r="AE3775" i="2"/>
  <c r="AE3776" i="2"/>
  <c r="AE3777" i="2"/>
  <c r="AE3778" i="2"/>
  <c r="AE3779" i="2"/>
  <c r="AE3780" i="2"/>
  <c r="AE3781" i="2"/>
  <c r="AE3782" i="2"/>
  <c r="AE3783" i="2"/>
  <c r="AE3784" i="2"/>
  <c r="AE3785" i="2"/>
  <c r="AE3786" i="2"/>
  <c r="AE3787" i="2"/>
  <c r="AE3788" i="2"/>
  <c r="AE3789" i="2"/>
  <c r="AE3790" i="2"/>
  <c r="AE3791" i="2"/>
  <c r="AE3792" i="2"/>
  <c r="AE3793" i="2"/>
  <c r="AE3794" i="2"/>
  <c r="AE3795" i="2"/>
  <c r="AE3796" i="2"/>
  <c r="AE3797" i="2"/>
  <c r="AE3798" i="2"/>
  <c r="AE3799" i="2"/>
  <c r="AE3800" i="2"/>
  <c r="AE3801" i="2"/>
  <c r="AE3802" i="2"/>
  <c r="AE3803" i="2"/>
  <c r="AE3804" i="2"/>
  <c r="AE3805" i="2"/>
  <c r="AE3806" i="2"/>
  <c r="AE3807" i="2"/>
  <c r="AE3808" i="2"/>
  <c r="AE3809" i="2"/>
  <c r="AE3810" i="2"/>
  <c r="AE3811" i="2"/>
  <c r="AE3812" i="2"/>
  <c r="AE3813" i="2"/>
  <c r="AE3814" i="2"/>
  <c r="AE3815" i="2"/>
  <c r="AE3816" i="2"/>
  <c r="AE3817" i="2"/>
  <c r="AE3818" i="2"/>
  <c r="AE3819" i="2"/>
  <c r="AE3820" i="2"/>
  <c r="AE3821" i="2"/>
  <c r="AE3822" i="2"/>
  <c r="AE3823" i="2"/>
  <c r="AE3824" i="2"/>
  <c r="AE3825" i="2"/>
  <c r="AE3826" i="2"/>
  <c r="AE3827" i="2"/>
  <c r="AE3828" i="2"/>
  <c r="AE3829" i="2"/>
  <c r="AE3830" i="2"/>
  <c r="AE3831" i="2"/>
  <c r="AE3832" i="2"/>
  <c r="AE3833" i="2"/>
  <c r="AE3834" i="2"/>
  <c r="AE3835" i="2"/>
  <c r="AE3836" i="2"/>
  <c r="AE3837" i="2"/>
  <c r="AE3838" i="2"/>
  <c r="AE3839" i="2"/>
  <c r="AE3840" i="2"/>
  <c r="AE3841" i="2"/>
  <c r="AE3842" i="2"/>
  <c r="AE3843" i="2"/>
  <c r="AE3844" i="2"/>
  <c r="AE3845" i="2"/>
  <c r="AE3846" i="2"/>
  <c r="AE3847" i="2"/>
  <c r="AE3848" i="2"/>
  <c r="AE3849" i="2"/>
  <c r="AE3850" i="2"/>
  <c r="AE3851" i="2"/>
  <c r="AE3852" i="2"/>
  <c r="AE3853" i="2"/>
  <c r="AE3854" i="2"/>
  <c r="AE3855" i="2"/>
  <c r="AE3856" i="2"/>
  <c r="AE3857" i="2"/>
  <c r="AE3858" i="2"/>
  <c r="AE3859" i="2"/>
  <c r="AE3860" i="2"/>
  <c r="AE3861" i="2"/>
  <c r="AE3862" i="2"/>
  <c r="AE3863" i="2"/>
  <c r="AE3864" i="2"/>
  <c r="AE3865" i="2"/>
  <c r="AE3866" i="2"/>
  <c r="AE3867" i="2"/>
  <c r="AE3868" i="2"/>
  <c r="AE3869" i="2"/>
  <c r="AE3870" i="2"/>
  <c r="AE3871" i="2"/>
  <c r="AE3872" i="2"/>
  <c r="AE3873" i="2"/>
  <c r="AE3874" i="2"/>
  <c r="AE3875" i="2"/>
  <c r="AE3876" i="2"/>
  <c r="AE3877" i="2"/>
  <c r="AE3878" i="2"/>
  <c r="AE3879" i="2"/>
  <c r="AE3880" i="2"/>
  <c r="AE3881" i="2"/>
  <c r="AE3882" i="2"/>
  <c r="AE3883" i="2"/>
  <c r="AE3884" i="2"/>
  <c r="AE3885" i="2"/>
  <c r="AE3886" i="2"/>
  <c r="AE3887" i="2"/>
  <c r="AE3888" i="2"/>
  <c r="AE3889" i="2"/>
  <c r="AE3890" i="2"/>
  <c r="AE3891" i="2"/>
  <c r="AE3892" i="2"/>
  <c r="AE3893" i="2"/>
  <c r="AE3894" i="2"/>
  <c r="AE3895" i="2"/>
  <c r="AE3896" i="2"/>
  <c r="AE3897" i="2"/>
  <c r="AE3898" i="2"/>
  <c r="AE3899" i="2"/>
  <c r="AE3900" i="2"/>
  <c r="AE3901" i="2"/>
  <c r="AE3902" i="2"/>
  <c r="AE3903" i="2"/>
  <c r="AE3904" i="2"/>
  <c r="AE3905" i="2"/>
  <c r="AE3906" i="2"/>
  <c r="AE3907" i="2"/>
  <c r="AE3908" i="2"/>
  <c r="AE3909" i="2"/>
  <c r="AE3910" i="2"/>
  <c r="AE3911" i="2"/>
  <c r="AE3912" i="2"/>
  <c r="AE3913" i="2"/>
  <c r="AE3914" i="2"/>
  <c r="AE3915" i="2"/>
  <c r="AE3916" i="2"/>
  <c r="AE3917" i="2"/>
  <c r="AE3918" i="2"/>
  <c r="AE3919" i="2"/>
  <c r="AE3920" i="2"/>
  <c r="AE3921" i="2"/>
  <c r="AE3922" i="2"/>
  <c r="AE3923" i="2"/>
  <c r="AE3924" i="2"/>
  <c r="AE3925" i="2"/>
  <c r="AE3926" i="2"/>
  <c r="AE3927" i="2"/>
  <c r="AE3928" i="2"/>
  <c r="AE3929" i="2"/>
  <c r="AE3930" i="2"/>
  <c r="AE3931" i="2"/>
  <c r="AE3932" i="2"/>
  <c r="AE3933" i="2"/>
  <c r="AE3934" i="2"/>
  <c r="AE3935" i="2"/>
  <c r="AE3936" i="2"/>
  <c r="AE3937" i="2"/>
  <c r="AE3938" i="2"/>
  <c r="AE3939" i="2"/>
  <c r="AE3940" i="2"/>
  <c r="AE3941" i="2"/>
  <c r="AE3942" i="2"/>
  <c r="AE3943" i="2"/>
  <c r="AE3944" i="2"/>
  <c r="AE3945" i="2"/>
  <c r="AE3946" i="2"/>
  <c r="AE3947" i="2"/>
  <c r="AE3948" i="2"/>
  <c r="AE3949" i="2"/>
  <c r="AE3950" i="2"/>
  <c r="AE3951" i="2"/>
  <c r="AE3952" i="2"/>
  <c r="AE3953" i="2"/>
  <c r="AE3954" i="2"/>
  <c r="AE3955" i="2"/>
  <c r="AE3956" i="2"/>
  <c r="AE3957" i="2"/>
  <c r="AE3958" i="2"/>
  <c r="AE3959" i="2"/>
  <c r="AE3960" i="2"/>
  <c r="AE3961" i="2"/>
  <c r="AE3962" i="2"/>
  <c r="AE3963" i="2"/>
  <c r="AE3964" i="2"/>
  <c r="AE3965" i="2"/>
  <c r="AE3966" i="2"/>
  <c r="AE3967" i="2"/>
  <c r="AE3968" i="2"/>
  <c r="AE3969" i="2"/>
  <c r="AE3970" i="2"/>
  <c r="AE3971" i="2"/>
  <c r="AE3972" i="2"/>
  <c r="AE3973" i="2"/>
  <c r="AE3974" i="2"/>
  <c r="AE3975" i="2"/>
  <c r="AE3976" i="2"/>
  <c r="AE3977" i="2"/>
  <c r="AE3978" i="2"/>
  <c r="AE3979" i="2"/>
  <c r="AE3980" i="2"/>
  <c r="AE3981" i="2"/>
  <c r="AE3982" i="2"/>
  <c r="AE3983" i="2"/>
  <c r="AE3984" i="2"/>
  <c r="AE3985" i="2"/>
  <c r="AE3986" i="2"/>
  <c r="AE3987" i="2"/>
  <c r="AE3988" i="2"/>
  <c r="AE3989" i="2"/>
  <c r="AE3990" i="2"/>
  <c r="AE3991" i="2"/>
  <c r="AE3992" i="2"/>
  <c r="AE3993" i="2"/>
  <c r="AE3994" i="2"/>
  <c r="AE3995" i="2"/>
  <c r="AE3996" i="2"/>
  <c r="AE3997" i="2"/>
  <c r="AE3998" i="2"/>
  <c r="AE3999" i="2"/>
  <c r="AE4000" i="2"/>
  <c r="AE4001" i="2"/>
  <c r="AE4002" i="2"/>
  <c r="AE4003" i="2"/>
  <c r="AE4004" i="2"/>
  <c r="AE4005" i="2"/>
  <c r="AE4006" i="2"/>
  <c r="AE4007" i="2"/>
  <c r="AE4008" i="2"/>
  <c r="AE4009" i="2"/>
  <c r="AE4010" i="2"/>
  <c r="AE4011" i="2"/>
  <c r="AE4012" i="2"/>
  <c r="AE4013" i="2"/>
  <c r="AE4014" i="2"/>
  <c r="AE4015" i="2"/>
  <c r="AE4016" i="2"/>
  <c r="AE4017" i="2"/>
  <c r="AE4018" i="2"/>
  <c r="AE4019" i="2"/>
  <c r="AE4020" i="2"/>
  <c r="AE4021" i="2"/>
  <c r="AE4022" i="2"/>
  <c r="AE4023" i="2"/>
  <c r="AE4024" i="2"/>
  <c r="AE4025" i="2"/>
  <c r="AE4026" i="2"/>
  <c r="AE4027" i="2"/>
  <c r="AE4028" i="2"/>
  <c r="AE4029" i="2"/>
  <c r="AE4030" i="2"/>
  <c r="AE4031" i="2"/>
  <c r="AE4032" i="2"/>
  <c r="AE4033" i="2"/>
  <c r="AE4034" i="2"/>
  <c r="AE4035" i="2"/>
  <c r="AE4036" i="2"/>
  <c r="AE4037" i="2"/>
  <c r="AE4038" i="2"/>
  <c r="AE4039" i="2"/>
  <c r="AE4040" i="2"/>
  <c r="AE4041" i="2"/>
  <c r="AE4042" i="2"/>
  <c r="AE4043" i="2"/>
  <c r="AE4044" i="2"/>
  <c r="AE4045" i="2"/>
  <c r="AE4046" i="2"/>
  <c r="AE4047" i="2"/>
  <c r="AE4048" i="2"/>
  <c r="AE4049" i="2"/>
  <c r="AE4050" i="2"/>
  <c r="AE4051" i="2"/>
  <c r="AE4052" i="2"/>
  <c r="AE4053" i="2"/>
  <c r="AE4054" i="2"/>
  <c r="AE4055" i="2"/>
  <c r="AE4056" i="2"/>
  <c r="AE4057" i="2"/>
  <c r="AE4058" i="2"/>
  <c r="AE4059" i="2"/>
  <c r="AE4060" i="2"/>
  <c r="AE4061" i="2"/>
  <c r="AE4062" i="2"/>
  <c r="AE4063" i="2"/>
  <c r="AE4064" i="2"/>
  <c r="AE4065" i="2"/>
  <c r="AE4066" i="2"/>
  <c r="AE4067" i="2"/>
  <c r="AE4068" i="2"/>
  <c r="AE4069" i="2"/>
  <c r="AE4070" i="2"/>
  <c r="AE4071" i="2"/>
  <c r="AE4072" i="2"/>
  <c r="AE4073" i="2"/>
  <c r="AE4074" i="2"/>
  <c r="AE4075" i="2"/>
  <c r="AE4076" i="2"/>
  <c r="AE4077" i="2"/>
  <c r="AE4078" i="2"/>
  <c r="AE4079" i="2"/>
  <c r="AE4080" i="2"/>
  <c r="AE4081" i="2"/>
  <c r="AE4082" i="2"/>
  <c r="AE4083" i="2"/>
  <c r="AE4084" i="2"/>
  <c r="AE4085" i="2"/>
  <c r="AE4086" i="2"/>
  <c r="AE4087" i="2"/>
  <c r="AE4088" i="2"/>
  <c r="AE4089" i="2"/>
  <c r="AE4090" i="2"/>
  <c r="AE4091" i="2"/>
  <c r="AE4092" i="2"/>
  <c r="AE4093" i="2"/>
  <c r="AE4094" i="2"/>
  <c r="AE4095" i="2"/>
  <c r="AE4096" i="2"/>
  <c r="AE4097" i="2"/>
  <c r="AE4098" i="2"/>
  <c r="AE4099" i="2"/>
  <c r="AE4100" i="2"/>
  <c r="AE4101" i="2"/>
  <c r="AE4102" i="2"/>
  <c r="AE4103" i="2"/>
  <c r="AE4104" i="2"/>
  <c r="AE4105" i="2"/>
  <c r="AE4106" i="2"/>
  <c r="AE4107" i="2"/>
  <c r="AE4108" i="2"/>
  <c r="AE4109" i="2"/>
  <c r="AE4110" i="2"/>
  <c r="AE4111" i="2"/>
  <c r="AE4112" i="2"/>
  <c r="AE4113" i="2"/>
  <c r="AE4114" i="2"/>
  <c r="AE4115" i="2"/>
  <c r="AE4116" i="2"/>
  <c r="AE4117" i="2"/>
  <c r="AE4118" i="2"/>
  <c r="AE4119" i="2"/>
  <c r="AE4120" i="2"/>
  <c r="AE4121" i="2"/>
  <c r="AB4122" i="2"/>
  <c r="AB4143" i="2" s="1"/>
  <c r="AB4164" i="2" s="1"/>
  <c r="AB4185" i="2" s="1"/>
  <c r="AE4122" i="2"/>
  <c r="AE4123" i="2"/>
  <c r="AE4124" i="2"/>
  <c r="AE4125" i="2"/>
  <c r="AB4126" i="2"/>
  <c r="AB4147" i="2" s="1"/>
  <c r="AB4168" i="2" s="1"/>
  <c r="AB4189" i="2" s="1"/>
  <c r="AB4210" i="2" s="1"/>
  <c r="AB4231" i="2" s="1"/>
  <c r="AB4252" i="2" s="1"/>
  <c r="AB4273" i="2" s="1"/>
  <c r="AB4294" i="2" s="1"/>
  <c r="AB4315" i="2" s="1"/>
  <c r="AB4336" i="2" s="1"/>
  <c r="AB4357" i="2" s="1"/>
  <c r="AB4378" i="2" s="1"/>
  <c r="AB4399" i="2" s="1"/>
  <c r="AB4420" i="2" s="1"/>
  <c r="AB4441" i="2" s="1"/>
  <c r="AB4462" i="2" s="1"/>
  <c r="AB4483" i="2" s="1"/>
  <c r="AB4504" i="2" s="1"/>
  <c r="AB4525" i="2" s="1"/>
  <c r="AB4546" i="2" s="1"/>
  <c r="AB4567" i="2" s="1"/>
  <c r="AE4126" i="2"/>
  <c r="AE4127" i="2"/>
  <c r="AE4128" i="2"/>
  <c r="AE4129" i="2"/>
  <c r="AB4130" i="2"/>
  <c r="AB4151" i="2" s="1"/>
  <c r="AB4172" i="2" s="1"/>
  <c r="AB4193" i="2" s="1"/>
  <c r="AB4214" i="2" s="1"/>
  <c r="AB4235" i="2" s="1"/>
  <c r="AB4256" i="2" s="1"/>
  <c r="AB4277" i="2" s="1"/>
  <c r="AB4298" i="2" s="1"/>
  <c r="AB4319" i="2" s="1"/>
  <c r="AB4340" i="2" s="1"/>
  <c r="AB4361" i="2" s="1"/>
  <c r="AB4382" i="2" s="1"/>
  <c r="AB4403" i="2" s="1"/>
  <c r="AB4424" i="2" s="1"/>
  <c r="AB4445" i="2" s="1"/>
  <c r="AB4466" i="2" s="1"/>
  <c r="AB4487" i="2" s="1"/>
  <c r="AB4508" i="2" s="1"/>
  <c r="AB4529" i="2" s="1"/>
  <c r="AB4550" i="2" s="1"/>
  <c r="AE4130" i="2"/>
  <c r="AE4131" i="2"/>
  <c r="AE4132" i="2"/>
  <c r="AE4133" i="2"/>
  <c r="AE4134" i="2"/>
  <c r="AE4135" i="2"/>
  <c r="AE4136" i="2"/>
  <c r="AE4137" i="2"/>
  <c r="AB4138" i="2"/>
  <c r="AB4159" i="2" s="1"/>
  <c r="AB4180" i="2" s="1"/>
  <c r="AB4201" i="2" s="1"/>
  <c r="AE4138" i="2"/>
  <c r="AE4139" i="2"/>
  <c r="AE4140" i="2"/>
  <c r="AE4141" i="2"/>
  <c r="AB4142" i="2"/>
  <c r="AB4163" i="2" s="1"/>
  <c r="AB4184" i="2" s="1"/>
  <c r="AB4205" i="2" s="1"/>
  <c r="AB4226" i="2" s="1"/>
  <c r="AB4247" i="2" s="1"/>
  <c r="AB4268" i="2" s="1"/>
  <c r="AB4289" i="2" s="1"/>
  <c r="AB4310" i="2" s="1"/>
  <c r="AB4331" i="2" s="1"/>
  <c r="AB4352" i="2" s="1"/>
  <c r="AB4373" i="2" s="1"/>
  <c r="AB4394" i="2" s="1"/>
  <c r="AB4415" i="2" s="1"/>
  <c r="AB4436" i="2" s="1"/>
  <c r="AB4457" i="2" s="1"/>
  <c r="AB4478" i="2" s="1"/>
  <c r="AB4499" i="2" s="1"/>
  <c r="AB4520" i="2" s="1"/>
  <c r="AB4541" i="2" s="1"/>
  <c r="AB4562" i="2" s="1"/>
  <c r="AE4142" i="2"/>
  <c r="AE4143" i="2"/>
  <c r="AE4144" i="2"/>
  <c r="AE4145" i="2"/>
  <c r="AB4146" i="2"/>
  <c r="AB4167" i="2" s="1"/>
  <c r="AB4188" i="2" s="1"/>
  <c r="AB4209" i="2" s="1"/>
  <c r="AB4230" i="2" s="1"/>
  <c r="AB4251" i="2" s="1"/>
  <c r="AB4272" i="2" s="1"/>
  <c r="AB4293" i="2" s="1"/>
  <c r="AB4314" i="2" s="1"/>
  <c r="AB4335" i="2" s="1"/>
  <c r="AB4356" i="2" s="1"/>
  <c r="AB4377" i="2" s="1"/>
  <c r="AB4398" i="2" s="1"/>
  <c r="AB4419" i="2" s="1"/>
  <c r="AB4440" i="2" s="1"/>
  <c r="AB4461" i="2" s="1"/>
  <c r="AB4482" i="2" s="1"/>
  <c r="AB4503" i="2" s="1"/>
  <c r="AB4524" i="2" s="1"/>
  <c r="AB4545" i="2" s="1"/>
  <c r="AB4566" i="2" s="1"/>
  <c r="AE4146" i="2"/>
  <c r="AE4147" i="2"/>
  <c r="AE4148" i="2"/>
  <c r="AE4149" i="2"/>
  <c r="AB4150" i="2"/>
  <c r="AB4171" i="2" s="1"/>
  <c r="AB4192" i="2" s="1"/>
  <c r="AB4213" i="2" s="1"/>
  <c r="AB4234" i="2" s="1"/>
  <c r="AB4255" i="2" s="1"/>
  <c r="AB4276" i="2" s="1"/>
  <c r="AB4297" i="2" s="1"/>
  <c r="AB4318" i="2" s="1"/>
  <c r="AB4339" i="2" s="1"/>
  <c r="AB4360" i="2" s="1"/>
  <c r="AB4381" i="2" s="1"/>
  <c r="AB4402" i="2" s="1"/>
  <c r="AB4423" i="2" s="1"/>
  <c r="AB4444" i="2" s="1"/>
  <c r="AB4465" i="2" s="1"/>
  <c r="AB4486" i="2" s="1"/>
  <c r="AB4507" i="2" s="1"/>
  <c r="AB4528" i="2" s="1"/>
  <c r="AB4549" i="2" s="1"/>
  <c r="AB4570" i="2" s="1"/>
  <c r="AE4150" i="2"/>
  <c r="AE4151" i="2"/>
  <c r="AE4152" i="2"/>
  <c r="AE4153" i="2"/>
  <c r="AB4154" i="2"/>
  <c r="AB4175" i="2" s="1"/>
  <c r="AB4196" i="2" s="1"/>
  <c r="AB4217" i="2" s="1"/>
  <c r="AE4154" i="2"/>
  <c r="AE4155" i="2"/>
  <c r="AE4156" i="2"/>
  <c r="AE4157" i="2"/>
  <c r="AB4158" i="2"/>
  <c r="AB4179" i="2" s="1"/>
  <c r="AB4200" i="2" s="1"/>
  <c r="AB4221" i="2" s="1"/>
  <c r="AB4242" i="2" s="1"/>
  <c r="AB4263" i="2" s="1"/>
  <c r="AB4284" i="2" s="1"/>
  <c r="AB4305" i="2" s="1"/>
  <c r="AB4326" i="2" s="1"/>
  <c r="AB4347" i="2" s="1"/>
  <c r="AB4368" i="2" s="1"/>
  <c r="AB4389" i="2" s="1"/>
  <c r="AB4410" i="2" s="1"/>
  <c r="AB4431" i="2" s="1"/>
  <c r="AB4452" i="2" s="1"/>
  <c r="AB4473" i="2" s="1"/>
  <c r="AB4494" i="2" s="1"/>
  <c r="AB4515" i="2" s="1"/>
  <c r="AB4536" i="2" s="1"/>
  <c r="AB4557" i="2" s="1"/>
  <c r="AE4158" i="2"/>
  <c r="AE4159" i="2"/>
  <c r="AE4160" i="2"/>
  <c r="AE4161" i="2"/>
  <c r="AB4162" i="2"/>
  <c r="AB4183" i="2" s="1"/>
  <c r="AB4204" i="2" s="1"/>
  <c r="AB4225" i="2" s="1"/>
  <c r="AB4246" i="2" s="1"/>
  <c r="AB4267" i="2" s="1"/>
  <c r="AB4288" i="2" s="1"/>
  <c r="AB4309" i="2" s="1"/>
  <c r="AB4330" i="2" s="1"/>
  <c r="AB4351" i="2" s="1"/>
  <c r="AB4372" i="2" s="1"/>
  <c r="AB4393" i="2" s="1"/>
  <c r="AB4414" i="2" s="1"/>
  <c r="AB4435" i="2" s="1"/>
  <c r="AB4456" i="2" s="1"/>
  <c r="AB4477" i="2" s="1"/>
  <c r="AB4498" i="2" s="1"/>
  <c r="AB4519" i="2" s="1"/>
  <c r="AB4540" i="2" s="1"/>
  <c r="AB4561" i="2" s="1"/>
  <c r="AE4162" i="2"/>
  <c r="AE4163" i="2"/>
  <c r="AE4164" i="2"/>
  <c r="AE4165" i="2"/>
  <c r="AB4166" i="2"/>
  <c r="AB4187" i="2" s="1"/>
  <c r="AB4208" i="2" s="1"/>
  <c r="AB4229" i="2" s="1"/>
  <c r="AB4250" i="2" s="1"/>
  <c r="AB4271" i="2" s="1"/>
  <c r="AB4292" i="2" s="1"/>
  <c r="AB4313" i="2" s="1"/>
  <c r="AB4334" i="2" s="1"/>
  <c r="AB4355" i="2" s="1"/>
  <c r="AB4376" i="2" s="1"/>
  <c r="AB4397" i="2" s="1"/>
  <c r="AB4418" i="2" s="1"/>
  <c r="AB4439" i="2" s="1"/>
  <c r="AB4460" i="2" s="1"/>
  <c r="AB4481" i="2" s="1"/>
  <c r="AB4502" i="2" s="1"/>
  <c r="AB4523" i="2" s="1"/>
  <c r="AB4544" i="2" s="1"/>
  <c r="AB4565" i="2" s="1"/>
  <c r="AE4166" i="2"/>
  <c r="AE4167" i="2"/>
  <c r="AE4168" i="2"/>
  <c r="AE4169" i="2"/>
  <c r="AE4170" i="2"/>
  <c r="AE4171" i="2"/>
  <c r="AE4172" i="2"/>
  <c r="AE4173" i="2"/>
  <c r="AB4174" i="2"/>
  <c r="AB4195" i="2" s="1"/>
  <c r="AB4216" i="2" s="1"/>
  <c r="AB4237" i="2" s="1"/>
  <c r="AB4258" i="2" s="1"/>
  <c r="AB4279" i="2" s="1"/>
  <c r="AB4300" i="2" s="1"/>
  <c r="AB4321" i="2" s="1"/>
  <c r="AB4342" i="2" s="1"/>
  <c r="AB4363" i="2" s="1"/>
  <c r="AB4384" i="2" s="1"/>
  <c r="AB4405" i="2" s="1"/>
  <c r="AB4426" i="2" s="1"/>
  <c r="AB4447" i="2" s="1"/>
  <c r="AB4468" i="2" s="1"/>
  <c r="AB4489" i="2" s="1"/>
  <c r="AB4510" i="2" s="1"/>
  <c r="AB4531" i="2" s="1"/>
  <c r="AB4552" i="2" s="1"/>
  <c r="AE4174" i="2"/>
  <c r="AE4175" i="2"/>
  <c r="AE4176" i="2"/>
  <c r="AE4177" i="2"/>
  <c r="AE4178" i="2"/>
  <c r="AE4179" i="2"/>
  <c r="AE4180" i="2"/>
  <c r="AE4181" i="2"/>
  <c r="AE4182" i="2"/>
  <c r="AE4183" i="2"/>
  <c r="AE4184" i="2"/>
  <c r="AE4185" i="2"/>
  <c r="AB4186" i="2"/>
  <c r="AB4207" i="2" s="1"/>
  <c r="AB4228" i="2" s="1"/>
  <c r="AB4249" i="2" s="1"/>
  <c r="AE4186" i="2"/>
  <c r="AE4187" i="2"/>
  <c r="AE4188" i="2"/>
  <c r="AE4189" i="2"/>
  <c r="AB4190" i="2"/>
  <c r="AB4211" i="2" s="1"/>
  <c r="AB4232" i="2" s="1"/>
  <c r="AB4253" i="2" s="1"/>
  <c r="AB4274" i="2" s="1"/>
  <c r="AB4295" i="2" s="1"/>
  <c r="AB4316" i="2" s="1"/>
  <c r="AB4337" i="2" s="1"/>
  <c r="AB4358" i="2" s="1"/>
  <c r="AB4379" i="2" s="1"/>
  <c r="AB4400" i="2" s="1"/>
  <c r="AB4421" i="2" s="1"/>
  <c r="AB4442" i="2" s="1"/>
  <c r="AB4463" i="2" s="1"/>
  <c r="AB4484" i="2" s="1"/>
  <c r="AB4505" i="2" s="1"/>
  <c r="AB4526" i="2" s="1"/>
  <c r="AB4547" i="2" s="1"/>
  <c r="AB4568" i="2" s="1"/>
  <c r="AE4190" i="2"/>
  <c r="AE4191" i="2"/>
  <c r="AE4192" i="2"/>
  <c r="AE4193" i="2"/>
  <c r="AB4194" i="2"/>
  <c r="AB4215" i="2" s="1"/>
  <c r="AB4236" i="2" s="1"/>
  <c r="AB4257" i="2" s="1"/>
  <c r="AB4278" i="2" s="1"/>
  <c r="AB4299" i="2" s="1"/>
  <c r="AB4320" i="2" s="1"/>
  <c r="AB4341" i="2" s="1"/>
  <c r="AB4362" i="2" s="1"/>
  <c r="AB4383" i="2" s="1"/>
  <c r="AB4404" i="2" s="1"/>
  <c r="AB4425" i="2" s="1"/>
  <c r="AB4446" i="2" s="1"/>
  <c r="AB4467" i="2" s="1"/>
  <c r="AB4488" i="2" s="1"/>
  <c r="AB4509" i="2" s="1"/>
  <c r="AB4530" i="2" s="1"/>
  <c r="AB4551" i="2" s="1"/>
  <c r="AE4194" i="2"/>
  <c r="AE4195" i="2"/>
  <c r="AE4196" i="2"/>
  <c r="AE4197" i="2"/>
  <c r="AB4198" i="2"/>
  <c r="AB4219" i="2" s="1"/>
  <c r="AB4240" i="2" s="1"/>
  <c r="AB4261" i="2" s="1"/>
  <c r="AE4198" i="2"/>
  <c r="AE4199" i="2"/>
  <c r="AE4200" i="2"/>
  <c r="AE4201" i="2"/>
  <c r="AB4202" i="2"/>
  <c r="AB4223" i="2" s="1"/>
  <c r="AB4244" i="2" s="1"/>
  <c r="AB4265" i="2" s="1"/>
  <c r="AE4202" i="2"/>
  <c r="AE4203" i="2"/>
  <c r="AE4204" i="2"/>
  <c r="AE4205" i="2"/>
  <c r="AB4206" i="2"/>
  <c r="AB4227" i="2" s="1"/>
  <c r="AB4248" i="2" s="1"/>
  <c r="AB4269" i="2" s="1"/>
  <c r="AB4290" i="2" s="1"/>
  <c r="AB4311" i="2" s="1"/>
  <c r="AB4332" i="2" s="1"/>
  <c r="AB4353" i="2" s="1"/>
  <c r="AB4374" i="2" s="1"/>
  <c r="AB4395" i="2" s="1"/>
  <c r="AB4416" i="2" s="1"/>
  <c r="AB4437" i="2" s="1"/>
  <c r="AB4458" i="2" s="1"/>
  <c r="AB4479" i="2" s="1"/>
  <c r="AB4500" i="2" s="1"/>
  <c r="AB4521" i="2" s="1"/>
  <c r="AB4542" i="2" s="1"/>
  <c r="AB4563" i="2" s="1"/>
  <c r="AE4206" i="2"/>
  <c r="AE4207" i="2"/>
  <c r="AE4208" i="2"/>
  <c r="AE4209" i="2"/>
  <c r="AE4210" i="2"/>
  <c r="AE4211" i="2"/>
  <c r="AE4212" i="2"/>
  <c r="AE4213" i="2"/>
  <c r="AE4214" i="2"/>
  <c r="AE4215" i="2"/>
  <c r="AE4216" i="2"/>
  <c r="AE4217" i="2"/>
  <c r="AE4218" i="2"/>
  <c r="AE4219" i="2"/>
  <c r="AE4220" i="2"/>
  <c r="AE4221" i="2"/>
  <c r="AB4222" i="2"/>
  <c r="AB4243" i="2" s="1"/>
  <c r="AB4264" i="2" s="1"/>
  <c r="AB4285" i="2" s="1"/>
  <c r="AB4306" i="2" s="1"/>
  <c r="AB4327" i="2" s="1"/>
  <c r="AB4348" i="2" s="1"/>
  <c r="AB4369" i="2" s="1"/>
  <c r="AB4390" i="2" s="1"/>
  <c r="AB4411" i="2" s="1"/>
  <c r="AB4432" i="2" s="1"/>
  <c r="AB4453" i="2" s="1"/>
  <c r="AB4474" i="2" s="1"/>
  <c r="AB4495" i="2" s="1"/>
  <c r="AB4516" i="2" s="1"/>
  <c r="AB4537" i="2" s="1"/>
  <c r="AB4558" i="2" s="1"/>
  <c r="AE4222" i="2"/>
  <c r="AE4223" i="2"/>
  <c r="AE4224" i="2"/>
  <c r="AE4225" i="2"/>
  <c r="AE4226" i="2"/>
  <c r="AE4227" i="2"/>
  <c r="AE4228" i="2"/>
  <c r="AE4229" i="2"/>
  <c r="AE4230" i="2"/>
  <c r="AE4231" i="2"/>
  <c r="AE4232" i="2"/>
  <c r="AE4233" i="2"/>
  <c r="AE4234" i="2"/>
  <c r="AE4235" i="2"/>
  <c r="AE4236" i="2"/>
  <c r="AE4237" i="2"/>
  <c r="AB4238" i="2"/>
  <c r="AB4259" i="2" s="1"/>
  <c r="AB4280" i="2" s="1"/>
  <c r="AB4301" i="2" s="1"/>
  <c r="AB4322" i="2" s="1"/>
  <c r="AB4343" i="2" s="1"/>
  <c r="AB4364" i="2" s="1"/>
  <c r="AB4385" i="2" s="1"/>
  <c r="AB4406" i="2" s="1"/>
  <c r="AB4427" i="2" s="1"/>
  <c r="AB4448" i="2" s="1"/>
  <c r="AB4469" i="2" s="1"/>
  <c r="AB4490" i="2" s="1"/>
  <c r="AB4511" i="2" s="1"/>
  <c r="AB4532" i="2" s="1"/>
  <c r="AB4553" i="2" s="1"/>
  <c r="AE4238" i="2"/>
  <c r="AE4239" i="2"/>
  <c r="AE4240" i="2"/>
  <c r="AE4241" i="2"/>
  <c r="AE4242" i="2"/>
  <c r="AE4243" i="2"/>
  <c r="AE4244" i="2"/>
  <c r="AE4245" i="2"/>
  <c r="AE4246" i="2"/>
  <c r="AE4247" i="2"/>
  <c r="AE4248" i="2"/>
  <c r="AE4249" i="2"/>
  <c r="AE4250" i="2"/>
  <c r="AE4251" i="2"/>
  <c r="AE4252" i="2"/>
  <c r="AE4253" i="2"/>
  <c r="AE4254" i="2"/>
  <c r="AE4255" i="2"/>
  <c r="AE4256" i="2"/>
  <c r="AE4257" i="2"/>
  <c r="AE4258" i="2"/>
  <c r="AE4259" i="2"/>
  <c r="AE4260" i="2"/>
  <c r="AE4261" i="2"/>
  <c r="AE4262" i="2"/>
  <c r="AE4263" i="2"/>
  <c r="AE4264" i="2"/>
  <c r="AE4265" i="2"/>
  <c r="AE4266" i="2"/>
  <c r="AE4267" i="2"/>
  <c r="AE4268" i="2"/>
  <c r="AE4269" i="2"/>
  <c r="AB4270" i="2"/>
  <c r="AB4291" i="2" s="1"/>
  <c r="AB4312" i="2" s="1"/>
  <c r="AB4333" i="2" s="1"/>
  <c r="AB4354" i="2" s="1"/>
  <c r="AB4375" i="2" s="1"/>
  <c r="AB4396" i="2" s="1"/>
  <c r="AB4417" i="2" s="1"/>
  <c r="AB4438" i="2" s="1"/>
  <c r="AB4459" i="2" s="1"/>
  <c r="AB4480" i="2" s="1"/>
  <c r="AB4501" i="2" s="1"/>
  <c r="AB4522" i="2" s="1"/>
  <c r="AB4543" i="2" s="1"/>
  <c r="AB4564" i="2" s="1"/>
  <c r="AE4270" i="2"/>
  <c r="AE4271" i="2"/>
  <c r="AE4272" i="2"/>
  <c r="AE4273" i="2"/>
  <c r="AE4274" i="2"/>
  <c r="AE4275" i="2"/>
  <c r="AE4276" i="2"/>
  <c r="AE4277" i="2"/>
  <c r="AE4278" i="2"/>
  <c r="AE4279" i="2"/>
  <c r="AE4280" i="2"/>
  <c r="AE4281" i="2"/>
  <c r="AB4282" i="2"/>
  <c r="AB4303" i="2" s="1"/>
  <c r="AB4324" i="2" s="1"/>
  <c r="AB4345" i="2" s="1"/>
  <c r="AE4282" i="2"/>
  <c r="AE4283" i="2"/>
  <c r="AE4284" i="2"/>
  <c r="AE4285" i="2"/>
  <c r="AB4286" i="2"/>
  <c r="AB4307" i="2" s="1"/>
  <c r="AB4328" i="2" s="1"/>
  <c r="AB4349" i="2" s="1"/>
  <c r="AB4370" i="2" s="1"/>
  <c r="AB4391" i="2" s="1"/>
  <c r="AB4412" i="2" s="1"/>
  <c r="AB4433" i="2" s="1"/>
  <c r="AB4454" i="2" s="1"/>
  <c r="AB4475" i="2" s="1"/>
  <c r="AB4496" i="2" s="1"/>
  <c r="AB4517" i="2" s="1"/>
  <c r="AB4538" i="2" s="1"/>
  <c r="AB4559" i="2" s="1"/>
  <c r="AE4286" i="2"/>
  <c r="AE4287" i="2"/>
  <c r="AE4288" i="2"/>
  <c r="AE4289" i="2"/>
  <c r="AE4290" i="2"/>
  <c r="AE4291" i="2"/>
  <c r="AE4292" i="2"/>
  <c r="AE4293" i="2"/>
  <c r="AE4294" i="2"/>
  <c r="AE4295" i="2"/>
  <c r="AE4296" i="2"/>
  <c r="AE4297" i="2"/>
  <c r="AE4298" i="2"/>
  <c r="AE4299" i="2"/>
  <c r="AE4300" i="2"/>
  <c r="AE4301" i="2"/>
  <c r="AE4302" i="2"/>
  <c r="AE4303" i="2"/>
  <c r="AE4304" i="2"/>
  <c r="AE4305" i="2"/>
  <c r="AE4306" i="2"/>
  <c r="AE4307" i="2"/>
  <c r="AE4308" i="2"/>
  <c r="AE4309" i="2"/>
  <c r="AE4310" i="2"/>
  <c r="AE4311" i="2"/>
  <c r="AE4312" i="2"/>
  <c r="AE4313" i="2"/>
  <c r="AE4314" i="2"/>
  <c r="AE4315" i="2"/>
  <c r="AE4316" i="2"/>
  <c r="AE4317" i="2"/>
  <c r="AE4318" i="2"/>
  <c r="AE4319" i="2"/>
  <c r="AE4320" i="2"/>
  <c r="AE4321" i="2"/>
  <c r="AE4322" i="2"/>
  <c r="AE4323" i="2"/>
  <c r="AE4324" i="2"/>
  <c r="AE4325" i="2"/>
  <c r="AE4326" i="2"/>
  <c r="AE4327" i="2"/>
  <c r="AE4328" i="2"/>
  <c r="AE4329" i="2"/>
  <c r="AE4330" i="2"/>
  <c r="AE4331" i="2"/>
  <c r="AE4332" i="2"/>
  <c r="AE4333" i="2"/>
  <c r="AE4334" i="2"/>
  <c r="AE4335" i="2"/>
  <c r="AE4336" i="2"/>
  <c r="AE4337" i="2"/>
  <c r="AE4338" i="2"/>
  <c r="AE4339" i="2"/>
  <c r="AE4340" i="2"/>
  <c r="AE4341" i="2"/>
  <c r="AE4342" i="2"/>
  <c r="AE4343" i="2"/>
  <c r="AE4344" i="2"/>
  <c r="AE4345" i="2"/>
  <c r="AE4346" i="2"/>
  <c r="AE4347" i="2"/>
  <c r="AE4348" i="2"/>
  <c r="AE4349" i="2"/>
  <c r="AE4350" i="2"/>
  <c r="AE4351" i="2"/>
  <c r="AE4352" i="2"/>
  <c r="AE4353" i="2"/>
  <c r="AE4354" i="2"/>
  <c r="AE4355" i="2"/>
  <c r="AE4356" i="2"/>
  <c r="AE4357" i="2"/>
  <c r="AE4358" i="2"/>
  <c r="AE4359" i="2"/>
  <c r="AE4360" i="2"/>
  <c r="AE4361" i="2"/>
  <c r="AE4362" i="2"/>
  <c r="AE4363" i="2"/>
  <c r="AE4364" i="2"/>
  <c r="AE4365" i="2"/>
  <c r="AB4366" i="2"/>
  <c r="AB4387" i="2" s="1"/>
  <c r="AB4408" i="2" s="1"/>
  <c r="AB4429" i="2" s="1"/>
  <c r="AB4450" i="2" s="1"/>
  <c r="AB4471" i="2" s="1"/>
  <c r="AB4492" i="2" s="1"/>
  <c r="AB4513" i="2" s="1"/>
  <c r="AB4534" i="2" s="1"/>
  <c r="AB4555" i="2" s="1"/>
  <c r="AE4366" i="2"/>
  <c r="AE4367" i="2"/>
  <c r="AE4368" i="2"/>
  <c r="AE4369" i="2"/>
  <c r="AE4370" i="2"/>
  <c r="AE4371" i="2"/>
  <c r="AE4372" i="2"/>
  <c r="AE4373" i="2"/>
  <c r="AE4374" i="2"/>
  <c r="AE4375" i="2"/>
  <c r="AE4376" i="2"/>
  <c r="AE4377" i="2"/>
  <c r="AE4378" i="2"/>
  <c r="AE4379" i="2"/>
  <c r="AE4380" i="2"/>
  <c r="AE4381" i="2"/>
  <c r="AE4382" i="2"/>
  <c r="AE4383" i="2"/>
  <c r="AE4384" i="2"/>
  <c r="AE4385" i="2"/>
  <c r="AE4386" i="2"/>
  <c r="AE4387" i="2"/>
  <c r="AE4388" i="2"/>
  <c r="AE4389" i="2"/>
  <c r="AE4390" i="2"/>
  <c r="AE4391" i="2"/>
  <c r="AE4392" i="2"/>
  <c r="AE4393" i="2"/>
  <c r="AE4394" i="2"/>
  <c r="AE4395" i="2"/>
  <c r="AE4396" i="2"/>
  <c r="AE4397" i="2"/>
  <c r="AE4398" i="2"/>
  <c r="AE4399" i="2"/>
  <c r="AE4400" i="2"/>
  <c r="AE4401" i="2"/>
  <c r="AE4402" i="2"/>
  <c r="AE4403" i="2"/>
  <c r="AE4404" i="2"/>
  <c r="AE4405" i="2"/>
  <c r="AE4406" i="2"/>
  <c r="AE4407" i="2"/>
  <c r="AE4408" i="2"/>
  <c r="AE4409" i="2"/>
  <c r="AE4410" i="2"/>
  <c r="AE4411" i="2"/>
  <c r="AE4412" i="2"/>
  <c r="AE4413" i="2"/>
  <c r="AE4414" i="2"/>
  <c r="AE4415" i="2"/>
  <c r="AE4416" i="2"/>
  <c r="AE4417" i="2"/>
  <c r="AE4418" i="2"/>
  <c r="AE4419" i="2"/>
  <c r="AE4420" i="2"/>
  <c r="AE4421" i="2"/>
  <c r="AE4422" i="2"/>
  <c r="AE4423" i="2"/>
  <c r="AE4424" i="2"/>
  <c r="AE4425" i="2"/>
  <c r="AE4426" i="2"/>
  <c r="AE4427" i="2"/>
  <c r="AF4427" i="2" s="1"/>
  <c r="AE4428" i="2"/>
  <c r="AE4429" i="2"/>
  <c r="AE4430" i="2"/>
  <c r="AE4431" i="2"/>
  <c r="AE4432" i="2"/>
  <c r="AE4433" i="2"/>
  <c r="AE4434" i="2"/>
  <c r="AE4435" i="2"/>
  <c r="AE4436" i="2"/>
  <c r="AE4437" i="2"/>
  <c r="AE4438" i="2"/>
  <c r="AE4439" i="2"/>
  <c r="AE4440" i="2"/>
  <c r="AE4441" i="2"/>
  <c r="AE4442" i="2"/>
  <c r="AE4443" i="2"/>
  <c r="AF4443" i="2" s="1"/>
  <c r="AE4444" i="2"/>
  <c r="AE4445" i="2"/>
  <c r="AE4446" i="2"/>
  <c r="AE4447" i="2"/>
  <c r="AE4448" i="2"/>
  <c r="AE4449" i="2"/>
  <c r="AE4450" i="2"/>
  <c r="AE4451" i="2"/>
  <c r="AE4452" i="2"/>
  <c r="AE4453" i="2"/>
  <c r="AE4454" i="2"/>
  <c r="AE4455" i="2"/>
  <c r="AE4456" i="2"/>
  <c r="AE4457" i="2"/>
  <c r="AE4458" i="2"/>
  <c r="AE4459" i="2"/>
  <c r="AF4459" i="2" s="1"/>
  <c r="AE4460" i="2"/>
  <c r="AE4461" i="2"/>
  <c r="AE4462" i="2"/>
  <c r="AE4463" i="2"/>
  <c r="AE4464" i="2"/>
  <c r="AE4465" i="2"/>
  <c r="AE4466" i="2"/>
  <c r="AE4467" i="2"/>
  <c r="AE4468" i="2"/>
  <c r="AE4469" i="2"/>
  <c r="AE4470" i="2"/>
  <c r="AE4471" i="2"/>
  <c r="AE4472" i="2"/>
  <c r="AE4473" i="2"/>
  <c r="AE4474" i="2"/>
  <c r="AE4475" i="2"/>
  <c r="AF4475" i="2" s="1"/>
  <c r="AE4476" i="2"/>
  <c r="AE4477" i="2"/>
  <c r="AE4478" i="2"/>
  <c r="AE4479" i="2"/>
  <c r="AE4480" i="2"/>
  <c r="AE4481" i="2"/>
  <c r="AE4482" i="2"/>
  <c r="AE4483" i="2"/>
  <c r="AE4484" i="2"/>
  <c r="AE4485" i="2"/>
  <c r="AE4486" i="2"/>
  <c r="AE4487" i="2"/>
  <c r="AE4488" i="2"/>
  <c r="AE4489" i="2"/>
  <c r="AE4490" i="2"/>
  <c r="AE4491" i="2"/>
  <c r="AF4491" i="2" s="1"/>
  <c r="AE4492" i="2"/>
  <c r="AE4493" i="2"/>
  <c r="AE4494" i="2"/>
  <c r="AE4495" i="2"/>
  <c r="AE4496" i="2"/>
  <c r="AE4497" i="2"/>
  <c r="AE4498" i="2"/>
  <c r="AE4499" i="2"/>
  <c r="AE4500" i="2"/>
  <c r="AE4501" i="2"/>
  <c r="AE4502" i="2"/>
  <c r="AE4503" i="2"/>
  <c r="AE4504" i="2"/>
  <c r="AE4505" i="2"/>
  <c r="AE4506" i="2"/>
  <c r="AE4507" i="2"/>
  <c r="AF4507" i="2" s="1"/>
  <c r="AE4508" i="2"/>
  <c r="AE4509" i="2"/>
  <c r="AE4510" i="2"/>
  <c r="AE4511" i="2"/>
  <c r="AE4512" i="2"/>
  <c r="AE4513" i="2"/>
  <c r="AE4514" i="2"/>
  <c r="AE4515" i="2"/>
  <c r="AE4516" i="2"/>
  <c r="AE4517" i="2"/>
  <c r="AE4518" i="2"/>
  <c r="AE4519" i="2"/>
  <c r="AE4520" i="2"/>
  <c r="AE4521" i="2"/>
  <c r="AE4522" i="2"/>
  <c r="AE4523" i="2"/>
  <c r="AF4523" i="2" s="1"/>
  <c r="AE4524" i="2"/>
  <c r="AE4525" i="2"/>
  <c r="AE4526" i="2"/>
  <c r="AE4527" i="2"/>
  <c r="AE4528" i="2"/>
  <c r="AE4529" i="2"/>
  <c r="AE4530" i="2"/>
  <c r="AE4531" i="2"/>
  <c r="AE4532" i="2"/>
  <c r="AE4533" i="2"/>
  <c r="AE4534" i="2"/>
  <c r="AE4535" i="2"/>
  <c r="AE4536" i="2"/>
  <c r="AE4537" i="2"/>
  <c r="AE4538" i="2"/>
  <c r="AE4539" i="2"/>
  <c r="AE4540" i="2"/>
  <c r="AE4541" i="2"/>
  <c r="AE4542" i="2"/>
  <c r="AE4543" i="2"/>
  <c r="AE4544" i="2"/>
  <c r="AE4545" i="2"/>
  <c r="AE4546" i="2"/>
  <c r="AE4547" i="2"/>
  <c r="AE4548" i="2"/>
  <c r="AE4549" i="2"/>
  <c r="AE4550" i="2"/>
  <c r="AE4551" i="2"/>
  <c r="AE4552" i="2"/>
  <c r="AE4553" i="2"/>
  <c r="AE4554" i="2"/>
  <c r="AE4555" i="2"/>
  <c r="AE4556" i="2"/>
  <c r="AE4557" i="2"/>
  <c r="AE4558" i="2"/>
  <c r="AE4559" i="2"/>
  <c r="AE4560" i="2"/>
  <c r="AE4561" i="2"/>
  <c r="AE4562" i="2"/>
  <c r="AE4563" i="2"/>
  <c r="AE4564" i="2"/>
  <c r="AE4565" i="2"/>
  <c r="AE4566" i="2"/>
  <c r="AE4567" i="2"/>
  <c r="AE4568" i="2"/>
  <c r="AE4569" i="2"/>
  <c r="AE4570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4" i="2"/>
  <c r="AE45" i="2"/>
  <c r="AE46" i="2"/>
  <c r="AE47" i="2"/>
  <c r="AE48" i="2"/>
  <c r="AE49" i="2"/>
  <c r="E27" i="5" l="1"/>
  <c r="E22" i="5"/>
  <c r="E29" i="5"/>
  <c r="AF3412" i="2"/>
  <c r="AF761" i="2"/>
  <c r="AF759" i="2"/>
  <c r="AF4485" i="2"/>
  <c r="AF4482" i="2"/>
  <c r="AF1198" i="2"/>
  <c r="AF3010" i="2"/>
  <c r="AF3786" i="2"/>
  <c r="AF1665" i="2"/>
  <c r="AF3142" i="2"/>
  <c r="AF1843" i="2"/>
  <c r="AF4948" i="2"/>
  <c r="AF4329" i="2"/>
  <c r="AF4326" i="2"/>
  <c r="AF3606" i="2"/>
  <c r="AF2522" i="2"/>
  <c r="AF2478" i="2"/>
  <c r="AF2250" i="2"/>
  <c r="AF352" i="2"/>
  <c r="AF57" i="2"/>
  <c r="AF56" i="2"/>
  <c r="AF4946" i="2"/>
  <c r="AF5003" i="2"/>
  <c r="AF4999" i="2"/>
  <c r="AF4995" i="2"/>
  <c r="AF4991" i="2"/>
  <c r="AF4983" i="2"/>
  <c r="AF4297" i="2"/>
  <c r="AF4294" i="2"/>
  <c r="AF4273" i="2"/>
  <c r="AF4270" i="2"/>
  <c r="AF4237" i="2"/>
  <c r="AF4234" i="2"/>
  <c r="AF3946" i="2"/>
  <c r="AF3322" i="2"/>
  <c r="AF3100" i="2"/>
  <c r="AF1809" i="2"/>
  <c r="AF1533" i="2"/>
  <c r="AF1084" i="2"/>
  <c r="AF961" i="2"/>
  <c r="AF4990" i="2"/>
  <c r="AF4970" i="2"/>
  <c r="AC4985" i="2"/>
  <c r="AF3474" i="2"/>
  <c r="AF3278" i="2"/>
  <c r="AF2702" i="2"/>
  <c r="AF1601" i="2"/>
  <c r="AF1374" i="2"/>
  <c r="AF1150" i="2"/>
  <c r="AF81" i="2"/>
  <c r="AC5041" i="2"/>
  <c r="AC5025" i="2"/>
  <c r="AC5021" i="2"/>
  <c r="AC5017" i="2"/>
  <c r="AC5013" i="2"/>
  <c r="AC5005" i="2"/>
  <c r="AC4997" i="2"/>
  <c r="AC4989" i="2"/>
  <c r="AC4977" i="2"/>
  <c r="AF4982" i="2"/>
  <c r="AF4202" i="2"/>
  <c r="AF4197" i="2"/>
  <c r="AF4194" i="2"/>
  <c r="AF4189" i="2"/>
  <c r="AF4186" i="2"/>
  <c r="AF4137" i="2"/>
  <c r="AF4134" i="2"/>
  <c r="AF4118" i="2"/>
  <c r="AF3734" i="2"/>
  <c r="AF3226" i="2"/>
  <c r="AF3156" i="2"/>
  <c r="AF2898" i="2"/>
  <c r="AF2582" i="2"/>
  <c r="AF2127" i="2"/>
  <c r="AF1995" i="2"/>
  <c r="AF1753" i="2"/>
  <c r="AF1326" i="2"/>
  <c r="AF1066" i="2"/>
  <c r="AF1056" i="2"/>
  <c r="AF1054" i="2"/>
  <c r="AF1000" i="2"/>
  <c r="AF949" i="2"/>
  <c r="AF665" i="2"/>
  <c r="AC5037" i="2"/>
  <c r="AC5029" i="2"/>
  <c r="AF4986" i="2"/>
  <c r="AF4978" i="2"/>
  <c r="AC4993" i="2"/>
  <c r="AF4962" i="2"/>
  <c r="AF4345" i="2"/>
  <c r="AF4342" i="2"/>
  <c r="AF4313" i="2"/>
  <c r="AF4310" i="2"/>
  <c r="AF4289" i="2"/>
  <c r="AF4286" i="2"/>
  <c r="AF4281" i="2"/>
  <c r="AF4278" i="2"/>
  <c r="AF4229" i="2"/>
  <c r="AF4226" i="2"/>
  <c r="AF4010" i="2"/>
  <c r="AF3614" i="2"/>
  <c r="AF3398" i="2"/>
  <c r="AF3174" i="2"/>
  <c r="AF3062" i="2"/>
  <c r="AF2924" i="2"/>
  <c r="AF2798" i="2"/>
  <c r="AF1779" i="2"/>
  <c r="AF1701" i="2"/>
  <c r="AF1262" i="2"/>
  <c r="AF877" i="2"/>
  <c r="AF859" i="2"/>
  <c r="AF853" i="2"/>
  <c r="AF801" i="2"/>
  <c r="AF783" i="2"/>
  <c r="AF167" i="2"/>
  <c r="AF162" i="2"/>
  <c r="AF160" i="2"/>
  <c r="AF4580" i="2"/>
  <c r="AC5033" i="2"/>
  <c r="AC5009" i="2"/>
  <c r="AC5001" i="2"/>
  <c r="AF4974" i="2"/>
  <c r="AF4966" i="2"/>
  <c r="AC4981" i="2"/>
  <c r="AC4973" i="2"/>
  <c r="AF3188" i="2"/>
  <c r="AF2962" i="2"/>
  <c r="AF1182" i="2"/>
  <c r="AF3430" i="2"/>
  <c r="AF3246" i="2"/>
  <c r="AF3118" i="2"/>
  <c r="AF3052" i="2"/>
  <c r="AF2646" i="2"/>
  <c r="AF1769" i="2"/>
  <c r="AF1585" i="2"/>
  <c r="AF813" i="2"/>
  <c r="AF1739" i="2"/>
  <c r="AF4933" i="2"/>
  <c r="AF4929" i="2"/>
  <c r="AF4925" i="2"/>
  <c r="AF4353" i="2"/>
  <c r="AF4350" i="2"/>
  <c r="AF4337" i="2"/>
  <c r="AF4334" i="2"/>
  <c r="AF4321" i="2"/>
  <c r="AF4318" i="2"/>
  <c r="AF4305" i="2"/>
  <c r="AF4302" i="2"/>
  <c r="AF4094" i="2"/>
  <c r="AF3862" i="2"/>
  <c r="AF3702" i="2"/>
  <c r="AF3562" i="2"/>
  <c r="AF3406" i="2"/>
  <c r="AF3316" i="2"/>
  <c r="AF3090" i="2"/>
  <c r="AF2810" i="2"/>
  <c r="AF1803" i="2"/>
  <c r="AF1427" i="2"/>
  <c r="AF1278" i="2"/>
  <c r="AF423" i="2"/>
  <c r="AF4935" i="2"/>
  <c r="AF4931" i="2"/>
  <c r="AF4927" i="2"/>
  <c r="AF4923" i="2"/>
  <c r="AF3150" i="2"/>
  <c r="AF1402" i="2"/>
  <c r="AF803" i="2"/>
  <c r="AF4937" i="2"/>
  <c r="AF4421" i="2"/>
  <c r="AF4418" i="2"/>
  <c r="AF4030" i="2"/>
  <c r="AF3818" i="2"/>
  <c r="AF3690" i="2"/>
  <c r="AF3518" i="2"/>
  <c r="AF3326" i="2"/>
  <c r="AF3166" i="2"/>
  <c r="AF1817" i="2"/>
  <c r="AF1681" i="2"/>
  <c r="AF2906" i="2"/>
  <c r="AF1853" i="2"/>
  <c r="AF1617" i="2"/>
  <c r="AF1489" i="2"/>
  <c r="AF1487" i="2"/>
  <c r="AF1423" i="2"/>
  <c r="AF1342" i="2"/>
  <c r="AF1246" i="2"/>
  <c r="AF1118" i="2"/>
  <c r="AF925" i="2"/>
  <c r="AF781" i="2"/>
  <c r="AF779" i="2"/>
  <c r="AF757" i="2"/>
  <c r="AF738" i="2"/>
  <c r="AF731" i="2"/>
  <c r="AF4576" i="2"/>
  <c r="AF89" i="2"/>
  <c r="AF4586" i="2"/>
  <c r="AF72" i="2"/>
  <c r="AF765" i="2"/>
  <c r="AF763" i="2"/>
  <c r="AF746" i="2"/>
  <c r="AF699" i="2"/>
  <c r="AF564" i="2"/>
  <c r="AF554" i="2"/>
  <c r="AF536" i="2"/>
  <c r="AF292" i="2"/>
  <c r="AF290" i="2"/>
  <c r="AF288" i="2"/>
  <c r="AF286" i="2"/>
  <c r="AF244" i="2"/>
  <c r="AF231" i="2"/>
  <c r="AF229" i="2"/>
  <c r="AF227" i="2"/>
  <c r="AF225" i="2"/>
  <c r="AF223" i="2"/>
  <c r="AF4578" i="2"/>
  <c r="AF755" i="2"/>
  <c r="AF4453" i="2"/>
  <c r="AF4450" i="2"/>
  <c r="AF4389" i="2"/>
  <c r="AF4386" i="2"/>
  <c r="AF4054" i="2"/>
  <c r="AF3902" i="2"/>
  <c r="AF3774" i="2"/>
  <c r="AF3646" i="2"/>
  <c r="AF3530" i="2"/>
  <c r="AF3422" i="2"/>
  <c r="AF3374" i="2"/>
  <c r="AF3294" i="2"/>
  <c r="AF3198" i="2"/>
  <c r="AF3030" i="2"/>
  <c r="AF2972" i="2"/>
  <c r="AF2934" i="2"/>
  <c r="AF2858" i="2"/>
  <c r="AF2710" i="2"/>
  <c r="AF2498" i="2"/>
  <c r="AF2322" i="2"/>
  <c r="AF1867" i="2"/>
  <c r="AF1729" i="2"/>
  <c r="AF1649" i="2"/>
  <c r="AF1390" i="2"/>
  <c r="AF1310" i="2"/>
  <c r="AF1214" i="2"/>
  <c r="AF1134" i="2"/>
  <c r="AF1100" i="2"/>
  <c r="AF857" i="2"/>
  <c r="AF855" i="2"/>
  <c r="AF815" i="2"/>
  <c r="AF777" i="2"/>
  <c r="AF767" i="2"/>
  <c r="AF749" i="2"/>
  <c r="AF683" i="2"/>
  <c r="AF681" i="2"/>
  <c r="AF4584" i="2"/>
  <c r="AF4606" i="2"/>
  <c r="AF4604" i="2"/>
  <c r="AF4602" i="2"/>
  <c r="AF4600" i="2"/>
  <c r="AF4598" i="2"/>
  <c r="AF4596" i="2"/>
  <c r="AF4594" i="2"/>
  <c r="AF4592" i="2"/>
  <c r="AF4590" i="2"/>
  <c r="AF53" i="2"/>
  <c r="AC4628" i="2"/>
  <c r="AF68" i="2"/>
  <c r="AC4620" i="2"/>
  <c r="AC4616" i="2"/>
  <c r="AC4612" i="2"/>
  <c r="AF430" i="2"/>
  <c r="AF394" i="2"/>
  <c r="AF69" i="2"/>
  <c r="AC4624" i="2"/>
  <c r="AF4469" i="2"/>
  <c r="AF4466" i="2"/>
  <c r="AF4437" i="2"/>
  <c r="AF4434" i="2"/>
  <c r="AF4405" i="2"/>
  <c r="AF4402" i="2"/>
  <c r="AF4373" i="2"/>
  <c r="AF4370" i="2"/>
  <c r="AF4133" i="2"/>
  <c r="AF4130" i="2"/>
  <c r="AF4125" i="2"/>
  <c r="AF4122" i="2"/>
  <c r="AF4074" i="2"/>
  <c r="AF3990" i="2"/>
  <c r="AF3830" i="2"/>
  <c r="AF3742" i="2"/>
  <c r="AF3658" i="2"/>
  <c r="AF3574" i="2"/>
  <c r="AF3486" i="2"/>
  <c r="AF3354" i="2"/>
  <c r="AF3302" i="2"/>
  <c r="AF3284" i="2"/>
  <c r="AF3270" i="2"/>
  <c r="AF3194" i="2"/>
  <c r="AF3038" i="2"/>
  <c r="AF3020" i="2"/>
  <c r="AF2990" i="2"/>
  <c r="AF2850" i="2"/>
  <c r="AF2766" i="2"/>
  <c r="AF2638" i="2"/>
  <c r="AF2514" i="2"/>
  <c r="AF2258" i="2"/>
  <c r="AF2157" i="2"/>
  <c r="AF2137" i="2"/>
  <c r="AF1881" i="2"/>
  <c r="AF1833" i="2"/>
  <c r="AF1789" i="2"/>
  <c r="AF1745" i="2"/>
  <c r="AF1697" i="2"/>
  <c r="AF1633" i="2"/>
  <c r="AF1569" i="2"/>
  <c r="AF1521" i="2"/>
  <c r="AF1428" i="2"/>
  <c r="AF1426" i="2"/>
  <c r="AF1424" i="2"/>
  <c r="AF1422" i="2"/>
  <c r="AF1358" i="2"/>
  <c r="AF1294" i="2"/>
  <c r="AF1230" i="2"/>
  <c r="AF1166" i="2"/>
  <c r="AF1060" i="2"/>
  <c r="AF1016" i="2"/>
  <c r="AF962" i="2"/>
  <c r="AF960" i="2"/>
  <c r="AF950" i="2"/>
  <c r="AF948" i="2"/>
  <c r="AF921" i="2"/>
  <c r="AF865" i="2"/>
  <c r="AF814" i="2"/>
  <c r="AF802" i="2"/>
  <c r="AF782" i="2"/>
  <c r="AF778" i="2"/>
  <c r="AF766" i="2"/>
  <c r="AF762" i="2"/>
  <c r="AF758" i="2"/>
  <c r="AF742" i="2"/>
  <c r="AF715" i="2"/>
  <c r="AF649" i="2"/>
  <c r="AF364" i="2"/>
  <c r="AF209" i="2"/>
  <c r="AF207" i="2"/>
  <c r="AF199" i="2"/>
  <c r="AF176" i="2"/>
  <c r="AF104" i="2"/>
  <c r="AF4582" i="2"/>
  <c r="AC4644" i="2"/>
  <c r="AC4652" i="2"/>
  <c r="AC4636" i="2"/>
  <c r="AC4640" i="2"/>
  <c r="AC4648" i="2"/>
  <c r="AC4632" i="2"/>
  <c r="AC4608" i="2"/>
  <c r="AC4646" i="2"/>
  <c r="AC4642" i="2"/>
  <c r="AC4638" i="2"/>
  <c r="AC4634" i="2"/>
  <c r="AC4630" i="2"/>
  <c r="AC4626" i="2"/>
  <c r="AC4622" i="2"/>
  <c r="AC4618" i="2"/>
  <c r="AC4614" i="2"/>
  <c r="AF4365" i="2"/>
  <c r="AF4362" i="2"/>
  <c r="AF4357" i="2"/>
  <c r="AF4354" i="2"/>
  <c r="AF4349" i="2"/>
  <c r="AF4346" i="2"/>
  <c r="AF4341" i="2"/>
  <c r="AF4338" i="2"/>
  <c r="AF4322" i="2"/>
  <c r="AF4306" i="2"/>
  <c r="AF4290" i="2"/>
  <c r="AF4501" i="2"/>
  <c r="AF4498" i="2"/>
  <c r="AF4325" i="2"/>
  <c r="AF4309" i="2"/>
  <c r="AF4293" i="2"/>
  <c r="AF4361" i="2"/>
  <c r="AF4358" i="2"/>
  <c r="AF4330" i="2"/>
  <c r="AF4314" i="2"/>
  <c r="AF4298" i="2"/>
  <c r="AF4274" i="2"/>
  <c r="AF4333" i="2"/>
  <c r="AF4317" i="2"/>
  <c r="AF4301" i="2"/>
  <c r="AF4277" i="2"/>
  <c r="AF4233" i="2"/>
  <c r="AF4230" i="2"/>
  <c r="AF4225" i="2"/>
  <c r="AF4222" i="2"/>
  <c r="AF4205" i="2"/>
  <c r="AF3966" i="2"/>
  <c r="AF3926" i="2"/>
  <c r="AF3882" i="2"/>
  <c r="AF3838" i="2"/>
  <c r="AF3798" i="2"/>
  <c r="AF3754" i="2"/>
  <c r="AF3710" i="2"/>
  <c r="AF3670" i="2"/>
  <c r="AF3626" i="2"/>
  <c r="AF3582" i="2"/>
  <c r="AF3542" i="2"/>
  <c r="AF3494" i="2"/>
  <c r="AF3446" i="2"/>
  <c r="AF3386" i="2"/>
  <c r="AF3358" i="2"/>
  <c r="AF3348" i="2"/>
  <c r="AF3334" i="2"/>
  <c r="AF3310" i="2"/>
  <c r="AF3258" i="2"/>
  <c r="AF3230" i="2"/>
  <c r="AF3220" i="2"/>
  <c r="AF3206" i="2"/>
  <c r="AF3182" i="2"/>
  <c r="AF3130" i="2"/>
  <c r="AF3084" i="2"/>
  <c r="AF3074" i="2"/>
  <c r="AF3004" i="2"/>
  <c r="AF2998" i="2"/>
  <c r="AF2956" i="2"/>
  <c r="AF2946" i="2"/>
  <c r="AF2878" i="2"/>
  <c r="AF2826" i="2"/>
  <c r="AF2770" i="2"/>
  <c r="AF2718" i="2"/>
  <c r="AF2654" i="2"/>
  <c r="AF2590" i="2"/>
  <c r="AF2530" i="2"/>
  <c r="AF2510" i="2"/>
  <c r="AF2406" i="2"/>
  <c r="AF2382" i="2"/>
  <c r="AF2362" i="2"/>
  <c r="AF2334" i="2"/>
  <c r="AF2310" i="2"/>
  <c r="AF2286" i="2"/>
  <c r="AF2254" i="2"/>
  <c r="AF2211" i="2"/>
  <c r="AF2201" i="2"/>
  <c r="AF2199" i="2"/>
  <c r="AF2185" i="2"/>
  <c r="AF2119" i="2"/>
  <c r="AF2109" i="2"/>
  <c r="AF2097" i="2"/>
  <c r="AF2075" i="2"/>
  <c r="AF2069" i="2"/>
  <c r="AF2067" i="2"/>
  <c r="AF2047" i="2"/>
  <c r="AF2015" i="2"/>
  <c r="AF1969" i="2"/>
  <c r="AF1963" i="2"/>
  <c r="AF1941" i="2"/>
  <c r="AF1933" i="2"/>
  <c r="AF1906" i="2"/>
  <c r="AF1903" i="2"/>
  <c r="AF1897" i="2"/>
  <c r="AF1873" i="2"/>
  <c r="AF1741" i="2"/>
  <c r="AF4162" i="2"/>
  <c r="AF4154" i="2"/>
  <c r="AF4146" i="2"/>
  <c r="AF4086" i="2"/>
  <c r="AF4042" i="2"/>
  <c r="AF3998" i="2"/>
  <c r="AF3958" i="2"/>
  <c r="AF3914" i="2"/>
  <c r="AF3870" i="2"/>
  <c r="AF2294" i="2"/>
  <c r="AF2230" i="2"/>
  <c r="AF2105" i="2"/>
  <c r="AF2103" i="2"/>
  <c r="AF2043" i="2"/>
  <c r="AF2037" i="2"/>
  <c r="AF2027" i="2"/>
  <c r="AF2017" i="2"/>
  <c r="AF1993" i="2"/>
  <c r="AF1973" i="2"/>
  <c r="AF1971" i="2"/>
  <c r="AF1965" i="2"/>
  <c r="AF1943" i="2"/>
  <c r="AF1937" i="2"/>
  <c r="AF1935" i="2"/>
  <c r="AF1875" i="2"/>
  <c r="AF1869" i="2"/>
  <c r="AF1849" i="2"/>
  <c r="AF1811" i="2"/>
  <c r="AF1805" i="2"/>
  <c r="AF1785" i="2"/>
  <c r="AF1747" i="2"/>
  <c r="AF1733" i="2"/>
  <c r="AF1657" i="2"/>
  <c r="AF1689" i="2"/>
  <c r="AF4166" i="2"/>
  <c r="AF4158" i="2"/>
  <c r="AF4150" i="2"/>
  <c r="AF4106" i="2"/>
  <c r="AF4062" i="2"/>
  <c r="AF4022" i="2"/>
  <c r="AF3978" i="2"/>
  <c r="AF3934" i="2"/>
  <c r="AF3894" i="2"/>
  <c r="AF3850" i="2"/>
  <c r="AF3806" i="2"/>
  <c r="AF3766" i="2"/>
  <c r="AF3722" i="2"/>
  <c r="AF3678" i="2"/>
  <c r="AF3638" i="2"/>
  <c r="AF3594" i="2"/>
  <c r="AF3550" i="2"/>
  <c r="AF3510" i="2"/>
  <c r="AF3458" i="2"/>
  <c r="AF3418" i="2"/>
  <c r="AF3390" i="2"/>
  <c r="AF3380" i="2"/>
  <c r="AF3366" i="2"/>
  <c r="AF3342" i="2"/>
  <c r="AF3290" i="2"/>
  <c r="AF3262" i="2"/>
  <c r="AF3252" i="2"/>
  <c r="AF3238" i="2"/>
  <c r="AF3214" i="2"/>
  <c r="AF3162" i="2"/>
  <c r="AF3134" i="2"/>
  <c r="AF3124" i="2"/>
  <c r="AF3106" i="2"/>
  <c r="AF3078" i="2"/>
  <c r="AF3068" i="2"/>
  <c r="AF3058" i="2"/>
  <c r="AF3026" i="2"/>
  <c r="AF3002" i="2"/>
  <c r="AF2996" i="2"/>
  <c r="AF2978" i="2"/>
  <c r="AF2950" i="2"/>
  <c r="AF2940" i="2"/>
  <c r="AF2930" i="2"/>
  <c r="AF2890" i="2"/>
  <c r="AF2834" i="2"/>
  <c r="AF2786" i="2"/>
  <c r="AF2750" i="2"/>
  <c r="AF2731" i="2"/>
  <c r="AF2686" i="2"/>
  <c r="AF2667" i="2"/>
  <c r="AF2622" i="2"/>
  <c r="AF2603" i="2"/>
  <c r="AF2562" i="2"/>
  <c r="AF2539" i="2"/>
  <c r="AF2490" i="2"/>
  <c r="AF2458" i="2"/>
  <c r="AF2430" i="2"/>
  <c r="AF2370" i="2"/>
  <c r="AF2179" i="2"/>
  <c r="AF2163" i="2"/>
  <c r="AF2133" i="2"/>
  <c r="AF2085" i="2"/>
  <c r="AF2083" i="2"/>
  <c r="AF2073" i="2"/>
  <c r="AF2065" i="2"/>
  <c r="AF2009" i="2"/>
  <c r="AF2007" i="2"/>
  <c r="AF1981" i="2"/>
  <c r="AF1957" i="2"/>
  <c r="AF1955" i="2"/>
  <c r="AF1931" i="2"/>
  <c r="AF1891" i="2"/>
  <c r="AF1861" i="2"/>
  <c r="AF1837" i="2"/>
  <c r="AF1827" i="2"/>
  <c r="AF1797" i="2"/>
  <c r="AF1773" i="2"/>
  <c r="AF1763" i="2"/>
  <c r="AF1721" i="2"/>
  <c r="AF1713" i="2"/>
  <c r="AF1669" i="2"/>
  <c r="AF1625" i="2"/>
  <c r="AF1593" i="2"/>
  <c r="AF1561" i="2"/>
  <c r="AF1551" i="2"/>
  <c r="AF1545" i="2"/>
  <c r="AF1476" i="2"/>
  <c r="AF1470" i="2"/>
  <c r="AF1468" i="2"/>
  <c r="AF1462" i="2"/>
  <c r="AF1436" i="2"/>
  <c r="AF1398" i="2"/>
  <c r="AF1366" i="2"/>
  <c r="AF1334" i="2"/>
  <c r="AF1302" i="2"/>
  <c r="AF1270" i="2"/>
  <c r="AF1238" i="2"/>
  <c r="AF1206" i="2"/>
  <c r="AF1174" i="2"/>
  <c r="AF1142" i="2"/>
  <c r="AF1092" i="2"/>
  <c r="AF1046" i="2"/>
  <c r="AF1032" i="2"/>
  <c r="AF926" i="2"/>
  <c r="AF924" i="2"/>
  <c r="AF922" i="2"/>
  <c r="AF920" i="2"/>
  <c r="AF878" i="2"/>
  <c r="AF876" i="2"/>
  <c r="AF866" i="2"/>
  <c r="AF864" i="2"/>
  <c r="AF858" i="2"/>
  <c r="AF854" i="2"/>
  <c r="AF727" i="2"/>
  <c r="AF721" i="2"/>
  <c r="AF689" i="2"/>
  <c r="AF655" i="2"/>
  <c r="AF635" i="2"/>
  <c r="AF619" i="2"/>
  <c r="AF617" i="2"/>
  <c r="AF599" i="2"/>
  <c r="AF597" i="2"/>
  <c r="AF595" i="2"/>
  <c r="AF593" i="2"/>
  <c r="AF591" i="2"/>
  <c r="AF589" i="2"/>
  <c r="AF572" i="2"/>
  <c r="AF528" i="2"/>
  <c r="AF518" i="2"/>
  <c r="AF516" i="2"/>
  <c r="AF502" i="2"/>
  <c r="AF500" i="2"/>
  <c r="AF498" i="2"/>
  <c r="AF495" i="2"/>
  <c r="AF487" i="2"/>
  <c r="AF466" i="2"/>
  <c r="AF434" i="2"/>
  <c r="AF407" i="2"/>
  <c r="AF398" i="2"/>
  <c r="AF382" i="2"/>
  <c r="AF376" i="2"/>
  <c r="AF316" i="2"/>
  <c r="AF308" i="2"/>
  <c r="AF300" i="2"/>
  <c r="AF298" i="2"/>
  <c r="AF213" i="2"/>
  <c r="AF195" i="2"/>
  <c r="AF158" i="2"/>
  <c r="AF156" i="2"/>
  <c r="AF154" i="2"/>
  <c r="AF124" i="2"/>
  <c r="AF108" i="2"/>
  <c r="AF1637" i="2"/>
  <c r="AF1605" i="2"/>
  <c r="AF1573" i="2"/>
  <c r="AF1529" i="2"/>
  <c r="AF1493" i="2"/>
  <c r="AF1414" i="2"/>
  <c r="AF1382" i="2"/>
  <c r="AF1350" i="2"/>
  <c r="AF1318" i="2"/>
  <c r="AF1286" i="2"/>
  <c r="AF1254" i="2"/>
  <c r="AF1222" i="2"/>
  <c r="AF1190" i="2"/>
  <c r="AF1158" i="2"/>
  <c r="AF1126" i="2"/>
  <c r="AF1108" i="2"/>
  <c r="AF1076" i="2"/>
  <c r="AF1074" i="2"/>
  <c r="AF1068" i="2"/>
  <c r="AF705" i="2"/>
  <c r="AF671" i="2"/>
  <c r="AF627" i="2"/>
  <c r="AF580" i="2"/>
  <c r="AF546" i="2"/>
  <c r="AF544" i="2"/>
  <c r="AF499" i="2"/>
  <c r="AF491" i="2"/>
  <c r="AF488" i="2"/>
  <c r="AF486" i="2"/>
  <c r="AF438" i="2"/>
  <c r="AF414" i="2"/>
  <c r="AF411" i="2"/>
  <c r="AF372" i="2"/>
  <c r="AF320" i="2"/>
  <c r="AF312" i="2"/>
  <c r="AF304" i="2"/>
  <c r="AF258" i="2"/>
  <c r="AF256" i="2"/>
  <c r="AF254" i="2"/>
  <c r="AF252" i="2"/>
  <c r="AF240" i="2"/>
  <c r="AF238" i="2"/>
  <c r="AF191" i="2"/>
  <c r="AF174" i="2"/>
  <c r="AF172" i="2"/>
  <c r="AF170" i="2"/>
  <c r="AF168" i="2"/>
  <c r="AF136" i="2"/>
  <c r="AF92" i="2"/>
  <c r="AF88" i="2"/>
  <c r="AF76" i="2"/>
  <c r="AF4550" i="2"/>
  <c r="AF4538" i="2"/>
  <c r="AF4522" i="2"/>
  <c r="AF4570" i="2"/>
  <c r="AF4563" i="2"/>
  <c r="AF4556" i="2"/>
  <c r="AF4536" i="2"/>
  <c r="AF4512" i="2"/>
  <c r="AF4486" i="2"/>
  <c r="AF4480" i="2"/>
  <c r="AF4458" i="2"/>
  <c r="AF4454" i="2"/>
  <c r="AF4451" i="2"/>
  <c r="AF4448" i="2"/>
  <c r="AF4426" i="2"/>
  <c r="AF4422" i="2"/>
  <c r="AF4419" i="2"/>
  <c r="AF4416" i="2"/>
  <c r="AF4394" i="2"/>
  <c r="AF4390" i="2"/>
  <c r="AF4387" i="2"/>
  <c r="AF4384" i="2"/>
  <c r="AF4264" i="2"/>
  <c r="AF4248" i="2"/>
  <c r="AF4214" i="2"/>
  <c r="AF4210" i="2"/>
  <c r="AF4190" i="2"/>
  <c r="AF4188" i="2"/>
  <c r="AF4182" i="2"/>
  <c r="AF4132" i="2"/>
  <c r="AF4100" i="2"/>
  <c r="AF4096" i="2"/>
  <c r="AF4093" i="2"/>
  <c r="AF4056" i="2"/>
  <c r="AF4053" i="2"/>
  <c r="AF4049" i="2"/>
  <c r="AF4012" i="2"/>
  <c r="AF4009" i="2"/>
  <c r="AF3972" i="2"/>
  <c r="AF3968" i="2"/>
  <c r="AF3965" i="2"/>
  <c r="AF3928" i="2"/>
  <c r="AF3925" i="2"/>
  <c r="AF3921" i="2"/>
  <c r="AF3884" i="2"/>
  <c r="AF3881" i="2"/>
  <c r="AF3844" i="2"/>
  <c r="AF3840" i="2"/>
  <c r="AF3837" i="2"/>
  <c r="AF3800" i="2"/>
  <c r="AF3797" i="2"/>
  <c r="AF3793" i="2"/>
  <c r="AF3756" i="2"/>
  <c r="AF3753" i="2"/>
  <c r="AF3716" i="2"/>
  <c r="AF3712" i="2"/>
  <c r="AF3709" i="2"/>
  <c r="AF3672" i="2"/>
  <c r="AF3669" i="2"/>
  <c r="AF3665" i="2"/>
  <c r="AF3628" i="2"/>
  <c r="AF3625" i="2"/>
  <c r="AF3588" i="2"/>
  <c r="AF3584" i="2"/>
  <c r="AF3581" i="2"/>
  <c r="AF3544" i="2"/>
  <c r="AF3541" i="2"/>
  <c r="AF3537" i="2"/>
  <c r="AF3500" i="2"/>
  <c r="AF3496" i="2"/>
  <c r="AF3493" i="2"/>
  <c r="AF4568" i="2"/>
  <c r="AF4558" i="2"/>
  <c r="AF4554" i="2"/>
  <c r="AF4542" i="2"/>
  <c r="AF4534" i="2"/>
  <c r="AF4526" i="2"/>
  <c r="AF4518" i="2"/>
  <c r="AF4499" i="2"/>
  <c r="AF4566" i="2"/>
  <c r="AF4560" i="2"/>
  <c r="AF4552" i="2"/>
  <c r="AF4544" i="2"/>
  <c r="AF4528" i="2"/>
  <c r="AF4490" i="2"/>
  <c r="AF4483" i="2"/>
  <c r="AF4569" i="2"/>
  <c r="AF4565" i="2"/>
  <c r="AF4562" i="2"/>
  <c r="AF4559" i="2"/>
  <c r="AF4555" i="2"/>
  <c r="AF4547" i="2"/>
  <c r="AF4539" i="2"/>
  <c r="AF4531" i="2"/>
  <c r="AF4515" i="2"/>
  <c r="AF4493" i="2"/>
  <c r="AF4461" i="2"/>
  <c r="AF4429" i="2"/>
  <c r="AF4397" i="2"/>
  <c r="AF4267" i="2"/>
  <c r="AF4251" i="2"/>
  <c r="AF4217" i="2"/>
  <c r="AF4193" i="2"/>
  <c r="AF4170" i="2"/>
  <c r="AF4164" i="2"/>
  <c r="AF4156" i="2"/>
  <c r="AF4148" i="2"/>
  <c r="AF4142" i="2"/>
  <c r="AF4139" i="2"/>
  <c r="AF4110" i="2"/>
  <c r="AF4103" i="2"/>
  <c r="AF4070" i="2"/>
  <c r="AF4066" i="2"/>
  <c r="AF4059" i="2"/>
  <c r="AF4026" i="2"/>
  <c r="AF4019" i="2"/>
  <c r="AF4015" i="2"/>
  <c r="AF3982" i="2"/>
  <c r="AF3975" i="2"/>
  <c r="AF3942" i="2"/>
  <c r="AF3938" i="2"/>
  <c r="AF3931" i="2"/>
  <c r="AF3898" i="2"/>
  <c r="AF3891" i="2"/>
  <c r="AF3887" i="2"/>
  <c r="AF3854" i="2"/>
  <c r="AF3847" i="2"/>
  <c r="AF3814" i="2"/>
  <c r="AF3810" i="2"/>
  <c r="AF3803" i="2"/>
  <c r="AF3770" i="2"/>
  <c r="AF3763" i="2"/>
  <c r="AF3759" i="2"/>
  <c r="AF3726" i="2"/>
  <c r="AF3719" i="2"/>
  <c r="AF3686" i="2"/>
  <c r="AF3682" i="2"/>
  <c r="AF3675" i="2"/>
  <c r="AF3642" i="2"/>
  <c r="AF3635" i="2"/>
  <c r="AF3631" i="2"/>
  <c r="AF3598" i="2"/>
  <c r="AF3591" i="2"/>
  <c r="AF3558" i="2"/>
  <c r="AF3554" i="2"/>
  <c r="AF3547" i="2"/>
  <c r="AF3514" i="2"/>
  <c r="AF3507" i="2"/>
  <c r="AF3503" i="2"/>
  <c r="AF4546" i="2"/>
  <c r="AF4530" i="2"/>
  <c r="AF4502" i="2"/>
  <c r="AF4474" i="2"/>
  <c r="AF4464" i="2"/>
  <c r="AF4432" i="2"/>
  <c r="AF4406" i="2"/>
  <c r="AF4378" i="2"/>
  <c r="AF4368" i="2"/>
  <c r="AF4328" i="2"/>
  <c r="AF4320" i="2"/>
  <c r="AF4312" i="2"/>
  <c r="AF4304" i="2"/>
  <c r="AF4296" i="2"/>
  <c r="AF4288" i="2"/>
  <c r="AF4258" i="2"/>
  <c r="AF4228" i="2"/>
  <c r="AF4220" i="2"/>
  <c r="AF4200" i="2"/>
  <c r="AF4173" i="2"/>
  <c r="AF4117" i="2"/>
  <c r="AF4076" i="2"/>
  <c r="AF4032" i="2"/>
  <c r="AF3948" i="2"/>
  <c r="AF3904" i="2"/>
  <c r="AF3861" i="2"/>
  <c r="AF3820" i="2"/>
  <c r="AF3817" i="2"/>
  <c r="AF3780" i="2"/>
  <c r="AF3776" i="2"/>
  <c r="AF3773" i="2"/>
  <c r="AF3736" i="2"/>
  <c r="AF3733" i="2"/>
  <c r="AF3729" i="2"/>
  <c r="AF3692" i="2"/>
  <c r="AF3689" i="2"/>
  <c r="AF3652" i="2"/>
  <c r="AF3648" i="2"/>
  <c r="AF3645" i="2"/>
  <c r="AF3608" i="2"/>
  <c r="AF3605" i="2"/>
  <c r="AF3601" i="2"/>
  <c r="AF3564" i="2"/>
  <c r="AF3561" i="2"/>
  <c r="AF3524" i="2"/>
  <c r="AF3520" i="2"/>
  <c r="AF3517" i="2"/>
  <c r="AF4506" i="2"/>
  <c r="AF4496" i="2"/>
  <c r="AF4470" i="2"/>
  <c r="AF4467" i="2"/>
  <c r="AF4442" i="2"/>
  <c r="AF4438" i="2"/>
  <c r="AF4435" i="2"/>
  <c r="AF4410" i="2"/>
  <c r="AF4403" i="2"/>
  <c r="AF4400" i="2"/>
  <c r="AF4374" i="2"/>
  <c r="AF4371" i="2"/>
  <c r="AF4360" i="2"/>
  <c r="AF4352" i="2"/>
  <c r="AF4344" i="2"/>
  <c r="AF4336" i="2"/>
  <c r="AF4282" i="2"/>
  <c r="AF4280" i="2"/>
  <c r="AF4272" i="2"/>
  <c r="AF4254" i="2"/>
  <c r="AF4242" i="2"/>
  <c r="AF4238" i="2"/>
  <c r="AF4236" i="2"/>
  <c r="AF4176" i="2"/>
  <c r="AF4120" i="2"/>
  <c r="AF4113" i="2"/>
  <c r="AF4073" i="2"/>
  <c r="AF4036" i="2"/>
  <c r="AF4029" i="2"/>
  <c r="AF3992" i="2"/>
  <c r="AF3989" i="2"/>
  <c r="AF3985" i="2"/>
  <c r="AF3945" i="2"/>
  <c r="AF3908" i="2"/>
  <c r="AF3901" i="2"/>
  <c r="AF3864" i="2"/>
  <c r="AF3857" i="2"/>
  <c r="AF4557" i="2"/>
  <c r="AF4549" i="2"/>
  <c r="AF4541" i="2"/>
  <c r="AF4533" i="2"/>
  <c r="AF4525" i="2"/>
  <c r="AF4509" i="2"/>
  <c r="AF4477" i="2"/>
  <c r="AF4445" i="2"/>
  <c r="AF4413" i="2"/>
  <c r="AF4381" i="2"/>
  <c r="AF4261" i="2"/>
  <c r="AF4245" i="2"/>
  <c r="AF4207" i="2"/>
  <c r="AF4179" i="2"/>
  <c r="AF4127" i="2"/>
  <c r="AF4090" i="2"/>
  <c r="AF4083" i="2"/>
  <c r="AF4079" i="2"/>
  <c r="AF4046" i="2"/>
  <c r="AF4039" i="2"/>
  <c r="AF4006" i="2"/>
  <c r="AF4002" i="2"/>
  <c r="AF3995" i="2"/>
  <c r="AF3962" i="2"/>
  <c r="AF3955" i="2"/>
  <c r="AF3951" i="2"/>
  <c r="AF3918" i="2"/>
  <c r="AF3911" i="2"/>
  <c r="AF3878" i="2"/>
  <c r="AF3874" i="2"/>
  <c r="AF3867" i="2"/>
  <c r="AF3834" i="2"/>
  <c r="AF3827" i="2"/>
  <c r="AF3823" i="2"/>
  <c r="AF3790" i="2"/>
  <c r="AF3783" i="2"/>
  <c r="AF3750" i="2"/>
  <c r="AF3746" i="2"/>
  <c r="AF3739" i="2"/>
  <c r="AF3706" i="2"/>
  <c r="AF3699" i="2"/>
  <c r="AF3695" i="2"/>
  <c r="AF3662" i="2"/>
  <c r="AF3655" i="2"/>
  <c r="AF3622" i="2"/>
  <c r="AF3618" i="2"/>
  <c r="AF3611" i="2"/>
  <c r="AF3578" i="2"/>
  <c r="AF3571" i="2"/>
  <c r="AF3567" i="2"/>
  <c r="AF3534" i="2"/>
  <c r="AF3527" i="2"/>
  <c r="AF3483" i="2"/>
  <c r="AF3479" i="2"/>
  <c r="AF3476" i="2"/>
  <c r="AF3473" i="2"/>
  <c r="AF3466" i="2"/>
  <c r="AF3462" i="2"/>
  <c r="AF3455" i="2"/>
  <c r="AF3452" i="2"/>
  <c r="AF3448" i="2"/>
  <c r="AF3445" i="2"/>
  <c r="AF3441" i="2"/>
  <c r="AF3434" i="2"/>
  <c r="AF3427" i="2"/>
  <c r="AF3424" i="2"/>
  <c r="AF3421" i="2"/>
  <c r="AF3415" i="2"/>
  <c r="AF3400" i="2"/>
  <c r="AF3397" i="2"/>
  <c r="AF3385" i="2"/>
  <c r="AF3379" i="2"/>
  <c r="AF3376" i="2"/>
  <c r="AF3373" i="2"/>
  <c r="AF3370" i="2"/>
  <c r="AF3363" i="2"/>
  <c r="AF3360" i="2"/>
  <c r="AF3357" i="2"/>
  <c r="AF3351" i="2"/>
  <c r="AF3336" i="2"/>
  <c r="AF3333" i="2"/>
  <c r="AF3321" i="2"/>
  <c r="AF3315" i="2"/>
  <c r="AF3312" i="2"/>
  <c r="AF3309" i="2"/>
  <c r="AF3306" i="2"/>
  <c r="AF3299" i="2"/>
  <c r="AF3296" i="2"/>
  <c r="AF3293" i="2"/>
  <c r="AF3287" i="2"/>
  <c r="AF3272" i="2"/>
  <c r="AF3269" i="2"/>
  <c r="AF3257" i="2"/>
  <c r="AF3251" i="2"/>
  <c r="AF3248" i="2"/>
  <c r="AF3245" i="2"/>
  <c r="AF3242" i="2"/>
  <c r="AF3235" i="2"/>
  <c r="AF3232" i="2"/>
  <c r="AF3229" i="2"/>
  <c r="AF3223" i="2"/>
  <c r="AF3208" i="2"/>
  <c r="AF3205" i="2"/>
  <c r="AF3193" i="2"/>
  <c r="AF3187" i="2"/>
  <c r="AF3184" i="2"/>
  <c r="AF3181" i="2"/>
  <c r="AF3178" i="2"/>
  <c r="AF3171" i="2"/>
  <c r="AF3168" i="2"/>
  <c r="AF3165" i="2"/>
  <c r="AF3159" i="2"/>
  <c r="AF3144" i="2"/>
  <c r="AF3141" i="2"/>
  <c r="AF3129" i="2"/>
  <c r="AF3123" i="2"/>
  <c r="AF3120" i="2"/>
  <c r="AF3117" i="2"/>
  <c r="AF3110" i="2"/>
  <c r="AF3103" i="2"/>
  <c r="AF3097" i="2"/>
  <c r="AF3087" i="2"/>
  <c r="AF3070" i="2"/>
  <c r="AF3067" i="2"/>
  <c r="AF3064" i="2"/>
  <c r="AF3061" i="2"/>
  <c r="AF3055" i="2"/>
  <c r="AF3049" i="2"/>
  <c r="AF3045" i="2"/>
  <c r="AF3032" i="2"/>
  <c r="AF3029" i="2"/>
  <c r="AF3022" i="2"/>
  <c r="AF3019" i="2"/>
  <c r="AF3015" i="2"/>
  <c r="AF3012" i="2"/>
  <c r="AF3009" i="2"/>
  <c r="AF3005" i="2"/>
  <c r="AF2999" i="2"/>
  <c r="AF2984" i="2"/>
  <c r="AF2980" i="2"/>
  <c r="AF2977" i="2"/>
  <c r="AF2971" i="2"/>
  <c r="AF2964" i="2"/>
  <c r="AF2961" i="2"/>
  <c r="AF2957" i="2"/>
  <c r="AF2954" i="2"/>
  <c r="AF2947" i="2"/>
  <c r="AF2944" i="2"/>
  <c r="AF2929" i="2"/>
  <c r="AF2923" i="2"/>
  <c r="AF2919" i="2"/>
  <c r="AF2894" i="2"/>
  <c r="AF2887" i="2"/>
  <c r="AF2883" i="2"/>
  <c r="AF2880" i="2"/>
  <c r="AF2877" i="2"/>
  <c r="AF2873" i="2"/>
  <c r="AF2869" i="2"/>
  <c r="AF2865" i="2"/>
  <c r="AF2855" i="2"/>
  <c r="AF2851" i="2"/>
  <c r="AF2848" i="2"/>
  <c r="AF2844" i="2"/>
  <c r="AF2840" i="2"/>
  <c r="AF2836" i="2"/>
  <c r="AF2833" i="2"/>
  <c r="AF2823" i="2"/>
  <c r="AF2819" i="2"/>
  <c r="AF2794" i="2"/>
  <c r="AF2790" i="2"/>
  <c r="AF2783" i="2"/>
  <c r="AF2779" i="2"/>
  <c r="AF2776" i="2"/>
  <c r="AF2772" i="2"/>
  <c r="AF2769" i="2"/>
  <c r="AF2763" i="2"/>
  <c r="AF2759" i="2"/>
  <c r="AF2755" i="2"/>
  <c r="AF2752" i="2"/>
  <c r="AF2749" i="2"/>
  <c r="AF2745" i="2"/>
  <c r="AF2741" i="2"/>
  <c r="AF2737" i="2"/>
  <c r="AF2733" i="2"/>
  <c r="AF2729" i="2"/>
  <c r="AF2722" i="2"/>
  <c r="AF2715" i="2"/>
  <c r="AF2711" i="2"/>
  <c r="AF2708" i="2"/>
  <c r="AF2704" i="2"/>
  <c r="AF2701" i="2"/>
  <c r="AF2697" i="2"/>
  <c r="AF2693" i="2"/>
  <c r="AF2683" i="2"/>
  <c r="AF2679" i="2"/>
  <c r="AF2675" i="2"/>
  <c r="AF2671" i="2"/>
  <c r="AF2642" i="2"/>
  <c r="AF2635" i="2"/>
  <c r="AF2631" i="2"/>
  <c r="AF2627" i="2"/>
  <c r="AF2624" i="2"/>
  <c r="AF2621" i="2"/>
  <c r="AF2617" i="2"/>
  <c r="AF2613" i="2"/>
  <c r="AF2609" i="2"/>
  <c r="AF2605" i="2"/>
  <c r="AF2601" i="2"/>
  <c r="AF2594" i="2"/>
  <c r="AF2587" i="2"/>
  <c r="AF2583" i="2"/>
  <c r="AF2580" i="2"/>
  <c r="AF2576" i="2"/>
  <c r="AF2573" i="2"/>
  <c r="AF2569" i="2"/>
  <c r="AF2559" i="2"/>
  <c r="AF2555" i="2"/>
  <c r="AF2551" i="2"/>
  <c r="AF2547" i="2"/>
  <c r="AF2518" i="2"/>
  <c r="AF2511" i="2"/>
  <c r="AF2509" i="2"/>
  <c r="AF2505" i="2"/>
  <c r="AF2499" i="2"/>
  <c r="AF2496" i="2"/>
  <c r="AF2492" i="2"/>
  <c r="AF2489" i="2"/>
  <c r="AF2485" i="2"/>
  <c r="AF2481" i="2"/>
  <c r="AF2475" i="2"/>
  <c r="AF2471" i="2"/>
  <c r="AF2467" i="2"/>
  <c r="AF2463" i="2"/>
  <c r="AF2460" i="2"/>
  <c r="AF2457" i="2"/>
  <c r="AF2453" i="2"/>
  <c r="AF2450" i="2"/>
  <c r="AF2414" i="2"/>
  <c r="AF2410" i="2"/>
  <c r="AF2403" i="2"/>
  <c r="AF2399" i="2"/>
  <c r="AF2396" i="2"/>
  <c r="AF2393" i="2"/>
  <c r="AF2386" i="2"/>
  <c r="AF2380" i="2"/>
  <c r="AF2377" i="2"/>
  <c r="AF2374" i="2"/>
  <c r="AF2367" i="2"/>
  <c r="AF2363" i="2"/>
  <c r="AF2360" i="2"/>
  <c r="AF2356" i="2"/>
  <c r="AF2352" i="2"/>
  <c r="AF2314" i="2"/>
  <c r="AF2304" i="2"/>
  <c r="AF2301" i="2"/>
  <c r="AF2298" i="2"/>
  <c r="AF2292" i="2"/>
  <c r="AF2289" i="2"/>
  <c r="AF2283" i="2"/>
  <c r="AF2279" i="2"/>
  <c r="AF2276" i="2"/>
  <c r="AF2272" i="2"/>
  <c r="AF2270" i="2"/>
  <c r="AF2260" i="2"/>
  <c r="AF2251" i="2"/>
  <c r="AF2244" i="2"/>
  <c r="AF2242" i="2"/>
  <c r="AF2239" i="2"/>
  <c r="AF2231" i="2"/>
  <c r="AF2226" i="2"/>
  <c r="AF2217" i="2"/>
  <c r="AF2213" i="2"/>
  <c r="AF2210" i="2"/>
  <c r="AF2207" i="2"/>
  <c r="AF2203" i="2"/>
  <c r="AF2198" i="2"/>
  <c r="AF2194" i="2"/>
  <c r="AF2188" i="2"/>
  <c r="AF2181" i="2"/>
  <c r="AF2178" i="2"/>
  <c r="AF2175" i="2"/>
  <c r="AF2172" i="2"/>
  <c r="AF2165" i="2"/>
  <c r="AF2162" i="2"/>
  <c r="AF2156" i="2"/>
  <c r="AF2149" i="2"/>
  <c r="AF2145" i="2"/>
  <c r="AF2142" i="2"/>
  <c r="AF2139" i="2"/>
  <c r="AF2136" i="2"/>
  <c r="AF2130" i="2"/>
  <c r="AF2121" i="2"/>
  <c r="AF2118" i="2"/>
  <c r="AF2116" i="2"/>
  <c r="AF2113" i="2"/>
  <c r="AF2106" i="2"/>
  <c r="AF2104" i="2"/>
  <c r="AF2101" i="2"/>
  <c r="AF2092" i="2"/>
  <c r="AF2082" i="2"/>
  <c r="AF2078" i="2"/>
  <c r="AF2053" i="2"/>
  <c r="AF2049" i="2"/>
  <c r="AF2046" i="2"/>
  <c r="AF2034" i="2"/>
  <c r="AF2031" i="2"/>
  <c r="AF2021" i="2"/>
  <c r="AF2018" i="2"/>
  <c r="AF2000" i="2"/>
  <c r="AF1996" i="2"/>
  <c r="AF1990" i="2"/>
  <c r="AF1984" i="2"/>
  <c r="AF1977" i="2"/>
  <c r="AF1974" i="2"/>
  <c r="AF1972" i="2"/>
  <c r="AF1966" i="2"/>
  <c r="AF1949" i="2"/>
  <c r="AF1946" i="2"/>
  <c r="AF1927" i="2"/>
  <c r="AF1919" i="2"/>
  <c r="AF1910" i="2"/>
  <c r="AF1896" i="2"/>
  <c r="AF1890" i="2"/>
  <c r="AF1883" i="2"/>
  <c r="AF1880" i="2"/>
  <c r="AF1876" i="2"/>
  <c r="AF1870" i="2"/>
  <c r="AF1855" i="2"/>
  <c r="AF1852" i="2"/>
  <c r="AF1845" i="2"/>
  <c r="AF1842" i="2"/>
  <c r="AF1839" i="2"/>
  <c r="AF1836" i="2"/>
  <c r="AF1830" i="2"/>
  <c r="AF1824" i="2"/>
  <c r="AF1814" i="2"/>
  <c r="AF1793" i="2"/>
  <c r="AF1786" i="2"/>
  <c r="AF1783" i="2"/>
  <c r="AF1768" i="2"/>
  <c r="AF1762" i="2"/>
  <c r="AF1755" i="2"/>
  <c r="AF1752" i="2"/>
  <c r="AF1748" i="2"/>
  <c r="AF1742" i="2"/>
  <c r="AF1730" i="2"/>
  <c r="AF1727" i="2"/>
  <c r="AF1723" i="2"/>
  <c r="AF1720" i="2"/>
  <c r="AF1710" i="2"/>
  <c r="AF1693" i="2"/>
  <c r="AF1686" i="2"/>
  <c r="AF1683" i="2"/>
  <c r="AF1680" i="2"/>
  <c r="AF1676" i="2"/>
  <c r="AF1666" i="2"/>
  <c r="AF1663" i="2"/>
  <c r="AF1659" i="2"/>
  <c r="AF1656" i="2"/>
  <c r="AF1646" i="2"/>
  <c r="AF1629" i="2"/>
  <c r="AF1622" i="2"/>
  <c r="AF1619" i="2"/>
  <c r="AF1616" i="2"/>
  <c r="AF1612" i="2"/>
  <c r="AF1602" i="2"/>
  <c r="AF1599" i="2"/>
  <c r="AF1595" i="2"/>
  <c r="AF1592" i="2"/>
  <c r="AF1582" i="2"/>
  <c r="AF1565" i="2"/>
  <c r="AF1558" i="2"/>
  <c r="AF1556" i="2"/>
  <c r="AF1553" i="2"/>
  <c r="AF1550" i="2"/>
  <c r="AF1547" i="2"/>
  <c r="AF1544" i="2"/>
  <c r="AF1540" i="2"/>
  <c r="AF1530" i="2"/>
  <c r="AF1527" i="2"/>
  <c r="AF1523" i="2"/>
  <c r="AF1520" i="2"/>
  <c r="AF1508" i="2"/>
  <c r="AF1505" i="2"/>
  <c r="AF1502" i="2"/>
  <c r="AF1483" i="2"/>
  <c r="AF1480" i="2"/>
  <c r="AF1467" i="2"/>
  <c r="AF1465" i="2"/>
  <c r="AF1459" i="2"/>
  <c r="AF1456" i="2"/>
  <c r="AF1453" i="2"/>
  <c r="AF1446" i="2"/>
  <c r="AF1443" i="2"/>
  <c r="AF1440" i="2"/>
  <c r="AF1430" i="2"/>
  <c r="AF1421" i="2"/>
  <c r="AF1411" i="2"/>
  <c r="AF1394" i="2"/>
  <c r="AF1387" i="2"/>
  <c r="AF1376" i="2"/>
  <c r="AF1373" i="2"/>
  <c r="AF1362" i="2"/>
  <c r="AF1355" i="2"/>
  <c r="AF1344" i="2"/>
  <c r="AF1341" i="2"/>
  <c r="AF1330" i="2"/>
  <c r="AF1323" i="2"/>
  <c r="AF1312" i="2"/>
  <c r="AF1309" i="2"/>
  <c r="AF1298" i="2"/>
  <c r="AF1291" i="2"/>
  <c r="AF1280" i="2"/>
  <c r="AF1277" i="2"/>
  <c r="AF1266" i="2"/>
  <c r="AF1259" i="2"/>
  <c r="AF1248" i="2"/>
  <c r="AF1245" i="2"/>
  <c r="AF1234" i="2"/>
  <c r="AF1227" i="2"/>
  <c r="AF1216" i="2"/>
  <c r="AF1213" i="2"/>
  <c r="AF1202" i="2"/>
  <c r="AF1195" i="2"/>
  <c r="AF1184" i="2"/>
  <c r="AF1181" i="2"/>
  <c r="AF1170" i="2"/>
  <c r="AF1163" i="2"/>
  <c r="AF1152" i="2"/>
  <c r="AF1149" i="2"/>
  <c r="AF1138" i="2"/>
  <c r="AF1131" i="2"/>
  <c r="AF1120" i="2"/>
  <c r="AF1117" i="2"/>
  <c r="AF1102" i="2"/>
  <c r="AF1099" i="2"/>
  <c r="AF1058" i="2"/>
  <c r="AF1053" i="2"/>
  <c r="AF1028" i="2"/>
  <c r="AF1008" i="2"/>
  <c r="AF1005" i="2"/>
  <c r="AF988" i="2"/>
  <c r="AF975" i="2"/>
  <c r="AF933" i="2"/>
  <c r="AF912" i="2"/>
  <c r="AF908" i="2"/>
  <c r="AF905" i="2"/>
  <c r="AF902" i="2"/>
  <c r="AF899" i="2"/>
  <c r="AF895" i="2"/>
  <c r="AF885" i="2"/>
  <c r="AF828" i="2"/>
  <c r="AF789" i="2"/>
  <c r="AF785" i="2"/>
  <c r="AF776" i="2"/>
  <c r="AF769" i="2"/>
  <c r="AF754" i="2"/>
  <c r="AF751" i="2"/>
  <c r="AF748" i="2"/>
  <c r="AF745" i="2"/>
  <c r="AF740" i="2"/>
  <c r="AF737" i="2"/>
  <c r="AF733" i="2"/>
  <c r="AF730" i="2"/>
  <c r="AF696" i="2"/>
  <c r="AF662" i="2"/>
  <c r="AF631" i="2"/>
  <c r="AF587" i="2"/>
  <c r="AF568" i="2"/>
  <c r="AF542" i="2"/>
  <c r="AF538" i="2"/>
  <c r="AF535" i="2"/>
  <c r="AF512" i="2"/>
  <c r="AF509" i="2"/>
  <c r="AF473" i="2"/>
  <c r="AF469" i="2"/>
  <c r="AF455" i="2"/>
  <c r="AF451" i="2"/>
  <c r="AF431" i="2"/>
  <c r="AF400" i="2"/>
  <c r="AF366" i="2"/>
  <c r="AF363" i="2"/>
  <c r="AF359" i="2"/>
  <c r="AF349" i="2"/>
  <c r="AF345" i="2"/>
  <c r="AF294" i="2"/>
  <c r="AF285" i="2"/>
  <c r="AF262" i="2"/>
  <c r="AF245" i="2"/>
  <c r="AF243" i="2"/>
  <c r="AF218" i="2"/>
  <c r="AF187" i="2"/>
  <c r="AF181" i="2"/>
  <c r="AF175" i="2"/>
  <c r="AF173" i="2"/>
  <c r="AF171" i="2"/>
  <c r="AF169" i="2"/>
  <c r="AF165" i="2"/>
  <c r="AF142" i="2"/>
  <c r="AF84" i="2"/>
  <c r="AF4553" i="2"/>
  <c r="AF4543" i="2"/>
  <c r="AF4540" i="2"/>
  <c r="AF4537" i="2"/>
  <c r="AF4527" i="2"/>
  <c r="AF4524" i="2"/>
  <c r="AF4521" i="2"/>
  <c r="AF4517" i="2"/>
  <c r="AF4514" i="2"/>
  <c r="AF4511" i="2"/>
  <c r="AF4508" i="2"/>
  <c r="AF4505" i="2"/>
  <c r="AF4495" i="2"/>
  <c r="AF4492" i="2"/>
  <c r="AF4489" i="2"/>
  <c r="AF4479" i="2"/>
  <c r="AF4476" i="2"/>
  <c r="AF4473" i="2"/>
  <c r="AF4463" i="2"/>
  <c r="AF4460" i="2"/>
  <c r="AF4457" i="2"/>
  <c r="AF4447" i="2"/>
  <c r="AF4444" i="2"/>
  <c r="AF4441" i="2"/>
  <c r="AF4431" i="2"/>
  <c r="AF4428" i="2"/>
  <c r="AF4425" i="2"/>
  <c r="AF4415" i="2"/>
  <c r="AF4412" i="2"/>
  <c r="AF4409" i="2"/>
  <c r="AF4399" i="2"/>
  <c r="AF4396" i="2"/>
  <c r="AF4393" i="2"/>
  <c r="AF4383" i="2"/>
  <c r="AF4380" i="2"/>
  <c r="AF4377" i="2"/>
  <c r="AF4367" i="2"/>
  <c r="AF4359" i="2"/>
  <c r="AF4351" i="2"/>
  <c r="AF4343" i="2"/>
  <c r="AF4335" i="2"/>
  <c r="AF4327" i="2"/>
  <c r="AF4319" i="2"/>
  <c r="AF4311" i="2"/>
  <c r="AF4303" i="2"/>
  <c r="AF4295" i="2"/>
  <c r="AF4287" i="2"/>
  <c r="AF4285" i="2"/>
  <c r="AF4279" i="2"/>
  <c r="AF4271" i="2"/>
  <c r="AF4269" i="2"/>
  <c r="AF4266" i="2"/>
  <c r="AF4263" i="2"/>
  <c r="AF4260" i="2"/>
  <c r="AF4257" i="2"/>
  <c r="AF4253" i="2"/>
  <c r="AF4250" i="2"/>
  <c r="AF4247" i="2"/>
  <c r="AF4244" i="2"/>
  <c r="AF4241" i="2"/>
  <c r="AF4235" i="2"/>
  <c r="AF4227" i="2"/>
  <c r="AF4219" i="2"/>
  <c r="AF4216" i="2"/>
  <c r="AF4213" i="2"/>
  <c r="AF4209" i="2"/>
  <c r="AF4206" i="2"/>
  <c r="AF4199" i="2"/>
  <c r="AF4192" i="2"/>
  <c r="AF4187" i="2"/>
  <c r="AF4185" i="2"/>
  <c r="AF4181" i="2"/>
  <c r="AF4178" i="2"/>
  <c r="AF4175" i="2"/>
  <c r="AF4172" i="2"/>
  <c r="AF4169" i="2"/>
  <c r="AF4163" i="2"/>
  <c r="AF4161" i="2"/>
  <c r="AF4155" i="2"/>
  <c r="AF4153" i="2"/>
  <c r="AF4147" i="2"/>
  <c r="AF4145" i="2"/>
  <c r="AF4138" i="2"/>
  <c r="AF4131" i="2"/>
  <c r="AF4129" i="2"/>
  <c r="AF4126" i="2"/>
  <c r="AF4119" i="2"/>
  <c r="AF4116" i="2"/>
  <c r="AF4112" i="2"/>
  <c r="AF4109" i="2"/>
  <c r="AF4102" i="2"/>
  <c r="AF4099" i="2"/>
  <c r="AF4095" i="2"/>
  <c r="AF4092" i="2"/>
  <c r="AF4089" i="2"/>
  <c r="AF4082" i="2"/>
  <c r="AF4078" i="2"/>
  <c r="AF4075" i="2"/>
  <c r="AF4072" i="2"/>
  <c r="AF4069" i="2"/>
  <c r="AF4065" i="2"/>
  <c r="AF4058" i="2"/>
  <c r="AF4055" i="2"/>
  <c r="AF4052" i="2"/>
  <c r="AF4048" i="2"/>
  <c r="AF4045" i="2"/>
  <c r="AF4038" i="2"/>
  <c r="AF4035" i="2"/>
  <c r="AF4031" i="2"/>
  <c r="AF4028" i="2"/>
  <c r="AF4025" i="2"/>
  <c r="AF4018" i="2"/>
  <c r="AF4014" i="2"/>
  <c r="AF4011" i="2"/>
  <c r="AF4008" i="2"/>
  <c r="AF4005" i="2"/>
  <c r="AF4001" i="2"/>
  <c r="AF3994" i="2"/>
  <c r="AF3991" i="2"/>
  <c r="AF3988" i="2"/>
  <c r="AF3984" i="2"/>
  <c r="AF3981" i="2"/>
  <c r="AF3974" i="2"/>
  <c r="AF3971" i="2"/>
  <c r="AF3967" i="2"/>
  <c r="AF3964" i="2"/>
  <c r="AF3961" i="2"/>
  <c r="AF3954" i="2"/>
  <c r="AF3950" i="2"/>
  <c r="AF3947" i="2"/>
  <c r="AF3944" i="2"/>
  <c r="AF3941" i="2"/>
  <c r="AF3937" i="2"/>
  <c r="AF3930" i="2"/>
  <c r="AF3927" i="2"/>
  <c r="AF3924" i="2"/>
  <c r="AF3920" i="2"/>
  <c r="AF3917" i="2"/>
  <c r="AF3910" i="2"/>
  <c r="AF3907" i="2"/>
  <c r="AF3903" i="2"/>
  <c r="AF3900" i="2"/>
  <c r="AF3897" i="2"/>
  <c r="AF3890" i="2"/>
  <c r="AF3886" i="2"/>
  <c r="AF3883" i="2"/>
  <c r="AF3880" i="2"/>
  <c r="AF3877" i="2"/>
  <c r="AF3873" i="2"/>
  <c r="AF3866" i="2"/>
  <c r="AF3863" i="2"/>
  <c r="AF3860" i="2"/>
  <c r="AF3856" i="2"/>
  <c r="AF3853" i="2"/>
  <c r="AF3846" i="2"/>
  <c r="AF3843" i="2"/>
  <c r="AF3839" i="2"/>
  <c r="AF3836" i="2"/>
  <c r="AF3833" i="2"/>
  <c r="AF3826" i="2"/>
  <c r="AF3822" i="2"/>
  <c r="AF3819" i="2"/>
  <c r="AF3816" i="2"/>
  <c r="AF3813" i="2"/>
  <c r="AF3809" i="2"/>
  <c r="AF3802" i="2"/>
  <c r="AF3799" i="2"/>
  <c r="AF3796" i="2"/>
  <c r="AF3792" i="2"/>
  <c r="AF3789" i="2"/>
  <c r="AF3782" i="2"/>
  <c r="AF3779" i="2"/>
  <c r="AF3775" i="2"/>
  <c r="AF3772" i="2"/>
  <c r="AF3769" i="2"/>
  <c r="AF3762" i="2"/>
  <c r="AF3758" i="2"/>
  <c r="AF3755" i="2"/>
  <c r="AF3752" i="2"/>
  <c r="AF3749" i="2"/>
  <c r="AF3745" i="2"/>
  <c r="AF3738" i="2"/>
  <c r="AF3735" i="2"/>
  <c r="AF3732" i="2"/>
  <c r="AF3728" i="2"/>
  <c r="AF3725" i="2"/>
  <c r="AF3718" i="2"/>
  <c r="AF3715" i="2"/>
  <c r="AF3711" i="2"/>
  <c r="AF3708" i="2"/>
  <c r="AF3705" i="2"/>
  <c r="AF3698" i="2"/>
  <c r="AF3694" i="2"/>
  <c r="AF3691" i="2"/>
  <c r="AF3688" i="2"/>
  <c r="AF3685" i="2"/>
  <c r="AF3681" i="2"/>
  <c r="AF3674" i="2"/>
  <c r="AF3671" i="2"/>
  <c r="AF3668" i="2"/>
  <c r="AF3664" i="2"/>
  <c r="AF3661" i="2"/>
  <c r="AF3654" i="2"/>
  <c r="AF3651" i="2"/>
  <c r="AF3647" i="2"/>
  <c r="AF3644" i="2"/>
  <c r="AF3641" i="2"/>
  <c r="AF3634" i="2"/>
  <c r="AF3630" i="2"/>
  <c r="AF3627" i="2"/>
  <c r="AF3624" i="2"/>
  <c r="AF3621" i="2"/>
  <c r="AF3617" i="2"/>
  <c r="AF3610" i="2"/>
  <c r="AF3607" i="2"/>
  <c r="AF3604" i="2"/>
  <c r="AF3600" i="2"/>
  <c r="AF3597" i="2"/>
  <c r="AF3590" i="2"/>
  <c r="AF3587" i="2"/>
  <c r="AF3583" i="2"/>
  <c r="AF3580" i="2"/>
  <c r="AF3577" i="2"/>
  <c r="AF3570" i="2"/>
  <c r="AF3566" i="2"/>
  <c r="AF3563" i="2"/>
  <c r="AF3560" i="2"/>
  <c r="AF3557" i="2"/>
  <c r="AF3553" i="2"/>
  <c r="AF3546" i="2"/>
  <c r="AF3543" i="2"/>
  <c r="AF3540" i="2"/>
  <c r="AF3536" i="2"/>
  <c r="AF3533" i="2"/>
  <c r="AF3526" i="2"/>
  <c r="AF3523" i="2"/>
  <c r="AF3519" i="2"/>
  <c r="AF3516" i="2"/>
  <c r="AF3513" i="2"/>
  <c r="AF3506" i="2"/>
  <c r="AF3502" i="2"/>
  <c r="AF3499" i="2"/>
  <c r="AF3495" i="2"/>
  <c r="AF3492" i="2"/>
  <c r="AF3489" i="2"/>
  <c r="AF3482" i="2"/>
  <c r="AF3478" i="2"/>
  <c r="AF3475" i="2"/>
  <c r="AF3472" i="2"/>
  <c r="AF3469" i="2"/>
  <c r="AF3465" i="2"/>
  <c r="AF3461" i="2"/>
  <c r="AF3454" i="2"/>
  <c r="AF3451" i="2"/>
  <c r="AF3447" i="2"/>
  <c r="AF3444" i="2"/>
  <c r="AF3440" i="2"/>
  <c r="AF3437" i="2"/>
  <c r="AF3433" i="2"/>
  <c r="AF3426" i="2"/>
  <c r="AF3423" i="2"/>
  <c r="AF3420" i="2"/>
  <c r="AF3414" i="2"/>
  <c r="AF3409" i="2"/>
  <c r="AF3403" i="2"/>
  <c r="AF3399" i="2"/>
  <c r="AF3396" i="2"/>
  <c r="AF3393" i="2"/>
  <c r="AF3387" i="2"/>
  <c r="AF3384" i="2"/>
  <c r="AF3381" i="2"/>
  <c r="AF3378" i="2"/>
  <c r="AF3375" i="2"/>
  <c r="AF3372" i="2"/>
  <c r="AF3369" i="2"/>
  <c r="AF3362" i="2"/>
  <c r="AF3359" i="2"/>
  <c r="AF3356" i="2"/>
  <c r="AF3350" i="2"/>
  <c r="AF3345" i="2"/>
  <c r="AF3339" i="2"/>
  <c r="AF3335" i="2"/>
  <c r="AF3332" i="2"/>
  <c r="AF3329" i="2"/>
  <c r="AF3323" i="2"/>
  <c r="AF3320" i="2"/>
  <c r="AF3317" i="2"/>
  <c r="AF3314" i="2"/>
  <c r="AF3311" i="2"/>
  <c r="AF3308" i="2"/>
  <c r="AF3305" i="2"/>
  <c r="AF3298" i="2"/>
  <c r="AF3295" i="2"/>
  <c r="AF3292" i="2"/>
  <c r="AF3286" i="2"/>
  <c r="AF3281" i="2"/>
  <c r="AF3275" i="2"/>
  <c r="AF3271" i="2"/>
  <c r="AF3268" i="2"/>
  <c r="AF3265" i="2"/>
  <c r="AF3259" i="2"/>
  <c r="AF3256" i="2"/>
  <c r="AF3253" i="2"/>
  <c r="AF3250" i="2"/>
  <c r="AF3247" i="2"/>
  <c r="AF3244" i="2"/>
  <c r="AF3241" i="2"/>
  <c r="AF3234" i="2"/>
  <c r="AF3231" i="2"/>
  <c r="AF3228" i="2"/>
  <c r="AF3222" i="2"/>
  <c r="AF3217" i="2"/>
  <c r="AF3211" i="2"/>
  <c r="AF3207" i="2"/>
  <c r="AF3204" i="2"/>
  <c r="AF3201" i="2"/>
  <c r="AF3195" i="2"/>
  <c r="AF3192" i="2"/>
  <c r="AF3189" i="2"/>
  <c r="AF3186" i="2"/>
  <c r="AF3183" i="2"/>
  <c r="AF3180" i="2"/>
  <c r="AF3177" i="2"/>
  <c r="AF3170" i="2"/>
  <c r="AF3167" i="2"/>
  <c r="AF3164" i="2"/>
  <c r="AF3158" i="2"/>
  <c r="AF3153" i="2"/>
  <c r="AF3147" i="2"/>
  <c r="AF3143" i="2"/>
  <c r="AF3140" i="2"/>
  <c r="AF3137" i="2"/>
  <c r="AF3131" i="2"/>
  <c r="AF3128" i="2"/>
  <c r="AF3125" i="2"/>
  <c r="AF3122" i="2"/>
  <c r="AF3119" i="2"/>
  <c r="AF3116" i="2"/>
  <c r="AF3113" i="2"/>
  <c r="AF3109" i="2"/>
  <c r="AF3102" i="2"/>
  <c r="AF3096" i="2"/>
  <c r="AF3093" i="2"/>
  <c r="AF3086" i="2"/>
  <c r="AF3083" i="2"/>
  <c r="AF3079" i="2"/>
  <c r="AF3076" i="2"/>
  <c r="AF3073" i="2"/>
  <c r="AF3069" i="2"/>
  <c r="AF3066" i="2"/>
  <c r="AF3063" i="2"/>
  <c r="AF3060" i="2"/>
  <c r="AF3054" i="2"/>
  <c r="AF3048" i="2"/>
  <c r="AF3044" i="2"/>
  <c r="AF3041" i="2"/>
  <c r="AF3035" i="2"/>
  <c r="AF3028" i="2"/>
  <c r="AF3025" i="2"/>
  <c r="AF3021" i="2"/>
  <c r="AF3018" i="2"/>
  <c r="AF3014" i="2"/>
  <c r="AF3011" i="2"/>
  <c r="AF3008" i="2"/>
  <c r="AF2993" i="2"/>
  <c r="AF2987" i="2"/>
  <c r="AF2983" i="2"/>
  <c r="AF2970" i="2"/>
  <c r="AF2966" i="2"/>
  <c r="AF2963" i="2"/>
  <c r="AF2960" i="2"/>
  <c r="AF2953" i="2"/>
  <c r="AF2943" i="2"/>
  <c r="AF2918" i="2"/>
  <c r="AF2914" i="2"/>
  <c r="AF2911" i="2"/>
  <c r="AF2907" i="2"/>
  <c r="AF2904" i="2"/>
  <c r="AF2900" i="2"/>
  <c r="AF2897" i="2"/>
  <c r="AF2893" i="2"/>
  <c r="AF2886" i="2"/>
  <c r="AF2882" i="2"/>
  <c r="AF2879" i="2"/>
  <c r="AF2876" i="2"/>
  <c r="AF2872" i="2"/>
  <c r="AF2868" i="2"/>
  <c r="AF2864" i="2"/>
  <c r="AF2861" i="2"/>
  <c r="AF2854" i="2"/>
  <c r="AF2847" i="2"/>
  <c r="AF2843" i="2"/>
  <c r="AF2818" i="2"/>
  <c r="AF2814" i="2"/>
  <c r="AF2811" i="2"/>
  <c r="AF2808" i="2"/>
  <c r="AF2804" i="2"/>
  <c r="AF2800" i="2"/>
  <c r="AF2797" i="2"/>
  <c r="AF2793" i="2"/>
  <c r="AF2789" i="2"/>
  <c r="AF2782" i="2"/>
  <c r="AF2778" i="2"/>
  <c r="AF2775" i="2"/>
  <c r="AF2771" i="2"/>
  <c r="AF2768" i="2"/>
  <c r="AF2762" i="2"/>
  <c r="AF2758" i="2"/>
  <c r="AF2754" i="2"/>
  <c r="AF2751" i="2"/>
  <c r="AF2748" i="2"/>
  <c r="AF2744" i="2"/>
  <c r="AF2740" i="2"/>
  <c r="AF2736" i="2"/>
  <c r="AF2732" i="2"/>
  <c r="AF2728" i="2"/>
  <c r="AF2725" i="2"/>
  <c r="AF2721" i="2"/>
  <c r="AF2714" i="2"/>
  <c r="AF2707" i="2"/>
  <c r="AF2670" i="2"/>
  <c r="AF2666" i="2"/>
  <c r="AF2662" i="2"/>
  <c r="AF2659" i="2"/>
  <c r="AF2655" i="2"/>
  <c r="AF2652" i="2"/>
  <c r="AF2648" i="2"/>
  <c r="AF2645" i="2"/>
  <c r="AF2641" i="2"/>
  <c r="AF2634" i="2"/>
  <c r="AF2630" i="2"/>
  <c r="AF2626" i="2"/>
  <c r="AF2623" i="2"/>
  <c r="AF2620" i="2"/>
  <c r="AF2616" i="2"/>
  <c r="AF2612" i="2"/>
  <c r="AF2608" i="2"/>
  <c r="AF2604" i="2"/>
  <c r="AF2600" i="2"/>
  <c r="AF2597" i="2"/>
  <c r="AF2593" i="2"/>
  <c r="AF2586" i="2"/>
  <c r="AF2579" i="2"/>
  <c r="AF2546" i="2"/>
  <c r="AF2542" i="2"/>
  <c r="AF2538" i="2"/>
  <c r="AF2535" i="2"/>
  <c r="AF2531" i="2"/>
  <c r="AF2528" i="2"/>
  <c r="AF2524" i="2"/>
  <c r="AF2521" i="2"/>
  <c r="AF2517" i="2"/>
  <c r="AF2508" i="2"/>
  <c r="AF2504" i="2"/>
  <c r="AF2501" i="2"/>
  <c r="AF2495" i="2"/>
  <c r="AF2446" i="2"/>
  <c r="AF2442" i="2"/>
  <c r="AF2439" i="2"/>
  <c r="AF2435" i="2"/>
  <c r="AF2431" i="2"/>
  <c r="AF2429" i="2"/>
  <c r="AF2425" i="2"/>
  <c r="AF2421" i="2"/>
  <c r="AF2417" i="2"/>
  <c r="AF2413" i="2"/>
  <c r="AF2409" i="2"/>
  <c r="AF2402" i="2"/>
  <c r="AF2395" i="2"/>
  <c r="AF2392" i="2"/>
  <c r="AF2389" i="2"/>
  <c r="AF2385" i="2"/>
  <c r="AF2379" i="2"/>
  <c r="AF2376" i="2"/>
  <c r="AF2373" i="2"/>
  <c r="AF2366" i="2"/>
  <c r="AF2359" i="2"/>
  <c r="AF2355" i="2"/>
  <c r="AF2346" i="2"/>
  <c r="AF2342" i="2"/>
  <c r="AF2338" i="2"/>
  <c r="AF2335" i="2"/>
  <c r="AF2333" i="2"/>
  <c r="AF2329" i="2"/>
  <c r="AF2326" i="2"/>
  <c r="AF2323" i="2"/>
  <c r="AF2320" i="2"/>
  <c r="AF2317" i="2"/>
  <c r="AF2313" i="2"/>
  <c r="AF2307" i="2"/>
  <c r="AF2303" i="2"/>
  <c r="AF2300" i="2"/>
  <c r="AF2297" i="2"/>
  <c r="AF2288" i="2"/>
  <c r="AF2282" i="2"/>
  <c r="AF2275" i="2"/>
  <c r="AF2222" i="2"/>
  <c r="AF2219" i="2"/>
  <c r="AF2216" i="2"/>
  <c r="AF2212" i="2"/>
  <c r="AF2209" i="2"/>
  <c r="AF2206" i="2"/>
  <c r="AF2202" i="2"/>
  <c r="AF2200" i="2"/>
  <c r="AF2197" i="2"/>
  <c r="AF2193" i="2"/>
  <c r="AF2190" i="2"/>
  <c r="AF2187" i="2"/>
  <c r="AF2184" i="2"/>
  <c r="AF2180" i="2"/>
  <c r="AF2177" i="2"/>
  <c r="AF2174" i="2"/>
  <c r="AF2171" i="2"/>
  <c r="AF2168" i="2"/>
  <c r="AF2155" i="2"/>
  <c r="AF2152" i="2"/>
  <c r="AF2148" i="2"/>
  <c r="AF2141" i="2"/>
  <c r="AF2138" i="2"/>
  <c r="AF2135" i="2"/>
  <c r="AF2129" i="2"/>
  <c r="AF2124" i="2"/>
  <c r="AF2120" i="2"/>
  <c r="AF2117" i="2"/>
  <c r="AF2115" i="2"/>
  <c r="AF2112" i="2"/>
  <c r="AF2100" i="2"/>
  <c r="AF2077" i="2"/>
  <c r="AF2074" i="2"/>
  <c r="AF2071" i="2"/>
  <c r="AF2066" i="2"/>
  <c r="AF2063" i="2"/>
  <c r="AF2057" i="2"/>
  <c r="AF2055" i="2"/>
  <c r="AF2052" i="2"/>
  <c r="AF2048" i="2"/>
  <c r="AF2045" i="2"/>
  <c r="AF2040" i="2"/>
  <c r="AF2033" i="2"/>
  <c r="AF2030" i="2"/>
  <c r="AF2024" i="2"/>
  <c r="AF2012" i="2"/>
  <c r="AF2002" i="2"/>
  <c r="AF1999" i="2"/>
  <c r="AF1989" i="2"/>
  <c r="AF1986" i="2"/>
  <c r="AF1983" i="2"/>
  <c r="AF1980" i="2"/>
  <c r="AF1960" i="2"/>
  <c r="AF1952" i="2"/>
  <c r="AF1945" i="2"/>
  <c r="AF1942" i="2"/>
  <c r="AF1939" i="2"/>
  <c r="AF1934" i="2"/>
  <c r="AF1932" i="2"/>
  <c r="AF1929" i="2"/>
  <c r="AF1926" i="2"/>
  <c r="AF1924" i="2"/>
  <c r="AF1921" i="2"/>
  <c r="AF1918" i="2"/>
  <c r="AF1916" i="2"/>
  <c r="AF1913" i="2"/>
  <c r="AF1909" i="2"/>
  <c r="AF1889" i="2"/>
  <c r="AF1885" i="2"/>
  <c r="AF1882" i="2"/>
  <c r="AF1879" i="2"/>
  <c r="AF1864" i="2"/>
  <c r="AF1858" i="2"/>
  <c r="AF1851" i="2"/>
  <c r="AF1848" i="2"/>
  <c r="AF1844" i="2"/>
  <c r="AF1841" i="2"/>
  <c r="AF1838" i="2"/>
  <c r="AF1835" i="2"/>
  <c r="AF1829" i="2"/>
  <c r="AF1823" i="2"/>
  <c r="AF1820" i="2"/>
  <c r="AF1813" i="2"/>
  <c r="AF1810" i="2"/>
  <c r="AF1807" i="2"/>
  <c r="AF1804" i="2"/>
  <c r="AF1801" i="2"/>
  <c r="AF1798" i="2"/>
  <c r="AF1795" i="2"/>
  <c r="AF1792" i="2"/>
  <c r="AF1782" i="2"/>
  <c r="AF1761" i="2"/>
  <c r="AF1757" i="2"/>
  <c r="AF1754" i="2"/>
  <c r="AF1751" i="2"/>
  <c r="AF1736" i="2"/>
  <c r="AF1726" i="2"/>
  <c r="AF1709" i="2"/>
  <c r="AF1705" i="2"/>
  <c r="AF1702" i="2"/>
  <c r="AF1699" i="2"/>
  <c r="AF1696" i="2"/>
  <c r="AF1692" i="2"/>
  <c r="AF1685" i="2"/>
  <c r="AF1682" i="2"/>
  <c r="AF1679" i="2"/>
  <c r="AF1675" i="2"/>
  <c r="AF1672" i="2"/>
  <c r="AF1662" i="2"/>
  <c r="AF1645" i="2"/>
  <c r="AF1641" i="2"/>
  <c r="AF1638" i="2"/>
  <c r="AF1635" i="2"/>
  <c r="AF1632" i="2"/>
  <c r="AF1628" i="2"/>
  <c r="AF1621" i="2"/>
  <c r="AF1618" i="2"/>
  <c r="AF1615" i="2"/>
  <c r="AF1611" i="2"/>
  <c r="AF1608" i="2"/>
  <c r="AF1598" i="2"/>
  <c r="AF1581" i="2"/>
  <c r="AF1577" i="2"/>
  <c r="AF1574" i="2"/>
  <c r="AF1571" i="2"/>
  <c r="AF1568" i="2"/>
  <c r="AF1564" i="2"/>
  <c r="AF1557" i="2"/>
  <c r="AF1555" i="2"/>
  <c r="AF1552" i="2"/>
  <c r="AF1549" i="2"/>
  <c r="AF1546" i="2"/>
  <c r="AF1543" i="2"/>
  <c r="AF1539" i="2"/>
  <c r="AF1536" i="2"/>
  <c r="AF1526" i="2"/>
  <c r="AF1501" i="2"/>
  <c r="AF1497" i="2"/>
  <c r="AF1494" i="2"/>
  <c r="AF1491" i="2"/>
  <c r="AF1486" i="2"/>
  <c r="AF1482" i="2"/>
  <c r="AF1479" i="2"/>
  <c r="AF1471" i="2"/>
  <c r="AF1469" i="2"/>
  <c r="AF1466" i="2"/>
  <c r="AF1464" i="2"/>
  <c r="AF1458" i="2"/>
  <c r="AF1455" i="2"/>
  <c r="AF1452" i="2"/>
  <c r="AF1449" i="2"/>
  <c r="AF1442" i="2"/>
  <c r="AF1439" i="2"/>
  <c r="AF1410" i="2"/>
  <c r="AF1406" i="2"/>
  <c r="AF1403" i="2"/>
  <c r="AF1400" i="2"/>
  <c r="AF1397" i="2"/>
  <c r="AF1393" i="2"/>
  <c r="AF1386" i="2"/>
  <c r="AF1379" i="2"/>
  <c r="AF1368" i="2"/>
  <c r="AF1365" i="2"/>
  <c r="AF1354" i="2"/>
  <c r="AF1347" i="2"/>
  <c r="AF1336" i="2"/>
  <c r="AF1333" i="2"/>
  <c r="AF1322" i="2"/>
  <c r="AF1315" i="2"/>
  <c r="AF1304" i="2"/>
  <c r="AF1301" i="2"/>
  <c r="AF1290" i="2"/>
  <c r="AF1283" i="2"/>
  <c r="AF1272" i="2"/>
  <c r="AF1269" i="2"/>
  <c r="AF1258" i="2"/>
  <c r="AF1251" i="2"/>
  <c r="AF1240" i="2"/>
  <c r="AF1237" i="2"/>
  <c r="AF1226" i="2"/>
  <c r="AF1219" i="2"/>
  <c r="AF1208" i="2"/>
  <c r="AF1205" i="2"/>
  <c r="AF1194" i="2"/>
  <c r="AF1187" i="2"/>
  <c r="AF1176" i="2"/>
  <c r="AF1173" i="2"/>
  <c r="AF1162" i="2"/>
  <c r="AF1155" i="2"/>
  <c r="AF1144" i="2"/>
  <c r="AF1141" i="2"/>
  <c r="AF1130" i="2"/>
  <c r="AF1123" i="2"/>
  <c r="AF1112" i="2"/>
  <c r="AF1105" i="2"/>
  <c r="AF1080" i="2"/>
  <c r="AF1063" i="2"/>
  <c r="AF1034" i="2"/>
  <c r="AF1031" i="2"/>
  <c r="AF1011" i="2"/>
  <c r="AF994" i="2"/>
  <c r="AF991" i="2"/>
  <c r="AF977" i="2"/>
  <c r="AF971" i="2"/>
  <c r="AF891" i="2"/>
  <c r="AF830" i="2"/>
  <c r="AF824" i="2"/>
  <c r="AF795" i="2"/>
  <c r="AF709" i="2"/>
  <c r="AF702" i="2"/>
  <c r="AF675" i="2"/>
  <c r="AF668" i="2"/>
  <c r="AF643" i="2"/>
  <c r="AF640" i="2"/>
  <c r="AF637" i="2"/>
  <c r="AF634" i="2"/>
  <c r="AF613" i="2"/>
  <c r="AF604" i="2"/>
  <c r="AF601" i="2"/>
  <c r="AF594" i="2"/>
  <c r="AF574" i="2"/>
  <c r="AF571" i="2"/>
  <c r="AF550" i="2"/>
  <c r="AF524" i="2"/>
  <c r="AF520" i="2"/>
  <c r="AF515" i="2"/>
  <c r="AF479" i="2"/>
  <c r="AF476" i="2"/>
  <c r="AF458" i="2"/>
  <c r="AF441" i="2"/>
  <c r="AF436" i="2"/>
  <c r="AF417" i="2"/>
  <c r="AF409" i="2"/>
  <c r="AF406" i="2"/>
  <c r="AF389" i="2"/>
  <c r="AF386" i="2"/>
  <c r="AF383" i="2"/>
  <c r="AF378" i="2"/>
  <c r="AF369" i="2"/>
  <c r="AF326" i="2"/>
  <c r="AF323" i="2"/>
  <c r="AF318" i="2"/>
  <c r="AF310" i="2"/>
  <c r="AF302" i="2"/>
  <c r="AF297" i="2"/>
  <c r="AF278" i="2"/>
  <c r="AF273" i="2"/>
  <c r="AF270" i="2"/>
  <c r="AF265" i="2"/>
  <c r="AF247" i="2"/>
  <c r="AF220" i="2"/>
  <c r="AF202" i="2"/>
  <c r="AF183" i="2"/>
  <c r="AF177" i="2"/>
  <c r="AF144" i="2"/>
  <c r="AF100" i="2"/>
  <c r="AF96" i="2"/>
  <c r="AF91" i="2"/>
  <c r="AF87" i="2"/>
  <c r="AF4440" i="2"/>
  <c r="AF4398" i="2"/>
  <c r="AF4395" i="2"/>
  <c r="AF4392" i="2"/>
  <c r="AF4366" i="2"/>
  <c r="AF4308" i="2"/>
  <c r="AF4174" i="2"/>
  <c r="AF4141" i="2"/>
  <c r="AF4124" i="2"/>
  <c r="AF4111" i="2"/>
  <c r="AF4071" i="2"/>
  <c r="AF4068" i="2"/>
  <c r="AF4064" i="2"/>
  <c r="AF4061" i="2"/>
  <c r="AF4027" i="2"/>
  <c r="AF4024" i="2"/>
  <c r="AF4021" i="2"/>
  <c r="AF4017" i="2"/>
  <c r="AF4004" i="2"/>
  <c r="AF4000" i="2"/>
  <c r="AF3997" i="2"/>
  <c r="AF3987" i="2"/>
  <c r="AF3943" i="2"/>
  <c r="AF3940" i="2"/>
  <c r="AF3936" i="2"/>
  <c r="AF3933" i="2"/>
  <c r="AF3923" i="2"/>
  <c r="AF3879" i="2"/>
  <c r="AF3876" i="2"/>
  <c r="AF3872" i="2"/>
  <c r="AF3869" i="2"/>
  <c r="AF3859" i="2"/>
  <c r="AF3855" i="2"/>
  <c r="AF3852" i="2"/>
  <c r="AF3849" i="2"/>
  <c r="AF3835" i="2"/>
  <c r="AF3795" i="2"/>
  <c r="AF3791" i="2"/>
  <c r="AF3788" i="2"/>
  <c r="AF3785" i="2"/>
  <c r="AF3768" i="2"/>
  <c r="AF3765" i="2"/>
  <c r="AF3761" i="2"/>
  <c r="AF3707" i="2"/>
  <c r="AF3660" i="2"/>
  <c r="AF3623" i="2"/>
  <c r="AF3620" i="2"/>
  <c r="AF3616" i="2"/>
  <c r="AF3613" i="2"/>
  <c r="AF3599" i="2"/>
  <c r="AF3559" i="2"/>
  <c r="AF3556" i="2"/>
  <c r="AF3552" i="2"/>
  <c r="AF3549" i="2"/>
  <c r="AF3539" i="2"/>
  <c r="AF3535" i="2"/>
  <c r="AF3532" i="2"/>
  <c r="AF3529" i="2"/>
  <c r="AF3512" i="2"/>
  <c r="AF3509" i="2"/>
  <c r="AF3505" i="2"/>
  <c r="AF3498" i="2"/>
  <c r="AF3491" i="2"/>
  <c r="AF3488" i="2"/>
  <c r="AF3485" i="2"/>
  <c r="AF3481" i="2"/>
  <c r="AF3471" i="2"/>
  <c r="AF3464" i="2"/>
  <c r="AF3460" i="2"/>
  <c r="AF3457" i="2"/>
  <c r="AF3417" i="2"/>
  <c r="AF3353" i="2"/>
  <c r="AF3347" i="2"/>
  <c r="AF3301" i="2"/>
  <c r="AF3237" i="2"/>
  <c r="AF3161" i="2"/>
  <c r="AF3155" i="2"/>
  <c r="AF3133" i="2"/>
  <c r="AF3127" i="2"/>
  <c r="AF3089" i="2"/>
  <c r="AF3057" i="2"/>
  <c r="AF3051" i="2"/>
  <c r="AF3047" i="2"/>
  <c r="AF3034" i="2"/>
  <c r="AF3027" i="2"/>
  <c r="AF3024" i="2"/>
  <c r="AF3017" i="2"/>
  <c r="AF3007" i="2"/>
  <c r="AF2982" i="2"/>
  <c r="AF2975" i="2"/>
  <c r="AF2969" i="2"/>
  <c r="AF2959" i="2"/>
  <c r="AF2942" i="2"/>
  <c r="AF2939" i="2"/>
  <c r="AF2936" i="2"/>
  <c r="AF2933" i="2"/>
  <c r="AF2927" i="2"/>
  <c r="AF2921" i="2"/>
  <c r="AF2917" i="2"/>
  <c r="AF2910" i="2"/>
  <c r="AF2903" i="2"/>
  <c r="AF2899" i="2"/>
  <c r="AF2896" i="2"/>
  <c r="AF2892" i="2"/>
  <c r="AF2889" i="2"/>
  <c r="AF2885" i="2"/>
  <c r="AF2875" i="2"/>
  <c r="AF2842" i="2"/>
  <c r="AF2838" i="2"/>
  <c r="AF2831" i="2"/>
  <c r="AF2828" i="2"/>
  <c r="AF2825" i="2"/>
  <c r="AF2821" i="2"/>
  <c r="AF2817" i="2"/>
  <c r="AF2807" i="2"/>
  <c r="AF2803" i="2"/>
  <c r="AF2799" i="2"/>
  <c r="AF2796" i="2"/>
  <c r="AF2792" i="2"/>
  <c r="AF2788" i="2"/>
  <c r="AF2785" i="2"/>
  <c r="AF2781" i="2"/>
  <c r="AF2774" i="2"/>
  <c r="AF2767" i="2"/>
  <c r="AF2765" i="2"/>
  <c r="AF2761" i="2"/>
  <c r="AF2757" i="2"/>
  <c r="AF2747" i="2"/>
  <c r="AF2743" i="2"/>
  <c r="AF2739" i="2"/>
  <c r="AF2735" i="2"/>
  <c r="AF2706" i="2"/>
  <c r="AF2699" i="2"/>
  <c r="AF2695" i="2"/>
  <c r="AF2691" i="2"/>
  <c r="AF2688" i="2"/>
  <c r="AF2685" i="2"/>
  <c r="AF2681" i="2"/>
  <c r="AF2677" i="2"/>
  <c r="AF2673" i="2"/>
  <c r="AF2669" i="2"/>
  <c r="AF2665" i="2"/>
  <c r="AF2658" i="2"/>
  <c r="AF2651" i="2"/>
  <c r="AF2647" i="2"/>
  <c r="AF2644" i="2"/>
  <c r="AF2640" i="2"/>
  <c r="AF2637" i="2"/>
  <c r="AF2633" i="2"/>
  <c r="AF2629" i="2"/>
  <c r="AF2619" i="2"/>
  <c r="AF2615" i="2"/>
  <c r="AF2611" i="2"/>
  <c r="AF2607" i="2"/>
  <c r="AF2578" i="2"/>
  <c r="AF2571" i="2"/>
  <c r="AF2567" i="2"/>
  <c r="AF2564" i="2"/>
  <c r="AF2561" i="2"/>
  <c r="AF2557" i="2"/>
  <c r="AF2553" i="2"/>
  <c r="AF2549" i="2"/>
  <c r="AF2545" i="2"/>
  <c r="AF2541" i="2"/>
  <c r="AF2534" i="2"/>
  <c r="AF2527" i="2"/>
  <c r="AF2523" i="2"/>
  <c r="AF2520" i="2"/>
  <c r="AF2516" i="2"/>
  <c r="AF2513" i="2"/>
  <c r="AF2507" i="2"/>
  <c r="AF2494" i="2"/>
  <c r="AF2487" i="2"/>
  <c r="AF2483" i="2"/>
  <c r="AF2479" i="2"/>
  <c r="AF2477" i="2"/>
  <c r="AF2473" i="2"/>
  <c r="AF2469" i="2"/>
  <c r="AF2465" i="2"/>
  <c r="AF2462" i="2"/>
  <c r="AF2455" i="2"/>
  <c r="AF2448" i="2"/>
  <c r="AF2445" i="2"/>
  <c r="AF2438" i="2"/>
  <c r="AF2434" i="2"/>
  <c r="AF2428" i="2"/>
  <c r="AF2424" i="2"/>
  <c r="AF2420" i="2"/>
  <c r="AF2416" i="2"/>
  <c r="AF2412" i="2"/>
  <c r="AF2408" i="2"/>
  <c r="AF2405" i="2"/>
  <c r="AF2401" i="2"/>
  <c r="AF2398" i="2"/>
  <c r="AF2354" i="2"/>
  <c r="AF2348" i="2"/>
  <c r="AF2345" i="2"/>
  <c r="AF2341" i="2"/>
  <c r="AF2332" i="2"/>
  <c r="AF2328" i="2"/>
  <c r="AF2319" i="2"/>
  <c r="AF2316" i="2"/>
  <c r="AF2312" i="2"/>
  <c r="AF2309" i="2"/>
  <c r="AF2306" i="2"/>
  <c r="AF2274" i="2"/>
  <c r="AF2271" i="2"/>
  <c r="AF2268" i="2"/>
  <c r="AF2265" i="2"/>
  <c r="AF2262" i="2"/>
  <c r="AF2256" i="2"/>
  <c r="AF2253" i="2"/>
  <c r="AF2248" i="2"/>
  <c r="AF2243" i="2"/>
  <c r="AF2240" i="2"/>
  <c r="AF2237" i="2"/>
  <c r="AF2232" i="2"/>
  <c r="AF2228" i="2"/>
  <c r="AF2224" i="2"/>
  <c r="AF2215" i="2"/>
  <c r="AF2205" i="2"/>
  <c r="AF2196" i="2"/>
  <c r="AF2189" i="2"/>
  <c r="AF2186" i="2"/>
  <c r="AF2183" i="2"/>
  <c r="AF2173" i="2"/>
  <c r="AF2170" i="2"/>
  <c r="AF2167" i="2"/>
  <c r="AF2160" i="2"/>
  <c r="AF2154" i="2"/>
  <c r="AF2151" i="2"/>
  <c r="AF2147" i="2"/>
  <c r="AF2144" i="2"/>
  <c r="AF2132" i="2"/>
  <c r="AF2126" i="2"/>
  <c r="AF2123" i="2"/>
  <c r="AF2111" i="2"/>
  <c r="AF2108" i="2"/>
  <c r="AF2099" i="2"/>
  <c r="AF2096" i="2"/>
  <c r="AF2093" i="2"/>
  <c r="AF2090" i="2"/>
  <c r="AF2088" i="2"/>
  <c r="AF2080" i="2"/>
  <c r="AF2076" i="2"/>
  <c r="AF2070" i="2"/>
  <c r="AF2068" i="2"/>
  <c r="AF2060" i="2"/>
  <c r="AF2051" i="2"/>
  <c r="AF2042" i="2"/>
  <c r="AF2039" i="2"/>
  <c r="AF2036" i="2"/>
  <c r="AF1985" i="2"/>
  <c r="AF1982" i="2"/>
  <c r="AF1979" i="2"/>
  <c r="AF1976" i="2"/>
  <c r="AF1951" i="2"/>
  <c r="AF1948" i="2"/>
  <c r="AF1944" i="2"/>
  <c r="AF1938" i="2"/>
  <c r="AF1936" i="2"/>
  <c r="AF1923" i="2"/>
  <c r="AF1915" i="2"/>
  <c r="AF1912" i="2"/>
  <c r="AF1908" i="2"/>
  <c r="AF1905" i="2"/>
  <c r="AF1902" i="2"/>
  <c r="AF1900" i="2"/>
  <c r="AF1894" i="2"/>
  <c r="AF1888" i="2"/>
  <c r="AF1878" i="2"/>
  <c r="AF1857" i="2"/>
  <c r="AF1850" i="2"/>
  <c r="AF1847" i="2"/>
  <c r="AF1832" i="2"/>
  <c r="AF1826" i="2"/>
  <c r="AF1819" i="2"/>
  <c r="AF1816" i="2"/>
  <c r="AF1812" i="2"/>
  <c r="AF1806" i="2"/>
  <c r="AF1791" i="2"/>
  <c r="AF1788" i="2"/>
  <c r="AF1781" i="2"/>
  <c r="AF1778" i="2"/>
  <c r="AF1775" i="2"/>
  <c r="AF1772" i="2"/>
  <c r="AF1766" i="2"/>
  <c r="AF1760" i="2"/>
  <c r="AF1750" i="2"/>
  <c r="AF1725" i="2"/>
  <c r="AF1718" i="2"/>
  <c r="AF1715" i="2"/>
  <c r="AF1712" i="2"/>
  <c r="AF1708" i="2"/>
  <c r="AF1698" i="2"/>
  <c r="AF1695" i="2"/>
  <c r="AF1691" i="2"/>
  <c r="AF1688" i="2"/>
  <c r="AF1678" i="2"/>
  <c r="AF1661" i="2"/>
  <c r="AF1654" i="2"/>
  <c r="AF1651" i="2"/>
  <c r="AF1648" i="2"/>
  <c r="AF1644" i="2"/>
  <c r="AF1634" i="2"/>
  <c r="AF1631" i="2"/>
  <c r="AF1627" i="2"/>
  <c r="AF1624" i="2"/>
  <c r="AF1614" i="2"/>
  <c r="AF1597" i="2"/>
  <c r="AF1590" i="2"/>
  <c r="AF1587" i="2"/>
  <c r="AF1584" i="2"/>
  <c r="AF1580" i="2"/>
  <c r="AF1570" i="2"/>
  <c r="AF1567" i="2"/>
  <c r="AF1563" i="2"/>
  <c r="AF1560" i="2"/>
  <c r="AF1542" i="2"/>
  <c r="AF1525" i="2"/>
  <c r="AF1518" i="2"/>
  <c r="AF1516" i="2"/>
  <c r="AF1514" i="2"/>
  <c r="AF1512" i="2"/>
  <c r="AF1509" i="2"/>
  <c r="AF1504" i="2"/>
  <c r="AF1500" i="2"/>
  <c r="AF1490" i="2"/>
  <c r="AF1488" i="2"/>
  <c r="AF1485" i="2"/>
  <c r="AF1481" i="2"/>
  <c r="AF1478" i="2"/>
  <c r="AF1475" i="2"/>
  <c r="AF1473" i="2"/>
  <c r="AF1435" i="2"/>
  <c r="AF1432" i="2"/>
  <c r="AF1419" i="2"/>
  <c r="AF1416" i="2"/>
  <c r="AF1413" i="2"/>
  <c r="AF1409" i="2"/>
  <c r="AF1399" i="2"/>
  <c r="AF1396" i="2"/>
  <c r="AF1392" i="2"/>
  <c r="AF1389" i="2"/>
  <c r="AF1378" i="2"/>
  <c r="AF1371" i="2"/>
  <c r="AF1360" i="2"/>
  <c r="AF1357" i="2"/>
  <c r="AF1346" i="2"/>
  <c r="AF1339" i="2"/>
  <c r="AF1328" i="2"/>
  <c r="AF1325" i="2"/>
  <c r="AF1314" i="2"/>
  <c r="AF1307" i="2"/>
  <c r="AF1296" i="2"/>
  <c r="AF1293" i="2"/>
  <c r="AF1282" i="2"/>
  <c r="AF1275" i="2"/>
  <c r="AF1264" i="2"/>
  <c r="AF1261" i="2"/>
  <c r="AF1250" i="2"/>
  <c r="AF1243" i="2"/>
  <c r="AF1232" i="2"/>
  <c r="AF1229" i="2"/>
  <c r="AF1218" i="2"/>
  <c r="AF1211" i="2"/>
  <c r="AF1200" i="2"/>
  <c r="AF1197" i="2"/>
  <c r="AF1186" i="2"/>
  <c r="AF1179" i="2"/>
  <c r="AF1168" i="2"/>
  <c r="AF1165" i="2"/>
  <c r="AF1154" i="2"/>
  <c r="AF1147" i="2"/>
  <c r="AF1136" i="2"/>
  <c r="AF1133" i="2"/>
  <c r="AF1122" i="2"/>
  <c r="AF1115" i="2"/>
  <c r="AF1086" i="2"/>
  <c r="AF1083" i="2"/>
  <c r="AF1040" i="2"/>
  <c r="AF1037" i="2"/>
  <c r="AF1020" i="2"/>
  <c r="AF1013" i="2"/>
  <c r="AF996" i="2"/>
  <c r="AF973" i="2"/>
  <c r="AF966" i="2"/>
  <c r="AF957" i="2"/>
  <c r="AF954" i="2"/>
  <c r="AF945" i="2"/>
  <c r="AF942" i="2"/>
  <c r="AF939" i="2"/>
  <c r="AF935" i="2"/>
  <c r="AF914" i="2"/>
  <c r="AF893" i="2"/>
  <c r="AF887" i="2"/>
  <c r="AF826" i="2"/>
  <c r="AF819" i="2"/>
  <c r="AF810" i="2"/>
  <c r="AF807" i="2"/>
  <c r="AF798" i="2"/>
  <c r="AF791" i="2"/>
  <c r="AF712" i="2"/>
  <c r="AF678" i="2"/>
  <c r="AF646" i="2"/>
  <c r="AF615" i="2"/>
  <c r="AF583" i="2"/>
  <c r="AF560" i="2"/>
  <c r="AF556" i="2"/>
  <c r="AF553" i="2"/>
  <c r="AF526" i="2"/>
  <c r="AF482" i="2"/>
  <c r="AF464" i="2"/>
  <c r="AF461" i="2"/>
  <c r="AF443" i="2"/>
  <c r="AF425" i="2"/>
  <c r="AF422" i="2"/>
  <c r="AF392" i="2"/>
  <c r="AF340" i="2"/>
  <c r="AF336" i="2"/>
  <c r="AF332" i="2"/>
  <c r="AF329" i="2"/>
  <c r="AF281" i="2"/>
  <c r="AF249" i="2"/>
  <c r="AF233" i="2"/>
  <c r="AF222" i="2"/>
  <c r="AF210" i="2"/>
  <c r="AF204" i="2"/>
  <c r="AF189" i="2"/>
  <c r="AF179" i="2"/>
  <c r="AF159" i="2"/>
  <c r="AF157" i="2"/>
  <c r="AF155" i="2"/>
  <c r="AF152" i="2"/>
  <c r="AF149" i="2"/>
  <c r="AF147" i="2"/>
  <c r="AF120" i="2"/>
  <c r="AF118" i="2"/>
  <c r="AF111" i="2"/>
  <c r="AF105" i="2"/>
  <c r="AF102" i="2"/>
  <c r="AF73" i="2"/>
  <c r="AF67" i="2"/>
  <c r="AF63" i="2"/>
  <c r="AF59" i="2"/>
  <c r="AF52" i="2"/>
  <c r="AF4520" i="2"/>
  <c r="AF4510" i="2"/>
  <c r="AF4504" i="2"/>
  <c r="AF4494" i="2"/>
  <c r="AF4488" i="2"/>
  <c r="AF4478" i="2"/>
  <c r="AF4472" i="2"/>
  <c r="AF4462" i="2"/>
  <c r="AF4456" i="2"/>
  <c r="AF4446" i="2"/>
  <c r="AF4430" i="2"/>
  <c r="AF4424" i="2"/>
  <c r="AF4414" i="2"/>
  <c r="AF4411" i="2"/>
  <c r="AF4408" i="2"/>
  <c r="AF4382" i="2"/>
  <c r="AF4379" i="2"/>
  <c r="AF4376" i="2"/>
  <c r="AF4364" i="2"/>
  <c r="AF4356" i="2"/>
  <c r="AF4348" i="2"/>
  <c r="AF4340" i="2"/>
  <c r="AF4332" i="2"/>
  <c r="AF4324" i="2"/>
  <c r="AF4316" i="2"/>
  <c r="AF4300" i="2"/>
  <c r="AF4292" i="2"/>
  <c r="AF4284" i="2"/>
  <c r="AF4276" i="2"/>
  <c r="AF4262" i="2"/>
  <c r="AF4259" i="2"/>
  <c r="AF4256" i="2"/>
  <c r="AF4246" i="2"/>
  <c r="AF4243" i="2"/>
  <c r="AF4240" i="2"/>
  <c r="AF4232" i="2"/>
  <c r="AF4224" i="2"/>
  <c r="AF4218" i="2"/>
  <c r="AF4215" i="2"/>
  <c r="AF4212" i="2"/>
  <c r="AF4204" i="2"/>
  <c r="AF4198" i="2"/>
  <c r="AF4196" i="2"/>
  <c r="AF4191" i="2"/>
  <c r="AF4184" i="2"/>
  <c r="AF4171" i="2"/>
  <c r="AF4168" i="2"/>
  <c r="AF4160" i="2"/>
  <c r="AF4152" i="2"/>
  <c r="AF4144" i="2"/>
  <c r="AF4136" i="2"/>
  <c r="AF4115" i="2"/>
  <c r="AF4108" i="2"/>
  <c r="AF4105" i="2"/>
  <c r="AF4098" i="2"/>
  <c r="AF4091" i="2"/>
  <c r="AF4088" i="2"/>
  <c r="AF4085" i="2"/>
  <c r="AF4081" i="2"/>
  <c r="AF4051" i="2"/>
  <c r="AF4047" i="2"/>
  <c r="AF4044" i="2"/>
  <c r="AF4041" i="2"/>
  <c r="AF4034" i="2"/>
  <c r="AF4007" i="2"/>
  <c r="AF3983" i="2"/>
  <c r="AF3980" i="2"/>
  <c r="AF3977" i="2"/>
  <c r="AF3970" i="2"/>
  <c r="AF3963" i="2"/>
  <c r="AF3960" i="2"/>
  <c r="AF3957" i="2"/>
  <c r="AF3953" i="2"/>
  <c r="AF3919" i="2"/>
  <c r="AF3916" i="2"/>
  <c r="AF3913" i="2"/>
  <c r="AF3906" i="2"/>
  <c r="AF3899" i="2"/>
  <c r="AF3896" i="2"/>
  <c r="AF3893" i="2"/>
  <c r="AF3889" i="2"/>
  <c r="AF3842" i="2"/>
  <c r="AF3832" i="2"/>
  <c r="AF3829" i="2"/>
  <c r="AF3825" i="2"/>
  <c r="AF3815" i="2"/>
  <c r="AF3812" i="2"/>
  <c r="AF3808" i="2"/>
  <c r="AF3805" i="2"/>
  <c r="AF3778" i="2"/>
  <c r="AF3771" i="2"/>
  <c r="AF3751" i="2"/>
  <c r="AF3748" i="2"/>
  <c r="AF3744" i="2"/>
  <c r="AF3741" i="2"/>
  <c r="AF3731" i="2"/>
  <c r="AF3727" i="2"/>
  <c r="AF3724" i="2"/>
  <c r="AF3721" i="2"/>
  <c r="AF3714" i="2"/>
  <c r="AF3704" i="2"/>
  <c r="AF3701" i="2"/>
  <c r="AF3697" i="2"/>
  <c r="AF3687" i="2"/>
  <c r="AF3684" i="2"/>
  <c r="AF3680" i="2"/>
  <c r="AF3677" i="2"/>
  <c r="AF3667" i="2"/>
  <c r="AF3663" i="2"/>
  <c r="AF3657" i="2"/>
  <c r="AF3650" i="2"/>
  <c r="AF3643" i="2"/>
  <c r="AF3640" i="2"/>
  <c r="AF3637" i="2"/>
  <c r="AF3633" i="2"/>
  <c r="AF3603" i="2"/>
  <c r="AF3596" i="2"/>
  <c r="AF3593" i="2"/>
  <c r="AF3586" i="2"/>
  <c r="AF3579" i="2"/>
  <c r="AF3576" i="2"/>
  <c r="AF3573" i="2"/>
  <c r="AF3569" i="2"/>
  <c r="AF3522" i="2"/>
  <c r="AF3515" i="2"/>
  <c r="AF3468" i="2"/>
  <c r="AF3450" i="2"/>
  <c r="AF3443" i="2"/>
  <c r="AF3439" i="2"/>
  <c r="AF3436" i="2"/>
  <c r="AF3432" i="2"/>
  <c r="AF3429" i="2"/>
  <c r="AF3411" i="2"/>
  <c r="AF3408" i="2"/>
  <c r="AF3405" i="2"/>
  <c r="AF3402" i="2"/>
  <c r="AF3395" i="2"/>
  <c r="AF3392" i="2"/>
  <c r="AF3389" i="2"/>
  <c r="AF3383" i="2"/>
  <c r="AF3368" i="2"/>
  <c r="AF3365" i="2"/>
  <c r="AF3344" i="2"/>
  <c r="AF3341" i="2"/>
  <c r="AF3338" i="2"/>
  <c r="AF3331" i="2"/>
  <c r="AF3328" i="2"/>
  <c r="AF3325" i="2"/>
  <c r="AF3319" i="2"/>
  <c r="AF3304" i="2"/>
  <c r="AF3289" i="2"/>
  <c r="AF3283" i="2"/>
  <c r="AF3280" i="2"/>
  <c r="AF3277" i="2"/>
  <c r="AF3274" i="2"/>
  <c r="AF3267" i="2"/>
  <c r="AF3264" i="2"/>
  <c r="AF3261" i="2"/>
  <c r="AF3255" i="2"/>
  <c r="AF3240" i="2"/>
  <c r="AF3225" i="2"/>
  <c r="AF3219" i="2"/>
  <c r="AF3216" i="2"/>
  <c r="AF3213" i="2"/>
  <c r="AF3210" i="2"/>
  <c r="AF3203" i="2"/>
  <c r="AF3200" i="2"/>
  <c r="AF3197" i="2"/>
  <c r="AF3191" i="2"/>
  <c r="AF3176" i="2"/>
  <c r="AF3173" i="2"/>
  <c r="AF3152" i="2"/>
  <c r="AF3149" i="2"/>
  <c r="AF3146" i="2"/>
  <c r="AF3139" i="2"/>
  <c r="AF3136" i="2"/>
  <c r="AF3112" i="2"/>
  <c r="AF3108" i="2"/>
  <c r="AF3105" i="2"/>
  <c r="AF3099" i="2"/>
  <c r="AF3092" i="2"/>
  <c r="AF3085" i="2"/>
  <c r="AF3082" i="2"/>
  <c r="AF3075" i="2"/>
  <c r="AF3072" i="2"/>
  <c r="AF4567" i="2"/>
  <c r="AF4564" i="2"/>
  <c r="AF4561" i="2"/>
  <c r="AF4551" i="2"/>
  <c r="AF4548" i="2"/>
  <c r="AF4545" i="2"/>
  <c r="AF4535" i="2"/>
  <c r="AF4532" i="2"/>
  <c r="AF4529" i="2"/>
  <c r="AF4519" i="2"/>
  <c r="AF4516" i="2"/>
  <c r="AF4513" i="2"/>
  <c r="AF4503" i="2"/>
  <c r="AF4500" i="2"/>
  <c r="AF4497" i="2"/>
  <c r="AF4487" i="2"/>
  <c r="AF4484" i="2"/>
  <c r="AF4481" i="2"/>
  <c r="AF4471" i="2"/>
  <c r="AF4468" i="2"/>
  <c r="AF4465" i="2"/>
  <c r="AF4455" i="2"/>
  <c r="AF4452" i="2"/>
  <c r="AF4449" i="2"/>
  <c r="AF4439" i="2"/>
  <c r="AF4436" i="2"/>
  <c r="AF4433" i="2"/>
  <c r="AF4423" i="2"/>
  <c r="AF4420" i="2"/>
  <c r="AF4417" i="2"/>
  <c r="AF4407" i="2"/>
  <c r="AF4404" i="2"/>
  <c r="AF4401" i="2"/>
  <c r="AF4391" i="2"/>
  <c r="AF4388" i="2"/>
  <c r="AF4385" i="2"/>
  <c r="AF4375" i="2"/>
  <c r="AF4372" i="2"/>
  <c r="AF4369" i="2"/>
  <c r="AF4363" i="2"/>
  <c r="AF4355" i="2"/>
  <c r="AF4347" i="2"/>
  <c r="AF4339" i="2"/>
  <c r="AF4331" i="2"/>
  <c r="AF4323" i="2"/>
  <c r="AF4315" i="2"/>
  <c r="AF4307" i="2"/>
  <c r="AF4299" i="2"/>
  <c r="AF4291" i="2"/>
  <c r="AF4283" i="2"/>
  <c r="AF4275" i="2"/>
  <c r="AF4268" i="2"/>
  <c r="AF4265" i="2"/>
  <c r="AF4255" i="2"/>
  <c r="AF4252" i="2"/>
  <c r="AF4249" i="2"/>
  <c r="AF4239" i="2"/>
  <c r="AF4231" i="2"/>
  <c r="AF4223" i="2"/>
  <c r="AF4221" i="2"/>
  <c r="AF4211" i="2"/>
  <c r="AF4208" i="2"/>
  <c r="AF4203" i="2"/>
  <c r="AF4201" i="2"/>
  <c r="AF4195" i="2"/>
  <c r="AF4183" i="2"/>
  <c r="AF4180" i="2"/>
  <c r="AF4177" i="2"/>
  <c r="AF4167" i="2"/>
  <c r="AF4165" i="2"/>
  <c r="AF4159" i="2"/>
  <c r="AF4157" i="2"/>
  <c r="AF4151" i="2"/>
  <c r="AF4149" i="2"/>
  <c r="AF4143" i="2"/>
  <c r="AF4140" i="2"/>
  <c r="AF4135" i="2"/>
  <c r="AF4128" i="2"/>
  <c r="AF4123" i="2"/>
  <c r="AF4121" i="2"/>
  <c r="AF4114" i="2"/>
  <c r="AF4107" i="2"/>
  <c r="AF4104" i="2"/>
  <c r="AF4101" i="2"/>
  <c r="AF4097" i="2"/>
  <c r="AF4087" i="2"/>
  <c r="AF4084" i="2"/>
  <c r="AF4080" i="2"/>
  <c r="AF4077" i="2"/>
  <c r="AF4067" i="2"/>
  <c r="AF4063" i="2"/>
  <c r="AF4060" i="2"/>
  <c r="AF4057" i="2"/>
  <c r="AF4050" i="2"/>
  <c r="AF4043" i="2"/>
  <c r="AF4040" i="2"/>
  <c r="AF4037" i="2"/>
  <c r="AF4033" i="2"/>
  <c r="AF4023" i="2"/>
  <c r="AF4020" i="2"/>
  <c r="AF4016" i="2"/>
  <c r="AF4013" i="2"/>
  <c r="AF4003" i="2"/>
  <c r="AF3999" i="2"/>
  <c r="AF3996" i="2"/>
  <c r="AF3993" i="2"/>
  <c r="AF3986" i="2"/>
  <c r="AF3979" i="2"/>
  <c r="AF3976" i="2"/>
  <c r="AF3973" i="2"/>
  <c r="AF3969" i="2"/>
  <c r="AF3959" i="2"/>
  <c r="AF3956" i="2"/>
  <c r="AF3952" i="2"/>
  <c r="AF3949" i="2"/>
  <c r="AF3939" i="2"/>
  <c r="AF3935" i="2"/>
  <c r="AF3932" i="2"/>
  <c r="AF3929" i="2"/>
  <c r="AF3922" i="2"/>
  <c r="AF3915" i="2"/>
  <c r="AF3912" i="2"/>
  <c r="AF3909" i="2"/>
  <c r="AF3905" i="2"/>
  <c r="AF3895" i="2"/>
  <c r="AF3892" i="2"/>
  <c r="AF3888" i="2"/>
  <c r="AF3885" i="2"/>
  <c r="AF3875" i="2"/>
  <c r="AF3871" i="2"/>
  <c r="AF3868" i="2"/>
  <c r="AF3865" i="2"/>
  <c r="AF3858" i="2"/>
  <c r="AF3851" i="2"/>
  <c r="AF3848" i="2"/>
  <c r="AF3845" i="2"/>
  <c r="AF3841" i="2"/>
  <c r="AF3831" i="2"/>
  <c r="AF3828" i="2"/>
  <c r="AF3824" i="2"/>
  <c r="AF3821" i="2"/>
  <c r="AF3811" i="2"/>
  <c r="AF3807" i="2"/>
  <c r="AF3804" i="2"/>
  <c r="AF3801" i="2"/>
  <c r="AF3794" i="2"/>
  <c r="AF3787" i="2"/>
  <c r="AF3784" i="2"/>
  <c r="AF3781" i="2"/>
  <c r="AF3777" i="2"/>
  <c r="AF3767" i="2"/>
  <c r="AF3764" i="2"/>
  <c r="AF3760" i="2"/>
  <c r="AF3757" i="2"/>
  <c r="AF3747" i="2"/>
  <c r="AF3743" i="2"/>
  <c r="AF3740" i="2"/>
  <c r="AF3737" i="2"/>
  <c r="AF3730" i="2"/>
  <c r="AF3723" i="2"/>
  <c r="AF3720" i="2"/>
  <c r="AF3717" i="2"/>
  <c r="AF3713" i="2"/>
  <c r="AF3703" i="2"/>
  <c r="AF3700" i="2"/>
  <c r="AF3696" i="2"/>
  <c r="AF3693" i="2"/>
  <c r="AF3683" i="2"/>
  <c r="AF3679" i="2"/>
  <c r="AF3676" i="2"/>
  <c r="AF3673" i="2"/>
  <c r="AF3666" i="2"/>
  <c r="AF3659" i="2"/>
  <c r="AF3656" i="2"/>
  <c r="AF3653" i="2"/>
  <c r="AF3649" i="2"/>
  <c r="AF3639" i="2"/>
  <c r="AF3636" i="2"/>
  <c r="AF3632" i="2"/>
  <c r="AF3629" i="2"/>
  <c r="AF3619" i="2"/>
  <c r="AF3615" i="2"/>
  <c r="AF3612" i="2"/>
  <c r="AF3609" i="2"/>
  <c r="AF3602" i="2"/>
  <c r="AF3595" i="2"/>
  <c r="AF3592" i="2"/>
  <c r="AF3589" i="2"/>
  <c r="AF3585" i="2"/>
  <c r="AF3575" i="2"/>
  <c r="AF3572" i="2"/>
  <c r="AF3568" i="2"/>
  <c r="AF3565" i="2"/>
  <c r="AF3555" i="2"/>
  <c r="AF3551" i="2"/>
  <c r="AF3548" i="2"/>
  <c r="AF3545" i="2"/>
  <c r="AF3538" i="2"/>
  <c r="AF3531" i="2"/>
  <c r="AF3528" i="2"/>
  <c r="AF3525" i="2"/>
  <c r="AF3521" i="2"/>
  <c r="AF3511" i="2"/>
  <c r="AF3508" i="2"/>
  <c r="AF3504" i="2"/>
  <c r="AF3501" i="2"/>
  <c r="AF3497" i="2"/>
  <c r="AF3490" i="2"/>
  <c r="AF3487" i="2"/>
  <c r="AF3484" i="2"/>
  <c r="AF3480" i="2"/>
  <c r="AF3477" i="2"/>
  <c r="AF3470" i="2"/>
  <c r="AF3467" i="2"/>
  <c r="AF3463" i="2"/>
  <c r="AF3459" i="2"/>
  <c r="AF3456" i="2"/>
  <c r="AF3453" i="2"/>
  <c r="AF3449" i="2"/>
  <c r="AF3442" i="2"/>
  <c r="AF3438" i="2"/>
  <c r="AF3435" i="2"/>
  <c r="AF3431" i="2"/>
  <c r="AF3428" i="2"/>
  <c r="AF3425" i="2"/>
  <c r="AF3419" i="2"/>
  <c r="AF3416" i="2"/>
  <c r="AF3413" i="2"/>
  <c r="AF3410" i="2"/>
  <c r="AF3407" i="2"/>
  <c r="AF3404" i="2"/>
  <c r="AF3401" i="2"/>
  <c r="AF3394" i="2"/>
  <c r="AF3391" i="2"/>
  <c r="AF3388" i="2"/>
  <c r="AF3382" i="2"/>
  <c r="AF3377" i="2"/>
  <c r="AF3371" i="2"/>
  <c r="AF3367" i="2"/>
  <c r="AF3364" i="2"/>
  <c r="AF3361" i="2"/>
  <c r="AF3355" i="2"/>
  <c r="AF3352" i="2"/>
  <c r="AF3349" i="2"/>
  <c r="AF3346" i="2"/>
  <c r="AF3343" i="2"/>
  <c r="AF3340" i="2"/>
  <c r="AF3337" i="2"/>
  <c r="AF3330" i="2"/>
  <c r="AF3327" i="2"/>
  <c r="AF3324" i="2"/>
  <c r="AF3318" i="2"/>
  <c r="AF3313" i="2"/>
  <c r="AF3307" i="2"/>
  <c r="AF3303" i="2"/>
  <c r="AF3300" i="2"/>
  <c r="AF3297" i="2"/>
  <c r="AF3291" i="2"/>
  <c r="AF3288" i="2"/>
  <c r="AF3285" i="2"/>
  <c r="AF3282" i="2"/>
  <c r="AF3279" i="2"/>
  <c r="AF3276" i="2"/>
  <c r="AF3273" i="2"/>
  <c r="AF3266" i="2"/>
  <c r="AF3263" i="2"/>
  <c r="AF3260" i="2"/>
  <c r="AF3254" i="2"/>
  <c r="AF3249" i="2"/>
  <c r="AF3243" i="2"/>
  <c r="AF3239" i="2"/>
  <c r="AF3236" i="2"/>
  <c r="AF3233" i="2"/>
  <c r="AF3227" i="2"/>
  <c r="AF3224" i="2"/>
  <c r="AF3221" i="2"/>
  <c r="AF3218" i="2"/>
  <c r="AF3215" i="2"/>
  <c r="AF3212" i="2"/>
  <c r="AF3209" i="2"/>
  <c r="AF3202" i="2"/>
  <c r="AF3199" i="2"/>
  <c r="AF3196" i="2"/>
  <c r="AF3190" i="2"/>
  <c r="AF3185" i="2"/>
  <c r="AF3179" i="2"/>
  <c r="AF3175" i="2"/>
  <c r="AF3172" i="2"/>
  <c r="AF3169" i="2"/>
  <c r="AF3163" i="2"/>
  <c r="AF3160" i="2"/>
  <c r="AF3157" i="2"/>
  <c r="AF3154" i="2"/>
  <c r="AF3151" i="2"/>
  <c r="AF3148" i="2"/>
  <c r="AF3145" i="2"/>
  <c r="AF3138" i="2"/>
  <c r="AF3135" i="2"/>
  <c r="AF3132" i="2"/>
  <c r="AF3126" i="2"/>
  <c r="AF3121" i="2"/>
  <c r="AF3115" i="2"/>
  <c r="AF3111" i="2"/>
  <c r="AF3098" i="2"/>
  <c r="AF3094" i="2"/>
  <c r="AF3091" i="2"/>
  <c r="AF3088" i="2"/>
  <c r="AF3081" i="2"/>
  <c r="AF3071" i="2"/>
  <c r="AF3046" i="2"/>
  <c r="AF3042" i="2"/>
  <c r="AF3039" i="2"/>
  <c r="AF3036" i="2"/>
  <c r="AF3033" i="2"/>
  <c r="AF3023" i="2"/>
  <c r="AF3006" i="2"/>
  <c r="AF3003" i="2"/>
  <c r="AF3000" i="2"/>
  <c r="AF2997" i="2"/>
  <c r="AF2994" i="2"/>
  <c r="AF2991" i="2"/>
  <c r="AF2988" i="2"/>
  <c r="AF2985" i="2"/>
  <c r="AF2981" i="2"/>
  <c r="AF2974" i="2"/>
  <c r="AF2968" i="2"/>
  <c r="AF2965" i="2"/>
  <c r="AF2958" i="2"/>
  <c r="AF2955" i="2"/>
  <c r="AF2951" i="2"/>
  <c r="AF2948" i="2"/>
  <c r="AF2945" i="2"/>
  <c r="AF2941" i="2"/>
  <c r="AF2938" i="2"/>
  <c r="AF2935" i="2"/>
  <c r="AF2932" i="2"/>
  <c r="AF2926" i="2"/>
  <c r="AF2920" i="2"/>
  <c r="AF2916" i="2"/>
  <c r="AF2913" i="2"/>
  <c r="AF2909" i="2"/>
  <c r="AF2902" i="2"/>
  <c r="AF2895" i="2"/>
  <c r="AF2874" i="2"/>
  <c r="AF2870" i="2"/>
  <c r="AF2866" i="2"/>
  <c r="AF2862" i="2"/>
  <c r="AF2859" i="2"/>
  <c r="AF2856" i="2"/>
  <c r="AF2852" i="2"/>
  <c r="AF2849" i="2"/>
  <c r="AF2845" i="2"/>
  <c r="AF2841" i="2"/>
  <c r="AF2837" i="2"/>
  <c r="AF2830" i="2"/>
  <c r="AF2827" i="2"/>
  <c r="AF2824" i="2"/>
  <c r="AF2820" i="2"/>
  <c r="AF2816" i="2"/>
  <c r="AF2813" i="2"/>
  <c r="AF2806" i="2"/>
  <c r="AF2802" i="2"/>
  <c r="AF2795" i="2"/>
  <c r="AF2734" i="2"/>
  <c r="AF2730" i="2"/>
  <c r="AF2726" i="2"/>
  <c r="AF2723" i="2"/>
  <c r="AF2719" i="2"/>
  <c r="AF2716" i="2"/>
  <c r="AF2712" i="2"/>
  <c r="AF2709" i="2"/>
  <c r="AF2705" i="2"/>
  <c r="AF2698" i="2"/>
  <c r="AF2694" i="2"/>
  <c r="AF2690" i="2"/>
  <c r="AF2687" i="2"/>
  <c r="AF2684" i="2"/>
  <c r="AF2680" i="2"/>
  <c r="AF2676" i="2"/>
  <c r="AF2672" i="2"/>
  <c r="AF2668" i="2"/>
  <c r="AF2664" i="2"/>
  <c r="AF2661" i="2"/>
  <c r="AF2657" i="2"/>
  <c r="AF2650" i="2"/>
  <c r="AF2643" i="2"/>
  <c r="AF2606" i="2"/>
  <c r="AF2602" i="2"/>
  <c r="AF2598" i="2"/>
  <c r="AF2595" i="2"/>
  <c r="AF2591" i="2"/>
  <c r="AF2588" i="2"/>
  <c r="AF2584" i="2"/>
  <c r="AF2581" i="2"/>
  <c r="AF2577" i="2"/>
  <c r="AF2574" i="2"/>
  <c r="AF2570" i="2"/>
  <c r="AF2566" i="2"/>
  <c r="AF2563" i="2"/>
  <c r="AF2560" i="2"/>
  <c r="AF2556" i="2"/>
  <c r="AF2552" i="2"/>
  <c r="AF2548" i="2"/>
  <c r="AF2544" i="2"/>
  <c r="AF2540" i="2"/>
  <c r="AF2537" i="2"/>
  <c r="AF2533" i="2"/>
  <c r="AF2526" i="2"/>
  <c r="AF2519" i="2"/>
  <c r="AF2506" i="2"/>
  <c r="AF2502" i="2"/>
  <c r="AF2497" i="2"/>
  <c r="AF2493" i="2"/>
  <c r="AF2486" i="2"/>
  <c r="AF2482" i="2"/>
  <c r="AF2476" i="2"/>
  <c r="AF2472" i="2"/>
  <c r="AF2468" i="2"/>
  <c r="AF2464" i="2"/>
  <c r="AF2461" i="2"/>
  <c r="AF2454" i="2"/>
  <c r="AF2451" i="2"/>
  <c r="AF2447" i="2"/>
  <c r="AF2444" i="2"/>
  <c r="AF2441" i="2"/>
  <c r="AF2437" i="2"/>
  <c r="AF2433" i="2"/>
  <c r="AF2427" i="2"/>
  <c r="AF2423" i="2"/>
  <c r="AF2419" i="2"/>
  <c r="AF2415" i="2"/>
  <c r="AF2394" i="2"/>
  <c r="AF2390" i="2"/>
  <c r="AF2387" i="2"/>
  <c r="AF2383" i="2"/>
  <c r="AF2381" i="2"/>
  <c r="AF2378" i="2"/>
  <c r="AF2375" i="2"/>
  <c r="AF2371" i="2"/>
  <c r="AF2368" i="2"/>
  <c r="AF2364" i="2"/>
  <c r="AF2361" i="2"/>
  <c r="AF2357" i="2"/>
  <c r="AF2353" i="2"/>
  <c r="AF2350" i="2"/>
  <c r="AF2347" i="2"/>
  <c r="AF2344" i="2"/>
  <c r="AF2340" i="2"/>
  <c r="AF2337" i="2"/>
  <c r="AF2331" i="2"/>
  <c r="AF2325" i="2"/>
  <c r="AF2315" i="2"/>
  <c r="AF2302" i="2"/>
  <c r="AF2295" i="2"/>
  <c r="AF2293" i="2"/>
  <c r="AF2290" i="2"/>
  <c r="AF2284" i="2"/>
  <c r="AF2280" i="2"/>
  <c r="AF2277" i="2"/>
  <c r="AF2273" i="2"/>
  <c r="AF2267" i="2"/>
  <c r="AF2264" i="2"/>
  <c r="AF2261" i="2"/>
  <c r="AF2255" i="2"/>
  <c r="AF2252" i="2"/>
  <c r="AF2247" i="2"/>
  <c r="AF2245" i="2"/>
  <c r="AF2236" i="2"/>
  <c r="AF2234" i="2"/>
  <c r="AF2227" i="2"/>
  <c r="AF2223" i="2"/>
  <c r="AF2221" i="2"/>
  <c r="AF2218" i="2"/>
  <c r="AF2195" i="2"/>
  <c r="AF2191" i="2"/>
  <c r="AF2182" i="2"/>
  <c r="AF2169" i="2"/>
  <c r="AF2166" i="2"/>
  <c r="AF2159" i="2"/>
  <c r="AF2153" i="2"/>
  <c r="AF2150" i="2"/>
  <c r="AF2107" i="2"/>
  <c r="AF2102" i="2"/>
  <c r="AF2098" i="2"/>
  <c r="AF2095" i="2"/>
  <c r="AF2089" i="2"/>
  <c r="AF2087" i="2"/>
  <c r="AF2079" i="2"/>
  <c r="AF2062" i="2"/>
  <c r="AF2059" i="2"/>
  <c r="AF2054" i="2"/>
  <c r="AF2035" i="2"/>
  <c r="AF2032" i="2"/>
  <c r="AF2028" i="2"/>
  <c r="AF2025" i="2"/>
  <c r="AF2022" i="2"/>
  <c r="AF2019" i="2"/>
  <c r="AF2016" i="2"/>
  <c r="AF2013" i="2"/>
  <c r="AF2010" i="2"/>
  <c r="AF2008" i="2"/>
  <c r="AF2005" i="2"/>
  <c r="AF2003" i="2"/>
  <c r="AF1997" i="2"/>
  <c r="AF1994" i="2"/>
  <c r="AF1991" i="2"/>
  <c r="AF1987" i="2"/>
  <c r="AF1978" i="2"/>
  <c r="AF1975" i="2"/>
  <c r="AF1970" i="2"/>
  <c r="AF1967" i="2"/>
  <c r="AF1964" i="2"/>
  <c r="AF1961" i="2"/>
  <c r="AF1958" i="2"/>
  <c r="AF1956" i="2"/>
  <c r="AF1953" i="2"/>
  <c r="AF1950" i="2"/>
  <c r="AF1947" i="2"/>
  <c r="AF1928" i="2"/>
  <c r="AF1925" i="2"/>
  <c r="AF1922" i="2"/>
  <c r="AF1920" i="2"/>
  <c r="AF1917" i="2"/>
  <c r="AF1914" i="2"/>
  <c r="AF1911" i="2"/>
  <c r="AF1907" i="2"/>
  <c r="AF1904" i="2"/>
  <c r="AF1901" i="2"/>
  <c r="AF1899" i="2"/>
  <c r="AF1893" i="2"/>
  <c r="AF1887" i="2"/>
  <c r="AF1884" i="2"/>
  <c r="AF1877" i="2"/>
  <c r="AF1874" i="2"/>
  <c r="AF1871" i="2"/>
  <c r="AF1868" i="2"/>
  <c r="AF1865" i="2"/>
  <c r="AF1862" i="2"/>
  <c r="AF1859" i="2"/>
  <c r="AF1856" i="2"/>
  <c r="AF1846" i="2"/>
  <c r="AF1825" i="2"/>
  <c r="AF1821" i="2"/>
  <c r="AF1818" i="2"/>
  <c r="AF1815" i="2"/>
  <c r="AF1800" i="2"/>
  <c r="AF1794" i="2"/>
  <c r="AF1787" i="2"/>
  <c r="AF1784" i="2"/>
  <c r="AF1780" i="2"/>
  <c r="AF1777" i="2"/>
  <c r="AF1774" i="2"/>
  <c r="AF1771" i="2"/>
  <c r="AF1765" i="2"/>
  <c r="AF1759" i="2"/>
  <c r="AF1756" i="2"/>
  <c r="AF1749" i="2"/>
  <c r="AF1746" i="2"/>
  <c r="AF1743" i="2"/>
  <c r="AF1740" i="2"/>
  <c r="AF1737" i="2"/>
  <c r="AF1734" i="2"/>
  <c r="AF1731" i="2"/>
  <c r="AF1728" i="2"/>
  <c r="AF1724" i="2"/>
  <c r="AF1717" i="2"/>
  <c r="AF1714" i="2"/>
  <c r="AF1711" i="2"/>
  <c r="AF1707" i="2"/>
  <c r="AF1704" i="2"/>
  <c r="AF1694" i="2"/>
  <c r="AF1677" i="2"/>
  <c r="AF1673" i="2"/>
  <c r="AF1670" i="2"/>
  <c r="AF1667" i="2"/>
  <c r="AF1664" i="2"/>
  <c r="AF1660" i="2"/>
  <c r="AF1653" i="2"/>
  <c r="AF1650" i="2"/>
  <c r="AF1647" i="2"/>
  <c r="AF1643" i="2"/>
  <c r="AF1640" i="2"/>
  <c r="AF1630" i="2"/>
  <c r="AF1613" i="2"/>
  <c r="AF1609" i="2"/>
  <c r="AF1606" i="2"/>
  <c r="AF1603" i="2"/>
  <c r="AF1600" i="2"/>
  <c r="AF1596" i="2"/>
  <c r="AF1589" i="2"/>
  <c r="AF1586" i="2"/>
  <c r="AF1583" i="2"/>
  <c r="AF1579" i="2"/>
  <c r="AF1576" i="2"/>
  <c r="AF1566" i="2"/>
  <c r="AF1541" i="2"/>
  <c r="AF1537" i="2"/>
  <c r="AF1534" i="2"/>
  <c r="AF1531" i="2"/>
  <c r="AF1528" i="2"/>
  <c r="AF1524" i="2"/>
  <c r="AF1517" i="2"/>
  <c r="AF1515" i="2"/>
  <c r="AF1513" i="2"/>
  <c r="AF1511" i="2"/>
  <c r="AF1506" i="2"/>
  <c r="AF1503" i="2"/>
  <c r="AF1499" i="2"/>
  <c r="AF1496" i="2"/>
  <c r="AF1484" i="2"/>
  <c r="AF1477" i="2"/>
  <c r="AF1474" i="2"/>
  <c r="AF1472" i="2"/>
  <c r="AF1463" i="2"/>
  <c r="AF1460" i="2"/>
  <c r="AF1457" i="2"/>
  <c r="AF1450" i="2"/>
  <c r="AF1447" i="2"/>
  <c r="AF1444" i="2"/>
  <c r="AF1441" i="2"/>
  <c r="AF1437" i="2"/>
  <c r="AF1434" i="2"/>
  <c r="AF1431" i="2"/>
  <c r="AF1418" i="2"/>
  <c r="AF1415" i="2"/>
  <c r="AF1412" i="2"/>
  <c r="AF1408" i="2"/>
  <c r="AF1405" i="2"/>
  <c r="AF1395" i="2"/>
  <c r="AF1384" i="2"/>
  <c r="AF1381" i="2"/>
  <c r="AF1370" i="2"/>
  <c r="AF1363" i="2"/>
  <c r="AF1352" i="2"/>
  <c r="AF1349" i="2"/>
  <c r="AF1338" i="2"/>
  <c r="AF1331" i="2"/>
  <c r="AF1320" i="2"/>
  <c r="AF1317" i="2"/>
  <c r="AF1306" i="2"/>
  <c r="AF1299" i="2"/>
  <c r="AF1288" i="2"/>
  <c r="AF1285" i="2"/>
  <c r="AF1274" i="2"/>
  <c r="AF1267" i="2"/>
  <c r="AF1256" i="2"/>
  <c r="AF1253" i="2"/>
  <c r="AF1242" i="2"/>
  <c r="AF1235" i="2"/>
  <c r="AF1224" i="2"/>
  <c r="AF1221" i="2"/>
  <c r="AF1210" i="2"/>
  <c r="AF1203" i="2"/>
  <c r="AF1192" i="2"/>
  <c r="AF1189" i="2"/>
  <c r="AF1178" i="2"/>
  <c r="AF1171" i="2"/>
  <c r="AF1160" i="2"/>
  <c r="AF1157" i="2"/>
  <c r="AF1146" i="2"/>
  <c r="AF1139" i="2"/>
  <c r="AF1128" i="2"/>
  <c r="AF1125" i="2"/>
  <c r="AF1114" i="2"/>
  <c r="AF1110" i="2"/>
  <c r="AF1096" i="2"/>
  <c r="AF1089" i="2"/>
  <c r="AF1050" i="2"/>
  <c r="AF1043" i="2"/>
  <c r="AF1026" i="2"/>
  <c r="AF1023" i="2"/>
  <c r="AF1002" i="2"/>
  <c r="AF999" i="2"/>
  <c r="AF986" i="2"/>
  <c r="AF983" i="2"/>
  <c r="AF979" i="2"/>
  <c r="AF969" i="2"/>
  <c r="AF930" i="2"/>
  <c r="AF917" i="2"/>
  <c r="AF889" i="2"/>
  <c r="AF882" i="2"/>
  <c r="AF873" i="2"/>
  <c r="AF870" i="2"/>
  <c r="AF861" i="2"/>
  <c r="AF852" i="2"/>
  <c r="AF845" i="2"/>
  <c r="AF842" i="2"/>
  <c r="AF839" i="2"/>
  <c r="AF836" i="2"/>
  <c r="AF832" i="2"/>
  <c r="AF822" i="2"/>
  <c r="AF793" i="2"/>
  <c r="AF718" i="2"/>
  <c r="AF693" i="2"/>
  <c r="AF686" i="2"/>
  <c r="AF659" i="2"/>
  <c r="AF652" i="2"/>
  <c r="AF629" i="2"/>
  <c r="AF626" i="2"/>
  <c r="AF585" i="2"/>
  <c r="AF562" i="2"/>
  <c r="AF532" i="2"/>
  <c r="AF506" i="2"/>
  <c r="AF493" i="2"/>
  <c r="AF490" i="2"/>
  <c r="AF485" i="2"/>
  <c r="AF448" i="2"/>
  <c r="AF427" i="2"/>
  <c r="AF396" i="2"/>
  <c r="AF342" i="2"/>
  <c r="AF283" i="2"/>
  <c r="AF260" i="2"/>
  <c r="AF253" i="2"/>
  <c r="AF251" i="2"/>
  <c r="AF241" i="2"/>
  <c r="AF237" i="2"/>
  <c r="AF215" i="2"/>
  <c r="AF193" i="2"/>
  <c r="AF185" i="2"/>
  <c r="AF163" i="2"/>
  <c r="AF161" i="2"/>
  <c r="AF140" i="2"/>
  <c r="AF137" i="2"/>
  <c r="AF132" i="2"/>
  <c r="AF130" i="2"/>
  <c r="AF122" i="2"/>
  <c r="AF80" i="2"/>
  <c r="AF77" i="2"/>
  <c r="AF1383" i="2"/>
  <c r="AF1380" i="2"/>
  <c r="AF1377" i="2"/>
  <c r="AF1367" i="2"/>
  <c r="AF1364" i="2"/>
  <c r="AF1361" i="2"/>
  <c r="AF1351" i="2"/>
  <c r="AF1348" i="2"/>
  <c r="AF1345" i="2"/>
  <c r="AF1335" i="2"/>
  <c r="AF1332" i="2"/>
  <c r="AF1329" i="2"/>
  <c r="AF1316" i="2"/>
  <c r="AF1313" i="2"/>
  <c r="AF1303" i="2"/>
  <c r="AF1300" i="2"/>
  <c r="AF1297" i="2"/>
  <c r="AF1287" i="2"/>
  <c r="AF1284" i="2"/>
  <c r="AF1281" i="2"/>
  <c r="AF1271" i="2"/>
  <c r="AF1268" i="2"/>
  <c r="AF1265" i="2"/>
  <c r="AF1255" i="2"/>
  <c r="AF1252" i="2"/>
  <c r="AF1249" i="2"/>
  <c r="AF1239" i="2"/>
  <c r="AF1236" i="2"/>
  <c r="AF1233" i="2"/>
  <c r="AF1223" i="2"/>
  <c r="AF1220" i="2"/>
  <c r="AF1217" i="2"/>
  <c r="AF1207" i="2"/>
  <c r="AF1204" i="2"/>
  <c r="AF1201" i="2"/>
  <c r="AF1191" i="2"/>
  <c r="AF1188" i="2"/>
  <c r="AF1185" i="2"/>
  <c r="AF1175" i="2"/>
  <c r="AF1172" i="2"/>
  <c r="AF1169" i="2"/>
  <c r="AF1159" i="2"/>
  <c r="AF1156" i="2"/>
  <c r="AF1153" i="2"/>
  <c r="AF1143" i="2"/>
  <c r="AF1140" i="2"/>
  <c r="AF1137" i="2"/>
  <c r="AF1127" i="2"/>
  <c r="AF1124" i="2"/>
  <c r="AF1121" i="2"/>
  <c r="AF1111" i="2"/>
  <c r="AF1104" i="2"/>
  <c r="AF1101" i="2"/>
  <c r="AF1098" i="2"/>
  <c r="AF1095" i="2"/>
  <c r="AF1088" i="2"/>
  <c r="AF1085" i="2"/>
  <c r="AF1082" i="2"/>
  <c r="AF1079" i="2"/>
  <c r="AF1071" i="2"/>
  <c r="AF1062" i="2"/>
  <c r="AF1057" i="2"/>
  <c r="AF1055" i="2"/>
  <c r="AF1052" i="2"/>
  <c r="AF1049" i="2"/>
  <c r="AF1042" i="2"/>
  <c r="AF1036" i="2"/>
  <c r="AF1033" i="2"/>
  <c r="AF1030" i="2"/>
  <c r="AF1025" i="2"/>
  <c r="AF1022" i="2"/>
  <c r="AF1019" i="2"/>
  <c r="AF1012" i="2"/>
  <c r="AF1010" i="2"/>
  <c r="AF1004" i="2"/>
  <c r="AF1001" i="2"/>
  <c r="AF998" i="2"/>
  <c r="AF993" i="2"/>
  <c r="AF990" i="2"/>
  <c r="AF985" i="2"/>
  <c r="AF982" i="2"/>
  <c r="AF978" i="2"/>
  <c r="AF976" i="2"/>
  <c r="AF974" i="2"/>
  <c r="AF972" i="2"/>
  <c r="AF970" i="2"/>
  <c r="AF968" i="2"/>
  <c r="AF965" i="2"/>
  <c r="AF956" i="2"/>
  <c r="AF953" i="2"/>
  <c r="AF944" i="2"/>
  <c r="AF941" i="2"/>
  <c r="AF938" i="2"/>
  <c r="AF934" i="2"/>
  <c r="AF932" i="2"/>
  <c r="AF929" i="2"/>
  <c r="AF916" i="2"/>
  <c r="AF913" i="2"/>
  <c r="AF911" i="2"/>
  <c r="AF904" i="2"/>
  <c r="AF901" i="2"/>
  <c r="AF898" i="2"/>
  <c r="AF894" i="2"/>
  <c r="AF892" i="2"/>
  <c r="AF890" i="2"/>
  <c r="AF888" i="2"/>
  <c r="AF886" i="2"/>
  <c r="AF884" i="2"/>
  <c r="AF881" i="2"/>
  <c r="AF872" i="2"/>
  <c r="AF869" i="2"/>
  <c r="AF860" i="2"/>
  <c r="AF856" i="2"/>
  <c r="AF851" i="2"/>
  <c r="AF848" i="2"/>
  <c r="AF841" i="2"/>
  <c r="AF838" i="2"/>
  <c r="AF835" i="2"/>
  <c r="AF831" i="2"/>
  <c r="AF829" i="2"/>
  <c r="AF827" i="2"/>
  <c r="AF825" i="2"/>
  <c r="AF823" i="2"/>
  <c r="AF821" i="2"/>
  <c r="AF818" i="2"/>
  <c r="AF809" i="2"/>
  <c r="AF806" i="2"/>
  <c r="AF797" i="2"/>
  <c r="AF794" i="2"/>
  <c r="AF790" i="2"/>
  <c r="AF788" i="2"/>
  <c r="AF784" i="2"/>
  <c r="AF780" i="2"/>
  <c r="AF775" i="2"/>
  <c r="AF772" i="2"/>
  <c r="AF768" i="2"/>
  <c r="AF764" i="2"/>
  <c r="AF760" i="2"/>
  <c r="AF756" i="2"/>
  <c r="AF753" i="2"/>
  <c r="AF750" i="2"/>
  <c r="AF747" i="2"/>
  <c r="AF739" i="2"/>
  <c r="AF736" i="2"/>
  <c r="AF732" i="2"/>
  <c r="AF729" i="2"/>
  <c r="AF724" i="2"/>
  <c r="AF717" i="2"/>
  <c r="AF711" i="2"/>
  <c r="AF708" i="2"/>
  <c r="AF701" i="2"/>
  <c r="AF695" i="2"/>
  <c r="AF692" i="2"/>
  <c r="AF685" i="2"/>
  <c r="AF677" i="2"/>
  <c r="AF674" i="2"/>
  <c r="AF667" i="2"/>
  <c r="AF661" i="2"/>
  <c r="AF658" i="2"/>
  <c r="AF651" i="2"/>
  <c r="AF645" i="2"/>
  <c r="AF642" i="2"/>
  <c r="AF639" i="2"/>
  <c r="AF636" i="2"/>
  <c r="AF633" i="2"/>
  <c r="AF628" i="2"/>
  <c r="AF625" i="2"/>
  <c r="AF622" i="2"/>
  <c r="AF612" i="2"/>
  <c r="AF609" i="2"/>
  <c r="AF606" i="2"/>
  <c r="AF603" i="2"/>
  <c r="AF600" i="2"/>
  <c r="AF598" i="2"/>
  <c r="AF596" i="2"/>
  <c r="AF592" i="2"/>
  <c r="AF590" i="2"/>
  <c r="AF588" i="2"/>
  <c r="AF586" i="2"/>
  <c r="AF584" i="2"/>
  <c r="AF582" i="2"/>
  <c r="AF577" i="2"/>
  <c r="AF573" i="2"/>
  <c r="AF570" i="2"/>
  <c r="AF567" i="2"/>
  <c r="AF559" i="2"/>
  <c r="AF555" i="2"/>
  <c r="AF552" i="2"/>
  <c r="AF549" i="2"/>
  <c r="AF541" i="2"/>
  <c r="AF537" i="2"/>
  <c r="AF534" i="2"/>
  <c r="AF531" i="2"/>
  <c r="AF523" i="2"/>
  <c r="AF519" i="2"/>
  <c r="AF517" i="2"/>
  <c r="AF514" i="2"/>
  <c r="AF511" i="2"/>
  <c r="AF508" i="2"/>
  <c r="AF505" i="2"/>
  <c r="AF492" i="2"/>
  <c r="AF489" i="2"/>
  <c r="AF484" i="2"/>
  <c r="AF481" i="2"/>
  <c r="AF478" i="2"/>
  <c r="AF475" i="2"/>
  <c r="AF472" i="2"/>
  <c r="AF468" i="2"/>
  <c r="AF463" i="2"/>
  <c r="AF460" i="2"/>
  <c r="AF457" i="2"/>
  <c r="AF454" i="2"/>
  <c r="AF450" i="2"/>
  <c r="AF447" i="2"/>
  <c r="AF445" i="2"/>
  <c r="AF442" i="2"/>
  <c r="AF440" i="2"/>
  <c r="AF435" i="2"/>
  <c r="AF433" i="2"/>
  <c r="AF429" i="2"/>
  <c r="AF426" i="2"/>
  <c r="AF424" i="2"/>
  <c r="AF421" i="2"/>
  <c r="AF418" i="2"/>
  <c r="AF416" i="2"/>
  <c r="AF408" i="2"/>
  <c r="AF405" i="2"/>
  <c r="AF402" i="2"/>
  <c r="AF399" i="2"/>
  <c r="AF395" i="2"/>
  <c r="AF391" i="2"/>
  <c r="AF388" i="2"/>
  <c r="AF385" i="2"/>
  <c r="AF381" i="2"/>
  <c r="AF377" i="2"/>
  <c r="AF375" i="2"/>
  <c r="AF368" i="2"/>
  <c r="AF365" i="2"/>
  <c r="AF362" i="2"/>
  <c r="AF358" i="2"/>
  <c r="AF355" i="2"/>
  <c r="AF348" i="2"/>
  <c r="AF344" i="2"/>
  <c r="AF339" i="2"/>
  <c r="AF335" i="2"/>
  <c r="AF328" i="2"/>
  <c r="AF325" i="2"/>
  <c r="AF322" i="2"/>
  <c r="AF317" i="2"/>
  <c r="AF315" i="2"/>
  <c r="AF309" i="2"/>
  <c r="AF307" i="2"/>
  <c r="AF301" i="2"/>
  <c r="AF299" i="2"/>
  <c r="AF296" i="2"/>
  <c r="AF293" i="2"/>
  <c r="AF291" i="2"/>
  <c r="AF289" i="2"/>
  <c r="AF287" i="2"/>
  <c r="AF284" i="2"/>
  <c r="AF282" i="2"/>
  <c r="AF280" i="2"/>
  <c r="AF275" i="2"/>
  <c r="AF272" i="2"/>
  <c r="AF267" i="2"/>
  <c r="AF264" i="2"/>
  <c r="AF259" i="2"/>
  <c r="AF257" i="2"/>
  <c r="AF255" i="2"/>
  <c r="AF250" i="2"/>
  <c r="AF248" i="2"/>
  <c r="AF246" i="2"/>
  <c r="AF242" i="2"/>
  <c r="AF239" i="2"/>
  <c r="AF234" i="2"/>
  <c r="AF232" i="2"/>
  <c r="AF230" i="2"/>
  <c r="AF228" i="2"/>
  <c r="AF226" i="2"/>
  <c r="AF224" i="2"/>
  <c r="AF221" i="2"/>
  <c r="AF219" i="2"/>
  <c r="AF217" i="2"/>
  <c r="AF211" i="2"/>
  <c r="AF208" i="2"/>
  <c r="AF206" i="2"/>
  <c r="AF203" i="2"/>
  <c r="AF201" i="2"/>
  <c r="AF197" i="2"/>
  <c r="AF192" i="2"/>
  <c r="AF190" i="2"/>
  <c r="AF188" i="2"/>
  <c r="AF186" i="2"/>
  <c r="AF184" i="2"/>
  <c r="AF182" i="2"/>
  <c r="AF180" i="2"/>
  <c r="AF178" i="2"/>
  <c r="AF164" i="2"/>
  <c r="AF146" i="2"/>
  <c r="AF141" i="2"/>
  <c r="AF135" i="2"/>
  <c r="AF129" i="2"/>
  <c r="AF127" i="2"/>
  <c r="AF121" i="2"/>
  <c r="AF117" i="2"/>
  <c r="AF115" i="2"/>
  <c r="AF112" i="2"/>
  <c r="AF107" i="2"/>
  <c r="AF101" i="2"/>
  <c r="AF98" i="2"/>
  <c r="AF94" i="2"/>
  <c r="AF85" i="2"/>
  <c r="AF64" i="2"/>
  <c r="AF60" i="2"/>
  <c r="AF1107" i="2"/>
  <c r="AF1094" i="2"/>
  <c r="AF1091" i="2"/>
  <c r="AF1078" i="2"/>
  <c r="AF1073" i="2"/>
  <c r="AF1070" i="2"/>
  <c r="AF1065" i="2"/>
  <c r="AF1051" i="2"/>
  <c r="AF1048" i="2"/>
  <c r="AF1045" i="2"/>
  <c r="AF1039" i="2"/>
  <c r="AF1029" i="2"/>
  <c r="AF1027" i="2"/>
  <c r="AF1024" i="2"/>
  <c r="AF1021" i="2"/>
  <c r="AF1018" i="2"/>
  <c r="AF1015" i="2"/>
  <c r="AF1007" i="2"/>
  <c r="AF997" i="2"/>
  <c r="AF995" i="2"/>
  <c r="AF992" i="2"/>
  <c r="AF989" i="2"/>
  <c r="AF987" i="2"/>
  <c r="AF984" i="2"/>
  <c r="AF981" i="2"/>
  <c r="AF964" i="2"/>
  <c r="AF959" i="2"/>
  <c r="AF952" i="2"/>
  <c r="AF947" i="2"/>
  <c r="AF940" i="2"/>
  <c r="AF937" i="2"/>
  <c r="AF928" i="2"/>
  <c r="AF919" i="2"/>
  <c r="AF915" i="2"/>
  <c r="AF910" i="2"/>
  <c r="AF907" i="2"/>
  <c r="AF900" i="2"/>
  <c r="AF897" i="2"/>
  <c r="AF880" i="2"/>
  <c r="AF875" i="2"/>
  <c r="AF868" i="2"/>
  <c r="AF863" i="2"/>
  <c r="AF850" i="2"/>
  <c r="AF847" i="2"/>
  <c r="AF844" i="2"/>
  <c r="AF837" i="2"/>
  <c r="AF834" i="2"/>
  <c r="AF817" i="2"/>
  <c r="AF812" i="2"/>
  <c r="AF805" i="2"/>
  <c r="AF800" i="2"/>
  <c r="AF796" i="2"/>
  <c r="AF792" i="2"/>
  <c r="AF787" i="2"/>
  <c r="AF774" i="2"/>
  <c r="AF771" i="2"/>
  <c r="AF744" i="2"/>
  <c r="AF741" i="2"/>
  <c r="AF735" i="2"/>
  <c r="AF726" i="2"/>
  <c r="AF723" i="2"/>
  <c r="AF720" i="2"/>
  <c r="AF714" i="2"/>
  <c r="AF710" i="2"/>
  <c r="AF707" i="2"/>
  <c r="AF704" i="2"/>
  <c r="AF698" i="2"/>
  <c r="AF694" i="2"/>
  <c r="AF691" i="2"/>
  <c r="AF688" i="2"/>
  <c r="AF680" i="2"/>
  <c r="AF676" i="2"/>
  <c r="AF673" i="2"/>
  <c r="AF670" i="2"/>
  <c r="AF664" i="2"/>
  <c r="AF660" i="2"/>
  <c r="AF657" i="2"/>
  <c r="AF654" i="2"/>
  <c r="AF648" i="2"/>
  <c r="AF644" i="2"/>
  <c r="AF641" i="2"/>
  <c r="AF632" i="2"/>
  <c r="AF630" i="2"/>
  <c r="AF624" i="2"/>
  <c r="AF621" i="2"/>
  <c r="AF616" i="2"/>
  <c r="AF614" i="2"/>
  <c r="AF611" i="2"/>
  <c r="AF608" i="2"/>
  <c r="AF605" i="2"/>
  <c r="AF602" i="2"/>
  <c r="AF579" i="2"/>
  <c r="AF576" i="2"/>
  <c r="AF569" i="2"/>
  <c r="AF566" i="2"/>
  <c r="AF563" i="2"/>
  <c r="AF561" i="2"/>
  <c r="AF558" i="2"/>
  <c r="AF551" i="2"/>
  <c r="AF548" i="2"/>
  <c r="AF543" i="2"/>
  <c r="AF540" i="2"/>
  <c r="AF533" i="2"/>
  <c r="AF530" i="2"/>
  <c r="AF527" i="2"/>
  <c r="AF525" i="2"/>
  <c r="AF522" i="2"/>
  <c r="AF513" i="2"/>
  <c r="AF510" i="2"/>
  <c r="AF507" i="2"/>
  <c r="AF504" i="2"/>
  <c r="AF497" i="2"/>
  <c r="AF494" i="2"/>
  <c r="AF483" i="2"/>
  <c r="AF480" i="2"/>
  <c r="AF471" i="2"/>
  <c r="AF465" i="2"/>
  <c r="AF462" i="2"/>
  <c r="AF459" i="2"/>
  <c r="AF456" i="2"/>
  <c r="AF453" i="2"/>
  <c r="AF449" i="2"/>
  <c r="AF444" i="2"/>
  <c r="AF439" i="2"/>
  <c r="AF432" i="2"/>
  <c r="AF428" i="2"/>
  <c r="AF420" i="2"/>
  <c r="AF415" i="2"/>
  <c r="AF413" i="2"/>
  <c r="AF410" i="2"/>
  <c r="AF404" i="2"/>
  <c r="AF387" i="2"/>
  <c r="AF384" i="2"/>
  <c r="AF380" i="2"/>
  <c r="AF374" i="2"/>
  <c r="AF371" i="2"/>
  <c r="AF361" i="2"/>
  <c r="AF357" i="2"/>
  <c r="AF354" i="2"/>
  <c r="AF351" i="2"/>
  <c r="AF347" i="2"/>
  <c r="AF341" i="2"/>
  <c r="AF338" i="2"/>
  <c r="AF334" i="2"/>
  <c r="AF331" i="2"/>
  <c r="AF324" i="2"/>
  <c r="AF321" i="2"/>
  <c r="AF314" i="2"/>
  <c r="AF306" i="2"/>
  <c r="AF295" i="2"/>
  <c r="AF277" i="2"/>
  <c r="AF274" i="2"/>
  <c r="AF269" i="2"/>
  <c r="AF266" i="2"/>
  <c r="AF263" i="2"/>
  <c r="AF261" i="2"/>
  <c r="AF236" i="2"/>
  <c r="AF214" i="2"/>
  <c r="AF194" i="2"/>
  <c r="AF166" i="2"/>
  <c r="AF151" i="2"/>
  <c r="AF148" i="2"/>
  <c r="AF145" i="2"/>
  <c r="AF143" i="2"/>
  <c r="AF139" i="2"/>
  <c r="AF134" i="2"/>
  <c r="AF126" i="2"/>
  <c r="AF116" i="2"/>
  <c r="AF114" i="2"/>
  <c r="AF110" i="2"/>
  <c r="AF103" i="2"/>
  <c r="AF97" i="2"/>
  <c r="AF93" i="2"/>
  <c r="AF82" i="2"/>
  <c r="AF75" i="2"/>
  <c r="AF71" i="2"/>
  <c r="AF65" i="2"/>
  <c r="AF61" i="2"/>
  <c r="AF55" i="2"/>
  <c r="AF3114" i="2"/>
  <c r="AF3107" i="2"/>
  <c r="AF3104" i="2"/>
  <c r="AF3101" i="2"/>
  <c r="AF3095" i="2"/>
  <c r="AF3080" i="2"/>
  <c r="AF3077" i="2"/>
  <c r="AF3065" i="2"/>
  <c r="AF3059" i="2"/>
  <c r="AF3056" i="2"/>
  <c r="AF3053" i="2"/>
  <c r="AF3050" i="2"/>
  <c r="AF3043" i="2"/>
  <c r="AF3040" i="2"/>
  <c r="AF3037" i="2"/>
  <c r="AF3031" i="2"/>
  <c r="AF3016" i="2"/>
  <c r="AF3013" i="2"/>
  <c r="AF3001" i="2"/>
  <c r="AF2995" i="2"/>
  <c r="AF2992" i="2"/>
  <c r="AF2989" i="2"/>
  <c r="AF2986" i="2"/>
  <c r="AF2979" i="2"/>
  <c r="AF2976" i="2"/>
  <c r="AF2973" i="2"/>
  <c r="AF2967" i="2"/>
  <c r="AF2952" i="2"/>
  <c r="AF2949" i="2"/>
  <c r="AF2937" i="2"/>
  <c r="AF2931" i="2"/>
  <c r="AF2928" i="2"/>
  <c r="AF2925" i="2"/>
  <c r="AF2922" i="2"/>
  <c r="AF2915" i="2"/>
  <c r="AF2912" i="2"/>
  <c r="AF2908" i="2"/>
  <c r="AF2905" i="2"/>
  <c r="AF2901" i="2"/>
  <c r="AF2888" i="2"/>
  <c r="AF2884" i="2"/>
  <c r="AF2881" i="2"/>
  <c r="AF2871" i="2"/>
  <c r="AF2867" i="2"/>
  <c r="AF2863" i="2"/>
  <c r="AF2860" i="2"/>
  <c r="AF2857" i="2"/>
  <c r="AF2853" i="2"/>
  <c r="AF2846" i="2"/>
  <c r="AF2839" i="2"/>
  <c r="AF2835" i="2"/>
  <c r="AF2832" i="2"/>
  <c r="AF2829" i="2"/>
  <c r="AF2822" i="2"/>
  <c r="AF2815" i="2"/>
  <c r="AF2812" i="2"/>
  <c r="AF2809" i="2"/>
  <c r="AF2805" i="2"/>
  <c r="AF2801" i="2"/>
  <c r="AF2791" i="2"/>
  <c r="AF2787" i="2"/>
  <c r="AF2784" i="2"/>
  <c r="AF2780" i="2"/>
  <c r="AF2777" i="2"/>
  <c r="AF2773" i="2"/>
  <c r="AF2764" i="2"/>
  <c r="AF2760" i="2"/>
  <c r="AF2756" i="2"/>
  <c r="AF2753" i="2"/>
  <c r="AF2746" i="2"/>
  <c r="AF2742" i="2"/>
  <c r="AF2738" i="2"/>
  <c r="AF2727" i="2"/>
  <c r="AF2724" i="2"/>
  <c r="AF2720" i="2"/>
  <c r="AF2717" i="2"/>
  <c r="AF2713" i="2"/>
  <c r="AF2703" i="2"/>
  <c r="AF2700" i="2"/>
  <c r="AF2696" i="2"/>
  <c r="AF2692" i="2"/>
  <c r="AF2689" i="2"/>
  <c r="AF2682" i="2"/>
  <c r="AF2678" i="2"/>
  <c r="AF2674" i="2"/>
  <c r="AF2663" i="2"/>
  <c r="AF2660" i="2"/>
  <c r="AF2656" i="2"/>
  <c r="AF2653" i="2"/>
  <c r="AF2649" i="2"/>
  <c r="AF2639" i="2"/>
  <c r="AF2636" i="2"/>
  <c r="AF2632" i="2"/>
  <c r="AF2628" i="2"/>
  <c r="AF2625" i="2"/>
  <c r="AF2618" i="2"/>
  <c r="AF2614" i="2"/>
  <c r="AF2610" i="2"/>
  <c r="AF2599" i="2"/>
  <c r="AF2596" i="2"/>
  <c r="AF2592" i="2"/>
  <c r="AF2589" i="2"/>
  <c r="AF2585" i="2"/>
  <c r="AF2575" i="2"/>
  <c r="AF2572" i="2"/>
  <c r="AF2568" i="2"/>
  <c r="AF2565" i="2"/>
  <c r="AF2558" i="2"/>
  <c r="AF2554" i="2"/>
  <c r="AF2550" i="2"/>
  <c r="AF2543" i="2"/>
  <c r="AF2536" i="2"/>
  <c r="AF2532" i="2"/>
  <c r="AF2529" i="2"/>
  <c r="AF2525" i="2"/>
  <c r="AF2515" i="2"/>
  <c r="AF2512" i="2"/>
  <c r="AF2503" i="2"/>
  <c r="AF2500" i="2"/>
  <c r="AF2491" i="2"/>
  <c r="AF2488" i="2"/>
  <c r="AF2484" i="2"/>
  <c r="AF2480" i="2"/>
  <c r="AF2474" i="2"/>
  <c r="AF2470" i="2"/>
  <c r="AF2466" i="2"/>
  <c r="AF2459" i="2"/>
  <c r="AF2456" i="2"/>
  <c r="AF2452" i="2"/>
  <c r="AF2449" i="2"/>
  <c r="AF2443" i="2"/>
  <c r="AF2440" i="2"/>
  <c r="AF2436" i="2"/>
  <c r="AF2432" i="2"/>
  <c r="AF2426" i="2"/>
  <c r="AF2422" i="2"/>
  <c r="AF2418" i="2"/>
  <c r="AF2411" i="2"/>
  <c r="AF2407" i="2"/>
  <c r="AF2404" i="2"/>
  <c r="AF2400" i="2"/>
  <c r="AF2397" i="2"/>
  <c r="AF2391" i="2"/>
  <c r="AF2388" i="2"/>
  <c r="AF2384" i="2"/>
  <c r="AF2372" i="2"/>
  <c r="AF2369" i="2"/>
  <c r="AF2365" i="2"/>
  <c r="AF2358" i="2"/>
  <c r="AF2351" i="2"/>
  <c r="AF2349" i="2"/>
  <c r="AF2343" i="2"/>
  <c r="AF2339" i="2"/>
  <c r="AF2336" i="2"/>
  <c r="AF2330" i="2"/>
  <c r="AF2327" i="2"/>
  <c r="AF2324" i="2"/>
  <c r="AF2321" i="2"/>
  <c r="AF2318" i="2"/>
  <c r="AF2311" i="2"/>
  <c r="AF2308" i="2"/>
  <c r="AF2305" i="2"/>
  <c r="AF2299" i="2"/>
  <c r="AF2296" i="2"/>
  <c r="AF2291" i="2"/>
  <c r="AF2287" i="2"/>
  <c r="AF2285" i="2"/>
  <c r="AF2281" i="2"/>
  <c r="AF2278" i="2"/>
  <c r="AF2269" i="2"/>
  <c r="AF2266" i="2"/>
  <c r="AF2263" i="2"/>
  <c r="AF2259" i="2"/>
  <c r="AF2257" i="2"/>
  <c r="AF2249" i="2"/>
  <c r="AF2246" i="2"/>
  <c r="AF2241" i="2"/>
  <c r="AF2238" i="2"/>
  <c r="AF2235" i="2"/>
  <c r="AF2233" i="2"/>
  <c r="AF2229" i="2"/>
  <c r="AF2225" i="2"/>
  <c r="AF2220" i="2"/>
  <c r="AF2214" i="2"/>
  <c r="AF2208" i="2"/>
  <c r="AF2204" i="2"/>
  <c r="AF2192" i="2"/>
  <c r="AF2176" i="2"/>
  <c r="AF2164" i="2"/>
  <c r="AF2161" i="2"/>
  <c r="AF2158" i="2"/>
  <c r="AF2146" i="2"/>
  <c r="AF2143" i="2"/>
  <c r="AF2140" i="2"/>
  <c r="AF2134" i="2"/>
  <c r="AF2131" i="2"/>
  <c r="AF2128" i="2"/>
  <c r="AF2125" i="2"/>
  <c r="AF2122" i="2"/>
  <c r="AF2114" i="2"/>
  <c r="AF2110" i="2"/>
  <c r="AF2094" i="2"/>
  <c r="AF2091" i="2"/>
  <c r="AF2086" i="2"/>
  <c r="AF2084" i="2"/>
  <c r="AF2081" i="2"/>
  <c r="AF2072" i="2"/>
  <c r="AF2064" i="2"/>
  <c r="AF2061" i="2"/>
  <c r="AF2058" i="2"/>
  <c r="AF2056" i="2"/>
  <c r="AF2050" i="2"/>
  <c r="AF2044" i="2"/>
  <c r="AF2041" i="2"/>
  <c r="AF2038" i="2"/>
  <c r="AF2029" i="2"/>
  <c r="AF2026" i="2"/>
  <c r="AF2023" i="2"/>
  <c r="AF2020" i="2"/>
  <c r="AF2014" i="2"/>
  <c r="AF2011" i="2"/>
  <c r="AF2006" i="2"/>
  <c r="AF2004" i="2"/>
  <c r="AF2001" i="2"/>
  <c r="AF1998" i="2"/>
  <c r="AF1992" i="2"/>
  <c r="AF1988" i="2"/>
  <c r="AF1968" i="2"/>
  <c r="AF1962" i="2"/>
  <c r="AF1959" i="2"/>
  <c r="AF1954" i="2"/>
  <c r="AF1940" i="2"/>
  <c r="AF1930" i="2"/>
  <c r="AF1898" i="2"/>
  <c r="AF1895" i="2"/>
  <c r="AF1892" i="2"/>
  <c r="AF1886" i="2"/>
  <c r="AF1872" i="2"/>
  <c r="AF1866" i="2"/>
  <c r="AF1863" i="2"/>
  <c r="AF1860" i="2"/>
  <c r="AF1854" i="2"/>
  <c r="AF1840" i="2"/>
  <c r="AF1834" i="2"/>
  <c r="AF1831" i="2"/>
  <c r="AF1828" i="2"/>
  <c r="AF1822" i="2"/>
  <c r="AF1808" i="2"/>
  <c r="AF1802" i="2"/>
  <c r="AF1799" i="2"/>
  <c r="AF1796" i="2"/>
  <c r="AF1790" i="2"/>
  <c r="AF1776" i="2"/>
  <c r="AF1770" i="2"/>
  <c r="AF1767" i="2"/>
  <c r="AF1764" i="2"/>
  <c r="AF1758" i="2"/>
  <c r="AF1744" i="2"/>
  <c r="AF1738" i="2"/>
  <c r="AF1735" i="2"/>
  <c r="AF1732" i="2"/>
  <c r="AF1722" i="2"/>
  <c r="AF1719" i="2"/>
  <c r="AF1716" i="2"/>
  <c r="AF1706" i="2"/>
  <c r="AF1703" i="2"/>
  <c r="AF1700" i="2"/>
  <c r="AF1690" i="2"/>
  <c r="AF1687" i="2"/>
  <c r="AF1684" i="2"/>
  <c r="AF1674" i="2"/>
  <c r="AF1671" i="2"/>
  <c r="AF1668" i="2"/>
  <c r="AF1658" i="2"/>
  <c r="AF1655" i="2"/>
  <c r="AF1652" i="2"/>
  <c r="AF1642" i="2"/>
  <c r="AF1639" i="2"/>
  <c r="AF1636" i="2"/>
  <c r="AF1626" i="2"/>
  <c r="AF1623" i="2"/>
  <c r="AF1620" i="2"/>
  <c r="AF1610" i="2"/>
  <c r="AF1607" i="2"/>
  <c r="AF1604" i="2"/>
  <c r="AF1594" i="2"/>
  <c r="AF1591" i="2"/>
  <c r="AF1588" i="2"/>
  <c r="AF1578" i="2"/>
  <c r="AF1572" i="2"/>
  <c r="AF1562" i="2"/>
  <c r="AF1559" i="2"/>
  <c r="AF1554" i="2"/>
  <c r="AF1548" i="2"/>
  <c r="AF1538" i="2"/>
  <c r="AF1535" i="2"/>
  <c r="AF1532" i="2"/>
  <c r="AF1522" i="2"/>
  <c r="AF1519" i="2"/>
  <c r="AF1510" i="2"/>
  <c r="AF1507" i="2"/>
  <c r="AF1498" i="2"/>
  <c r="AF1495" i="2"/>
  <c r="AF1492" i="2"/>
  <c r="AF1461" i="2"/>
  <c r="AF1454" i="2"/>
  <c r="AF1451" i="2"/>
  <c r="AF1448" i="2"/>
  <c r="AF1445" i="2"/>
  <c r="AF1438" i="2"/>
  <c r="AF1433" i="2"/>
  <c r="AF1429" i="2"/>
  <c r="AF1425" i="2"/>
  <c r="AF1420" i="2"/>
  <c r="AF1417" i="2"/>
  <c r="AF1407" i="2"/>
  <c r="AF1404" i="2"/>
  <c r="AF1401" i="2"/>
  <c r="AF1391" i="2"/>
  <c r="AF1388" i="2"/>
  <c r="AF1385" i="2"/>
  <c r="AF1375" i="2"/>
  <c r="AF1372" i="2"/>
  <c r="AF1369" i="2"/>
  <c r="AF1359" i="2"/>
  <c r="AF1356" i="2"/>
  <c r="AF1353" i="2"/>
  <c r="AF1343" i="2"/>
  <c r="AF1340" i="2"/>
  <c r="AF1337" i="2"/>
  <c r="AF1327" i="2"/>
  <c r="AF1324" i="2"/>
  <c r="AF1321" i="2"/>
  <c r="AF1311" i="2"/>
  <c r="AF1308" i="2"/>
  <c r="AF1305" i="2"/>
  <c r="AF1295" i="2"/>
  <c r="AF1292" i="2"/>
  <c r="AF1289" i="2"/>
  <c r="AF1279" i="2"/>
  <c r="AF1276" i="2"/>
  <c r="AF1273" i="2"/>
  <c r="AF1263" i="2"/>
  <c r="AF1260" i="2"/>
  <c r="AF1257" i="2"/>
  <c r="AF1247" i="2"/>
  <c r="AF1244" i="2"/>
  <c r="AF1241" i="2"/>
  <c r="AF1231" i="2"/>
  <c r="AF1228" i="2"/>
  <c r="AF1225" i="2"/>
  <c r="AF1215" i="2"/>
  <c r="AF1212" i="2"/>
  <c r="AF1209" i="2"/>
  <c r="AF1199" i="2"/>
  <c r="AF1196" i="2"/>
  <c r="AF1193" i="2"/>
  <c r="AF1183" i="2"/>
  <c r="AF1180" i="2"/>
  <c r="AF1177" i="2"/>
  <c r="AF1167" i="2"/>
  <c r="AF1164" i="2"/>
  <c r="AF1161" i="2"/>
  <c r="AF1151" i="2"/>
  <c r="AF1148" i="2"/>
  <c r="AF1145" i="2"/>
  <c r="AF1135" i="2"/>
  <c r="AF1132" i="2"/>
  <c r="AF1129" i="2"/>
  <c r="AF1119" i="2"/>
  <c r="AF1116" i="2"/>
  <c r="AF1113" i="2"/>
  <c r="AF1109" i="2"/>
  <c r="AF1106" i="2"/>
  <c r="AF1103" i="2"/>
  <c r="AF1097" i="2"/>
  <c r="AF1093" i="2"/>
  <c r="AF1090" i="2"/>
  <c r="AF1087" i="2"/>
  <c r="AF1081" i="2"/>
  <c r="AF1077" i="2"/>
  <c r="AF1075" i="2"/>
  <c r="AF1072" i="2"/>
  <c r="AF1069" i="2"/>
  <c r="AF1067" i="2"/>
  <c r="AF1064" i="2"/>
  <c r="AF1061" i="2"/>
  <c r="AF1059" i="2"/>
  <c r="AF1047" i="2"/>
  <c r="AF1044" i="2"/>
  <c r="AF1041" i="2"/>
  <c r="AF1038" i="2"/>
  <c r="AF1035" i="2"/>
  <c r="AF1017" i="2"/>
  <c r="AF1014" i="2"/>
  <c r="AF1009" i="2"/>
  <c r="AF1006" i="2"/>
  <c r="AF1003" i="2"/>
  <c r="AF980" i="2"/>
  <c r="AF967" i="2"/>
  <c r="AF963" i="2"/>
  <c r="AF958" i="2"/>
  <c r="AF955" i="2"/>
  <c r="AF951" i="2"/>
  <c r="AF946" i="2"/>
  <c r="AF943" i="2"/>
  <c r="AF936" i="2"/>
  <c r="AF931" i="2"/>
  <c r="AF927" i="2"/>
  <c r="AF923" i="2"/>
  <c r="AF918" i="2"/>
  <c r="AF909" i="2"/>
  <c r="AF906" i="2"/>
  <c r="AF903" i="2"/>
  <c r="AF896" i="2"/>
  <c r="AF883" i="2"/>
  <c r="AF879" i="2"/>
  <c r="AF874" i="2"/>
  <c r="AF871" i="2"/>
  <c r="AF867" i="2"/>
  <c r="AF862" i="2"/>
  <c r="AF849" i="2"/>
  <c r="AF846" i="2"/>
  <c r="AF843" i="2"/>
  <c r="AF840" i="2"/>
  <c r="AF833" i="2"/>
  <c r="AF820" i="2"/>
  <c r="AF816" i="2"/>
  <c r="AF811" i="2"/>
  <c r="AF808" i="2"/>
  <c r="AF804" i="2"/>
  <c r="AF799" i="2"/>
  <c r="AF786" i="2"/>
  <c r="AF773" i="2"/>
  <c r="AF770" i="2"/>
  <c r="AF752" i="2"/>
  <c r="AF743" i="2"/>
  <c r="AF734" i="2"/>
  <c r="AF728" i="2"/>
  <c r="AF725" i="2"/>
  <c r="AF722" i="2"/>
  <c r="AF719" i="2"/>
  <c r="AF716" i="2"/>
  <c r="AF713" i="2"/>
  <c r="AF706" i="2"/>
  <c r="AF703" i="2"/>
  <c r="AF700" i="2"/>
  <c r="AF697" i="2"/>
  <c r="AF690" i="2"/>
  <c r="AF687" i="2"/>
  <c r="AF684" i="2"/>
  <c r="AF682" i="2"/>
  <c r="AF679" i="2"/>
  <c r="AF672" i="2"/>
  <c r="AF669" i="2"/>
  <c r="AF666" i="2"/>
  <c r="AF663" i="2"/>
  <c r="AF656" i="2"/>
  <c r="AF653" i="2"/>
  <c r="AF650" i="2"/>
  <c r="AF647" i="2"/>
  <c r="AF638" i="2"/>
  <c r="AF623" i="2"/>
  <c r="AF620" i="2"/>
  <c r="AF618" i="2"/>
  <c r="AF610" i="2"/>
  <c r="AF607" i="2"/>
  <c r="AF581" i="2"/>
  <c r="AF578" i="2"/>
  <c r="AF575" i="2"/>
  <c r="AF565" i="2"/>
  <c r="AF557" i="2"/>
  <c r="AF547" i="2"/>
  <c r="AF545" i="2"/>
  <c r="AF539" i="2"/>
  <c r="AF529" i="2"/>
  <c r="AF521" i="2"/>
  <c r="AF503" i="2"/>
  <c r="AF501" i="2"/>
  <c r="AF496" i="2"/>
  <c r="AF477" i="2"/>
  <c r="AF474" i="2"/>
  <c r="AF470" i="2"/>
  <c r="AF467" i="2"/>
  <c r="AF452" i="2"/>
  <c r="AF446" i="2"/>
  <c r="AF437" i="2"/>
  <c r="AF419" i="2"/>
  <c r="AF412" i="2"/>
  <c r="AF403" i="2"/>
  <c r="AF401" i="2"/>
  <c r="AF397" i="2"/>
  <c r="AF393" i="2"/>
  <c r="AF390" i="2"/>
  <c r="AF379" i="2"/>
  <c r="AF373" i="2"/>
  <c r="AF370" i="2"/>
  <c r="AF367" i="2"/>
  <c r="AF360" i="2"/>
  <c r="AF356" i="2"/>
  <c r="AF353" i="2"/>
  <c r="AF350" i="2"/>
  <c r="AF346" i="2"/>
  <c r="AF343" i="2"/>
  <c r="AF337" i="2"/>
  <c r="AF333" i="2"/>
  <c r="AF330" i="2"/>
  <c r="AF327" i="2"/>
  <c r="AF319" i="2"/>
  <c r="AF313" i="2"/>
  <c r="AF311" i="2"/>
  <c r="AF305" i="2"/>
  <c r="AF303" i="2"/>
  <c r="AF279" i="2"/>
  <c r="AF276" i="2"/>
  <c r="AF271" i="2"/>
  <c r="AF268" i="2"/>
  <c r="AF235" i="2"/>
  <c r="AF216" i="2"/>
  <c r="AF212" i="2"/>
  <c r="AF205" i="2"/>
  <c r="AF200" i="2"/>
  <c r="AF198" i="2"/>
  <c r="AF196" i="2"/>
  <c r="AF153" i="2"/>
  <c r="AF150" i="2"/>
  <c r="AF138" i="2"/>
  <c r="AF133" i="2"/>
  <c r="AF131" i="2"/>
  <c r="AF128" i="2"/>
  <c r="AF125" i="2"/>
  <c r="AF123" i="2"/>
  <c r="AF119" i="2"/>
  <c r="AF113" i="2"/>
  <c r="AF109" i="2"/>
  <c r="AF106" i="2"/>
  <c r="AF99" i="2"/>
  <c r="AF95" i="2"/>
  <c r="AF90" i="2"/>
  <c r="AF83" i="2"/>
  <c r="AF79" i="2"/>
  <c r="AF51" i="2"/>
  <c r="AC129" i="2"/>
  <c r="AC124" i="2"/>
  <c r="AC113" i="2"/>
  <c r="AC105" i="2"/>
  <c r="AC97" i="2"/>
  <c r="AC89" i="2"/>
  <c r="AF58" i="2"/>
  <c r="AC233" i="2"/>
  <c r="AC153" i="2"/>
  <c r="AC141" i="2"/>
  <c r="AC125" i="2"/>
  <c r="AC137" i="2"/>
  <c r="AC121" i="2"/>
  <c r="AF86" i="2"/>
  <c r="AF78" i="2"/>
  <c r="AC133" i="2"/>
  <c r="AC117" i="2"/>
  <c r="AC93" i="2"/>
  <c r="AF62" i="2"/>
  <c r="AC77" i="2"/>
  <c r="AF50" i="2"/>
  <c r="AC109" i="2"/>
  <c r="AC101" i="2"/>
  <c r="AF74" i="2"/>
  <c r="AF66" i="2"/>
  <c r="AC81" i="2"/>
  <c r="AF70" i="2"/>
  <c r="AC85" i="2"/>
  <c r="AF54" i="2"/>
  <c r="AC73" i="2"/>
  <c r="AF49" i="2"/>
  <c r="AF45" i="2"/>
  <c r="AF41" i="2"/>
  <c r="AF37" i="2"/>
  <c r="AF33" i="2"/>
  <c r="AF48" i="2"/>
  <c r="AF44" i="2"/>
  <c r="AF40" i="2"/>
  <c r="AF36" i="2"/>
  <c r="AF32" i="2"/>
  <c r="AF47" i="2"/>
  <c r="AF43" i="2"/>
  <c r="AF39" i="2"/>
  <c r="AF35" i="2"/>
  <c r="AF31" i="2"/>
  <c r="AF46" i="2"/>
  <c r="AF42" i="2"/>
  <c r="AF38" i="2"/>
  <c r="AF34" i="2"/>
  <c r="AF30" i="2"/>
  <c r="AC5002" i="2" l="1"/>
  <c r="AC5030" i="2"/>
  <c r="AC5014" i="2"/>
  <c r="AC4998" i="2"/>
  <c r="AC5018" i="2"/>
  <c r="AC5034" i="2"/>
  <c r="AC5042" i="2"/>
  <c r="AC4994" i="2"/>
  <c r="AC5022" i="2"/>
  <c r="AC5010" i="2"/>
  <c r="AC5026" i="2"/>
  <c r="AC5038" i="2"/>
  <c r="AC5006" i="2"/>
  <c r="AC4643" i="2"/>
  <c r="AC4659" i="2"/>
  <c r="AC4661" i="2"/>
  <c r="AC4633" i="2"/>
  <c r="AC4641" i="2"/>
  <c r="AC4649" i="2"/>
  <c r="AC4647" i="2"/>
  <c r="AC4663" i="2"/>
  <c r="AC4669" i="2"/>
  <c r="AC4673" i="2"/>
  <c r="AC4635" i="2"/>
  <c r="AC4651" i="2"/>
  <c r="AC4667" i="2"/>
  <c r="AC4653" i="2"/>
  <c r="AC4645" i="2"/>
  <c r="AC4637" i="2"/>
  <c r="AC4639" i="2"/>
  <c r="AC4655" i="2"/>
  <c r="AC4629" i="2"/>
  <c r="AC4657" i="2"/>
  <c r="AC4665" i="2"/>
  <c r="AC102" i="2"/>
  <c r="AC130" i="2"/>
  <c r="AC114" i="2"/>
  <c r="AC158" i="2"/>
  <c r="AC126" i="2"/>
  <c r="AC98" i="2"/>
  <c r="AC154" i="2"/>
  <c r="AC110" i="2"/>
  <c r="AC94" i="2"/>
  <c r="AC106" i="2"/>
  <c r="AC122" i="2"/>
  <c r="AC138" i="2"/>
  <c r="AC142" i="2"/>
  <c r="AC146" i="2"/>
  <c r="AC118" i="2"/>
  <c r="AC134" i="2"/>
  <c r="AC150" i="2"/>
  <c r="AC162" i="2"/>
  <c r="AC254" i="2"/>
  <c r="AC145" i="2"/>
  <c r="AC174" i="2"/>
  <c r="AC5019" i="2" l="1"/>
  <c r="AC5031" i="2"/>
  <c r="AC5015" i="2"/>
  <c r="AC5027" i="2"/>
  <c r="AC5043" i="2"/>
  <c r="AC5039" i="2"/>
  <c r="AC5035" i="2"/>
  <c r="AC5023" i="2"/>
  <c r="AC4676" i="2"/>
  <c r="AC4678" i="2"/>
  <c r="AC4658" i="2"/>
  <c r="AC4674" i="2"/>
  <c r="AC4672" i="2"/>
  <c r="AC4694" i="2"/>
  <c r="AC4684" i="2"/>
  <c r="AC4670" i="2"/>
  <c r="AC4654" i="2"/>
  <c r="AC4680" i="2"/>
  <c r="AC4686" i="2"/>
  <c r="AC4650" i="2"/>
  <c r="AC4660" i="2"/>
  <c r="AC4666" i="2"/>
  <c r="AC4688" i="2"/>
  <c r="AC4656" i="2"/>
  <c r="AC4690" i="2"/>
  <c r="AC4662" i="2"/>
  <c r="AC4682" i="2"/>
  <c r="AC4664" i="2"/>
  <c r="AC4668" i="2"/>
  <c r="AC166" i="2"/>
  <c r="AC127" i="2"/>
  <c r="AC183" i="2"/>
  <c r="AC155" i="2"/>
  <c r="AC167" i="2"/>
  <c r="AC159" i="2"/>
  <c r="AC131" i="2"/>
  <c r="AC119" i="2"/>
  <c r="AC179" i="2"/>
  <c r="AC151" i="2"/>
  <c r="AC195" i="2"/>
  <c r="AC275" i="2"/>
  <c r="AC171" i="2"/>
  <c r="AC139" i="2"/>
  <c r="AC163" i="2"/>
  <c r="AC143" i="2"/>
  <c r="AC115" i="2"/>
  <c r="AC175" i="2"/>
  <c r="AC147" i="2"/>
  <c r="AC135" i="2"/>
  <c r="AC123" i="2"/>
  <c r="AC5036" i="2" l="1"/>
  <c r="AC5040" i="2"/>
  <c r="AC4683" i="2"/>
  <c r="AC4687" i="2"/>
  <c r="AC4691" i="2"/>
  <c r="AC4685" i="2"/>
  <c r="AC4677" i="2"/>
  <c r="AC4671" i="2"/>
  <c r="AC4701" i="2"/>
  <c r="AC4715" i="2"/>
  <c r="AC4695" i="2"/>
  <c r="AC4699" i="2"/>
  <c r="AC4689" i="2"/>
  <c r="AC4703" i="2"/>
  <c r="AC4711" i="2"/>
  <c r="AC4709" i="2"/>
  <c r="AC4681" i="2"/>
  <c r="AC4707" i="2"/>
  <c r="AC4675" i="2"/>
  <c r="AC4705" i="2"/>
  <c r="AC4693" i="2"/>
  <c r="AC4679" i="2"/>
  <c r="AC4697" i="2"/>
  <c r="AC148" i="2"/>
  <c r="AC172" i="2"/>
  <c r="AC144" i="2"/>
  <c r="AC184" i="2"/>
  <c r="AC152" i="2"/>
  <c r="AC187" i="2"/>
  <c r="AC156" i="2"/>
  <c r="AC160" i="2"/>
  <c r="AC140" i="2"/>
  <c r="AC196" i="2"/>
  <c r="AC164" i="2"/>
  <c r="AC296" i="2"/>
  <c r="AC180" i="2"/>
  <c r="AC176" i="2"/>
  <c r="AC136" i="2"/>
  <c r="AC192" i="2"/>
  <c r="AC168" i="2"/>
  <c r="AC216" i="2"/>
  <c r="AC200" i="2"/>
  <c r="AC188" i="2"/>
  <c r="AC204" i="2"/>
  <c r="AC4700" i="2" l="1"/>
  <c r="AC4726" i="2"/>
  <c r="AC4728" i="2"/>
  <c r="AC4730" i="2"/>
  <c r="AC4724" i="2"/>
  <c r="AC4720" i="2"/>
  <c r="AC4736" i="2"/>
  <c r="AC4692" i="2"/>
  <c r="AC4706" i="2"/>
  <c r="AC4708" i="2"/>
  <c r="AC4718" i="2"/>
  <c r="AC4714" i="2"/>
  <c r="AC4696" i="2"/>
  <c r="AC4702" i="2"/>
  <c r="AC4732" i="2"/>
  <c r="AC4710" i="2"/>
  <c r="AC4716" i="2"/>
  <c r="AC4722" i="2"/>
  <c r="AC4698" i="2"/>
  <c r="AC4712" i="2"/>
  <c r="AC4704" i="2"/>
  <c r="AC209" i="2"/>
  <c r="AC217" i="2"/>
  <c r="AC205" i="2"/>
  <c r="AC197" i="2"/>
  <c r="AC208" i="2"/>
  <c r="AC193" i="2"/>
  <c r="AC225" i="2"/>
  <c r="AC221" i="2"/>
  <c r="AC157" i="2"/>
  <c r="AC201" i="2"/>
  <c r="AC161" i="2"/>
  <c r="AC177" i="2"/>
  <c r="AC173" i="2"/>
  <c r="AC165" i="2"/>
  <c r="AC169" i="2"/>
  <c r="AC237" i="2"/>
  <c r="AC213" i="2"/>
  <c r="AC317" i="2"/>
  <c r="AC181" i="2"/>
  <c r="AC189" i="2"/>
  <c r="AC185" i="2"/>
  <c r="AC4743" i="2" l="1"/>
  <c r="AC4731" i="2"/>
  <c r="AC4723" i="2"/>
  <c r="AC4735" i="2"/>
  <c r="AC4713" i="2"/>
  <c r="AC4751" i="2"/>
  <c r="AC4747" i="2"/>
  <c r="AC4733" i="2"/>
  <c r="AC4729" i="2"/>
  <c r="AC4741" i="2"/>
  <c r="AC4719" i="2"/>
  <c r="AC4717" i="2"/>
  <c r="AC4739" i="2"/>
  <c r="AC4727" i="2"/>
  <c r="AC4721" i="2"/>
  <c r="AC4725" i="2"/>
  <c r="AC4737" i="2"/>
  <c r="AC4753" i="2"/>
  <c r="AC4757" i="2"/>
  <c r="AC4745" i="2"/>
  <c r="AC4749" i="2"/>
  <c r="AC186" i="2"/>
  <c r="AC198" i="2"/>
  <c r="AC222" i="2"/>
  <c r="AC218" i="2"/>
  <c r="AC338" i="2"/>
  <c r="AC258" i="2"/>
  <c r="AC210" i="2"/>
  <c r="AC214" i="2"/>
  <c r="AC182" i="2"/>
  <c r="AC178" i="2"/>
  <c r="AC246" i="2"/>
  <c r="AC229" i="2"/>
  <c r="AC242" i="2"/>
  <c r="AC238" i="2"/>
  <c r="AC206" i="2"/>
  <c r="AC202" i="2"/>
  <c r="AC234" i="2"/>
  <c r="AC190" i="2"/>
  <c r="AC194" i="2"/>
  <c r="AC226" i="2"/>
  <c r="AC230" i="2"/>
  <c r="AC4766" i="2" l="1"/>
  <c r="AC4774" i="2"/>
  <c r="AC4746" i="2"/>
  <c r="AC4748" i="2"/>
  <c r="AC4738" i="2"/>
  <c r="AC4762" i="2"/>
  <c r="AC4754" i="2"/>
  <c r="AC4772" i="2"/>
  <c r="AC4756" i="2"/>
  <c r="AC4752" i="2"/>
  <c r="AC4770" i="2"/>
  <c r="AC4778" i="2"/>
  <c r="AC4758" i="2"/>
  <c r="AC4742" i="2"/>
  <c r="AC4760" i="2"/>
  <c r="AC4740" i="2"/>
  <c r="AC4750" i="2"/>
  <c r="AC4768" i="2"/>
  <c r="AC4734" i="2"/>
  <c r="AC4744" i="2"/>
  <c r="AC4764" i="2"/>
  <c r="AC247" i="2"/>
  <c r="AC211" i="2"/>
  <c r="AC199" i="2"/>
  <c r="AC235" i="2"/>
  <c r="AC239" i="2"/>
  <c r="AC223" i="2"/>
  <c r="AC250" i="2"/>
  <c r="AC279" i="2"/>
  <c r="AC219" i="2"/>
  <c r="AC251" i="2"/>
  <c r="AC255" i="2"/>
  <c r="AC227" i="2"/>
  <c r="AC263" i="2"/>
  <c r="AC267" i="2"/>
  <c r="AC359" i="2"/>
  <c r="AC259" i="2"/>
  <c r="AC215" i="2"/>
  <c r="AC203" i="2"/>
  <c r="AC231" i="2"/>
  <c r="AC243" i="2"/>
  <c r="AC207" i="2"/>
  <c r="AC4761" i="2" l="1"/>
  <c r="AC4763" i="2"/>
  <c r="AC4799" i="2"/>
  <c r="AC4773" i="2"/>
  <c r="AC4793" i="2"/>
  <c r="AC4769" i="2"/>
  <c r="AC4795" i="2"/>
  <c r="AC4789" i="2"/>
  <c r="AC4783" i="2"/>
  <c r="AC4765" i="2"/>
  <c r="AC4785" i="2"/>
  <c r="AC4755" i="2"/>
  <c r="AC4771" i="2"/>
  <c r="AC4781" i="2"/>
  <c r="AC4779" i="2"/>
  <c r="AC4777" i="2"/>
  <c r="AC4775" i="2"/>
  <c r="AC4759" i="2"/>
  <c r="AC4767" i="2"/>
  <c r="AC4791" i="2"/>
  <c r="AC4787" i="2"/>
  <c r="AC224" i="2"/>
  <c r="AC280" i="2"/>
  <c r="AC300" i="2"/>
  <c r="AC232" i="2"/>
  <c r="AC256" i="2"/>
  <c r="AC252" i="2"/>
  <c r="AC284" i="2"/>
  <c r="AC276" i="2"/>
  <c r="AC240" i="2"/>
  <c r="AC271" i="2"/>
  <c r="AC260" i="2"/>
  <c r="AC268" i="2"/>
  <c r="AC264" i="2"/>
  <c r="AC288" i="2"/>
  <c r="AC248" i="2"/>
  <c r="AC272" i="2"/>
  <c r="AC244" i="2"/>
  <c r="AC228" i="2"/>
  <c r="AC236" i="2"/>
  <c r="AC380" i="2"/>
  <c r="AC220" i="2"/>
  <c r="AC4812" i="2" l="1"/>
  <c r="AC4780" i="2"/>
  <c r="AC4798" i="2"/>
  <c r="AC4802" i="2"/>
  <c r="AC4776" i="2"/>
  <c r="AC4786" i="2"/>
  <c r="AC4810" i="2"/>
  <c r="AC4794" i="2"/>
  <c r="AC4784" i="2"/>
  <c r="AC4790" i="2"/>
  <c r="AC4808" i="2"/>
  <c r="AC4788" i="2"/>
  <c r="AC4796" i="2"/>
  <c r="AC4800" i="2"/>
  <c r="AC4792" i="2"/>
  <c r="AC4806" i="2"/>
  <c r="AC4804" i="2"/>
  <c r="AC4816" i="2"/>
  <c r="AC4814" i="2"/>
  <c r="AC4820" i="2"/>
  <c r="AC4782" i="2"/>
  <c r="AC401" i="2"/>
  <c r="AC249" i="2"/>
  <c r="AC293" i="2"/>
  <c r="AC309" i="2"/>
  <c r="AC289" i="2"/>
  <c r="AC292" i="2"/>
  <c r="AC297" i="2"/>
  <c r="AC273" i="2"/>
  <c r="AC253" i="2"/>
  <c r="AC301" i="2"/>
  <c r="AC241" i="2"/>
  <c r="AC257" i="2"/>
  <c r="AC265" i="2"/>
  <c r="AC269" i="2"/>
  <c r="AC285" i="2"/>
  <c r="AC281" i="2"/>
  <c r="AC261" i="2"/>
  <c r="AC305" i="2"/>
  <c r="AC321" i="2"/>
  <c r="AC245" i="2"/>
  <c r="AC277" i="2"/>
  <c r="AC4841" i="2" l="1"/>
  <c r="AC4837" i="2"/>
  <c r="AC4827" i="2"/>
  <c r="AC4821" i="2"/>
  <c r="AC4809" i="2"/>
  <c r="AC4811" i="2"/>
  <c r="AC4815" i="2"/>
  <c r="AC4807" i="2"/>
  <c r="AC4823" i="2"/>
  <c r="AC4801" i="2"/>
  <c r="AC4803" i="2"/>
  <c r="AC4835" i="2"/>
  <c r="AC4825" i="2"/>
  <c r="AC4813" i="2"/>
  <c r="AC4817" i="2"/>
  <c r="AC4829" i="2"/>
  <c r="AC4805" i="2"/>
  <c r="AC4831" i="2"/>
  <c r="AC4797" i="2"/>
  <c r="AC4819" i="2"/>
  <c r="AC4833" i="2"/>
  <c r="AC266" i="2"/>
  <c r="AC326" i="2"/>
  <c r="AC302" i="2"/>
  <c r="AC278" i="2"/>
  <c r="AC322" i="2"/>
  <c r="AC294" i="2"/>
  <c r="AC313" i="2"/>
  <c r="AC330" i="2"/>
  <c r="AC270" i="2"/>
  <c r="AC290" i="2"/>
  <c r="AC298" i="2"/>
  <c r="AC342" i="2"/>
  <c r="AC282" i="2"/>
  <c r="AC306" i="2"/>
  <c r="AC286" i="2"/>
  <c r="AC262" i="2"/>
  <c r="AC274" i="2"/>
  <c r="AC318" i="2"/>
  <c r="AC310" i="2"/>
  <c r="AC314" i="2"/>
  <c r="AC422" i="2"/>
  <c r="AC4840" i="2" l="1"/>
  <c r="AC4852" i="2"/>
  <c r="AC4834" i="2"/>
  <c r="AC4856" i="2"/>
  <c r="AC4822" i="2"/>
  <c r="AC4828" i="2"/>
  <c r="AC4832" i="2"/>
  <c r="AC4850" i="2"/>
  <c r="AC4842" i="2"/>
  <c r="AC4858" i="2"/>
  <c r="AC4854" i="2"/>
  <c r="AC4818" i="2"/>
  <c r="AC4826" i="2"/>
  <c r="AC4838" i="2"/>
  <c r="AC4846" i="2"/>
  <c r="AC4824" i="2"/>
  <c r="AC4844" i="2"/>
  <c r="AC4836" i="2"/>
  <c r="AC4830" i="2"/>
  <c r="AC4848" i="2"/>
  <c r="AC4862" i="2"/>
  <c r="AC335" i="2"/>
  <c r="AC339" i="2"/>
  <c r="AC283" i="2"/>
  <c r="AC327" i="2"/>
  <c r="AC363" i="2"/>
  <c r="AC311" i="2"/>
  <c r="AC351" i="2"/>
  <c r="AC315" i="2"/>
  <c r="AC299" i="2"/>
  <c r="AC347" i="2"/>
  <c r="AC331" i="2"/>
  <c r="AC295" i="2"/>
  <c r="AC307" i="2"/>
  <c r="AC303" i="2"/>
  <c r="AC319" i="2"/>
  <c r="AC291" i="2"/>
  <c r="AC334" i="2"/>
  <c r="AC343" i="2"/>
  <c r="AC323" i="2"/>
  <c r="AC287" i="2"/>
  <c r="AC443" i="2"/>
  <c r="AC4869" i="2" l="1"/>
  <c r="AC4857" i="2"/>
  <c r="AC4845" i="2"/>
  <c r="AC4859" i="2"/>
  <c r="AC4839" i="2"/>
  <c r="AC4879" i="2"/>
  <c r="AC4871" i="2"/>
  <c r="AC4849" i="2"/>
  <c r="AC4877" i="2"/>
  <c r="AC4873" i="2"/>
  <c r="AC4883" i="2"/>
  <c r="AC4851" i="2"/>
  <c r="AC4865" i="2"/>
  <c r="AC4867" i="2"/>
  <c r="AC4847" i="2"/>
  <c r="AC4875" i="2"/>
  <c r="AC4863" i="2"/>
  <c r="AC4853" i="2"/>
  <c r="AC4843" i="2"/>
  <c r="AC4855" i="2"/>
  <c r="AC4861" i="2"/>
  <c r="AC308" i="2"/>
  <c r="AC364" i="2"/>
  <c r="AC312" i="2"/>
  <c r="AC324" i="2"/>
  <c r="AC316" i="2"/>
  <c r="AC368" i="2"/>
  <c r="AC336" i="2"/>
  <c r="AC332" i="2"/>
  <c r="AC348" i="2"/>
  <c r="AC360" i="2"/>
  <c r="AC464" i="2"/>
  <c r="AC355" i="2"/>
  <c r="AC344" i="2"/>
  <c r="AC340" i="2"/>
  <c r="AC328" i="2"/>
  <c r="AC352" i="2"/>
  <c r="AC320" i="2"/>
  <c r="AC372" i="2"/>
  <c r="AC384" i="2"/>
  <c r="AC304" i="2"/>
  <c r="AC356" i="2"/>
  <c r="AC4876" i="2" l="1"/>
  <c r="AC4896" i="2"/>
  <c r="AC4888" i="2"/>
  <c r="AC4872" i="2"/>
  <c r="AC4894" i="2"/>
  <c r="AC4900" i="2"/>
  <c r="AC4880" i="2"/>
  <c r="AC4878" i="2"/>
  <c r="AC4874" i="2"/>
  <c r="AC4870" i="2"/>
  <c r="AC4882" i="2"/>
  <c r="AC4864" i="2"/>
  <c r="AC4884" i="2"/>
  <c r="AC4868" i="2"/>
  <c r="AC4904" i="2"/>
  <c r="AC4898" i="2"/>
  <c r="AC4892" i="2"/>
  <c r="AC4860" i="2"/>
  <c r="AC4866" i="2"/>
  <c r="AC4886" i="2"/>
  <c r="AC4890" i="2"/>
  <c r="AC341" i="2"/>
  <c r="AC349" i="2"/>
  <c r="AC365" i="2"/>
  <c r="AC357" i="2"/>
  <c r="AC325" i="2"/>
  <c r="AC377" i="2"/>
  <c r="AC369" i="2"/>
  <c r="AC393" i="2"/>
  <c r="AC373" i="2"/>
  <c r="AC361" i="2"/>
  <c r="AC376" i="2"/>
  <c r="AC381" i="2"/>
  <c r="AC353" i="2"/>
  <c r="AC389" i="2"/>
  <c r="AC345" i="2"/>
  <c r="AC385" i="2"/>
  <c r="AC405" i="2"/>
  <c r="AC485" i="2"/>
  <c r="AC337" i="2"/>
  <c r="AC333" i="2"/>
  <c r="AC329" i="2"/>
  <c r="AC4917" i="2" l="1"/>
  <c r="AC4907" i="2"/>
  <c r="AC4881" i="2"/>
  <c r="AC4889" i="2"/>
  <c r="AC4885" i="2"/>
  <c r="AC4891" i="2"/>
  <c r="AC4899" i="2"/>
  <c r="AC4893" i="2"/>
  <c r="AC4911" i="2"/>
  <c r="AC4887" i="2"/>
  <c r="AC4913" i="2"/>
  <c r="AC4905" i="2"/>
  <c r="AC4903" i="2"/>
  <c r="AC4895" i="2"/>
  <c r="AC4901" i="2"/>
  <c r="AC4915" i="2"/>
  <c r="AC4909" i="2"/>
  <c r="AC4897" i="2"/>
  <c r="AC354" i="2"/>
  <c r="AC406" i="2"/>
  <c r="AC410" i="2"/>
  <c r="AC402" i="2"/>
  <c r="AC382" i="2"/>
  <c r="AC414" i="2"/>
  <c r="AC398" i="2"/>
  <c r="AC378" i="2"/>
  <c r="AC370" i="2"/>
  <c r="AC506" i="2"/>
  <c r="AC350" i="2"/>
  <c r="AC358" i="2"/>
  <c r="AC426" i="2"/>
  <c r="AC366" i="2"/>
  <c r="AC374" i="2"/>
  <c r="AC394" i="2"/>
  <c r="AC390" i="2"/>
  <c r="AC346" i="2"/>
  <c r="AC386" i="2"/>
  <c r="AC362" i="2"/>
  <c r="AC397" i="2"/>
  <c r="AC4916" i="2" l="1"/>
  <c r="AC4912" i="2"/>
  <c r="AC4908" i="2"/>
  <c r="AC4914" i="2"/>
  <c r="AC4910" i="2"/>
  <c r="AC4906" i="2"/>
  <c r="AC4902" i="2"/>
  <c r="AC383" i="2"/>
  <c r="AC367" i="2"/>
  <c r="AC415" i="2"/>
  <c r="AC387" i="2"/>
  <c r="AC379" i="2"/>
  <c r="AC399" i="2"/>
  <c r="AC423" i="2"/>
  <c r="AC527" i="2"/>
  <c r="AC435" i="2"/>
  <c r="AC427" i="2"/>
  <c r="AC418" i="2"/>
  <c r="AC407" i="2"/>
  <c r="AC411" i="2"/>
  <c r="AC395" i="2"/>
  <c r="AC371" i="2"/>
  <c r="AC391" i="2"/>
  <c r="AC419" i="2"/>
  <c r="AC403" i="2"/>
  <c r="AC375" i="2"/>
  <c r="AC447" i="2"/>
  <c r="AC431" i="2"/>
  <c r="AC452" i="2" l="1"/>
  <c r="AC440" i="2"/>
  <c r="AC432" i="2"/>
  <c r="AC456" i="2"/>
  <c r="AC444" i="2"/>
  <c r="AC436" i="2"/>
  <c r="AC468" i="2"/>
  <c r="AC424" i="2"/>
  <c r="AC428" i="2"/>
  <c r="AC448" i="2"/>
  <c r="AC412" i="2"/>
  <c r="AC416" i="2"/>
  <c r="AC548" i="2"/>
  <c r="AC420" i="2"/>
  <c r="AC408" i="2"/>
  <c r="AC388" i="2"/>
  <c r="AC396" i="2"/>
  <c r="AC392" i="2"/>
  <c r="AC439" i="2"/>
  <c r="AC400" i="2"/>
  <c r="AC404" i="2"/>
  <c r="AC413" i="2" l="1"/>
  <c r="AC421" i="2"/>
  <c r="AC441" i="2"/>
  <c r="AC469" i="2"/>
  <c r="AC457" i="2"/>
  <c r="AC461" i="2"/>
  <c r="AC425" i="2"/>
  <c r="AC460" i="2"/>
  <c r="AC417" i="2"/>
  <c r="AC429" i="2"/>
  <c r="AC569" i="2"/>
  <c r="AC433" i="2"/>
  <c r="AC449" i="2"/>
  <c r="AC489" i="2"/>
  <c r="AC465" i="2"/>
  <c r="AC453" i="2"/>
  <c r="AC473" i="2"/>
  <c r="AC409" i="2"/>
  <c r="AC437" i="2"/>
  <c r="AC445" i="2"/>
  <c r="AC477" i="2"/>
  <c r="AC466" i="2" l="1"/>
  <c r="AC474" i="2"/>
  <c r="AC454" i="2"/>
  <c r="AC481" i="2"/>
  <c r="AC442" i="2"/>
  <c r="AC510" i="2"/>
  <c r="AC490" i="2"/>
  <c r="AC430" i="2"/>
  <c r="AC458" i="2"/>
  <c r="AC486" i="2"/>
  <c r="AC470" i="2"/>
  <c r="AC438" i="2"/>
  <c r="AC446" i="2"/>
  <c r="AC478" i="2"/>
  <c r="AC462" i="2"/>
  <c r="AC434" i="2"/>
  <c r="AC450" i="2"/>
  <c r="AC482" i="2"/>
  <c r="AC498" i="2"/>
  <c r="AC494" i="2"/>
  <c r="AC590" i="2"/>
  <c r="AC515" i="2" l="1"/>
  <c r="AC503" i="2"/>
  <c r="AC455" i="2"/>
  <c r="AC499" i="2"/>
  <c r="AC459" i="2"/>
  <c r="AC507" i="2"/>
  <c r="AC451" i="2"/>
  <c r="AC531" i="2"/>
  <c r="AC502" i="2"/>
  <c r="AC495" i="2"/>
  <c r="AC611" i="2"/>
  <c r="AC519" i="2"/>
  <c r="AC471" i="2"/>
  <c r="AC483" i="2"/>
  <c r="AC467" i="2"/>
  <c r="AC491" i="2"/>
  <c r="AC479" i="2"/>
  <c r="AC511" i="2"/>
  <c r="AC463" i="2"/>
  <c r="AC475" i="2"/>
  <c r="AC487" i="2"/>
  <c r="AC496" i="2" l="1"/>
  <c r="AC532" i="2"/>
  <c r="AC512" i="2"/>
  <c r="AC504" i="2"/>
  <c r="AC540" i="2"/>
  <c r="AC516" i="2"/>
  <c r="AC552" i="2"/>
  <c r="AC528" i="2"/>
  <c r="AC520" i="2"/>
  <c r="AC524" i="2"/>
  <c r="AC484" i="2"/>
  <c r="AC488" i="2"/>
  <c r="AC632" i="2"/>
  <c r="AC472" i="2"/>
  <c r="AC480" i="2"/>
  <c r="AC476" i="2"/>
  <c r="AC508" i="2"/>
  <c r="AC500" i="2"/>
  <c r="AC492" i="2"/>
  <c r="AC523" i="2"/>
  <c r="AC536" i="2"/>
  <c r="AC545" i="2" l="1"/>
  <c r="AC521" i="2"/>
  <c r="AC493" i="2"/>
  <c r="AC549" i="2"/>
  <c r="AC537" i="2"/>
  <c r="AC553" i="2"/>
  <c r="AC497" i="2"/>
  <c r="AC509" i="2"/>
  <c r="AC525" i="2"/>
  <c r="AC544" i="2"/>
  <c r="AC557" i="2"/>
  <c r="AC513" i="2"/>
  <c r="AC529" i="2"/>
  <c r="AC501" i="2"/>
  <c r="AC505" i="2"/>
  <c r="AC541" i="2"/>
  <c r="AC573" i="2"/>
  <c r="AC561" i="2"/>
  <c r="AC533" i="2"/>
  <c r="AC517" i="2"/>
  <c r="AC653" i="2"/>
  <c r="AE29" i="2"/>
  <c r="AF29" i="2" l="1"/>
  <c r="AC565" i="2"/>
  <c r="AC538" i="2"/>
  <c r="AC582" i="2"/>
  <c r="AC522" i="2"/>
  <c r="AC530" i="2"/>
  <c r="AC570" i="2"/>
  <c r="AC542" i="2"/>
  <c r="AC562" i="2"/>
  <c r="AC534" i="2"/>
  <c r="AC574" i="2"/>
  <c r="AC674" i="2"/>
  <c r="AC554" i="2"/>
  <c r="AC594" i="2"/>
  <c r="AC526" i="2"/>
  <c r="AC550" i="2"/>
  <c r="AC578" i="2"/>
  <c r="AC546" i="2"/>
  <c r="AC518" i="2"/>
  <c r="AC558" i="2"/>
  <c r="AC514" i="2"/>
  <c r="AC566" i="2"/>
  <c r="X34" i="7"/>
  <c r="X6" i="7"/>
  <c r="X7" i="7"/>
  <c r="X8" i="7"/>
  <c r="X9" i="7"/>
  <c r="X10" i="7"/>
  <c r="X11" i="7"/>
  <c r="X12" i="7"/>
  <c r="X13" i="7"/>
  <c r="X14" i="7"/>
  <c r="X15" i="7"/>
  <c r="X16" i="7"/>
  <c r="X17" i="7"/>
  <c r="X18" i="7"/>
  <c r="X19" i="7"/>
  <c r="X20" i="7"/>
  <c r="X21" i="7"/>
  <c r="X22" i="7"/>
  <c r="X23" i="7"/>
  <c r="X24" i="7"/>
  <c r="X25" i="7"/>
  <c r="X26" i="7"/>
  <c r="X27" i="7"/>
  <c r="X28" i="7"/>
  <c r="X29" i="7"/>
  <c r="X30" i="7"/>
  <c r="X31" i="7"/>
  <c r="X32" i="7"/>
  <c r="X33" i="7"/>
  <c r="X5" i="7"/>
  <c r="C65" i="7"/>
  <c r="AC535" i="2" l="1"/>
  <c r="AC539" i="2"/>
  <c r="AC599" i="2"/>
  <c r="AC547" i="2"/>
  <c r="AC575" i="2"/>
  <c r="AC595" i="2"/>
  <c r="AC583" i="2"/>
  <c r="AC591" i="2"/>
  <c r="AC543" i="2"/>
  <c r="AC559" i="2"/>
  <c r="AC615" i="2"/>
  <c r="AC587" i="2"/>
  <c r="AC579" i="2"/>
  <c r="AC567" i="2"/>
  <c r="AC571" i="2"/>
  <c r="AC695" i="2"/>
  <c r="AC555" i="2"/>
  <c r="AC563" i="2"/>
  <c r="AC551" i="2"/>
  <c r="AC603" i="2"/>
  <c r="AC586" i="2"/>
  <c r="C52" i="7"/>
  <c r="C56" i="7"/>
  <c r="AC576" i="2" l="1"/>
  <c r="AC716" i="2"/>
  <c r="AC624" i="2"/>
  <c r="AC584" i="2"/>
  <c r="AC588" i="2"/>
  <c r="AC608" i="2"/>
  <c r="AC580" i="2"/>
  <c r="AC612" i="2"/>
  <c r="AC616" i="2"/>
  <c r="AC568" i="2"/>
  <c r="AC560" i="2"/>
  <c r="AC607" i="2"/>
  <c r="AC636" i="2"/>
  <c r="AC572" i="2"/>
  <c r="AC592" i="2"/>
  <c r="AC600" i="2"/>
  <c r="AC564" i="2"/>
  <c r="AC604" i="2"/>
  <c r="AC596" i="2"/>
  <c r="AC620" i="2"/>
  <c r="AC556" i="2"/>
  <c r="G3" i="4" a="1"/>
  <c r="G3" i="4" s="1"/>
  <c r="I3" i="4"/>
  <c r="L3" i="4"/>
  <c r="M3" i="4"/>
  <c r="Q3" i="4" s="1" a="1"/>
  <c r="Q3" i="4" s="1"/>
  <c r="G4" i="4" a="1"/>
  <c r="G4" i="4" s="1"/>
  <c r="I4" i="4"/>
  <c r="L4" i="4"/>
  <c r="M4" i="4"/>
  <c r="Q4" i="4" s="1" a="1"/>
  <c r="Q4" i="4" s="1"/>
  <c r="G5" i="4" a="1"/>
  <c r="G5" i="4" s="1"/>
  <c r="I5" i="4"/>
  <c r="L5" i="4"/>
  <c r="M5" i="4"/>
  <c r="Q5" i="4" s="1" a="1"/>
  <c r="Q5" i="4" s="1"/>
  <c r="G6" i="4" a="1"/>
  <c r="G6" i="4" s="1"/>
  <c r="I6" i="4"/>
  <c r="L6" i="4"/>
  <c r="M6" i="4"/>
  <c r="Q6" i="4" s="1" a="1"/>
  <c r="Q6" i="4" s="1"/>
  <c r="G7" i="4" a="1"/>
  <c r="G7" i="4" s="1"/>
  <c r="I7" i="4"/>
  <c r="L7" i="4"/>
  <c r="M7" i="4"/>
  <c r="Q7" i="4" s="1" a="1"/>
  <c r="Q7" i="4" s="1"/>
  <c r="G8" i="4" a="1"/>
  <c r="G8" i="4" s="1"/>
  <c r="I8" i="4"/>
  <c r="L8" i="4"/>
  <c r="M8" i="4"/>
  <c r="Q8" i="4" s="1" a="1"/>
  <c r="Q8" i="4" s="1"/>
  <c r="G9" i="4" a="1"/>
  <c r="G9" i="4" s="1"/>
  <c r="I9" i="4"/>
  <c r="L9" i="4"/>
  <c r="M9" i="4"/>
  <c r="Q9" i="4" s="1" a="1"/>
  <c r="Q9" i="4" s="1"/>
  <c r="G10" i="4" a="1"/>
  <c r="G10" i="4" s="1"/>
  <c r="I10" i="4"/>
  <c r="L10" i="4"/>
  <c r="M10" i="4"/>
  <c r="Q10" i="4" s="1" a="1"/>
  <c r="Q10" i="4" s="1"/>
  <c r="G11" i="4" a="1"/>
  <c r="G11" i="4" s="1"/>
  <c r="I11" i="4"/>
  <c r="L11" i="4"/>
  <c r="M11" i="4"/>
  <c r="Q11" i="4" s="1" a="1"/>
  <c r="Q11" i="4" s="1"/>
  <c r="G12" i="4" a="1"/>
  <c r="G12" i="4" s="1"/>
  <c r="I12" i="4"/>
  <c r="L12" i="4"/>
  <c r="M12" i="4"/>
  <c r="Q12" i="4" s="1" a="1"/>
  <c r="Q12" i="4" s="1"/>
  <c r="G13" i="4" a="1"/>
  <c r="G13" i="4" s="1"/>
  <c r="I13" i="4"/>
  <c r="L13" i="4"/>
  <c r="M13" i="4"/>
  <c r="Q13" i="4" s="1" a="1"/>
  <c r="Q13" i="4" s="1"/>
  <c r="G14" i="4" a="1"/>
  <c r="G14" i="4" s="1"/>
  <c r="I14" i="4"/>
  <c r="L14" i="4"/>
  <c r="M14" i="4"/>
  <c r="Q14" i="4" s="1" a="1"/>
  <c r="Q14" i="4" s="1"/>
  <c r="M2" i="4"/>
  <c r="Q2" i="4" s="1" a="1"/>
  <c r="Q2" i="4" s="1"/>
  <c r="G15" i="4" a="1"/>
  <c r="G15" i="4" s="1"/>
  <c r="G16" i="4" a="1"/>
  <c r="G16" i="4" s="1"/>
  <c r="G17" i="4" a="1"/>
  <c r="G17" i="4" s="1"/>
  <c r="G18" i="4" a="1"/>
  <c r="G18" i="4" s="1"/>
  <c r="G19" i="4" a="1"/>
  <c r="G19" i="4" s="1"/>
  <c r="G20" i="4" a="1"/>
  <c r="G20" i="4" s="1"/>
  <c r="G21" i="4" a="1"/>
  <c r="G21" i="4" s="1"/>
  <c r="G22" i="4" a="1"/>
  <c r="G22" i="4" s="1"/>
  <c r="G23" i="4" a="1"/>
  <c r="G23" i="4" s="1"/>
  <c r="G24" i="4" a="1"/>
  <c r="G24" i="4" s="1"/>
  <c r="G25" i="4" a="1"/>
  <c r="G25" i="4" s="1"/>
  <c r="G26" i="4" a="1"/>
  <c r="G26" i="4" s="1"/>
  <c r="G27" i="4" a="1"/>
  <c r="G27" i="4" s="1"/>
  <c r="G28" i="4" a="1"/>
  <c r="G28" i="4" s="1"/>
  <c r="G29" i="4" a="1"/>
  <c r="G29" i="4" s="1"/>
  <c r="G30" i="4" a="1"/>
  <c r="G30" i="4" s="1"/>
  <c r="G31" i="4" a="1"/>
  <c r="G31" i="4" s="1"/>
  <c r="G32" i="4" a="1"/>
  <c r="G32" i="4" s="1"/>
  <c r="G33" i="4" a="1"/>
  <c r="G33" i="4" s="1"/>
  <c r="G34" i="4" a="1"/>
  <c r="G34" i="4" s="1"/>
  <c r="G35" i="4" a="1"/>
  <c r="G35" i="4" s="1"/>
  <c r="G36" i="4" a="1"/>
  <c r="G36" i="4" s="1"/>
  <c r="G37" i="4" a="1"/>
  <c r="G37" i="4" s="1"/>
  <c r="G38" i="4" a="1"/>
  <c r="G38" i="4" s="1"/>
  <c r="G39" i="4" a="1"/>
  <c r="G39" i="4" s="1"/>
  <c r="G40" i="4" a="1"/>
  <c r="G40" i="4" s="1"/>
  <c r="G41" i="4" a="1"/>
  <c r="G41" i="4" s="1"/>
  <c r="G42" i="4" a="1"/>
  <c r="G42" i="4" s="1"/>
  <c r="G43" i="4" a="1"/>
  <c r="G43" i="4" s="1"/>
  <c r="G44" i="4" a="1"/>
  <c r="G44" i="4" s="1"/>
  <c r="G45" i="4" a="1"/>
  <c r="G45" i="4" s="1"/>
  <c r="G46" i="4" a="1"/>
  <c r="G46" i="4" s="1"/>
  <c r="G47" i="4" a="1"/>
  <c r="G47" i="4" s="1"/>
  <c r="G48" i="4" a="1"/>
  <c r="G48" i="4" s="1"/>
  <c r="G49" i="4" a="1"/>
  <c r="G49" i="4" s="1"/>
  <c r="G50" i="4" a="1"/>
  <c r="G50" i="4" s="1"/>
  <c r="G51" i="4" a="1"/>
  <c r="G51" i="4" s="1"/>
  <c r="G52" i="4" a="1"/>
  <c r="G52" i="4" s="1"/>
  <c r="G53" i="4" a="1"/>
  <c r="G53" i="4" s="1"/>
  <c r="G54" i="4" a="1"/>
  <c r="G54" i="4" s="1"/>
  <c r="G55" i="4" a="1"/>
  <c r="G55" i="4" s="1"/>
  <c r="G56" i="4" a="1"/>
  <c r="G56" i="4" s="1"/>
  <c r="G57" i="4" a="1"/>
  <c r="G57" i="4" s="1"/>
  <c r="G58" i="4" a="1"/>
  <c r="G58" i="4" s="1"/>
  <c r="G59" i="4" a="1"/>
  <c r="G59" i="4" s="1"/>
  <c r="G60" i="4" a="1"/>
  <c r="G60" i="4" s="1"/>
  <c r="G61" i="4" a="1"/>
  <c r="G61" i="4" s="1"/>
  <c r="G62" i="4" a="1"/>
  <c r="G62" i="4" s="1"/>
  <c r="G63" i="4" a="1"/>
  <c r="G63" i="4" s="1"/>
  <c r="G64" i="4" a="1"/>
  <c r="G64" i="4" s="1"/>
  <c r="G65" i="4" a="1"/>
  <c r="G65" i="4" s="1"/>
  <c r="G66" i="4" a="1"/>
  <c r="G66" i="4" s="1"/>
  <c r="G67" i="4" a="1"/>
  <c r="G67" i="4" s="1"/>
  <c r="G68" i="4" a="1"/>
  <c r="G68" i="4" s="1"/>
  <c r="G69" i="4" a="1"/>
  <c r="G69" i="4" s="1"/>
  <c r="G70" i="4" a="1"/>
  <c r="G70" i="4" s="1"/>
  <c r="G71" i="4" a="1"/>
  <c r="G71" i="4" s="1"/>
  <c r="G72" i="4" a="1"/>
  <c r="G72" i="4" s="1"/>
  <c r="G73" i="4" a="1"/>
  <c r="G73" i="4" s="1"/>
  <c r="G74" i="4" a="1"/>
  <c r="G74" i="4" s="1"/>
  <c r="G75" i="4" a="1"/>
  <c r="G75" i="4" s="1"/>
  <c r="G76" i="4" a="1"/>
  <c r="G76" i="4" s="1"/>
  <c r="G77" i="4" a="1"/>
  <c r="G77" i="4" s="1"/>
  <c r="G78" i="4" a="1"/>
  <c r="G78" i="4" s="1"/>
  <c r="G79" i="4" a="1"/>
  <c r="G79" i="4" s="1"/>
  <c r="G80" i="4" a="1"/>
  <c r="G80" i="4" s="1"/>
  <c r="G81" i="4" a="1"/>
  <c r="G81" i="4" s="1"/>
  <c r="G82" i="4" a="1"/>
  <c r="G82" i="4" s="1"/>
  <c r="G83" i="4" a="1"/>
  <c r="G83" i="4" s="1"/>
  <c r="G84" i="4" a="1"/>
  <c r="G84" i="4" s="1"/>
  <c r="G85" i="4" a="1"/>
  <c r="G85" i="4" s="1"/>
  <c r="G86" i="4" a="1"/>
  <c r="G86" i="4" s="1"/>
  <c r="G87" i="4" a="1"/>
  <c r="G87" i="4" s="1"/>
  <c r="G88" i="4" a="1"/>
  <c r="G88" i="4" s="1"/>
  <c r="G89" i="4" a="1"/>
  <c r="G89" i="4" s="1"/>
  <c r="G90" i="4" a="1"/>
  <c r="G90" i="4" s="1"/>
  <c r="G91" i="4" a="1"/>
  <c r="G91" i="4" s="1"/>
  <c r="G92" i="4" a="1"/>
  <c r="G92" i="4" s="1"/>
  <c r="G93" i="4" a="1"/>
  <c r="G93" i="4" s="1"/>
  <c r="G94" i="4" a="1"/>
  <c r="G94" i="4" s="1"/>
  <c r="G95" i="4" a="1"/>
  <c r="G95" i="4" s="1"/>
  <c r="G96" i="4" a="1"/>
  <c r="G96" i="4" s="1"/>
  <c r="G97" i="4" a="1"/>
  <c r="G97" i="4" s="1"/>
  <c r="G98" i="4" a="1"/>
  <c r="G98" i="4" s="1"/>
  <c r="G99" i="4" a="1"/>
  <c r="G99" i="4" s="1"/>
  <c r="G100" i="4" a="1"/>
  <c r="G100" i="4" s="1"/>
  <c r="G101" i="4" a="1"/>
  <c r="G101" i="4" s="1"/>
  <c r="G102" i="4" a="1"/>
  <c r="G102" i="4" s="1"/>
  <c r="G103" i="4" a="1"/>
  <c r="G103" i="4" s="1"/>
  <c r="G104" i="4" a="1"/>
  <c r="G104" i="4" s="1"/>
  <c r="G105" i="4" a="1"/>
  <c r="G105" i="4" s="1"/>
  <c r="G106" i="4" a="1"/>
  <c r="G106" i="4" s="1"/>
  <c r="G107" i="4" a="1"/>
  <c r="G107" i="4" s="1"/>
  <c r="G108" i="4" a="1"/>
  <c r="G108" i="4" s="1"/>
  <c r="G109" i="4" a="1"/>
  <c r="G109" i="4" s="1"/>
  <c r="G110" i="4" a="1"/>
  <c r="G110" i="4" s="1"/>
  <c r="G111" i="4" a="1"/>
  <c r="G111" i="4" s="1"/>
  <c r="G112" i="4" a="1"/>
  <c r="G112" i="4" s="1"/>
  <c r="G113" i="4" a="1"/>
  <c r="G113" i="4" s="1"/>
  <c r="G114" i="4" a="1"/>
  <c r="G114" i="4" s="1"/>
  <c r="G115" i="4" a="1"/>
  <c r="G115" i="4" s="1"/>
  <c r="G116" i="4" a="1"/>
  <c r="G116" i="4" s="1"/>
  <c r="G117" i="4" a="1"/>
  <c r="G117" i="4" s="1"/>
  <c r="G118" i="4" a="1"/>
  <c r="G118" i="4" s="1"/>
  <c r="G119" i="4" a="1"/>
  <c r="G119" i="4" s="1"/>
  <c r="G120" i="4" a="1"/>
  <c r="G120" i="4" s="1"/>
  <c r="G121" i="4" a="1"/>
  <c r="G121" i="4" s="1"/>
  <c r="G122" i="4" a="1"/>
  <c r="G122" i="4" s="1"/>
  <c r="G123" i="4" a="1"/>
  <c r="G123" i="4" s="1"/>
  <c r="G124" i="4" a="1"/>
  <c r="G124" i="4" s="1"/>
  <c r="G125" i="4" a="1"/>
  <c r="G125" i="4" s="1"/>
  <c r="G126" i="4" a="1"/>
  <c r="G126" i="4" s="1"/>
  <c r="G127" i="4" a="1"/>
  <c r="G127" i="4" s="1"/>
  <c r="G128" i="4" a="1"/>
  <c r="G128" i="4" s="1"/>
  <c r="G129" i="4" a="1"/>
  <c r="G129" i="4" s="1"/>
  <c r="G130" i="4" a="1"/>
  <c r="G130" i="4" s="1"/>
  <c r="G131" i="4" a="1"/>
  <c r="G131" i="4" s="1"/>
  <c r="G132" i="4" a="1"/>
  <c r="G132" i="4" s="1"/>
  <c r="G133" i="4" a="1"/>
  <c r="G133" i="4" s="1"/>
  <c r="G134" i="4" a="1"/>
  <c r="G134" i="4" s="1"/>
  <c r="G135" i="4" a="1"/>
  <c r="G135" i="4" s="1"/>
  <c r="G136" i="4" a="1"/>
  <c r="G136" i="4" s="1"/>
  <c r="G137" i="4" a="1"/>
  <c r="G137" i="4" s="1"/>
  <c r="G138" i="4" a="1"/>
  <c r="G138" i="4" s="1"/>
  <c r="G139" i="4" a="1"/>
  <c r="G139" i="4" s="1"/>
  <c r="G140" i="4" a="1"/>
  <c r="G140" i="4" s="1"/>
  <c r="G141" i="4" a="1"/>
  <c r="G141" i="4" s="1"/>
  <c r="G142" i="4" a="1"/>
  <c r="G142" i="4" s="1"/>
  <c r="G143" i="4" a="1"/>
  <c r="G143" i="4" s="1"/>
  <c r="G144" i="4" a="1"/>
  <c r="G144" i="4" s="1"/>
  <c r="G145" i="4" a="1"/>
  <c r="G145" i="4" s="1"/>
  <c r="G146" i="4" a="1"/>
  <c r="G146" i="4" s="1"/>
  <c r="G147" i="4" a="1"/>
  <c r="G147" i="4" s="1"/>
  <c r="G148" i="4" a="1"/>
  <c r="G148" i="4" s="1"/>
  <c r="G149" i="4" a="1"/>
  <c r="G149" i="4" s="1"/>
  <c r="G150" i="4" a="1"/>
  <c r="G150" i="4" s="1"/>
  <c r="G151" i="4" a="1"/>
  <c r="G151" i="4" s="1"/>
  <c r="G152" i="4" a="1"/>
  <c r="G152" i="4" s="1"/>
  <c r="G153" i="4" a="1"/>
  <c r="G153" i="4" s="1"/>
  <c r="G154" i="4" a="1"/>
  <c r="G154" i="4" s="1"/>
  <c r="G155" i="4" a="1"/>
  <c r="G155" i="4" s="1"/>
  <c r="G156" i="4" a="1"/>
  <c r="G156" i="4" s="1"/>
  <c r="G157" i="4" a="1"/>
  <c r="G157" i="4" s="1"/>
  <c r="G158" i="4" a="1"/>
  <c r="G158" i="4" s="1"/>
  <c r="G159" i="4" a="1"/>
  <c r="G159" i="4" s="1"/>
  <c r="G160" i="4" a="1"/>
  <c r="G160" i="4" s="1"/>
  <c r="G161" i="4" a="1"/>
  <c r="G161" i="4" s="1"/>
  <c r="G162" i="4" a="1"/>
  <c r="G162" i="4" s="1"/>
  <c r="G163" i="4" a="1"/>
  <c r="G163" i="4" s="1"/>
  <c r="G164" i="4" a="1"/>
  <c r="G164" i="4" s="1"/>
  <c r="G165" i="4" a="1"/>
  <c r="G165" i="4" s="1"/>
  <c r="G166" i="4" a="1"/>
  <c r="G166" i="4" s="1"/>
  <c r="G167" i="4" a="1"/>
  <c r="G167" i="4" s="1"/>
  <c r="G168" i="4" a="1"/>
  <c r="G168" i="4" s="1"/>
  <c r="G169" i="4" a="1"/>
  <c r="G169" i="4" s="1"/>
  <c r="G170" i="4" a="1"/>
  <c r="G170" i="4" s="1"/>
  <c r="G171" i="4" a="1"/>
  <c r="G171" i="4" s="1"/>
  <c r="G172" i="4" a="1"/>
  <c r="G172" i="4" s="1"/>
  <c r="G173" i="4" a="1"/>
  <c r="G173" i="4" s="1"/>
  <c r="G174" i="4" a="1"/>
  <c r="G174" i="4" s="1"/>
  <c r="G175" i="4" a="1"/>
  <c r="G175" i="4" s="1"/>
  <c r="G176" i="4" a="1"/>
  <c r="G176" i="4" s="1"/>
  <c r="G177" i="4" a="1"/>
  <c r="G177" i="4" s="1"/>
  <c r="G178" i="4" a="1"/>
  <c r="G178" i="4"/>
  <c r="G179" i="4" a="1"/>
  <c r="G179" i="4" s="1"/>
  <c r="G180" i="4" a="1"/>
  <c r="G180" i="4" s="1"/>
  <c r="G181" i="4" a="1"/>
  <c r="G181" i="4" s="1"/>
  <c r="G182" i="4" a="1"/>
  <c r="G182" i="4" s="1"/>
  <c r="G183" i="4" a="1"/>
  <c r="G183" i="4" s="1"/>
  <c r="G184" i="4" a="1"/>
  <c r="G184" i="4" s="1"/>
  <c r="G185" i="4" a="1"/>
  <c r="G185" i="4" s="1"/>
  <c r="G186" i="4" a="1"/>
  <c r="G186" i="4" s="1"/>
  <c r="G187" i="4" a="1"/>
  <c r="G187" i="4" s="1"/>
  <c r="G188" i="4" a="1"/>
  <c r="G188" i="4" s="1"/>
  <c r="G189" i="4" a="1"/>
  <c r="G189" i="4" s="1"/>
  <c r="G190" i="4" a="1"/>
  <c r="G190" i="4" s="1"/>
  <c r="G191" i="4" a="1"/>
  <c r="G191" i="4" s="1"/>
  <c r="G192" i="4" a="1"/>
  <c r="G192" i="4" s="1"/>
  <c r="G193" i="4" a="1"/>
  <c r="G193" i="4" s="1"/>
  <c r="G194" i="4" a="1"/>
  <c r="G194" i="4" s="1"/>
  <c r="G195" i="4" a="1"/>
  <c r="G195" i="4" s="1"/>
  <c r="G196" i="4" a="1"/>
  <c r="G196" i="4" s="1"/>
  <c r="G197" i="4" a="1"/>
  <c r="G197" i="4" s="1"/>
  <c r="G198" i="4" a="1"/>
  <c r="G198" i="4" s="1"/>
  <c r="G199" i="4" a="1"/>
  <c r="G199" i="4" s="1"/>
  <c r="G200" i="4" a="1"/>
  <c r="G200" i="4" s="1"/>
  <c r="G201" i="4" a="1"/>
  <c r="G201" i="4" s="1"/>
  <c r="G202" i="4" a="1"/>
  <c r="G202" i="4" s="1"/>
  <c r="G203" i="4" a="1"/>
  <c r="G203" i="4" s="1"/>
  <c r="G204" i="4" a="1"/>
  <c r="G204" i="4" s="1"/>
  <c r="G205" i="4" a="1"/>
  <c r="G205" i="4" s="1"/>
  <c r="G206" i="4" a="1"/>
  <c r="G206" i="4" s="1"/>
  <c r="G207" i="4" a="1"/>
  <c r="G207" i="4" s="1"/>
  <c r="G208" i="4" a="1"/>
  <c r="G208" i="4" s="1"/>
  <c r="G209" i="4" a="1"/>
  <c r="G209" i="4" s="1"/>
  <c r="G210" i="4" a="1"/>
  <c r="G210" i="4" s="1"/>
  <c r="G211" i="4" a="1"/>
  <c r="G211" i="4" s="1"/>
  <c r="G212" i="4" a="1"/>
  <c r="G212" i="4" s="1"/>
  <c r="G213" i="4" a="1"/>
  <c r="G213" i="4" s="1"/>
  <c r="G214" i="4" a="1"/>
  <c r="G214" i="4" s="1"/>
  <c r="G215" i="4" a="1"/>
  <c r="G215" i="4" s="1"/>
  <c r="G216" i="4" a="1"/>
  <c r="G216" i="4" s="1"/>
  <c r="G217" i="4" a="1"/>
  <c r="G217" i="4" s="1"/>
  <c r="G218" i="4" a="1"/>
  <c r="G218" i="4" s="1"/>
  <c r="G219" i="4" a="1"/>
  <c r="G219" i="4" s="1"/>
  <c r="G220" i="4" a="1"/>
  <c r="G220" i="4" s="1"/>
  <c r="G221" i="4" a="1"/>
  <c r="G221" i="4" s="1"/>
  <c r="G222" i="4" a="1"/>
  <c r="G222" i="4" s="1"/>
  <c r="G223" i="4" a="1"/>
  <c r="G223" i="4" s="1"/>
  <c r="G224" i="4" a="1"/>
  <c r="G224" i="4" s="1"/>
  <c r="G225" i="4" a="1"/>
  <c r="G225" i="4" s="1"/>
  <c r="G226" i="4" a="1"/>
  <c r="G226" i="4" s="1"/>
  <c r="G227" i="4" a="1"/>
  <c r="G227" i="4" s="1"/>
  <c r="G228" i="4" a="1"/>
  <c r="G228" i="4" s="1"/>
  <c r="G229" i="4" a="1"/>
  <c r="G229" i="4" s="1"/>
  <c r="G230" i="4" a="1"/>
  <c r="G230" i="4" s="1"/>
  <c r="G231" i="4" a="1"/>
  <c r="G231" i="4" s="1"/>
  <c r="G232" i="4" a="1"/>
  <c r="G232" i="4" s="1"/>
  <c r="G233" i="4" a="1"/>
  <c r="G233" i="4" s="1"/>
  <c r="G234" i="4" a="1"/>
  <c r="G234" i="4" s="1"/>
  <c r="G235" i="4" a="1"/>
  <c r="G235" i="4" s="1"/>
  <c r="G236" i="4" a="1"/>
  <c r="G236" i="4" s="1"/>
  <c r="G237" i="4" a="1"/>
  <c r="G237" i="4" s="1"/>
  <c r="G238" i="4" a="1"/>
  <c r="G238" i="4" s="1"/>
  <c r="G239" i="4" a="1"/>
  <c r="G239" i="4" s="1"/>
  <c r="G2" i="4" a="1"/>
  <c r="G2" i="4" s="1"/>
  <c r="AB49" i="2"/>
  <c r="AC49" i="2"/>
  <c r="AE14" i="2" a="1"/>
  <c r="AE14" i="2" s="1"/>
  <c r="AD61" i="2" s="1"/>
  <c r="AF14" i="2" a="1"/>
  <c r="AF14" i="2" s="1"/>
  <c r="AD82" i="2" s="1"/>
  <c r="AG14" i="2" a="1"/>
  <c r="AG14" i="2" s="1"/>
  <c r="AD103" i="2" s="1"/>
  <c r="AH14" i="2" a="1"/>
  <c r="AH14" i="2" s="1"/>
  <c r="AD124" i="2" s="1"/>
  <c r="AI14" i="2" a="1"/>
  <c r="AI14" i="2" s="1"/>
  <c r="AD145" i="2" s="1"/>
  <c r="AJ14" i="2" a="1"/>
  <c r="AJ14" i="2" s="1"/>
  <c r="AD166" i="2" s="1"/>
  <c r="AK14" i="2" a="1"/>
  <c r="AK14" i="2" s="1"/>
  <c r="AD187" i="2" s="1"/>
  <c r="AL14" i="2" a="1"/>
  <c r="AL14" i="2" s="1"/>
  <c r="AD208" i="2" s="1"/>
  <c r="AM14" i="2" a="1"/>
  <c r="AM14" i="2" s="1"/>
  <c r="AD229" i="2" s="1"/>
  <c r="AN14" i="2" a="1"/>
  <c r="AN14" i="2" s="1"/>
  <c r="AD250" i="2" s="1"/>
  <c r="AO14" i="2" a="1"/>
  <c r="AO14" i="2" s="1"/>
  <c r="AD271" i="2" s="1"/>
  <c r="AP14" i="2" a="1"/>
  <c r="AP14" i="2" s="1"/>
  <c r="AD292" i="2" s="1"/>
  <c r="AQ14" i="2" a="1"/>
  <c r="AQ14" i="2" s="1"/>
  <c r="AD313" i="2" s="1"/>
  <c r="AR14" i="2" a="1"/>
  <c r="AR14" i="2" s="1"/>
  <c r="AD334" i="2" s="1"/>
  <c r="AS14" i="2" a="1"/>
  <c r="AS14" i="2" s="1"/>
  <c r="AD355" i="2" s="1"/>
  <c r="AT14" i="2" a="1"/>
  <c r="AT14" i="2" s="1"/>
  <c r="AD376" i="2" s="1"/>
  <c r="AU14" i="2" a="1"/>
  <c r="AU14" i="2" s="1"/>
  <c r="AD397" i="2" s="1"/>
  <c r="AV14" i="2" a="1"/>
  <c r="AV14" i="2" s="1"/>
  <c r="AD418" i="2" s="1"/>
  <c r="AW14" i="2" a="1"/>
  <c r="AW14" i="2" s="1"/>
  <c r="AD439" i="2" s="1"/>
  <c r="AX14" i="2" a="1"/>
  <c r="AX14" i="2" s="1"/>
  <c r="AD460" i="2" s="1"/>
  <c r="AY14" i="2" a="1"/>
  <c r="AY14" i="2" s="1"/>
  <c r="AD481" i="2" s="1"/>
  <c r="AZ14" i="2" a="1"/>
  <c r="AZ14" i="2" s="1"/>
  <c r="AD502" i="2" s="1"/>
  <c r="BA14" i="2" a="1"/>
  <c r="BA14" i="2" s="1"/>
  <c r="AD523" i="2" s="1"/>
  <c r="BB14" i="2" a="1"/>
  <c r="BB14" i="2" s="1"/>
  <c r="AD544" i="2" s="1"/>
  <c r="BC14" i="2" a="1"/>
  <c r="BC14" i="2" s="1"/>
  <c r="AD565" i="2" s="1"/>
  <c r="BD14" i="2" a="1"/>
  <c r="BD14" i="2" s="1"/>
  <c r="AD586" i="2" s="1"/>
  <c r="BE14" i="2" a="1"/>
  <c r="BE14" i="2" s="1"/>
  <c r="AD607" i="2" s="1"/>
  <c r="BF14" i="2" a="1"/>
  <c r="BF14" i="2" s="1"/>
  <c r="AD628" i="2" s="1"/>
  <c r="BG14" i="2" a="1"/>
  <c r="BG14" i="2" s="1"/>
  <c r="AD649" i="2" s="1"/>
  <c r="BH14" i="2" a="1"/>
  <c r="BH14" i="2" s="1"/>
  <c r="AD670" i="2" s="1"/>
  <c r="BI14" i="2" a="1"/>
  <c r="BI14" i="2" s="1"/>
  <c r="AD691" i="2" s="1"/>
  <c r="BJ14" i="2" a="1"/>
  <c r="BJ14" i="2" s="1"/>
  <c r="AD712" i="2" s="1"/>
  <c r="BK14" i="2" a="1"/>
  <c r="BK14" i="2" s="1"/>
  <c r="AD733" i="2" s="1"/>
  <c r="BL14" i="2" a="1"/>
  <c r="BL14" i="2" s="1"/>
  <c r="AD754" i="2" s="1"/>
  <c r="BM14" i="2" a="1"/>
  <c r="BM14" i="2" s="1"/>
  <c r="AD775" i="2" s="1"/>
  <c r="BN14" i="2" a="1"/>
  <c r="BN14" i="2" s="1"/>
  <c r="AD796" i="2" s="1"/>
  <c r="BO14" i="2" a="1"/>
  <c r="BO14" i="2" s="1"/>
  <c r="AD817" i="2" s="1"/>
  <c r="BP14" i="2" a="1"/>
  <c r="BP14" i="2" s="1"/>
  <c r="AD838" i="2" s="1"/>
  <c r="BQ14" i="2" a="1"/>
  <c r="BQ14" i="2" s="1"/>
  <c r="AD859" i="2" s="1"/>
  <c r="BR14" i="2" a="1"/>
  <c r="BR14" i="2" s="1"/>
  <c r="AD880" i="2" s="1"/>
  <c r="BS14" i="2" a="1"/>
  <c r="BS14" i="2" s="1"/>
  <c r="AD901" i="2" s="1"/>
  <c r="BT14" i="2" a="1"/>
  <c r="BT14" i="2" s="1"/>
  <c r="AD922" i="2" s="1"/>
  <c r="BU14" i="2" a="1"/>
  <c r="BU14" i="2" s="1"/>
  <c r="AD943" i="2" s="1"/>
  <c r="BV14" i="2" a="1"/>
  <c r="BV14" i="2" s="1"/>
  <c r="AD964" i="2" s="1"/>
  <c r="BW14" i="2" a="1"/>
  <c r="BW14" i="2" s="1"/>
  <c r="AD985" i="2" s="1"/>
  <c r="BX14" i="2" a="1"/>
  <c r="BX14" i="2" s="1"/>
  <c r="AD1006" i="2" s="1"/>
  <c r="BY14" i="2" a="1"/>
  <c r="BY14" i="2" s="1"/>
  <c r="AD1027" i="2" s="1"/>
  <c r="BZ14" i="2" a="1"/>
  <c r="BZ14" i="2" s="1"/>
  <c r="AD1048" i="2" s="1"/>
  <c r="CA14" i="2" a="1"/>
  <c r="CA14" i="2" s="1"/>
  <c r="AD1069" i="2" s="1"/>
  <c r="CB14" i="2" a="1"/>
  <c r="CB14" i="2" s="1"/>
  <c r="AD1090" i="2" s="1"/>
  <c r="CC14" i="2" a="1"/>
  <c r="CC14" i="2" s="1"/>
  <c r="AD1111" i="2" s="1"/>
  <c r="CD14" i="2" a="1"/>
  <c r="CD14" i="2" s="1"/>
  <c r="AD1132" i="2" s="1"/>
  <c r="CE14" i="2" a="1"/>
  <c r="CE14" i="2" s="1"/>
  <c r="AD1153" i="2" s="1"/>
  <c r="CF14" i="2" a="1"/>
  <c r="CF14" i="2" s="1"/>
  <c r="AD1174" i="2" s="1"/>
  <c r="CG14" i="2" a="1"/>
  <c r="CG14" i="2" s="1"/>
  <c r="AD1195" i="2" s="1"/>
  <c r="CH14" i="2" a="1"/>
  <c r="CH14" i="2" s="1"/>
  <c r="AD1216" i="2" s="1"/>
  <c r="CI14" i="2" a="1"/>
  <c r="CI14" i="2" s="1"/>
  <c r="AD1237" i="2" s="1"/>
  <c r="CJ14" i="2" a="1"/>
  <c r="CJ14" i="2" s="1"/>
  <c r="AD1258" i="2" s="1"/>
  <c r="CK14" i="2" a="1"/>
  <c r="CK14" i="2" s="1"/>
  <c r="AD1279" i="2" s="1"/>
  <c r="CL14" i="2" a="1"/>
  <c r="CL14" i="2" s="1"/>
  <c r="AD1300" i="2" s="1"/>
  <c r="CM14" i="2" a="1"/>
  <c r="CM14" i="2" s="1"/>
  <c r="AD1321" i="2" s="1"/>
  <c r="CN14" i="2" a="1"/>
  <c r="CN14" i="2" s="1"/>
  <c r="AD1342" i="2" s="1"/>
  <c r="CO14" i="2" a="1"/>
  <c r="CO14" i="2" s="1"/>
  <c r="AD1363" i="2" s="1"/>
  <c r="CP14" i="2" a="1"/>
  <c r="CP14" i="2" s="1"/>
  <c r="AD1384" i="2" s="1"/>
  <c r="CQ14" i="2" a="1"/>
  <c r="CQ14" i="2" s="1"/>
  <c r="AD1405" i="2" s="1"/>
  <c r="CR14" i="2" a="1"/>
  <c r="CR14" i="2" s="1"/>
  <c r="AD1426" i="2" s="1"/>
  <c r="CS14" i="2" a="1"/>
  <c r="CS14" i="2" s="1"/>
  <c r="AD1447" i="2" s="1"/>
  <c r="CT14" i="2" a="1"/>
  <c r="CT14" i="2" s="1"/>
  <c r="AD1468" i="2" s="1"/>
  <c r="CU14" i="2" a="1"/>
  <c r="CU14" i="2" s="1"/>
  <c r="AD1489" i="2" s="1"/>
  <c r="CV14" i="2" a="1"/>
  <c r="CV14" i="2" s="1"/>
  <c r="AD1510" i="2" s="1"/>
  <c r="CW14" i="2" a="1"/>
  <c r="CW14" i="2" s="1"/>
  <c r="AD1531" i="2" s="1"/>
  <c r="CX14" i="2" a="1"/>
  <c r="CX14" i="2" s="1"/>
  <c r="AD1552" i="2" s="1"/>
  <c r="CY14" i="2" a="1"/>
  <c r="CY14" i="2" s="1"/>
  <c r="AD1573" i="2" s="1"/>
  <c r="CZ14" i="2" a="1"/>
  <c r="CZ14" i="2" s="1"/>
  <c r="AD1594" i="2" s="1"/>
  <c r="DA14" i="2" a="1"/>
  <c r="DA14" i="2" s="1"/>
  <c r="AD1615" i="2" s="1"/>
  <c r="DB14" i="2" a="1"/>
  <c r="DB14" i="2" s="1"/>
  <c r="AD1636" i="2" s="1"/>
  <c r="DC14" i="2" a="1"/>
  <c r="DC14" i="2" s="1"/>
  <c r="AD1657" i="2" s="1"/>
  <c r="DD14" i="2" a="1"/>
  <c r="DD14" i="2" s="1"/>
  <c r="AD1678" i="2" s="1"/>
  <c r="DE14" i="2" a="1"/>
  <c r="DE14" i="2" s="1"/>
  <c r="AD1699" i="2" s="1"/>
  <c r="DF14" i="2" a="1"/>
  <c r="DF14" i="2" s="1"/>
  <c r="AD1720" i="2" s="1"/>
  <c r="DG14" i="2" a="1"/>
  <c r="DG14" i="2" s="1"/>
  <c r="AD1741" i="2" s="1"/>
  <c r="DH14" i="2" a="1"/>
  <c r="DH14" i="2" s="1"/>
  <c r="AD1762" i="2" s="1"/>
  <c r="DI14" i="2" a="1"/>
  <c r="DI14" i="2" s="1"/>
  <c r="AD1783" i="2" s="1"/>
  <c r="DJ14" i="2" a="1"/>
  <c r="DJ14" i="2" s="1"/>
  <c r="AD1804" i="2" s="1"/>
  <c r="DK14" i="2" a="1"/>
  <c r="DK14" i="2" s="1"/>
  <c r="AD1825" i="2" s="1"/>
  <c r="DL14" i="2" a="1"/>
  <c r="DL14" i="2" s="1"/>
  <c r="AD1846" i="2" s="1"/>
  <c r="DM14" i="2" a="1"/>
  <c r="DM14" i="2" s="1"/>
  <c r="AD1867" i="2" s="1"/>
  <c r="DN14" i="2" a="1"/>
  <c r="DN14" i="2" s="1"/>
  <c r="AD1888" i="2" s="1"/>
  <c r="DO14" i="2" a="1"/>
  <c r="DO14" i="2" s="1"/>
  <c r="AD1909" i="2" s="1"/>
  <c r="DP14" i="2" a="1"/>
  <c r="DP14" i="2" s="1"/>
  <c r="AD1930" i="2" s="1"/>
  <c r="DQ14" i="2" a="1"/>
  <c r="DQ14" i="2" s="1"/>
  <c r="AD1951" i="2" s="1"/>
  <c r="DR14" i="2" a="1"/>
  <c r="DR14" i="2" s="1"/>
  <c r="AD1972" i="2" s="1"/>
  <c r="DS14" i="2" a="1"/>
  <c r="DS14" i="2" s="1"/>
  <c r="AD1993" i="2" s="1"/>
  <c r="DT14" i="2" a="1"/>
  <c r="DT14" i="2" s="1"/>
  <c r="AD2014" i="2" s="1"/>
  <c r="DU14" i="2" a="1"/>
  <c r="DU14" i="2" s="1"/>
  <c r="AD2035" i="2" s="1"/>
  <c r="DV14" i="2" a="1"/>
  <c r="DV14" i="2" s="1"/>
  <c r="AD2056" i="2" s="1"/>
  <c r="DW14" i="2" a="1"/>
  <c r="DW14" i="2" s="1"/>
  <c r="AD2077" i="2" s="1"/>
  <c r="DX14" i="2" a="1"/>
  <c r="DX14" i="2" s="1"/>
  <c r="AD2098" i="2" s="1"/>
  <c r="DY14" i="2" a="1"/>
  <c r="DY14" i="2" s="1"/>
  <c r="AD2119" i="2" s="1"/>
  <c r="DZ14" i="2" a="1"/>
  <c r="DZ14" i="2" s="1"/>
  <c r="AD2140" i="2" s="1"/>
  <c r="EA14" i="2" a="1"/>
  <c r="EA14" i="2" s="1"/>
  <c r="AD2161" i="2" s="1"/>
  <c r="EB14" i="2" a="1"/>
  <c r="EB14" i="2" s="1"/>
  <c r="AD2182" i="2" s="1"/>
  <c r="EC14" i="2" a="1"/>
  <c r="EC14" i="2" s="1"/>
  <c r="AD2203" i="2" s="1"/>
  <c r="ED14" i="2" a="1"/>
  <c r="ED14" i="2" s="1"/>
  <c r="AD2224" i="2" s="1"/>
  <c r="EE14" i="2" a="1"/>
  <c r="EE14" i="2" s="1"/>
  <c r="AD2245" i="2" s="1"/>
  <c r="EF14" i="2" a="1"/>
  <c r="EF14" i="2" s="1"/>
  <c r="AD2266" i="2" s="1"/>
  <c r="EG14" i="2" a="1"/>
  <c r="EG14" i="2" s="1"/>
  <c r="AD2287" i="2" s="1"/>
  <c r="EH14" i="2" a="1"/>
  <c r="EH14" i="2" s="1"/>
  <c r="AD2308" i="2" s="1"/>
  <c r="EI14" i="2" a="1"/>
  <c r="EI14" i="2" s="1"/>
  <c r="AD2329" i="2" s="1"/>
  <c r="EJ14" i="2" a="1"/>
  <c r="EJ14" i="2" s="1"/>
  <c r="AD2350" i="2" s="1"/>
  <c r="EK14" i="2" a="1"/>
  <c r="EK14" i="2" s="1"/>
  <c r="AD2371" i="2" s="1"/>
  <c r="EL14" i="2" a="1"/>
  <c r="EL14" i="2" s="1"/>
  <c r="AD2392" i="2" s="1"/>
  <c r="EM14" i="2" a="1"/>
  <c r="EM14" i="2" s="1"/>
  <c r="AD2413" i="2" s="1"/>
  <c r="EN14" i="2" a="1"/>
  <c r="EN14" i="2" s="1"/>
  <c r="AD2434" i="2" s="1"/>
  <c r="EO14" i="2" a="1"/>
  <c r="EO14" i="2" s="1"/>
  <c r="AD2455" i="2" s="1"/>
  <c r="EP14" i="2" a="1"/>
  <c r="EP14" i="2" s="1"/>
  <c r="AD2476" i="2" s="1"/>
  <c r="EQ14" i="2" a="1"/>
  <c r="EQ14" i="2" s="1"/>
  <c r="AD2497" i="2" s="1"/>
  <c r="ER14" i="2" a="1"/>
  <c r="ER14" i="2" s="1"/>
  <c r="AD2518" i="2" s="1"/>
  <c r="ES14" i="2" a="1"/>
  <c r="ES14" i="2" s="1"/>
  <c r="AD2539" i="2" s="1"/>
  <c r="ET14" i="2" a="1"/>
  <c r="ET14" i="2" s="1"/>
  <c r="AD2560" i="2" s="1"/>
  <c r="EU14" i="2" a="1"/>
  <c r="EU14" i="2" s="1"/>
  <c r="AD2581" i="2" s="1"/>
  <c r="EV14" i="2" a="1"/>
  <c r="EV14" i="2" s="1"/>
  <c r="AD2602" i="2" s="1"/>
  <c r="EW14" i="2" a="1"/>
  <c r="EW14" i="2" s="1"/>
  <c r="AD2623" i="2" s="1"/>
  <c r="EX14" i="2" a="1"/>
  <c r="EX14" i="2" s="1"/>
  <c r="AD2644" i="2" s="1"/>
  <c r="EY14" i="2" a="1"/>
  <c r="EY14" i="2" s="1"/>
  <c r="AD2665" i="2" s="1"/>
  <c r="EZ14" i="2" a="1"/>
  <c r="EZ14" i="2" s="1"/>
  <c r="AD2686" i="2" s="1"/>
  <c r="FA14" i="2" a="1"/>
  <c r="FA14" i="2" s="1"/>
  <c r="AD2707" i="2" s="1"/>
  <c r="FB14" i="2" a="1"/>
  <c r="FB14" i="2" s="1"/>
  <c r="AD2728" i="2" s="1"/>
  <c r="FC14" i="2" a="1"/>
  <c r="FC14" i="2" s="1"/>
  <c r="AD2749" i="2" s="1"/>
  <c r="FD14" i="2" a="1"/>
  <c r="FD14" i="2" s="1"/>
  <c r="AD2770" i="2" s="1"/>
  <c r="FE14" i="2" a="1"/>
  <c r="FE14" i="2" s="1"/>
  <c r="AD2791" i="2" s="1"/>
  <c r="FF14" i="2" a="1"/>
  <c r="FF14" i="2" s="1"/>
  <c r="AD2812" i="2" s="1"/>
  <c r="FG14" i="2" a="1"/>
  <c r="FG14" i="2" s="1"/>
  <c r="AD2833" i="2" s="1"/>
  <c r="FH14" i="2" a="1"/>
  <c r="FH14" i="2" s="1"/>
  <c r="AD2854" i="2" s="1"/>
  <c r="FI14" i="2" a="1"/>
  <c r="FI14" i="2" s="1"/>
  <c r="AD2875" i="2" s="1"/>
  <c r="FJ14" i="2" a="1"/>
  <c r="FJ14" i="2" s="1"/>
  <c r="AD2896" i="2" s="1"/>
  <c r="FK14" i="2" a="1"/>
  <c r="FK14" i="2" s="1"/>
  <c r="AD2917" i="2" s="1"/>
  <c r="FL14" i="2" a="1"/>
  <c r="FL14" i="2" s="1"/>
  <c r="AD2938" i="2" s="1"/>
  <c r="FM14" i="2" a="1"/>
  <c r="FM14" i="2" s="1"/>
  <c r="AD2959" i="2" s="1"/>
  <c r="FN14" i="2" a="1"/>
  <c r="FN14" i="2" s="1"/>
  <c r="AD2980" i="2" s="1"/>
  <c r="FO14" i="2" a="1"/>
  <c r="FO14" i="2" s="1"/>
  <c r="AD3001" i="2" s="1"/>
  <c r="FP14" i="2" a="1"/>
  <c r="FP14" i="2" s="1"/>
  <c r="AD3022" i="2" s="1"/>
  <c r="FQ14" i="2" a="1"/>
  <c r="FQ14" i="2" s="1"/>
  <c r="FR14" i="2" a="1"/>
  <c r="FR14" i="2" s="1"/>
  <c r="FS14" i="2" a="1"/>
  <c r="FS14" i="2" s="1"/>
  <c r="FT14" i="2" a="1"/>
  <c r="FT14" i="2" s="1"/>
  <c r="FU14" i="2" a="1"/>
  <c r="FU14" i="2" s="1"/>
  <c r="FV14" i="2" a="1"/>
  <c r="FV14" i="2" s="1"/>
  <c r="FW14" i="2" a="1"/>
  <c r="FW14" i="2" s="1"/>
  <c r="FX14" i="2" a="1"/>
  <c r="FX14" i="2" s="1"/>
  <c r="FY14" i="2" a="1"/>
  <c r="FY14" i="2" s="1"/>
  <c r="FZ14" i="2" a="1"/>
  <c r="FZ14" i="2" s="1"/>
  <c r="GA14" i="2" a="1"/>
  <c r="GA14" i="2" s="1"/>
  <c r="GB14" i="2" a="1"/>
  <c r="GB14" i="2" s="1"/>
  <c r="GC14" i="2" a="1"/>
  <c r="GC14" i="2" s="1"/>
  <c r="GD14" i="2" a="1"/>
  <c r="GD14" i="2" s="1"/>
  <c r="GE14" i="2" a="1"/>
  <c r="GE14" i="2" s="1"/>
  <c r="GF14" i="2" a="1"/>
  <c r="GF14" i="2" s="1"/>
  <c r="GG14" i="2" a="1"/>
  <c r="GG14" i="2" s="1"/>
  <c r="GH14" i="2" a="1"/>
  <c r="GH14" i="2" s="1"/>
  <c r="GI14" i="2" a="1"/>
  <c r="GI14" i="2" s="1"/>
  <c r="GJ14" i="2" a="1"/>
  <c r="GJ14" i="2" s="1"/>
  <c r="GK14" i="2" a="1"/>
  <c r="GK14" i="2" s="1"/>
  <c r="GL14" i="2" a="1"/>
  <c r="GL14" i="2" s="1"/>
  <c r="GM14" i="2" a="1"/>
  <c r="GM14" i="2" s="1"/>
  <c r="GN14" i="2" a="1"/>
  <c r="GN14" i="2" s="1"/>
  <c r="GO14" i="2" a="1"/>
  <c r="GO14" i="2" s="1"/>
  <c r="GP14" i="2" a="1"/>
  <c r="GP14" i="2" s="1"/>
  <c r="GQ14" i="2" a="1"/>
  <c r="GQ14" i="2" s="1"/>
  <c r="GR14" i="2" a="1"/>
  <c r="GR14" i="2" s="1"/>
  <c r="GS14" i="2" a="1"/>
  <c r="GS14" i="2" s="1"/>
  <c r="GT14" i="2" a="1"/>
  <c r="GT14" i="2" s="1"/>
  <c r="GU14" i="2" a="1"/>
  <c r="GU14" i="2" s="1"/>
  <c r="GV14" i="2" a="1"/>
  <c r="GV14" i="2" s="1"/>
  <c r="GW14" i="2" a="1"/>
  <c r="GW14" i="2" s="1"/>
  <c r="GX14" i="2" a="1"/>
  <c r="GX14" i="2" s="1"/>
  <c r="GY14" i="2" a="1"/>
  <c r="GY14" i="2" s="1"/>
  <c r="GZ14" i="2" a="1"/>
  <c r="GZ14" i="2" s="1"/>
  <c r="HA14" i="2" a="1"/>
  <c r="HA14" i="2" s="1"/>
  <c r="HB14" i="2" a="1"/>
  <c r="HB14" i="2" s="1"/>
  <c r="HC14" i="2" a="1"/>
  <c r="HC14" i="2" s="1"/>
  <c r="HD14" i="2" a="1"/>
  <c r="HD14" i="2" s="1"/>
  <c r="HE14" i="2" a="1"/>
  <c r="HE14" i="2" s="1"/>
  <c r="HF14" i="2" a="1"/>
  <c r="HF14" i="2" s="1"/>
  <c r="HG14" i="2" a="1"/>
  <c r="HG14" i="2" s="1"/>
  <c r="HH14" i="2" a="1"/>
  <c r="HH14" i="2" s="1"/>
  <c r="HI14" i="2" a="1"/>
  <c r="HI14" i="2" s="1"/>
  <c r="HJ14" i="2" a="1"/>
  <c r="HJ14" i="2" s="1"/>
  <c r="HK14" i="2" a="1"/>
  <c r="HK14" i="2" s="1"/>
  <c r="HL14" i="2" a="1"/>
  <c r="HL14" i="2" s="1"/>
  <c r="HM14" i="2" a="1"/>
  <c r="HM14" i="2" s="1"/>
  <c r="HN14" i="2" a="1"/>
  <c r="HN14" i="2" s="1"/>
  <c r="HO14" i="2" a="1"/>
  <c r="HO14" i="2" s="1"/>
  <c r="HP14" i="2" a="1"/>
  <c r="HP14" i="2" s="1"/>
  <c r="HQ14" i="2" a="1"/>
  <c r="HQ14" i="2" s="1"/>
  <c r="HR14" i="2" a="1"/>
  <c r="HR14" i="2" s="1"/>
  <c r="HS14" i="2" a="1"/>
  <c r="HS14" i="2" s="1"/>
  <c r="HT14" i="2" a="1"/>
  <c r="HT14" i="2" s="1"/>
  <c r="HU14" i="2" a="1"/>
  <c r="HU14" i="2" s="1"/>
  <c r="HV14" i="2" a="1"/>
  <c r="HV14" i="2" s="1"/>
  <c r="HW14" i="2" a="1"/>
  <c r="HW14" i="2" s="1"/>
  <c r="HX14" i="2" a="1"/>
  <c r="HX14" i="2" s="1"/>
  <c r="HY14" i="2" a="1"/>
  <c r="HY14" i="2" s="1"/>
  <c r="HZ14" i="2" a="1"/>
  <c r="HZ14" i="2" s="1"/>
  <c r="IA14" i="2" a="1"/>
  <c r="IA14" i="2" s="1"/>
  <c r="IB14" i="2" a="1"/>
  <c r="IB14" i="2" s="1"/>
  <c r="IC14" i="2" a="1"/>
  <c r="IC14" i="2" s="1"/>
  <c r="ID14" i="2" a="1"/>
  <c r="ID14" i="2" s="1"/>
  <c r="IE14" i="2" a="1"/>
  <c r="IE14" i="2" s="1"/>
  <c r="IF14" i="2" a="1"/>
  <c r="IF14" i="2" s="1"/>
  <c r="IG14" i="2" a="1"/>
  <c r="IG14" i="2" s="1"/>
  <c r="IH14" i="2" a="1"/>
  <c r="IH14" i="2" s="1"/>
  <c r="II14" i="2" a="1"/>
  <c r="II14" i="2" s="1"/>
  <c r="IJ14" i="2" a="1"/>
  <c r="IJ14" i="2" s="1"/>
  <c r="IK14" i="2" a="1"/>
  <c r="IK14" i="2" s="1"/>
  <c r="IL14" i="2" a="1"/>
  <c r="IL14" i="2" s="1"/>
  <c r="IM14" i="2" a="1"/>
  <c r="IM14" i="2" s="1"/>
  <c r="IN14" i="2" a="1"/>
  <c r="IN14" i="2" s="1"/>
  <c r="IO14" i="2" a="1"/>
  <c r="IO14" i="2" s="1"/>
  <c r="IP14" i="2" a="1"/>
  <c r="IP14" i="2" s="1"/>
  <c r="IQ14" i="2" a="1"/>
  <c r="IQ14" i="2" s="1"/>
  <c r="IR14" i="2" a="1"/>
  <c r="IR14" i="2" s="1"/>
  <c r="IS14" i="2" a="1"/>
  <c r="IS14" i="2" s="1"/>
  <c r="IT14" i="2" a="1"/>
  <c r="IT14" i="2" s="1"/>
  <c r="IU14" i="2" a="1"/>
  <c r="IU14" i="2" s="1"/>
  <c r="IV14" i="2" a="1"/>
  <c r="IV14" i="2" s="1"/>
  <c r="IW14" i="2" a="1"/>
  <c r="IW14" i="2" s="1"/>
  <c r="IX14" i="2" a="1"/>
  <c r="IX14" i="2" s="1"/>
  <c r="IY14" i="2" a="1"/>
  <c r="IY14" i="2" s="1"/>
  <c r="IZ14" i="2" a="1"/>
  <c r="IZ14" i="2" s="1"/>
  <c r="JA14" i="2" a="1"/>
  <c r="JA14" i="2" s="1"/>
  <c r="JB14" i="2" a="1"/>
  <c r="JB14" i="2" s="1"/>
  <c r="JC14" i="2" a="1"/>
  <c r="JC14" i="2" s="1"/>
  <c r="JD14" i="2" a="1"/>
  <c r="JD14" i="2" s="1"/>
  <c r="JE14" i="2" a="1"/>
  <c r="JE14" i="2" s="1"/>
  <c r="JF14" i="2" a="1"/>
  <c r="JF14" i="2" s="1"/>
  <c r="JG14" i="2" a="1"/>
  <c r="JG14" i="2" s="1"/>
  <c r="JH14" i="2" a="1"/>
  <c r="JH14" i="2" s="1"/>
  <c r="AD14" i="2" a="1"/>
  <c r="AD14" i="2" s="1"/>
  <c r="AD40" i="2" s="1"/>
  <c r="T4" i="2"/>
  <c r="AE17" i="2" s="1" a="1"/>
  <c r="AE17" i="2" s="1"/>
  <c r="AD64" i="2" s="1"/>
  <c r="AF17" i="2" a="1"/>
  <c r="AF17" i="2" s="1"/>
  <c r="AD85" i="2" s="1"/>
  <c r="T5" i="2"/>
  <c r="AG17" i="2" s="1" a="1"/>
  <c r="AG17" i="2" s="1"/>
  <c r="AD106" i="2" s="1"/>
  <c r="AH17" i="2" a="1"/>
  <c r="AH17" i="2" s="1"/>
  <c r="AD127" i="2" s="1"/>
  <c r="T6" i="2"/>
  <c r="AI17" i="2" s="1" a="1"/>
  <c r="AI17" i="2" s="1"/>
  <c r="AD148" i="2" s="1"/>
  <c r="AJ17" i="2" a="1"/>
  <c r="AJ17" i="2" s="1"/>
  <c r="AD169" i="2" s="1"/>
  <c r="AK17" i="2" a="1"/>
  <c r="AK17" i="2" s="1"/>
  <c r="AD190" i="2" s="1"/>
  <c r="T7" i="2"/>
  <c r="AL17" i="2" s="1" a="1"/>
  <c r="AL17" i="2" s="1"/>
  <c r="AD211" i="2" s="1"/>
  <c r="AM17" i="2" a="1"/>
  <c r="AM17" i="2" s="1"/>
  <c r="AD232" i="2" s="1"/>
  <c r="AN17" i="2" a="1"/>
  <c r="AN17" i="2" s="1"/>
  <c r="AD253" i="2" s="1"/>
  <c r="T8" i="2"/>
  <c r="AO17" i="2" s="1" a="1"/>
  <c r="AO17" i="2" s="1"/>
  <c r="AD274" i="2" s="1"/>
  <c r="AP17" i="2" a="1"/>
  <c r="AP17" i="2" s="1"/>
  <c r="AD295" i="2" s="1"/>
  <c r="T9" i="2"/>
  <c r="AQ17" i="2" s="1" a="1"/>
  <c r="AQ17" i="2" s="1"/>
  <c r="AD316" i="2" s="1"/>
  <c r="T10" i="2"/>
  <c r="AR17" i="2" s="1" a="1"/>
  <c r="AR17" i="2" s="1"/>
  <c r="AD337" i="2" s="1"/>
  <c r="T11" i="2"/>
  <c r="AS17" i="2" s="1" a="1"/>
  <c r="AS17" i="2" s="1"/>
  <c r="AD358" i="2" s="1"/>
  <c r="T12" i="2"/>
  <c r="AT17" i="2" s="1" a="1"/>
  <c r="AT17" i="2" s="1"/>
  <c r="AD379" i="2" s="1"/>
  <c r="AU17" i="2" a="1"/>
  <c r="AU17" i="2" s="1"/>
  <c r="AD400" i="2" s="1"/>
  <c r="T13" i="2"/>
  <c r="AV17" i="2" s="1" a="1"/>
  <c r="AV17" i="2" s="1"/>
  <c r="AD421" i="2" s="1"/>
  <c r="T14" i="2"/>
  <c r="AW17" i="2" s="1" a="1"/>
  <c r="AW17" i="2" s="1"/>
  <c r="AD442" i="2" s="1"/>
  <c r="AX17" i="2" a="1"/>
  <c r="AX17" i="2" s="1"/>
  <c r="AD463" i="2" s="1"/>
  <c r="T15" i="2"/>
  <c r="AY17" i="2" s="1" a="1"/>
  <c r="AY17" i="2" s="1"/>
  <c r="AD484" i="2" s="1"/>
  <c r="T16" i="2"/>
  <c r="AZ17" i="2" s="1" a="1"/>
  <c r="AZ17" i="2" s="1"/>
  <c r="AD505" i="2" s="1"/>
  <c r="T17" i="2"/>
  <c r="BA17" i="2" s="1" a="1"/>
  <c r="BA17" i="2" s="1"/>
  <c r="AD526" i="2" s="1"/>
  <c r="T18" i="2"/>
  <c r="BB17" i="2" s="1" a="1"/>
  <c r="BB17" i="2" s="1"/>
  <c r="AD547" i="2" s="1"/>
  <c r="T19" i="2"/>
  <c r="BC17" i="2" s="1" a="1"/>
  <c r="BC17" i="2" s="1"/>
  <c r="AD568" i="2" s="1"/>
  <c r="T20" i="2"/>
  <c r="BD17" i="2" s="1" a="1"/>
  <c r="BD17" i="2" s="1"/>
  <c r="AD589" i="2" s="1"/>
  <c r="T21" i="2"/>
  <c r="BE17" i="2" s="1" a="1"/>
  <c r="BE17" i="2" s="1"/>
  <c r="AD610" i="2" s="1"/>
  <c r="T22" i="2"/>
  <c r="BF17" i="2" s="1" a="1"/>
  <c r="BF17" i="2" s="1"/>
  <c r="AD631" i="2" s="1"/>
  <c r="T23" i="2"/>
  <c r="BG17" i="2" s="1" a="1"/>
  <c r="BG17" i="2" s="1"/>
  <c r="AD652" i="2" s="1"/>
  <c r="BH17" i="2" a="1"/>
  <c r="BH17" i="2" s="1"/>
  <c r="AD673" i="2" s="1"/>
  <c r="T24" i="2"/>
  <c r="BI17" i="2" s="1" a="1"/>
  <c r="BI17" i="2" s="1"/>
  <c r="AD694" i="2" s="1"/>
  <c r="BJ17" i="2" a="1"/>
  <c r="BJ17" i="2" s="1"/>
  <c r="AD715" i="2" s="1"/>
  <c r="T25" i="2"/>
  <c r="BK17" i="2" s="1" a="1"/>
  <c r="BK17" i="2" s="1"/>
  <c r="AD736" i="2" s="1"/>
  <c r="BL17" i="2" a="1"/>
  <c r="BL17" i="2" s="1"/>
  <c r="AD757" i="2" s="1"/>
  <c r="T26" i="2"/>
  <c r="BM17" i="2" s="1" a="1"/>
  <c r="BM17" i="2" s="1"/>
  <c r="AD778" i="2" s="1"/>
  <c r="BN17" i="2" a="1"/>
  <c r="BN17" i="2" s="1"/>
  <c r="AD799" i="2" s="1"/>
  <c r="T27" i="2"/>
  <c r="BO17" i="2" s="1" a="1"/>
  <c r="BO17" i="2" s="1"/>
  <c r="AD820" i="2" s="1"/>
  <c r="BP17" i="2" a="1"/>
  <c r="BP17" i="2" s="1"/>
  <c r="AD841" i="2" s="1"/>
  <c r="BQ17" i="2" a="1"/>
  <c r="BQ17" i="2" s="1"/>
  <c r="AD862" i="2" s="1"/>
  <c r="T28" i="2"/>
  <c r="BR17" i="2" s="1" a="1"/>
  <c r="BR17" i="2" s="1"/>
  <c r="AD883" i="2" s="1"/>
  <c r="T29" i="2"/>
  <c r="BS17" i="2" s="1" a="1"/>
  <c r="BS17" i="2" s="1"/>
  <c r="AD904" i="2" s="1"/>
  <c r="T30" i="2"/>
  <c r="BT17" i="2" s="1" a="1"/>
  <c r="BT17" i="2" s="1"/>
  <c r="AD925" i="2" s="1"/>
  <c r="T31" i="2"/>
  <c r="BU17" i="2" s="1" a="1"/>
  <c r="BU17" i="2" s="1"/>
  <c r="AD946" i="2" s="1"/>
  <c r="T32" i="2"/>
  <c r="BV17" i="2" s="1" a="1"/>
  <c r="BV17" i="2" s="1"/>
  <c r="AD967" i="2" s="1"/>
  <c r="T33" i="2"/>
  <c r="BW17" i="2" s="1" a="1"/>
  <c r="BW17" i="2" s="1"/>
  <c r="AD988" i="2" s="1"/>
  <c r="T34" i="2"/>
  <c r="BX17" i="2" s="1" a="1"/>
  <c r="BX17" i="2" s="1"/>
  <c r="AD1009" i="2" s="1"/>
  <c r="T35" i="2"/>
  <c r="BY17" i="2" s="1" a="1"/>
  <c r="BY17" i="2" s="1"/>
  <c r="AD1030" i="2" s="1"/>
  <c r="T36" i="2"/>
  <c r="BZ17" i="2" s="1" a="1"/>
  <c r="BZ17" i="2" s="1"/>
  <c r="AD1051" i="2" s="1"/>
  <c r="CA17" i="2" a="1"/>
  <c r="CA17" i="2" s="1"/>
  <c r="AD1072" i="2" s="1"/>
  <c r="T37" i="2"/>
  <c r="CB17" i="2" s="1" a="1"/>
  <c r="CB17" i="2" s="1"/>
  <c r="AD1093" i="2" s="1"/>
  <c r="T38" i="2"/>
  <c r="CC17" i="2" s="1" a="1"/>
  <c r="CC17" i="2" s="1"/>
  <c r="AD1114" i="2" s="1"/>
  <c r="T39" i="2"/>
  <c r="CD17" i="2" s="1" a="1"/>
  <c r="CD17" i="2" s="1"/>
  <c r="AD1135" i="2" s="1"/>
  <c r="T40" i="2"/>
  <c r="CE17" i="2" s="1" a="1"/>
  <c r="CE17" i="2" s="1"/>
  <c r="AD1156" i="2" s="1"/>
  <c r="T41" i="2"/>
  <c r="CF17" i="2" s="1" a="1"/>
  <c r="CF17" i="2" s="1"/>
  <c r="AD1177" i="2" s="1"/>
  <c r="T42" i="2"/>
  <c r="CG17" i="2" s="1" a="1"/>
  <c r="CG17" i="2" s="1"/>
  <c r="AD1198" i="2" s="1"/>
  <c r="T43" i="2"/>
  <c r="CH17" i="2" s="1" a="1"/>
  <c r="CH17" i="2" s="1"/>
  <c r="AD1219" i="2" s="1"/>
  <c r="CI17" i="2" a="1"/>
  <c r="CI17" i="2" s="1"/>
  <c r="AD1240" i="2" s="1"/>
  <c r="T44" i="2"/>
  <c r="CJ17" i="2" s="1" a="1"/>
  <c r="CJ17" i="2" s="1"/>
  <c r="AD1261" i="2" s="1"/>
  <c r="T45" i="2"/>
  <c r="CK17" i="2" s="1" a="1"/>
  <c r="CK17" i="2" s="1"/>
  <c r="AD1282" i="2" s="1"/>
  <c r="T46" i="2"/>
  <c r="CL17" i="2" s="1" a="1"/>
  <c r="CL17" i="2" s="1"/>
  <c r="AD1303" i="2" s="1"/>
  <c r="T47" i="2"/>
  <c r="CM17" i="2" s="1" a="1"/>
  <c r="CM17" i="2" s="1"/>
  <c r="AD1324" i="2" s="1"/>
  <c r="T48" i="2"/>
  <c r="CN17" i="2" s="1" a="1"/>
  <c r="CN17" i="2" s="1"/>
  <c r="AD1345" i="2" s="1"/>
  <c r="T49" i="2"/>
  <c r="CO17" i="2" s="1" a="1"/>
  <c r="CO17" i="2" s="1"/>
  <c r="AD1366" i="2" s="1"/>
  <c r="T50" i="2"/>
  <c r="CP17" i="2" s="1" a="1"/>
  <c r="CP17" i="2" s="1"/>
  <c r="AD1387" i="2" s="1"/>
  <c r="T51" i="2"/>
  <c r="CQ17" i="2" s="1" a="1"/>
  <c r="CQ17" i="2" s="1"/>
  <c r="AD1408" i="2" s="1"/>
  <c r="T52" i="2"/>
  <c r="CR17" i="2" s="1" a="1"/>
  <c r="CR17" i="2" s="1"/>
  <c r="AD1429" i="2" s="1"/>
  <c r="T53" i="2"/>
  <c r="CS17" i="2" s="1" a="1"/>
  <c r="CS17" i="2" s="1"/>
  <c r="AD1450" i="2" s="1"/>
  <c r="T54" i="2"/>
  <c r="CT17" i="2" s="1" a="1"/>
  <c r="CT17" i="2" s="1"/>
  <c r="AD1471" i="2" s="1"/>
  <c r="T55" i="2"/>
  <c r="CU17" i="2" s="1" a="1"/>
  <c r="CU17" i="2" s="1"/>
  <c r="AD1492" i="2" s="1"/>
  <c r="T56" i="2"/>
  <c r="CV17" i="2" s="1" a="1"/>
  <c r="CV17" i="2" s="1"/>
  <c r="AD1513" i="2" s="1"/>
  <c r="T57" i="2"/>
  <c r="CW17" i="2" s="1" a="1"/>
  <c r="CW17" i="2" s="1"/>
  <c r="AD1534" i="2" s="1"/>
  <c r="T58" i="2"/>
  <c r="CX17" i="2" s="1" a="1"/>
  <c r="CX17" i="2" s="1"/>
  <c r="AD1555" i="2" s="1"/>
  <c r="T59" i="2"/>
  <c r="CY17" i="2" s="1" a="1"/>
  <c r="CY17" i="2" s="1"/>
  <c r="AD1576" i="2" s="1"/>
  <c r="T60" i="2"/>
  <c r="CZ17" i="2" s="1" a="1"/>
  <c r="CZ17" i="2" s="1"/>
  <c r="AD1597" i="2" s="1"/>
  <c r="DA17" i="2" a="1"/>
  <c r="DA17" i="2" s="1"/>
  <c r="AD1618" i="2" s="1"/>
  <c r="T61" i="2"/>
  <c r="DB17" i="2" s="1" a="1"/>
  <c r="DB17" i="2" s="1"/>
  <c r="AD1639" i="2" s="1"/>
  <c r="DC17" i="2" a="1"/>
  <c r="DC17" i="2" s="1"/>
  <c r="AD1660" i="2" s="1"/>
  <c r="T62" i="2"/>
  <c r="DD17" i="2" s="1" a="1"/>
  <c r="DD17" i="2" s="1"/>
  <c r="AD1681" i="2" s="1"/>
  <c r="T63" i="2"/>
  <c r="DE17" i="2" s="1" a="1"/>
  <c r="DE17" i="2" s="1"/>
  <c r="AD1702" i="2" s="1"/>
  <c r="T64" i="2"/>
  <c r="DF17" i="2" s="1" a="1"/>
  <c r="DF17" i="2" s="1"/>
  <c r="AD1723" i="2" s="1"/>
  <c r="T65" i="2"/>
  <c r="DG17" i="2" s="1" a="1"/>
  <c r="DG17" i="2" s="1"/>
  <c r="AD1744" i="2" s="1"/>
  <c r="DH17" i="2" a="1"/>
  <c r="DH17" i="2" s="1"/>
  <c r="AD1765" i="2" s="1"/>
  <c r="T66" i="2"/>
  <c r="DI17" i="2" s="1" a="1"/>
  <c r="DI17" i="2" s="1"/>
  <c r="AD1786" i="2" s="1"/>
  <c r="T67" i="2"/>
  <c r="DJ17" i="2" s="1" a="1"/>
  <c r="DJ17" i="2" s="1"/>
  <c r="AD1807" i="2" s="1"/>
  <c r="T68" i="2"/>
  <c r="DK17" i="2" s="1" a="1"/>
  <c r="DK17" i="2" s="1"/>
  <c r="AD1828" i="2" s="1"/>
  <c r="T69" i="2"/>
  <c r="DL17" i="2" s="1" a="1"/>
  <c r="DL17" i="2" s="1"/>
  <c r="AD1849" i="2" s="1"/>
  <c r="DM17" i="2" a="1"/>
  <c r="DM17" i="2" s="1"/>
  <c r="AD1870" i="2" s="1"/>
  <c r="T70" i="2"/>
  <c r="DN17" i="2" s="1" a="1"/>
  <c r="DN17" i="2" s="1"/>
  <c r="AD1891" i="2" s="1"/>
  <c r="DO17" i="2" a="1"/>
  <c r="DO17" i="2" s="1"/>
  <c r="AD1912" i="2" s="1"/>
  <c r="DP17" i="2" a="1"/>
  <c r="DP17" i="2" s="1"/>
  <c r="AD1933" i="2" s="1"/>
  <c r="T71" i="2"/>
  <c r="DQ17" i="2" s="1" a="1"/>
  <c r="DQ17" i="2" s="1"/>
  <c r="AD1954" i="2" s="1"/>
  <c r="DR17" i="2" a="1"/>
  <c r="DR17" i="2" s="1"/>
  <c r="AD1975" i="2" s="1"/>
  <c r="T72" i="2"/>
  <c r="DS17" i="2" s="1" a="1"/>
  <c r="DS17" i="2" s="1"/>
  <c r="AD1996" i="2" s="1"/>
  <c r="DT17" i="2" a="1"/>
  <c r="DT17" i="2" s="1"/>
  <c r="AD2017" i="2" s="1"/>
  <c r="T73" i="2"/>
  <c r="DU17" i="2" s="1" a="1"/>
  <c r="DU17" i="2" s="1"/>
  <c r="AD2038" i="2" s="1"/>
  <c r="DV17" i="2" a="1"/>
  <c r="DV17" i="2" s="1"/>
  <c r="AD2059" i="2" s="1"/>
  <c r="T74" i="2"/>
  <c r="DW17" i="2" s="1" a="1"/>
  <c r="DW17" i="2" s="1"/>
  <c r="AD2080" i="2" s="1"/>
  <c r="DX17" i="2" a="1"/>
  <c r="DX17" i="2" s="1"/>
  <c r="AD2101" i="2" s="1"/>
  <c r="DY17" i="2" a="1"/>
  <c r="DY17" i="2" s="1"/>
  <c r="AD2122" i="2" s="1"/>
  <c r="T75" i="2"/>
  <c r="DZ17" i="2" s="1" a="1"/>
  <c r="DZ17" i="2" s="1"/>
  <c r="AD2143" i="2" s="1"/>
  <c r="EA17" i="2" a="1"/>
  <c r="EA17" i="2" s="1"/>
  <c r="AD2164" i="2" s="1"/>
  <c r="T76" i="2"/>
  <c r="EB17" i="2" s="1" a="1"/>
  <c r="EB17" i="2" s="1"/>
  <c r="AD2185" i="2" s="1"/>
  <c r="EC17" i="2" a="1"/>
  <c r="EC17" i="2" s="1"/>
  <c r="AD2206" i="2" s="1"/>
  <c r="T77" i="2"/>
  <c r="ED17" i="2" s="1" a="1"/>
  <c r="ED17" i="2" s="1"/>
  <c r="AD2227" i="2" s="1"/>
  <c r="T78" i="2"/>
  <c r="EE17" i="2" s="1" a="1"/>
  <c r="EE17" i="2" s="1"/>
  <c r="AD2248" i="2" s="1"/>
  <c r="EF17" i="2" a="1"/>
  <c r="EF17" i="2" s="1"/>
  <c r="AD2269" i="2" s="1"/>
  <c r="T79" i="2"/>
  <c r="EG17" i="2" s="1" a="1"/>
  <c r="EG17" i="2" s="1"/>
  <c r="AD2290" i="2" s="1"/>
  <c r="EH17" i="2" a="1"/>
  <c r="EH17" i="2" s="1"/>
  <c r="AD2311" i="2" s="1"/>
  <c r="EI17" i="2" a="1"/>
  <c r="EI17" i="2" s="1"/>
  <c r="AD2332" i="2" s="1"/>
  <c r="T80" i="2"/>
  <c r="EJ17" i="2" s="1" a="1"/>
  <c r="EJ17" i="2" s="1"/>
  <c r="AD2353" i="2" s="1"/>
  <c r="EK17" i="2" a="1"/>
  <c r="EK17" i="2" s="1"/>
  <c r="AD2374" i="2" s="1"/>
  <c r="T81" i="2"/>
  <c r="EL17" i="2" s="1" a="1"/>
  <c r="EL17" i="2" s="1"/>
  <c r="AD2395" i="2" s="1"/>
  <c r="EM17" i="2" a="1"/>
  <c r="EM17" i="2" s="1"/>
  <c r="AD2416" i="2" s="1"/>
  <c r="T82" i="2"/>
  <c r="EN17" i="2" s="1" a="1"/>
  <c r="EN17" i="2" s="1"/>
  <c r="AD2437" i="2" s="1"/>
  <c r="T83" i="2"/>
  <c r="EO17" i="2" s="1" a="1"/>
  <c r="EO17" i="2" s="1"/>
  <c r="AD2458" i="2" s="1"/>
  <c r="T84" i="2"/>
  <c r="EP17" i="2" s="1" a="1"/>
  <c r="EP17" i="2" s="1"/>
  <c r="AD2479" i="2" s="1"/>
  <c r="T85" i="2"/>
  <c r="EQ17" i="2" s="1" a="1"/>
  <c r="EQ17" i="2" s="1"/>
  <c r="AD2500" i="2" s="1"/>
  <c r="T86" i="2"/>
  <c r="ER17" i="2" s="1" a="1"/>
  <c r="ER17" i="2" s="1"/>
  <c r="AD2521" i="2" s="1"/>
  <c r="T87" i="2"/>
  <c r="ES17" i="2" s="1" a="1"/>
  <c r="ES17" i="2" s="1"/>
  <c r="AD2542" i="2" s="1"/>
  <c r="T88" i="2"/>
  <c r="ET17" i="2" s="1" a="1"/>
  <c r="ET17" i="2" s="1"/>
  <c r="AD2563" i="2" s="1"/>
  <c r="EU17" i="2" a="1"/>
  <c r="EU17" i="2" s="1"/>
  <c r="AD2584" i="2" s="1"/>
  <c r="T89" i="2"/>
  <c r="EV17" i="2" s="1" a="1"/>
  <c r="EV17" i="2" s="1"/>
  <c r="AD2605" i="2" s="1"/>
  <c r="EW17" i="2" a="1"/>
  <c r="EW17" i="2" s="1"/>
  <c r="AD2626" i="2" s="1"/>
  <c r="T90" i="2"/>
  <c r="EX17" i="2" s="1" a="1"/>
  <c r="EX17" i="2" s="1"/>
  <c r="AD2647" i="2" s="1"/>
  <c r="EY17" i="2" a="1"/>
  <c r="EY17" i="2" s="1"/>
  <c r="AD2668" i="2" s="1"/>
  <c r="T91" i="2"/>
  <c r="EZ17" i="2" s="1" a="1"/>
  <c r="EZ17" i="2" s="1"/>
  <c r="AD2689" i="2" s="1"/>
  <c r="T92" i="2"/>
  <c r="FA17" i="2" s="1" a="1"/>
  <c r="FA17" i="2" s="1"/>
  <c r="AD2710" i="2" s="1"/>
  <c r="FB17" i="2" a="1"/>
  <c r="FB17" i="2" s="1"/>
  <c r="AD2731" i="2" s="1"/>
  <c r="T93" i="2"/>
  <c r="FC17" i="2" s="1" a="1"/>
  <c r="FC17" i="2" s="1"/>
  <c r="AD2752" i="2" s="1"/>
  <c r="T94" i="2"/>
  <c r="FD17" i="2" s="1" a="1"/>
  <c r="FD17" i="2" s="1"/>
  <c r="AD2773" i="2" s="1"/>
  <c r="T95" i="2"/>
  <c r="FE17" i="2" s="1" a="1"/>
  <c r="FE17" i="2" s="1"/>
  <c r="AD2794" i="2" s="1"/>
  <c r="T96" i="2"/>
  <c r="FF17" i="2" s="1" a="1"/>
  <c r="FF17" i="2" s="1"/>
  <c r="AD2815" i="2" s="1"/>
  <c r="T97" i="2"/>
  <c r="FG17" i="2" s="1" a="1"/>
  <c r="FG17" i="2" s="1"/>
  <c r="AD2836" i="2" s="1"/>
  <c r="FH17" i="2" a="1"/>
  <c r="FH17" i="2" s="1"/>
  <c r="AD2857" i="2" s="1"/>
  <c r="T98" i="2"/>
  <c r="FI17" i="2" s="1" a="1"/>
  <c r="FI17" i="2" s="1"/>
  <c r="AD2878" i="2" s="1"/>
  <c r="T99" i="2"/>
  <c r="FJ17" i="2" s="1" a="1"/>
  <c r="FJ17" i="2" s="1"/>
  <c r="AD2899" i="2" s="1"/>
  <c r="T100" i="2"/>
  <c r="FK17" i="2" s="1" a="1"/>
  <c r="FK17" i="2" s="1"/>
  <c r="AD2920" i="2" s="1"/>
  <c r="T101" i="2"/>
  <c r="FL17" i="2" s="1" a="1"/>
  <c r="FL17" i="2" s="1"/>
  <c r="AD2941" i="2" s="1"/>
  <c r="T102" i="2"/>
  <c r="FM17" i="2" s="1" a="1"/>
  <c r="FM17" i="2" s="1"/>
  <c r="AD2962" i="2" s="1"/>
  <c r="T103" i="2"/>
  <c r="FN17" i="2" s="1" a="1"/>
  <c r="FN17" i="2" s="1"/>
  <c r="AD2983" i="2" s="1"/>
  <c r="T104" i="2"/>
  <c r="FO17" i="2" s="1" a="1"/>
  <c r="FO17" i="2" s="1"/>
  <c r="AD3004" i="2" s="1"/>
  <c r="T105" i="2"/>
  <c r="FP17" i="2" s="1" a="1"/>
  <c r="FP17" i="2" s="1"/>
  <c r="AD3025" i="2" s="1"/>
  <c r="FQ17" i="2" a="1"/>
  <c r="FQ17" i="2" s="1"/>
  <c r="T106" i="2"/>
  <c r="FR17" i="2" s="1" a="1"/>
  <c r="FR17" i="2" s="1"/>
  <c r="T107" i="2"/>
  <c r="FS17" i="2" s="1" a="1"/>
  <c r="FS17" i="2" s="1"/>
  <c r="T108" i="2"/>
  <c r="FT17" i="2" s="1" a="1"/>
  <c r="FT17" i="2" s="1"/>
  <c r="T109" i="2"/>
  <c r="FU17" i="2" s="1" a="1"/>
  <c r="FU17" i="2" s="1"/>
  <c r="T110" i="2"/>
  <c r="FV17" i="2" s="1" a="1"/>
  <c r="FV17" i="2" s="1"/>
  <c r="T111" i="2"/>
  <c r="FW17" i="2" s="1" a="1"/>
  <c r="FW17" i="2" s="1"/>
  <c r="FX17" i="2" a="1"/>
  <c r="FX17" i="2" s="1"/>
  <c r="T112" i="2"/>
  <c r="FY17" i="2" s="1" a="1"/>
  <c r="FY17" i="2" s="1"/>
  <c r="T113" i="2"/>
  <c r="FZ17" i="2" s="1" a="1"/>
  <c r="FZ17" i="2" s="1"/>
  <c r="T114" i="2"/>
  <c r="GA17" i="2" s="1" a="1"/>
  <c r="GA17" i="2" s="1"/>
  <c r="T115" i="2"/>
  <c r="GB17" i="2" s="1" a="1"/>
  <c r="GB17" i="2" s="1"/>
  <c r="GC17" i="2" a="1"/>
  <c r="GC17" i="2" s="1"/>
  <c r="T116" i="2"/>
  <c r="GD17" i="2" s="1" a="1"/>
  <c r="GD17" i="2" s="1"/>
  <c r="GE17" i="2" a="1"/>
  <c r="GE17" i="2" s="1"/>
  <c r="T117" i="2"/>
  <c r="GF17" i="2" s="1" a="1"/>
  <c r="GF17" i="2" s="1"/>
  <c r="T118" i="2"/>
  <c r="GG17" i="2" s="1" a="1"/>
  <c r="GG17" i="2" s="1"/>
  <c r="T119" i="2"/>
  <c r="GH17" i="2" s="1" a="1"/>
  <c r="GH17" i="2" s="1"/>
  <c r="GI17" i="2" a="1"/>
  <c r="GI17" i="2" s="1"/>
  <c r="T120" i="2"/>
  <c r="GJ17" i="2" s="1" a="1"/>
  <c r="GJ17" i="2" s="1"/>
  <c r="GK17" i="2" a="1"/>
  <c r="GK17" i="2" s="1"/>
  <c r="GL17" i="2" a="1"/>
  <c r="GL17" i="2" s="1"/>
  <c r="GM17" i="2" a="1"/>
  <c r="GM17" i="2" s="1"/>
  <c r="T121" i="2"/>
  <c r="GN17" i="2" s="1" a="1"/>
  <c r="GN17" i="2" s="1"/>
  <c r="T122" i="2"/>
  <c r="GO17" i="2" s="1" a="1"/>
  <c r="GO17" i="2" s="1"/>
  <c r="T123" i="2"/>
  <c r="GP17" i="2" s="1" a="1"/>
  <c r="GP17" i="2" s="1"/>
  <c r="T124" i="2"/>
  <c r="GQ17" i="2" s="1" a="1"/>
  <c r="GQ17" i="2" s="1"/>
  <c r="T125" i="2"/>
  <c r="GR17" i="2" s="1" a="1"/>
  <c r="GR17" i="2" s="1"/>
  <c r="T126" i="2"/>
  <c r="GS17" i="2" s="1" a="1"/>
  <c r="GS17" i="2" s="1"/>
  <c r="T127" i="2"/>
  <c r="GT17" i="2" s="1" a="1"/>
  <c r="GT17" i="2" s="1"/>
  <c r="T128" i="2"/>
  <c r="GU17" i="2" s="1" a="1"/>
  <c r="GU17" i="2" s="1"/>
  <c r="T129" i="2"/>
  <c r="GV17" i="2" s="1" a="1"/>
  <c r="GV17" i="2" s="1"/>
  <c r="T130" i="2"/>
  <c r="GW17" i="2" s="1" a="1"/>
  <c r="GW17" i="2" s="1"/>
  <c r="T131" i="2"/>
  <c r="GX17" i="2" s="1" a="1"/>
  <c r="GX17" i="2" s="1"/>
  <c r="T132" i="2"/>
  <c r="GY17" i="2" s="1" a="1"/>
  <c r="GY17" i="2" s="1"/>
  <c r="T133" i="2"/>
  <c r="GZ17" i="2" s="1" a="1"/>
  <c r="GZ17" i="2" s="1"/>
  <c r="T134" i="2"/>
  <c r="HA17" i="2" s="1" a="1"/>
  <c r="HA17" i="2" s="1"/>
  <c r="T135" i="2"/>
  <c r="HB17" i="2" s="1" a="1"/>
  <c r="HB17" i="2" s="1"/>
  <c r="T136" i="2"/>
  <c r="HC17" i="2" s="1" a="1"/>
  <c r="HC17" i="2" s="1"/>
  <c r="T137" i="2"/>
  <c r="HD17" i="2" s="1" a="1"/>
  <c r="HD17" i="2" s="1"/>
  <c r="T138" i="2"/>
  <c r="HE17" i="2" s="1" a="1"/>
  <c r="HE17" i="2" s="1"/>
  <c r="T139" i="2"/>
  <c r="HF17" i="2" s="1" a="1"/>
  <c r="HF17" i="2" s="1"/>
  <c r="T140" i="2"/>
  <c r="HG17" i="2" s="1" a="1"/>
  <c r="HG17" i="2" s="1"/>
  <c r="T141" i="2"/>
  <c r="HH17" i="2" s="1" a="1"/>
  <c r="HH17" i="2" s="1"/>
  <c r="T142" i="2"/>
  <c r="HI17" i="2" s="1" a="1"/>
  <c r="HI17" i="2" s="1"/>
  <c r="T143" i="2"/>
  <c r="HJ17" i="2" s="1" a="1"/>
  <c r="HJ17" i="2" s="1"/>
  <c r="T144" i="2"/>
  <c r="HK17" i="2" s="1" a="1"/>
  <c r="HK17" i="2" s="1"/>
  <c r="T145" i="2"/>
  <c r="HL17" i="2" s="1" a="1"/>
  <c r="HL17" i="2" s="1"/>
  <c r="T146" i="2"/>
  <c r="HM17" i="2" s="1" a="1"/>
  <c r="HM17" i="2" s="1"/>
  <c r="T147" i="2"/>
  <c r="HN17" i="2" s="1" a="1"/>
  <c r="HN17" i="2" s="1"/>
  <c r="T148" i="2"/>
  <c r="HO17" i="2" s="1" a="1"/>
  <c r="HO17" i="2" s="1"/>
  <c r="T149" i="2"/>
  <c r="HP17" i="2" s="1" a="1"/>
  <c r="HP17" i="2" s="1"/>
  <c r="T150" i="2"/>
  <c r="HQ17" i="2" s="1" a="1"/>
  <c r="HQ17" i="2" s="1"/>
  <c r="T151" i="2"/>
  <c r="HR17" i="2" s="1" a="1"/>
  <c r="HR17" i="2" s="1"/>
  <c r="T152" i="2"/>
  <c r="HS17" i="2" s="1" a="1"/>
  <c r="HS17" i="2" s="1"/>
  <c r="T153" i="2"/>
  <c r="HT17" i="2" s="1" a="1"/>
  <c r="HT17" i="2" s="1"/>
  <c r="T154" i="2"/>
  <c r="HU17" i="2" s="1" a="1"/>
  <c r="HU17" i="2" s="1"/>
  <c r="T155" i="2"/>
  <c r="HV17" i="2" s="1" a="1"/>
  <c r="HV17" i="2" s="1"/>
  <c r="T156" i="2"/>
  <c r="HW17" i="2" s="1" a="1"/>
  <c r="HW17" i="2" s="1"/>
  <c r="T157" i="2"/>
  <c r="HX17" i="2" s="1" a="1"/>
  <c r="HX17" i="2" s="1"/>
  <c r="T158" i="2"/>
  <c r="HY17" i="2" s="1" a="1"/>
  <c r="HY17" i="2" s="1"/>
  <c r="T159" i="2"/>
  <c r="HZ17" i="2" s="1" a="1"/>
  <c r="HZ17" i="2" s="1"/>
  <c r="T160" i="2"/>
  <c r="IA17" i="2" s="1" a="1"/>
  <c r="IA17" i="2" s="1"/>
  <c r="T161" i="2"/>
  <c r="IB17" i="2" s="1" a="1"/>
  <c r="IB17" i="2" s="1"/>
  <c r="T162" i="2"/>
  <c r="IC17" i="2" s="1" a="1"/>
  <c r="IC17" i="2" s="1"/>
  <c r="T163" i="2"/>
  <c r="ID17" i="2" s="1" a="1"/>
  <c r="ID17" i="2" s="1"/>
  <c r="T164" i="2"/>
  <c r="IE17" i="2" s="1" a="1"/>
  <c r="IE17" i="2" s="1"/>
  <c r="T165" i="2"/>
  <c r="IF17" i="2" s="1" a="1"/>
  <c r="IF17" i="2" s="1"/>
  <c r="T166" i="2"/>
  <c r="IG17" i="2" s="1" a="1"/>
  <c r="IG17" i="2" s="1"/>
  <c r="T167" i="2"/>
  <c r="IH17" i="2" s="1" a="1"/>
  <c r="IH17" i="2" s="1"/>
  <c r="T168" i="2"/>
  <c r="II17" i="2" s="1" a="1"/>
  <c r="II17" i="2" s="1"/>
  <c r="T169" i="2"/>
  <c r="IJ17" i="2" s="1" a="1"/>
  <c r="IJ17" i="2" s="1"/>
  <c r="T170" i="2"/>
  <c r="IK17" i="2" s="1" a="1"/>
  <c r="IK17" i="2" s="1"/>
  <c r="T171" i="2"/>
  <c r="IL17" i="2" s="1" a="1"/>
  <c r="IL17" i="2" s="1"/>
  <c r="T172" i="2"/>
  <c r="IM17" i="2" s="1" a="1"/>
  <c r="IM17" i="2" s="1"/>
  <c r="T173" i="2"/>
  <c r="IN17" i="2" s="1" a="1"/>
  <c r="IN17" i="2" s="1"/>
  <c r="T174" i="2"/>
  <c r="IO17" i="2" s="1" a="1"/>
  <c r="IO17" i="2" s="1"/>
  <c r="T175" i="2"/>
  <c r="IP17" i="2" s="1" a="1"/>
  <c r="IP17" i="2" s="1"/>
  <c r="T176" i="2"/>
  <c r="IQ17" i="2" s="1" a="1"/>
  <c r="IQ17" i="2" s="1"/>
  <c r="T177" i="2"/>
  <c r="IR17" i="2" s="1" a="1"/>
  <c r="IR17" i="2" s="1"/>
  <c r="T178" i="2"/>
  <c r="IS17" i="2" s="1" a="1"/>
  <c r="IS17" i="2" s="1"/>
  <c r="T179" i="2"/>
  <c r="IT17" i="2" s="1" a="1"/>
  <c r="IT17" i="2" s="1"/>
  <c r="T180" i="2"/>
  <c r="IU17" i="2" s="1" a="1"/>
  <c r="IU17" i="2" s="1"/>
  <c r="T181" i="2"/>
  <c r="IV17" i="2" s="1" a="1"/>
  <c r="IV17" i="2" s="1"/>
  <c r="T182" i="2"/>
  <c r="IW17" i="2" s="1" a="1"/>
  <c r="IW17" i="2" s="1"/>
  <c r="T183" i="2"/>
  <c r="IX17" i="2" s="1" a="1"/>
  <c r="IX17" i="2" s="1"/>
  <c r="T184" i="2"/>
  <c r="IY17" i="2" s="1" a="1"/>
  <c r="IY17" i="2" s="1"/>
  <c r="T185" i="2"/>
  <c r="IZ17" i="2" s="1" a="1"/>
  <c r="IZ17" i="2" s="1"/>
  <c r="T186" i="2"/>
  <c r="JA17" i="2" s="1" a="1"/>
  <c r="JA17" i="2" s="1"/>
  <c r="T187" i="2"/>
  <c r="JB17" i="2" s="1" a="1"/>
  <c r="JB17" i="2" s="1"/>
  <c r="T188" i="2"/>
  <c r="JC17" i="2" s="1" a="1"/>
  <c r="JC17" i="2" s="1"/>
  <c r="T189" i="2"/>
  <c r="JD17" i="2" s="1" a="1"/>
  <c r="JD17" i="2" s="1"/>
  <c r="T190" i="2"/>
  <c r="JE17" i="2" s="1" a="1"/>
  <c r="JE17" i="2" s="1"/>
  <c r="T191" i="2"/>
  <c r="JF17" i="2" s="1" a="1"/>
  <c r="JF17" i="2" s="1"/>
  <c r="T192" i="2"/>
  <c r="JG17" i="2" s="1" a="1"/>
  <c r="JG17" i="2" s="1"/>
  <c r="T193" i="2"/>
  <c r="JH17" i="2" s="1" a="1"/>
  <c r="JH17" i="2" s="1"/>
  <c r="T3" i="2"/>
  <c r="AD17" i="2" s="1" a="1"/>
  <c r="AD17" i="2" s="1"/>
  <c r="AD43" i="2" s="1"/>
  <c r="U4" i="2"/>
  <c r="AE18" i="2" s="1" a="1"/>
  <c r="AE18" i="2" s="1"/>
  <c r="AD65" i="2" s="1"/>
  <c r="V4" i="2"/>
  <c r="AE19" i="2" s="1" a="1"/>
  <c r="AE19" i="2" s="1"/>
  <c r="AD66" i="2" s="1"/>
  <c r="AF18" i="2" a="1"/>
  <c r="AF18" i="2" s="1"/>
  <c r="AD86" i="2" s="1"/>
  <c r="AF19" i="2" a="1"/>
  <c r="AF19" i="2" s="1"/>
  <c r="AD87" i="2" s="1"/>
  <c r="U5" i="2"/>
  <c r="AG18" i="2" s="1" a="1"/>
  <c r="AG18" i="2" s="1"/>
  <c r="AD107" i="2" s="1"/>
  <c r="V5" i="2"/>
  <c r="AG19" i="2" s="1" a="1"/>
  <c r="AG19" i="2" s="1"/>
  <c r="AD108" i="2" s="1"/>
  <c r="AH18" i="2" a="1"/>
  <c r="AH18" i="2" s="1"/>
  <c r="AD128" i="2" s="1"/>
  <c r="AH19" i="2" a="1"/>
  <c r="AH19" i="2" s="1"/>
  <c r="AD129" i="2" s="1"/>
  <c r="U6" i="2"/>
  <c r="AI18" i="2" s="1" a="1"/>
  <c r="AI18" i="2" s="1"/>
  <c r="AD149" i="2" s="1"/>
  <c r="V6" i="2"/>
  <c r="AI19" i="2" s="1" a="1"/>
  <c r="AI19" i="2" s="1"/>
  <c r="AD150" i="2" s="1"/>
  <c r="AJ18" i="2" a="1"/>
  <c r="AJ18" i="2" s="1"/>
  <c r="AD170" i="2" s="1"/>
  <c r="AJ19" i="2" a="1"/>
  <c r="AJ19" i="2" s="1"/>
  <c r="AD171" i="2" s="1"/>
  <c r="AK18" i="2" a="1"/>
  <c r="AK18" i="2" s="1"/>
  <c r="AD191" i="2" s="1"/>
  <c r="AK19" i="2" a="1"/>
  <c r="AK19" i="2" s="1"/>
  <c r="AD192" i="2" s="1"/>
  <c r="U7" i="2"/>
  <c r="AL18" i="2" s="1" a="1"/>
  <c r="AL18" i="2" s="1"/>
  <c r="AD212" i="2" s="1"/>
  <c r="V7" i="2"/>
  <c r="AL19" i="2" s="1" a="1"/>
  <c r="AL19" i="2" s="1"/>
  <c r="AD213" i="2" s="1"/>
  <c r="AM18" i="2" a="1"/>
  <c r="AM18" i="2" s="1"/>
  <c r="AD233" i="2" s="1"/>
  <c r="AM19" i="2" a="1"/>
  <c r="AM19" i="2" s="1"/>
  <c r="AD234" i="2" s="1"/>
  <c r="AN18" i="2" a="1"/>
  <c r="AN18" i="2" s="1"/>
  <c r="AD254" i="2" s="1"/>
  <c r="AN19" i="2" a="1"/>
  <c r="AN19" i="2" s="1"/>
  <c r="AD255" i="2" s="1"/>
  <c r="U8" i="2"/>
  <c r="AO18" i="2" s="1" a="1"/>
  <c r="AO18" i="2" s="1"/>
  <c r="AD275" i="2" s="1"/>
  <c r="V8" i="2"/>
  <c r="AO19" i="2" s="1" a="1"/>
  <c r="AO19" i="2" s="1"/>
  <c r="AD276" i="2" s="1"/>
  <c r="AP18" i="2" a="1"/>
  <c r="AP18" i="2" s="1"/>
  <c r="AD296" i="2" s="1"/>
  <c r="AP19" i="2" a="1"/>
  <c r="AP19" i="2" s="1"/>
  <c r="AD297" i="2" s="1"/>
  <c r="U9" i="2"/>
  <c r="AQ18" i="2" s="1" a="1"/>
  <c r="AQ18" i="2" s="1"/>
  <c r="AD317" i="2" s="1"/>
  <c r="V9" i="2"/>
  <c r="AQ19" i="2" s="1" a="1"/>
  <c r="AQ19" i="2" s="1"/>
  <c r="AD318" i="2" s="1"/>
  <c r="U10" i="2"/>
  <c r="AR18" i="2" s="1" a="1"/>
  <c r="AR18" i="2" s="1"/>
  <c r="AD338" i="2" s="1"/>
  <c r="V10" i="2"/>
  <c r="AR19" i="2" s="1" a="1"/>
  <c r="AR19" i="2" s="1"/>
  <c r="AD339" i="2" s="1"/>
  <c r="U11" i="2"/>
  <c r="AS18" i="2" s="1" a="1"/>
  <c r="AS18" i="2" s="1"/>
  <c r="AD359" i="2" s="1"/>
  <c r="V11" i="2"/>
  <c r="AS19" i="2" s="1" a="1"/>
  <c r="AS19" i="2" s="1"/>
  <c r="AD360" i="2" s="1"/>
  <c r="U12" i="2"/>
  <c r="AT18" i="2" s="1" a="1"/>
  <c r="AT18" i="2" s="1"/>
  <c r="AD380" i="2" s="1"/>
  <c r="V12" i="2"/>
  <c r="AT19" i="2" s="1" a="1"/>
  <c r="AT19" i="2" s="1"/>
  <c r="AD381" i="2" s="1"/>
  <c r="AU18" i="2" a="1"/>
  <c r="AU18" i="2" s="1"/>
  <c r="AD401" i="2" s="1"/>
  <c r="AU19" i="2" a="1"/>
  <c r="AU19" i="2" s="1"/>
  <c r="AD402" i="2" s="1"/>
  <c r="U13" i="2"/>
  <c r="AV18" i="2" s="1" a="1"/>
  <c r="AV18" i="2" s="1"/>
  <c r="AD422" i="2" s="1"/>
  <c r="V13" i="2"/>
  <c r="AV19" i="2" s="1" a="1"/>
  <c r="AV19" i="2" s="1"/>
  <c r="AD423" i="2" s="1"/>
  <c r="U14" i="2"/>
  <c r="AW18" i="2" s="1" a="1"/>
  <c r="AW18" i="2" s="1"/>
  <c r="AD443" i="2" s="1"/>
  <c r="V14" i="2"/>
  <c r="AW19" i="2" s="1" a="1"/>
  <c r="AW19" i="2" s="1"/>
  <c r="AD444" i="2" s="1"/>
  <c r="AX18" i="2" a="1"/>
  <c r="AX18" i="2" s="1"/>
  <c r="AD464" i="2" s="1"/>
  <c r="AX19" i="2" a="1"/>
  <c r="AX19" i="2" s="1"/>
  <c r="AD465" i="2" s="1"/>
  <c r="U15" i="2"/>
  <c r="AY18" i="2" s="1" a="1"/>
  <c r="AY18" i="2" s="1"/>
  <c r="AD485" i="2" s="1"/>
  <c r="V15" i="2"/>
  <c r="AY19" i="2" s="1" a="1"/>
  <c r="AY19" i="2" s="1"/>
  <c r="AD486" i="2" s="1"/>
  <c r="U16" i="2"/>
  <c r="AZ18" i="2" s="1" a="1"/>
  <c r="AZ18" i="2" s="1"/>
  <c r="AD506" i="2" s="1"/>
  <c r="V16" i="2"/>
  <c r="AZ19" i="2" s="1" a="1"/>
  <c r="AZ19" i="2" s="1"/>
  <c r="AD507" i="2" s="1"/>
  <c r="U17" i="2"/>
  <c r="BA18" i="2" s="1" a="1"/>
  <c r="BA18" i="2" s="1"/>
  <c r="AD527" i="2" s="1"/>
  <c r="V17" i="2"/>
  <c r="BA19" i="2" s="1" a="1"/>
  <c r="BA19" i="2" s="1"/>
  <c r="AD528" i="2" s="1"/>
  <c r="U18" i="2"/>
  <c r="BB18" i="2" s="1" a="1"/>
  <c r="BB18" i="2" s="1"/>
  <c r="AD548" i="2" s="1"/>
  <c r="V18" i="2"/>
  <c r="BB19" i="2" s="1" a="1"/>
  <c r="BB19" i="2" s="1"/>
  <c r="AD549" i="2" s="1"/>
  <c r="U19" i="2"/>
  <c r="BC18" i="2" s="1" a="1"/>
  <c r="BC18" i="2" s="1"/>
  <c r="AD569" i="2" s="1"/>
  <c r="V19" i="2"/>
  <c r="BC19" i="2" s="1" a="1"/>
  <c r="BC19" i="2" s="1"/>
  <c r="AD570" i="2" s="1"/>
  <c r="U20" i="2"/>
  <c r="BD18" i="2" s="1" a="1"/>
  <c r="BD18" i="2" s="1"/>
  <c r="AD590" i="2" s="1"/>
  <c r="V20" i="2"/>
  <c r="BD19" i="2" s="1" a="1"/>
  <c r="BD19" i="2" s="1"/>
  <c r="AD591" i="2" s="1"/>
  <c r="U21" i="2"/>
  <c r="BE18" i="2" s="1" a="1"/>
  <c r="BE18" i="2" s="1"/>
  <c r="AD611" i="2" s="1"/>
  <c r="V21" i="2"/>
  <c r="BE19" i="2" s="1" a="1"/>
  <c r="BE19" i="2" s="1"/>
  <c r="AD612" i="2" s="1"/>
  <c r="U22" i="2"/>
  <c r="BF18" i="2" s="1" a="1"/>
  <c r="BF18" i="2" s="1"/>
  <c r="AD632" i="2" s="1"/>
  <c r="V22" i="2"/>
  <c r="BF19" i="2" s="1" a="1"/>
  <c r="BF19" i="2" s="1"/>
  <c r="AD633" i="2" s="1"/>
  <c r="U23" i="2"/>
  <c r="BG18" i="2" s="1" a="1"/>
  <c r="BG18" i="2" s="1"/>
  <c r="AD653" i="2" s="1"/>
  <c r="V23" i="2"/>
  <c r="BG19" i="2" s="1" a="1"/>
  <c r="BG19" i="2" s="1"/>
  <c r="AD654" i="2" s="1"/>
  <c r="BH18" i="2" a="1"/>
  <c r="BH18" i="2" s="1"/>
  <c r="AD674" i="2" s="1"/>
  <c r="BH19" i="2" a="1"/>
  <c r="BH19" i="2" s="1"/>
  <c r="AD675" i="2" s="1"/>
  <c r="U24" i="2"/>
  <c r="BI18" i="2" s="1" a="1"/>
  <c r="BI18" i="2" s="1"/>
  <c r="AD695" i="2" s="1"/>
  <c r="V24" i="2"/>
  <c r="BI19" i="2" s="1" a="1"/>
  <c r="BI19" i="2" s="1"/>
  <c r="AD696" i="2" s="1"/>
  <c r="BJ18" i="2" a="1"/>
  <c r="BJ18" i="2" s="1"/>
  <c r="AD716" i="2" s="1"/>
  <c r="BJ19" i="2" a="1"/>
  <c r="BJ19" i="2" s="1"/>
  <c r="AD717" i="2" s="1"/>
  <c r="U25" i="2"/>
  <c r="BK18" i="2" s="1" a="1"/>
  <c r="BK18" i="2" s="1"/>
  <c r="AD737" i="2" s="1"/>
  <c r="V25" i="2"/>
  <c r="BK19" i="2" s="1" a="1"/>
  <c r="BK19" i="2" s="1"/>
  <c r="AD738" i="2" s="1"/>
  <c r="BL18" i="2" a="1"/>
  <c r="BL18" i="2" s="1"/>
  <c r="AD758" i="2" s="1"/>
  <c r="BL19" i="2" a="1"/>
  <c r="BL19" i="2" s="1"/>
  <c r="AD759" i="2" s="1"/>
  <c r="U26" i="2"/>
  <c r="BM18" i="2" s="1" a="1"/>
  <c r="BM18" i="2" s="1"/>
  <c r="AD779" i="2" s="1"/>
  <c r="V26" i="2"/>
  <c r="BM19" i="2" s="1" a="1"/>
  <c r="BM19" i="2" s="1"/>
  <c r="AD780" i="2" s="1"/>
  <c r="BN18" i="2" a="1"/>
  <c r="BN18" i="2" s="1"/>
  <c r="AD800" i="2" s="1"/>
  <c r="BN19" i="2" a="1"/>
  <c r="BN19" i="2" s="1"/>
  <c r="AD801" i="2" s="1"/>
  <c r="U27" i="2"/>
  <c r="BO18" i="2" s="1" a="1"/>
  <c r="BO18" i="2" s="1"/>
  <c r="AD821" i="2" s="1"/>
  <c r="V27" i="2"/>
  <c r="BO19" i="2" s="1" a="1"/>
  <c r="BO19" i="2" s="1"/>
  <c r="AD822" i="2" s="1"/>
  <c r="BP18" i="2" a="1"/>
  <c r="BP18" i="2" s="1"/>
  <c r="AD842" i="2" s="1"/>
  <c r="BP19" i="2" a="1"/>
  <c r="BP19" i="2" s="1"/>
  <c r="AD843" i="2" s="1"/>
  <c r="BQ18" i="2" a="1"/>
  <c r="BQ18" i="2" s="1"/>
  <c r="AD863" i="2" s="1"/>
  <c r="BQ19" i="2" a="1"/>
  <c r="BQ19" i="2" s="1"/>
  <c r="AD864" i="2" s="1"/>
  <c r="U28" i="2"/>
  <c r="BR18" i="2" s="1" a="1"/>
  <c r="BR18" i="2" s="1"/>
  <c r="AD884" i="2" s="1"/>
  <c r="V28" i="2"/>
  <c r="BR19" i="2" s="1" a="1"/>
  <c r="BR19" i="2" s="1"/>
  <c r="AD885" i="2" s="1"/>
  <c r="U29" i="2"/>
  <c r="BS18" i="2" s="1" a="1"/>
  <c r="BS18" i="2" s="1"/>
  <c r="AD905" i="2" s="1"/>
  <c r="V29" i="2"/>
  <c r="BS19" i="2" s="1" a="1"/>
  <c r="BS19" i="2" s="1"/>
  <c r="AD906" i="2" s="1"/>
  <c r="U30" i="2"/>
  <c r="BT18" i="2" s="1" a="1"/>
  <c r="BT18" i="2" s="1"/>
  <c r="AD926" i="2" s="1"/>
  <c r="V30" i="2"/>
  <c r="BT19" i="2" s="1" a="1"/>
  <c r="BT19" i="2" s="1"/>
  <c r="AD927" i="2" s="1"/>
  <c r="U31" i="2"/>
  <c r="BU18" i="2" s="1" a="1"/>
  <c r="BU18" i="2" s="1"/>
  <c r="AD947" i="2" s="1"/>
  <c r="V31" i="2"/>
  <c r="BU19" i="2" s="1" a="1"/>
  <c r="BU19" i="2" s="1"/>
  <c r="AD948" i="2" s="1"/>
  <c r="U32" i="2"/>
  <c r="BV18" i="2" s="1" a="1"/>
  <c r="BV18" i="2" s="1"/>
  <c r="AD968" i="2" s="1"/>
  <c r="V32" i="2"/>
  <c r="BV19" i="2" s="1" a="1"/>
  <c r="BV19" i="2" s="1"/>
  <c r="AD969" i="2" s="1"/>
  <c r="U33" i="2"/>
  <c r="BW18" i="2" s="1" a="1"/>
  <c r="BW18" i="2" s="1"/>
  <c r="AD989" i="2" s="1"/>
  <c r="V33" i="2"/>
  <c r="BW19" i="2" s="1" a="1"/>
  <c r="BW19" i="2" s="1"/>
  <c r="AD990" i="2" s="1"/>
  <c r="U34" i="2"/>
  <c r="BX18" i="2" s="1" a="1"/>
  <c r="BX18" i="2" s="1"/>
  <c r="AD1010" i="2" s="1"/>
  <c r="V34" i="2"/>
  <c r="BX19" i="2" s="1" a="1"/>
  <c r="BX19" i="2" s="1"/>
  <c r="AD1011" i="2" s="1"/>
  <c r="U35" i="2"/>
  <c r="BY18" i="2" s="1" a="1"/>
  <c r="BY18" i="2" s="1"/>
  <c r="AD1031" i="2" s="1"/>
  <c r="V35" i="2"/>
  <c r="BY19" i="2" s="1" a="1"/>
  <c r="BY19" i="2" s="1"/>
  <c r="AD1032" i="2" s="1"/>
  <c r="U36" i="2"/>
  <c r="BZ18" i="2" s="1" a="1"/>
  <c r="BZ18" i="2" s="1"/>
  <c r="AD1052" i="2" s="1"/>
  <c r="V36" i="2"/>
  <c r="BZ19" i="2" s="1" a="1"/>
  <c r="BZ19" i="2" s="1"/>
  <c r="AD1053" i="2" s="1"/>
  <c r="CA18" i="2" a="1"/>
  <c r="CA18" i="2" s="1"/>
  <c r="AD1073" i="2" s="1"/>
  <c r="CA19" i="2" a="1"/>
  <c r="CA19" i="2" s="1"/>
  <c r="AD1074" i="2" s="1"/>
  <c r="U37" i="2"/>
  <c r="CB18" i="2" s="1" a="1"/>
  <c r="CB18" i="2" s="1"/>
  <c r="AD1094" i="2" s="1"/>
  <c r="V37" i="2"/>
  <c r="CB19" i="2" s="1" a="1"/>
  <c r="CB19" i="2" s="1"/>
  <c r="AD1095" i="2" s="1"/>
  <c r="U38" i="2"/>
  <c r="CC18" i="2" s="1" a="1"/>
  <c r="CC18" i="2" s="1"/>
  <c r="AD1115" i="2" s="1"/>
  <c r="V38" i="2"/>
  <c r="CC19" i="2" s="1" a="1"/>
  <c r="CC19" i="2" s="1"/>
  <c r="AD1116" i="2" s="1"/>
  <c r="U39" i="2"/>
  <c r="CD18" i="2" s="1" a="1"/>
  <c r="CD18" i="2" s="1"/>
  <c r="AD1136" i="2" s="1"/>
  <c r="V39" i="2"/>
  <c r="CD19" i="2" s="1" a="1"/>
  <c r="CD19" i="2" s="1"/>
  <c r="AD1137" i="2" s="1"/>
  <c r="U40" i="2"/>
  <c r="CE18" i="2" s="1" a="1"/>
  <c r="CE18" i="2" s="1"/>
  <c r="AD1157" i="2" s="1"/>
  <c r="V40" i="2"/>
  <c r="CE19" i="2" s="1" a="1"/>
  <c r="CE19" i="2" s="1"/>
  <c r="AD1158" i="2" s="1"/>
  <c r="U41" i="2"/>
  <c r="CF18" i="2" s="1" a="1"/>
  <c r="CF18" i="2" s="1"/>
  <c r="AD1178" i="2" s="1"/>
  <c r="V41" i="2"/>
  <c r="CF19" i="2" s="1" a="1"/>
  <c r="CF19" i="2" s="1"/>
  <c r="AD1179" i="2" s="1"/>
  <c r="U42" i="2"/>
  <c r="CG18" i="2" s="1" a="1"/>
  <c r="CG18" i="2" s="1"/>
  <c r="AD1199" i="2" s="1"/>
  <c r="V42" i="2"/>
  <c r="CG19" i="2" s="1" a="1"/>
  <c r="CG19" i="2" s="1"/>
  <c r="AD1200" i="2" s="1"/>
  <c r="U43" i="2"/>
  <c r="CH18" i="2" s="1" a="1"/>
  <c r="CH18" i="2" s="1"/>
  <c r="AD1220" i="2" s="1"/>
  <c r="V43" i="2"/>
  <c r="CH19" i="2" s="1" a="1"/>
  <c r="CH19" i="2" s="1"/>
  <c r="AD1221" i="2" s="1"/>
  <c r="CI18" i="2" a="1"/>
  <c r="CI18" i="2" s="1"/>
  <c r="AD1241" i="2" s="1"/>
  <c r="CI19" i="2" a="1"/>
  <c r="CI19" i="2" s="1"/>
  <c r="AD1242" i="2" s="1"/>
  <c r="U44" i="2"/>
  <c r="CJ18" i="2" s="1" a="1"/>
  <c r="CJ18" i="2" s="1"/>
  <c r="AD1262" i="2" s="1"/>
  <c r="V44" i="2"/>
  <c r="CJ19" i="2" s="1" a="1"/>
  <c r="CJ19" i="2" s="1"/>
  <c r="AD1263" i="2" s="1"/>
  <c r="U45" i="2"/>
  <c r="CK18" i="2" s="1" a="1"/>
  <c r="CK18" i="2" s="1"/>
  <c r="AD1283" i="2" s="1"/>
  <c r="V45" i="2"/>
  <c r="CK19" i="2" s="1" a="1"/>
  <c r="CK19" i="2" s="1"/>
  <c r="AD1284" i="2" s="1"/>
  <c r="U46" i="2"/>
  <c r="CL18" i="2" s="1" a="1"/>
  <c r="CL18" i="2" s="1"/>
  <c r="AD1304" i="2" s="1"/>
  <c r="V46" i="2"/>
  <c r="CL19" i="2" s="1" a="1"/>
  <c r="CL19" i="2" s="1"/>
  <c r="AD1305" i="2" s="1"/>
  <c r="U47" i="2"/>
  <c r="CM18" i="2" s="1" a="1"/>
  <c r="CM18" i="2" s="1"/>
  <c r="AD1325" i="2" s="1"/>
  <c r="V47" i="2"/>
  <c r="CM19" i="2" s="1" a="1"/>
  <c r="CM19" i="2" s="1"/>
  <c r="AD1326" i="2" s="1"/>
  <c r="U48" i="2"/>
  <c r="CN18" i="2" s="1" a="1"/>
  <c r="CN18" i="2" s="1"/>
  <c r="AD1346" i="2" s="1"/>
  <c r="V48" i="2"/>
  <c r="CN19" i="2" s="1" a="1"/>
  <c r="CN19" i="2" s="1"/>
  <c r="AD1347" i="2" s="1"/>
  <c r="U49" i="2"/>
  <c r="CO18" i="2" s="1" a="1"/>
  <c r="CO18" i="2" s="1"/>
  <c r="AD1367" i="2" s="1"/>
  <c r="V49" i="2"/>
  <c r="CO19" i="2" s="1" a="1"/>
  <c r="CO19" i="2" s="1"/>
  <c r="AD1368" i="2" s="1"/>
  <c r="U50" i="2"/>
  <c r="CP18" i="2" s="1" a="1"/>
  <c r="CP18" i="2" s="1"/>
  <c r="AD1388" i="2" s="1"/>
  <c r="V50" i="2"/>
  <c r="CP19" i="2" s="1" a="1"/>
  <c r="CP19" i="2" s="1"/>
  <c r="AD1389" i="2" s="1"/>
  <c r="U51" i="2"/>
  <c r="CQ18" i="2" s="1" a="1"/>
  <c r="CQ18" i="2" s="1"/>
  <c r="AD1409" i="2" s="1"/>
  <c r="V51" i="2"/>
  <c r="CQ19" i="2" s="1" a="1"/>
  <c r="CQ19" i="2" s="1"/>
  <c r="AD1410" i="2" s="1"/>
  <c r="U52" i="2"/>
  <c r="CR18" i="2" s="1" a="1"/>
  <c r="CR18" i="2" s="1"/>
  <c r="AD1430" i="2" s="1"/>
  <c r="V52" i="2"/>
  <c r="CR19" i="2" s="1" a="1"/>
  <c r="CR19" i="2" s="1"/>
  <c r="AD1431" i="2" s="1"/>
  <c r="U53" i="2"/>
  <c r="CS18" i="2" s="1" a="1"/>
  <c r="CS18" i="2" s="1"/>
  <c r="AD1451" i="2" s="1"/>
  <c r="V53" i="2"/>
  <c r="CS19" i="2" s="1" a="1"/>
  <c r="CS19" i="2" s="1"/>
  <c r="AD1452" i="2" s="1"/>
  <c r="U54" i="2"/>
  <c r="CT18" i="2" s="1" a="1"/>
  <c r="CT18" i="2" s="1"/>
  <c r="AD1472" i="2" s="1"/>
  <c r="V54" i="2"/>
  <c r="CT19" i="2" s="1" a="1"/>
  <c r="CT19" i="2" s="1"/>
  <c r="AD1473" i="2" s="1"/>
  <c r="U55" i="2"/>
  <c r="CU18" i="2" s="1" a="1"/>
  <c r="CU18" i="2" s="1"/>
  <c r="AD1493" i="2" s="1"/>
  <c r="V55" i="2"/>
  <c r="CU19" i="2" s="1" a="1"/>
  <c r="CU19" i="2" s="1"/>
  <c r="AD1494" i="2" s="1"/>
  <c r="U56" i="2"/>
  <c r="CV18" i="2" s="1" a="1"/>
  <c r="CV18" i="2" s="1"/>
  <c r="AD1514" i="2" s="1"/>
  <c r="V56" i="2"/>
  <c r="CV19" i="2" s="1" a="1"/>
  <c r="CV19" i="2" s="1"/>
  <c r="AD1515" i="2" s="1"/>
  <c r="U57" i="2"/>
  <c r="CW18" i="2" s="1" a="1"/>
  <c r="CW18" i="2" s="1"/>
  <c r="AD1535" i="2" s="1"/>
  <c r="V57" i="2"/>
  <c r="CW19" i="2" s="1" a="1"/>
  <c r="CW19" i="2" s="1"/>
  <c r="AD1536" i="2" s="1"/>
  <c r="U58" i="2"/>
  <c r="CX18" i="2" s="1" a="1"/>
  <c r="CX18" i="2" s="1"/>
  <c r="AD1556" i="2" s="1"/>
  <c r="V58" i="2"/>
  <c r="CX19" i="2" s="1" a="1"/>
  <c r="CX19" i="2" s="1"/>
  <c r="AD1557" i="2" s="1"/>
  <c r="U59" i="2"/>
  <c r="CY18" i="2" s="1" a="1"/>
  <c r="CY18" i="2" s="1"/>
  <c r="AD1577" i="2" s="1"/>
  <c r="V59" i="2"/>
  <c r="CY19" i="2" s="1" a="1"/>
  <c r="CY19" i="2" s="1"/>
  <c r="AD1578" i="2" s="1"/>
  <c r="U60" i="2"/>
  <c r="CZ18" i="2" s="1" a="1"/>
  <c r="CZ18" i="2" s="1"/>
  <c r="AD1598" i="2" s="1"/>
  <c r="V60" i="2"/>
  <c r="CZ19" i="2" s="1" a="1"/>
  <c r="CZ19" i="2" s="1"/>
  <c r="AD1599" i="2" s="1"/>
  <c r="DA18" i="2" a="1"/>
  <c r="DA18" i="2" s="1"/>
  <c r="AD1619" i="2" s="1"/>
  <c r="DA19" i="2" a="1"/>
  <c r="DA19" i="2" s="1"/>
  <c r="AD1620" i="2" s="1"/>
  <c r="U61" i="2"/>
  <c r="DB18" i="2" s="1" a="1"/>
  <c r="DB18" i="2" s="1"/>
  <c r="AD1640" i="2" s="1"/>
  <c r="V61" i="2"/>
  <c r="DB19" i="2" s="1" a="1"/>
  <c r="DB19" i="2" s="1"/>
  <c r="AD1641" i="2" s="1"/>
  <c r="DC18" i="2" a="1"/>
  <c r="DC18" i="2" s="1"/>
  <c r="AD1661" i="2" s="1"/>
  <c r="DC19" i="2" a="1"/>
  <c r="DC19" i="2" s="1"/>
  <c r="AD1662" i="2" s="1"/>
  <c r="U62" i="2"/>
  <c r="DD18" i="2" s="1" a="1"/>
  <c r="DD18" i="2" s="1"/>
  <c r="AD1682" i="2" s="1"/>
  <c r="V62" i="2"/>
  <c r="DD19" i="2" s="1" a="1"/>
  <c r="DD19" i="2" s="1"/>
  <c r="AD1683" i="2" s="1"/>
  <c r="U63" i="2"/>
  <c r="DE18" i="2" s="1" a="1"/>
  <c r="DE18" i="2" s="1"/>
  <c r="AD1703" i="2" s="1"/>
  <c r="V63" i="2"/>
  <c r="DE19" i="2" s="1" a="1"/>
  <c r="DE19" i="2" s="1"/>
  <c r="AD1704" i="2" s="1"/>
  <c r="U64" i="2"/>
  <c r="DF18" i="2" s="1" a="1"/>
  <c r="DF18" i="2" s="1"/>
  <c r="AD1724" i="2" s="1"/>
  <c r="V64" i="2"/>
  <c r="DF19" i="2" s="1" a="1"/>
  <c r="DF19" i="2" s="1"/>
  <c r="AD1725" i="2" s="1"/>
  <c r="U65" i="2"/>
  <c r="DG18" i="2" s="1" a="1"/>
  <c r="DG18" i="2" s="1"/>
  <c r="AD1745" i="2" s="1"/>
  <c r="V65" i="2"/>
  <c r="DG19" i="2" s="1" a="1"/>
  <c r="DG19" i="2" s="1"/>
  <c r="AD1746" i="2" s="1"/>
  <c r="DH18" i="2" a="1"/>
  <c r="DH18" i="2" s="1"/>
  <c r="AD1766" i="2" s="1"/>
  <c r="DH19" i="2" a="1"/>
  <c r="DH19" i="2" s="1"/>
  <c r="AD1767" i="2" s="1"/>
  <c r="U66" i="2"/>
  <c r="DI18" i="2" s="1" a="1"/>
  <c r="DI18" i="2" s="1"/>
  <c r="AD1787" i="2" s="1"/>
  <c r="V66" i="2"/>
  <c r="DI19" i="2" s="1" a="1"/>
  <c r="DI19" i="2" s="1"/>
  <c r="AD1788" i="2" s="1"/>
  <c r="U67" i="2"/>
  <c r="DJ18" i="2" s="1" a="1"/>
  <c r="DJ18" i="2" s="1"/>
  <c r="AD1808" i="2" s="1"/>
  <c r="V67" i="2"/>
  <c r="DJ19" i="2" s="1" a="1"/>
  <c r="DJ19" i="2" s="1"/>
  <c r="AD1809" i="2" s="1"/>
  <c r="U68" i="2"/>
  <c r="DK18" i="2" s="1" a="1"/>
  <c r="DK18" i="2" s="1"/>
  <c r="AD1829" i="2" s="1"/>
  <c r="V68" i="2"/>
  <c r="DK19" i="2" s="1" a="1"/>
  <c r="DK19" i="2" s="1"/>
  <c r="AD1830" i="2" s="1"/>
  <c r="U69" i="2"/>
  <c r="DL18" i="2" s="1" a="1"/>
  <c r="DL18" i="2" s="1"/>
  <c r="AD1850" i="2" s="1"/>
  <c r="V69" i="2"/>
  <c r="DL19" i="2" s="1" a="1"/>
  <c r="DL19" i="2" s="1"/>
  <c r="AD1851" i="2" s="1"/>
  <c r="DM18" i="2" a="1"/>
  <c r="DM18" i="2" s="1"/>
  <c r="AD1871" i="2" s="1"/>
  <c r="DM19" i="2" a="1"/>
  <c r="DM19" i="2" s="1"/>
  <c r="AD1872" i="2" s="1"/>
  <c r="U70" i="2"/>
  <c r="DN18" i="2" s="1" a="1"/>
  <c r="DN18" i="2" s="1"/>
  <c r="AD1892" i="2" s="1"/>
  <c r="V70" i="2"/>
  <c r="DN19" i="2" s="1" a="1"/>
  <c r="DN19" i="2" s="1"/>
  <c r="AD1893" i="2" s="1"/>
  <c r="DO18" i="2" a="1"/>
  <c r="DO18" i="2" s="1"/>
  <c r="AD1913" i="2" s="1"/>
  <c r="DO19" i="2" a="1"/>
  <c r="DO19" i="2" s="1"/>
  <c r="AD1914" i="2" s="1"/>
  <c r="DP18" i="2" a="1"/>
  <c r="DP18" i="2" s="1"/>
  <c r="AD1934" i="2" s="1"/>
  <c r="DP19" i="2" a="1"/>
  <c r="DP19" i="2" s="1"/>
  <c r="AD1935" i="2" s="1"/>
  <c r="U71" i="2"/>
  <c r="DQ18" i="2" s="1" a="1"/>
  <c r="DQ18" i="2" s="1"/>
  <c r="AD1955" i="2" s="1"/>
  <c r="V71" i="2"/>
  <c r="DQ19" i="2" s="1" a="1"/>
  <c r="DQ19" i="2" s="1"/>
  <c r="AD1956" i="2" s="1"/>
  <c r="DR18" i="2" a="1"/>
  <c r="DR18" i="2" s="1"/>
  <c r="AD1976" i="2" s="1"/>
  <c r="DR19" i="2" a="1"/>
  <c r="DR19" i="2" s="1"/>
  <c r="AD1977" i="2" s="1"/>
  <c r="U72" i="2"/>
  <c r="DS18" i="2" s="1" a="1"/>
  <c r="DS18" i="2" s="1"/>
  <c r="AD1997" i="2" s="1"/>
  <c r="V72" i="2"/>
  <c r="DS19" i="2" s="1" a="1"/>
  <c r="DS19" i="2" s="1"/>
  <c r="AD1998" i="2" s="1"/>
  <c r="DT18" i="2" a="1"/>
  <c r="DT18" i="2" s="1"/>
  <c r="AD2018" i="2" s="1"/>
  <c r="DT19" i="2" a="1"/>
  <c r="DT19" i="2" s="1"/>
  <c r="AD2019" i="2" s="1"/>
  <c r="U73" i="2"/>
  <c r="DU18" i="2" s="1" a="1"/>
  <c r="DU18" i="2" s="1"/>
  <c r="AD2039" i="2" s="1"/>
  <c r="V73" i="2"/>
  <c r="DU19" i="2" s="1" a="1"/>
  <c r="DU19" i="2" s="1"/>
  <c r="AD2040" i="2" s="1"/>
  <c r="DV18" i="2" a="1"/>
  <c r="DV18" i="2" s="1"/>
  <c r="AD2060" i="2" s="1"/>
  <c r="DV19" i="2" a="1"/>
  <c r="DV19" i="2" s="1"/>
  <c r="AD2061" i="2" s="1"/>
  <c r="U74" i="2"/>
  <c r="DW18" i="2" s="1" a="1"/>
  <c r="DW18" i="2" s="1"/>
  <c r="AD2081" i="2" s="1"/>
  <c r="V74" i="2"/>
  <c r="DW19" i="2" s="1" a="1"/>
  <c r="DW19" i="2" s="1"/>
  <c r="AD2082" i="2" s="1"/>
  <c r="DX18" i="2" a="1"/>
  <c r="DX18" i="2" s="1"/>
  <c r="AD2102" i="2" s="1"/>
  <c r="DX19" i="2" a="1"/>
  <c r="DX19" i="2" s="1"/>
  <c r="AD2103" i="2" s="1"/>
  <c r="DY18" i="2" a="1"/>
  <c r="DY18" i="2" s="1"/>
  <c r="AD2123" i="2" s="1"/>
  <c r="DY19" i="2" a="1"/>
  <c r="DY19" i="2" s="1"/>
  <c r="AD2124" i="2" s="1"/>
  <c r="U75" i="2"/>
  <c r="DZ18" i="2" s="1" a="1"/>
  <c r="DZ18" i="2" s="1"/>
  <c r="AD2144" i="2" s="1"/>
  <c r="V75" i="2"/>
  <c r="DZ19" i="2" s="1" a="1"/>
  <c r="DZ19" i="2" s="1"/>
  <c r="AD2145" i="2" s="1"/>
  <c r="EA18" i="2" a="1"/>
  <c r="EA18" i="2" s="1"/>
  <c r="AD2165" i="2" s="1"/>
  <c r="EA19" i="2" a="1"/>
  <c r="EA19" i="2" s="1"/>
  <c r="AD2166" i="2" s="1"/>
  <c r="U76" i="2"/>
  <c r="EB18" i="2" s="1" a="1"/>
  <c r="EB18" i="2" s="1"/>
  <c r="AD2186" i="2" s="1"/>
  <c r="V76" i="2"/>
  <c r="EB19" i="2" s="1" a="1"/>
  <c r="EB19" i="2" s="1"/>
  <c r="AD2187" i="2" s="1"/>
  <c r="EC18" i="2" a="1"/>
  <c r="EC18" i="2" s="1"/>
  <c r="AD2207" i="2" s="1"/>
  <c r="EC19" i="2" a="1"/>
  <c r="EC19" i="2" s="1"/>
  <c r="AD2208" i="2" s="1"/>
  <c r="U77" i="2"/>
  <c r="ED18" i="2" s="1" a="1"/>
  <c r="ED18" i="2" s="1"/>
  <c r="AD2228" i="2" s="1"/>
  <c r="V77" i="2"/>
  <c r="ED19" i="2" s="1" a="1"/>
  <c r="ED19" i="2" s="1"/>
  <c r="AD2229" i="2" s="1"/>
  <c r="U78" i="2"/>
  <c r="EE18" i="2" s="1" a="1"/>
  <c r="EE18" i="2" s="1"/>
  <c r="AD2249" i="2" s="1"/>
  <c r="V78" i="2"/>
  <c r="EE19" i="2" s="1" a="1"/>
  <c r="EE19" i="2" s="1"/>
  <c r="AD2250" i="2" s="1"/>
  <c r="EF18" i="2" a="1"/>
  <c r="EF18" i="2" s="1"/>
  <c r="AD2270" i="2" s="1"/>
  <c r="EF19" i="2" a="1"/>
  <c r="EF19" i="2" s="1"/>
  <c r="AD2271" i="2" s="1"/>
  <c r="U79" i="2"/>
  <c r="EG18" i="2" s="1" a="1"/>
  <c r="EG18" i="2" s="1"/>
  <c r="AD2291" i="2" s="1"/>
  <c r="V79" i="2"/>
  <c r="EG19" i="2" s="1" a="1"/>
  <c r="EG19" i="2" s="1"/>
  <c r="AD2292" i="2" s="1"/>
  <c r="EH18" i="2" a="1"/>
  <c r="EH18" i="2" s="1"/>
  <c r="AD2312" i="2" s="1"/>
  <c r="EH19" i="2" a="1"/>
  <c r="EH19" i="2" s="1"/>
  <c r="AD2313" i="2" s="1"/>
  <c r="EI18" i="2" a="1"/>
  <c r="EI18" i="2" s="1"/>
  <c r="AD2333" i="2" s="1"/>
  <c r="EI19" i="2" a="1"/>
  <c r="EI19" i="2" s="1"/>
  <c r="AD2334" i="2" s="1"/>
  <c r="U80" i="2"/>
  <c r="EJ18" i="2" s="1" a="1"/>
  <c r="EJ18" i="2" s="1"/>
  <c r="AD2354" i="2" s="1"/>
  <c r="V80" i="2"/>
  <c r="EJ19" i="2" s="1" a="1"/>
  <c r="EJ19" i="2" s="1"/>
  <c r="AD2355" i="2" s="1"/>
  <c r="EK18" i="2" a="1"/>
  <c r="EK18" i="2" s="1"/>
  <c r="AD2375" i="2" s="1"/>
  <c r="EK19" i="2" a="1"/>
  <c r="EK19" i="2" s="1"/>
  <c r="AD2376" i="2" s="1"/>
  <c r="U81" i="2"/>
  <c r="EL18" i="2" s="1" a="1"/>
  <c r="EL18" i="2" s="1"/>
  <c r="AD2396" i="2" s="1"/>
  <c r="V81" i="2"/>
  <c r="EL19" i="2" s="1" a="1"/>
  <c r="EL19" i="2" s="1"/>
  <c r="AD2397" i="2" s="1"/>
  <c r="EM18" i="2" a="1"/>
  <c r="EM18" i="2" s="1"/>
  <c r="AD2417" i="2" s="1"/>
  <c r="EM19" i="2" a="1"/>
  <c r="EM19" i="2" s="1"/>
  <c r="AD2418" i="2" s="1"/>
  <c r="U82" i="2"/>
  <c r="EN18" i="2" s="1" a="1"/>
  <c r="EN18" i="2" s="1"/>
  <c r="AD2438" i="2" s="1"/>
  <c r="V82" i="2"/>
  <c r="EN19" i="2" s="1" a="1"/>
  <c r="EN19" i="2" s="1"/>
  <c r="AD2439" i="2" s="1"/>
  <c r="U83" i="2"/>
  <c r="EO18" i="2" s="1" a="1"/>
  <c r="EO18" i="2" s="1"/>
  <c r="AD2459" i="2" s="1"/>
  <c r="V83" i="2"/>
  <c r="EO19" i="2" s="1" a="1"/>
  <c r="EO19" i="2" s="1"/>
  <c r="AD2460" i="2" s="1"/>
  <c r="U84" i="2"/>
  <c r="EP18" i="2" s="1" a="1"/>
  <c r="EP18" i="2" s="1"/>
  <c r="AD2480" i="2" s="1"/>
  <c r="V84" i="2"/>
  <c r="EP19" i="2" s="1" a="1"/>
  <c r="EP19" i="2" s="1"/>
  <c r="AD2481" i="2" s="1"/>
  <c r="U85" i="2"/>
  <c r="EQ18" i="2" s="1" a="1"/>
  <c r="EQ18" i="2" s="1"/>
  <c r="AD2501" i="2" s="1"/>
  <c r="V85" i="2"/>
  <c r="EQ19" i="2" s="1" a="1"/>
  <c r="EQ19" i="2" s="1"/>
  <c r="AD2502" i="2" s="1"/>
  <c r="U86" i="2"/>
  <c r="ER18" i="2" s="1" a="1"/>
  <c r="ER18" i="2" s="1"/>
  <c r="AD2522" i="2" s="1"/>
  <c r="V86" i="2"/>
  <c r="ER19" i="2" s="1" a="1"/>
  <c r="ER19" i="2" s="1"/>
  <c r="AD2523" i="2" s="1"/>
  <c r="U87" i="2"/>
  <c r="ES18" i="2" s="1" a="1"/>
  <c r="ES18" i="2" s="1"/>
  <c r="AD2543" i="2" s="1"/>
  <c r="V87" i="2"/>
  <c r="ES19" i="2" s="1" a="1"/>
  <c r="ES19" i="2" s="1"/>
  <c r="AD2544" i="2" s="1"/>
  <c r="U88" i="2"/>
  <c r="ET18" i="2" s="1" a="1"/>
  <c r="ET18" i="2" s="1"/>
  <c r="AD2564" i="2" s="1"/>
  <c r="V88" i="2"/>
  <c r="ET19" i="2" s="1" a="1"/>
  <c r="ET19" i="2" s="1"/>
  <c r="AD2565" i="2" s="1"/>
  <c r="EU18" i="2" a="1"/>
  <c r="EU18" i="2" s="1"/>
  <c r="AD2585" i="2" s="1"/>
  <c r="EU19" i="2" a="1"/>
  <c r="EU19" i="2" s="1"/>
  <c r="AD2586" i="2" s="1"/>
  <c r="U89" i="2"/>
  <c r="EV18" i="2" s="1" a="1"/>
  <c r="EV18" i="2" s="1"/>
  <c r="AD2606" i="2" s="1"/>
  <c r="V89" i="2"/>
  <c r="EV19" i="2" s="1" a="1"/>
  <c r="EV19" i="2" s="1"/>
  <c r="AD2607" i="2" s="1"/>
  <c r="EW18" i="2" a="1"/>
  <c r="EW18" i="2" s="1"/>
  <c r="AD2627" i="2" s="1"/>
  <c r="EW19" i="2" a="1"/>
  <c r="EW19" i="2" s="1"/>
  <c r="AD2628" i="2" s="1"/>
  <c r="U90" i="2"/>
  <c r="EX18" i="2" s="1" a="1"/>
  <c r="EX18" i="2" s="1"/>
  <c r="AD2648" i="2" s="1"/>
  <c r="V90" i="2"/>
  <c r="EX19" i="2" s="1" a="1"/>
  <c r="EX19" i="2" s="1"/>
  <c r="AD2649" i="2" s="1"/>
  <c r="EY18" i="2" a="1"/>
  <c r="EY18" i="2" s="1"/>
  <c r="AD2669" i="2" s="1"/>
  <c r="EY19" i="2" a="1"/>
  <c r="EY19" i="2" s="1"/>
  <c r="AD2670" i="2" s="1"/>
  <c r="U91" i="2"/>
  <c r="EZ18" i="2" s="1" a="1"/>
  <c r="EZ18" i="2" s="1"/>
  <c r="AD2690" i="2" s="1"/>
  <c r="V91" i="2"/>
  <c r="EZ19" i="2" s="1" a="1"/>
  <c r="EZ19" i="2" s="1"/>
  <c r="AD2691" i="2" s="1"/>
  <c r="U92" i="2"/>
  <c r="FA18" i="2" s="1" a="1"/>
  <c r="FA18" i="2" s="1"/>
  <c r="AD2711" i="2" s="1"/>
  <c r="V92" i="2"/>
  <c r="FA19" i="2" s="1" a="1"/>
  <c r="FA19" i="2" s="1"/>
  <c r="AD2712" i="2" s="1"/>
  <c r="FB18" i="2" a="1"/>
  <c r="FB18" i="2" s="1"/>
  <c r="AD2732" i="2" s="1"/>
  <c r="FB19" i="2" a="1"/>
  <c r="FB19" i="2" s="1"/>
  <c r="AD2733" i="2" s="1"/>
  <c r="U93" i="2"/>
  <c r="FC18" i="2" s="1" a="1"/>
  <c r="FC18" i="2" s="1"/>
  <c r="AD2753" i="2" s="1"/>
  <c r="V93" i="2"/>
  <c r="FC19" i="2" s="1" a="1"/>
  <c r="FC19" i="2" s="1"/>
  <c r="AD2754" i="2" s="1"/>
  <c r="U94" i="2"/>
  <c r="FD18" i="2" s="1" a="1"/>
  <c r="FD18" i="2" s="1"/>
  <c r="AD2774" i="2" s="1"/>
  <c r="V94" i="2"/>
  <c r="FD19" i="2" s="1" a="1"/>
  <c r="FD19" i="2" s="1"/>
  <c r="AD2775" i="2" s="1"/>
  <c r="U95" i="2"/>
  <c r="FE18" i="2" s="1" a="1"/>
  <c r="FE18" i="2" s="1"/>
  <c r="AD2795" i="2" s="1"/>
  <c r="V95" i="2"/>
  <c r="FE19" i="2" s="1" a="1"/>
  <c r="FE19" i="2" s="1"/>
  <c r="AD2796" i="2" s="1"/>
  <c r="U96" i="2"/>
  <c r="FF18" i="2" s="1" a="1"/>
  <c r="FF18" i="2" s="1"/>
  <c r="AD2816" i="2" s="1"/>
  <c r="V96" i="2"/>
  <c r="FF19" i="2" s="1" a="1"/>
  <c r="FF19" i="2" s="1"/>
  <c r="AD2817" i="2" s="1"/>
  <c r="U97" i="2"/>
  <c r="FG18" i="2" s="1" a="1"/>
  <c r="FG18" i="2" s="1"/>
  <c r="AD2837" i="2" s="1"/>
  <c r="V97" i="2"/>
  <c r="FG19" i="2" s="1" a="1"/>
  <c r="FG19" i="2" s="1"/>
  <c r="AD2838" i="2" s="1"/>
  <c r="FH18" i="2" a="1"/>
  <c r="FH18" i="2" s="1"/>
  <c r="AD2858" i="2" s="1"/>
  <c r="FH19" i="2" a="1"/>
  <c r="FH19" i="2" s="1"/>
  <c r="AD2859" i="2" s="1"/>
  <c r="U98" i="2"/>
  <c r="FI18" i="2" s="1" a="1"/>
  <c r="FI18" i="2" s="1"/>
  <c r="AD2879" i="2" s="1"/>
  <c r="V98" i="2"/>
  <c r="FI19" i="2" s="1" a="1"/>
  <c r="FI19" i="2" s="1"/>
  <c r="AD2880" i="2" s="1"/>
  <c r="U99" i="2"/>
  <c r="FJ18" i="2" s="1" a="1"/>
  <c r="FJ18" i="2" s="1"/>
  <c r="AD2900" i="2" s="1"/>
  <c r="V99" i="2"/>
  <c r="FJ19" i="2" s="1" a="1"/>
  <c r="FJ19" i="2" s="1"/>
  <c r="AD2901" i="2" s="1"/>
  <c r="U100" i="2"/>
  <c r="FK18" i="2" s="1" a="1"/>
  <c r="FK18" i="2" s="1"/>
  <c r="AD2921" i="2" s="1"/>
  <c r="V100" i="2"/>
  <c r="FK19" i="2" s="1" a="1"/>
  <c r="FK19" i="2" s="1"/>
  <c r="AD2922" i="2" s="1"/>
  <c r="U101" i="2"/>
  <c r="FL18" i="2" s="1" a="1"/>
  <c r="FL18" i="2" s="1"/>
  <c r="AD2942" i="2" s="1"/>
  <c r="V101" i="2"/>
  <c r="FL19" i="2" s="1" a="1"/>
  <c r="FL19" i="2" s="1"/>
  <c r="AD2943" i="2" s="1"/>
  <c r="U102" i="2"/>
  <c r="FM18" i="2" s="1" a="1"/>
  <c r="FM18" i="2" s="1"/>
  <c r="AD2963" i="2" s="1"/>
  <c r="V102" i="2"/>
  <c r="FM19" i="2" s="1" a="1"/>
  <c r="FM19" i="2" s="1"/>
  <c r="AD2964" i="2" s="1"/>
  <c r="U103" i="2"/>
  <c r="FN18" i="2" s="1" a="1"/>
  <c r="FN18" i="2" s="1"/>
  <c r="AD2984" i="2" s="1"/>
  <c r="V103" i="2"/>
  <c r="FN19" i="2" s="1" a="1"/>
  <c r="FN19" i="2" s="1"/>
  <c r="AD2985" i="2" s="1"/>
  <c r="U104" i="2"/>
  <c r="FO18" i="2" s="1" a="1"/>
  <c r="FO18" i="2" s="1"/>
  <c r="AD3005" i="2" s="1"/>
  <c r="V104" i="2"/>
  <c r="FO19" i="2" s="1" a="1"/>
  <c r="FO19" i="2" s="1"/>
  <c r="AD3006" i="2" s="1"/>
  <c r="U105" i="2"/>
  <c r="FP18" i="2" s="1" a="1"/>
  <c r="FP18" i="2" s="1"/>
  <c r="AD3026" i="2" s="1"/>
  <c r="V105" i="2"/>
  <c r="FP19" i="2" s="1" a="1"/>
  <c r="FP19" i="2" s="1"/>
  <c r="AD3027" i="2" s="1"/>
  <c r="FQ18" i="2" a="1"/>
  <c r="FQ18" i="2" s="1"/>
  <c r="FQ19" i="2" a="1"/>
  <c r="FQ19" i="2" s="1"/>
  <c r="U106" i="2"/>
  <c r="FR18" i="2" s="1" a="1"/>
  <c r="FR18" i="2" s="1"/>
  <c r="V106" i="2"/>
  <c r="FR19" i="2" s="1" a="1"/>
  <c r="FR19" i="2" s="1"/>
  <c r="U107" i="2"/>
  <c r="FS18" i="2" s="1" a="1"/>
  <c r="FS18" i="2" s="1"/>
  <c r="V107" i="2"/>
  <c r="FS19" i="2" s="1" a="1"/>
  <c r="FS19" i="2" s="1"/>
  <c r="U108" i="2"/>
  <c r="FT18" i="2" s="1" a="1"/>
  <c r="FT18" i="2" s="1"/>
  <c r="V108" i="2"/>
  <c r="FT19" i="2" s="1" a="1"/>
  <c r="FT19" i="2" s="1"/>
  <c r="U109" i="2"/>
  <c r="FU18" i="2" s="1" a="1"/>
  <c r="FU18" i="2" s="1"/>
  <c r="V109" i="2"/>
  <c r="FU19" i="2" s="1" a="1"/>
  <c r="FU19" i="2" s="1"/>
  <c r="U110" i="2"/>
  <c r="FV18" i="2" s="1" a="1"/>
  <c r="FV18" i="2" s="1"/>
  <c r="V110" i="2"/>
  <c r="FV19" i="2" s="1" a="1"/>
  <c r="FV19" i="2" s="1"/>
  <c r="U111" i="2"/>
  <c r="FW18" i="2" s="1" a="1"/>
  <c r="FW18" i="2" s="1"/>
  <c r="V111" i="2"/>
  <c r="FW19" i="2" s="1" a="1"/>
  <c r="FW19" i="2" s="1"/>
  <c r="FX18" i="2" a="1"/>
  <c r="FX18" i="2" s="1"/>
  <c r="FX19" i="2" a="1"/>
  <c r="FX19" i="2" s="1"/>
  <c r="U112" i="2"/>
  <c r="FY18" i="2" s="1" a="1"/>
  <c r="FY18" i="2" s="1"/>
  <c r="V112" i="2"/>
  <c r="FY19" i="2" s="1" a="1"/>
  <c r="FY19" i="2" s="1"/>
  <c r="U113" i="2"/>
  <c r="FZ18" i="2" s="1" a="1"/>
  <c r="FZ18" i="2" s="1"/>
  <c r="V113" i="2"/>
  <c r="FZ19" i="2" s="1" a="1"/>
  <c r="FZ19" i="2" s="1"/>
  <c r="U114" i="2"/>
  <c r="GA18" i="2" s="1" a="1"/>
  <c r="GA18" i="2" s="1"/>
  <c r="V114" i="2"/>
  <c r="GA19" i="2" s="1" a="1"/>
  <c r="GA19" i="2" s="1"/>
  <c r="U115" i="2"/>
  <c r="GB18" i="2" s="1" a="1"/>
  <c r="GB18" i="2" s="1"/>
  <c r="V115" i="2"/>
  <c r="GB19" i="2" s="1" a="1"/>
  <c r="GB19" i="2" s="1"/>
  <c r="GC18" i="2" a="1"/>
  <c r="GC18" i="2" s="1"/>
  <c r="GC19" i="2" a="1"/>
  <c r="GC19" i="2" s="1"/>
  <c r="U116" i="2"/>
  <c r="GD18" i="2" s="1" a="1"/>
  <c r="GD18" i="2" s="1"/>
  <c r="V116" i="2"/>
  <c r="GD19" i="2" s="1" a="1"/>
  <c r="GD19" i="2" s="1"/>
  <c r="GE18" i="2" a="1"/>
  <c r="GE18" i="2" s="1"/>
  <c r="GE19" i="2" a="1"/>
  <c r="GE19" i="2" s="1"/>
  <c r="U117" i="2"/>
  <c r="GF18" i="2" s="1" a="1"/>
  <c r="GF18" i="2" s="1"/>
  <c r="V117" i="2"/>
  <c r="GF19" i="2" s="1" a="1"/>
  <c r="GF19" i="2" s="1"/>
  <c r="U118" i="2"/>
  <c r="GG18" i="2" s="1" a="1"/>
  <c r="GG18" i="2" s="1"/>
  <c r="V118" i="2"/>
  <c r="GG19" i="2" s="1" a="1"/>
  <c r="GG19" i="2" s="1"/>
  <c r="U119" i="2"/>
  <c r="GH18" i="2" s="1" a="1"/>
  <c r="GH18" i="2" s="1"/>
  <c r="V119" i="2"/>
  <c r="GH19" i="2" s="1" a="1"/>
  <c r="GH19" i="2" s="1"/>
  <c r="GI18" i="2" a="1"/>
  <c r="GI18" i="2" s="1"/>
  <c r="GI19" i="2" a="1"/>
  <c r="GI19" i="2" s="1"/>
  <c r="U120" i="2"/>
  <c r="GJ18" i="2" s="1" a="1"/>
  <c r="GJ18" i="2" s="1"/>
  <c r="V120" i="2"/>
  <c r="GJ19" i="2" s="1" a="1"/>
  <c r="GJ19" i="2" s="1"/>
  <c r="GK18" i="2" a="1"/>
  <c r="GK18" i="2" s="1"/>
  <c r="GK19" i="2" a="1"/>
  <c r="GK19" i="2" s="1"/>
  <c r="GL18" i="2" a="1"/>
  <c r="GL18" i="2" s="1"/>
  <c r="GL19" i="2" a="1"/>
  <c r="GL19" i="2" s="1"/>
  <c r="GM18" i="2" a="1"/>
  <c r="GM18" i="2" s="1"/>
  <c r="GM19" i="2" a="1"/>
  <c r="GM19" i="2" s="1"/>
  <c r="U121" i="2"/>
  <c r="GN18" i="2" s="1" a="1"/>
  <c r="GN18" i="2" s="1"/>
  <c r="V121" i="2"/>
  <c r="GN19" i="2" s="1" a="1"/>
  <c r="GN19" i="2" s="1"/>
  <c r="U122" i="2"/>
  <c r="GO18" i="2" s="1" a="1"/>
  <c r="GO18" i="2" s="1"/>
  <c r="V122" i="2"/>
  <c r="GO19" i="2" s="1" a="1"/>
  <c r="GO19" i="2" s="1"/>
  <c r="U123" i="2"/>
  <c r="GP18" i="2" s="1" a="1"/>
  <c r="GP18" i="2" s="1"/>
  <c r="V123" i="2"/>
  <c r="GP19" i="2" s="1" a="1"/>
  <c r="GP19" i="2" s="1"/>
  <c r="U124" i="2"/>
  <c r="GQ18" i="2" s="1" a="1"/>
  <c r="GQ18" i="2" s="1"/>
  <c r="V124" i="2"/>
  <c r="GQ19" i="2" s="1" a="1"/>
  <c r="GQ19" i="2" s="1"/>
  <c r="U125" i="2"/>
  <c r="GR18" i="2" s="1" a="1"/>
  <c r="GR18" i="2" s="1"/>
  <c r="V125" i="2"/>
  <c r="GR19" i="2" s="1" a="1"/>
  <c r="GR19" i="2" s="1"/>
  <c r="U126" i="2"/>
  <c r="GS18" i="2" s="1" a="1"/>
  <c r="GS18" i="2" s="1"/>
  <c r="V126" i="2"/>
  <c r="GS19" i="2" s="1" a="1"/>
  <c r="GS19" i="2" s="1"/>
  <c r="U127" i="2"/>
  <c r="GT18" i="2" s="1" a="1"/>
  <c r="GT18" i="2" s="1"/>
  <c r="V127" i="2"/>
  <c r="GT19" i="2" s="1" a="1"/>
  <c r="GT19" i="2" s="1"/>
  <c r="U128" i="2"/>
  <c r="GU18" i="2" s="1" a="1"/>
  <c r="GU18" i="2" s="1"/>
  <c r="V128" i="2"/>
  <c r="GU19" i="2" s="1" a="1"/>
  <c r="GU19" i="2" s="1"/>
  <c r="U129" i="2"/>
  <c r="GV18" i="2" s="1" a="1"/>
  <c r="GV18" i="2" s="1"/>
  <c r="V129" i="2"/>
  <c r="GV19" i="2" s="1" a="1"/>
  <c r="GV19" i="2" s="1"/>
  <c r="U130" i="2"/>
  <c r="GW18" i="2" s="1" a="1"/>
  <c r="GW18" i="2" s="1"/>
  <c r="V130" i="2"/>
  <c r="GW19" i="2" s="1" a="1"/>
  <c r="GW19" i="2" s="1"/>
  <c r="U131" i="2"/>
  <c r="GX18" i="2" s="1" a="1"/>
  <c r="GX18" i="2" s="1"/>
  <c r="V131" i="2"/>
  <c r="GX19" i="2" s="1" a="1"/>
  <c r="GX19" i="2" s="1"/>
  <c r="U132" i="2"/>
  <c r="GY18" i="2" s="1" a="1"/>
  <c r="GY18" i="2" s="1"/>
  <c r="V132" i="2"/>
  <c r="GY19" i="2" s="1" a="1"/>
  <c r="GY19" i="2" s="1"/>
  <c r="U133" i="2"/>
  <c r="GZ18" i="2" s="1" a="1"/>
  <c r="GZ18" i="2" s="1"/>
  <c r="V133" i="2"/>
  <c r="GZ19" i="2" s="1" a="1"/>
  <c r="GZ19" i="2" s="1"/>
  <c r="U134" i="2"/>
  <c r="HA18" i="2" s="1" a="1"/>
  <c r="HA18" i="2" s="1"/>
  <c r="V134" i="2"/>
  <c r="HA19" i="2" s="1" a="1"/>
  <c r="HA19" i="2" s="1"/>
  <c r="U135" i="2"/>
  <c r="HB18" i="2" s="1" a="1"/>
  <c r="HB18" i="2" s="1"/>
  <c r="V135" i="2"/>
  <c r="HB19" i="2" s="1" a="1"/>
  <c r="HB19" i="2" s="1"/>
  <c r="U136" i="2"/>
  <c r="HC18" i="2" s="1" a="1"/>
  <c r="HC18" i="2" s="1"/>
  <c r="V136" i="2"/>
  <c r="HC19" i="2" s="1" a="1"/>
  <c r="HC19" i="2" s="1"/>
  <c r="U137" i="2"/>
  <c r="HD18" i="2" s="1" a="1"/>
  <c r="HD18" i="2" s="1"/>
  <c r="V137" i="2"/>
  <c r="HD19" i="2" s="1" a="1"/>
  <c r="HD19" i="2" s="1"/>
  <c r="U138" i="2"/>
  <c r="HE18" i="2" s="1" a="1"/>
  <c r="HE18" i="2" s="1"/>
  <c r="V138" i="2"/>
  <c r="HE19" i="2" s="1" a="1"/>
  <c r="HE19" i="2" s="1"/>
  <c r="U139" i="2"/>
  <c r="HF18" i="2" s="1" a="1"/>
  <c r="HF18" i="2" s="1"/>
  <c r="V139" i="2"/>
  <c r="HF19" i="2" s="1" a="1"/>
  <c r="HF19" i="2" s="1"/>
  <c r="U140" i="2"/>
  <c r="HG18" i="2" s="1" a="1"/>
  <c r="HG18" i="2" s="1"/>
  <c r="V140" i="2"/>
  <c r="HG19" i="2" s="1" a="1"/>
  <c r="HG19" i="2" s="1"/>
  <c r="U141" i="2"/>
  <c r="HH18" i="2" s="1" a="1"/>
  <c r="HH18" i="2" s="1"/>
  <c r="V141" i="2"/>
  <c r="HH19" i="2" s="1" a="1"/>
  <c r="HH19" i="2" s="1"/>
  <c r="U142" i="2"/>
  <c r="HI18" i="2" s="1" a="1"/>
  <c r="HI18" i="2" s="1"/>
  <c r="V142" i="2"/>
  <c r="HI19" i="2" s="1" a="1"/>
  <c r="HI19" i="2" s="1"/>
  <c r="U143" i="2"/>
  <c r="HJ18" i="2" s="1" a="1"/>
  <c r="HJ18" i="2" s="1"/>
  <c r="V143" i="2"/>
  <c r="HJ19" i="2" s="1" a="1"/>
  <c r="HJ19" i="2" s="1"/>
  <c r="U144" i="2"/>
  <c r="HK18" i="2" s="1" a="1"/>
  <c r="HK18" i="2" s="1"/>
  <c r="V144" i="2"/>
  <c r="HK19" i="2" s="1" a="1"/>
  <c r="HK19" i="2" s="1"/>
  <c r="U145" i="2"/>
  <c r="HL18" i="2" s="1" a="1"/>
  <c r="HL18" i="2" s="1"/>
  <c r="V145" i="2"/>
  <c r="HL19" i="2" s="1" a="1"/>
  <c r="HL19" i="2" s="1"/>
  <c r="U146" i="2"/>
  <c r="HM18" i="2" s="1" a="1"/>
  <c r="HM18" i="2" s="1"/>
  <c r="V146" i="2"/>
  <c r="HM19" i="2" s="1" a="1"/>
  <c r="HM19" i="2" s="1"/>
  <c r="U147" i="2"/>
  <c r="HN18" i="2" s="1" a="1"/>
  <c r="HN18" i="2" s="1"/>
  <c r="V147" i="2"/>
  <c r="HN19" i="2" s="1" a="1"/>
  <c r="HN19" i="2" s="1"/>
  <c r="U148" i="2"/>
  <c r="HO18" i="2" s="1" a="1"/>
  <c r="HO18" i="2" s="1"/>
  <c r="V148" i="2"/>
  <c r="HO19" i="2" s="1" a="1"/>
  <c r="HO19" i="2" s="1"/>
  <c r="U149" i="2"/>
  <c r="HP18" i="2" s="1" a="1"/>
  <c r="HP18" i="2" s="1"/>
  <c r="V149" i="2"/>
  <c r="HP19" i="2" s="1" a="1"/>
  <c r="HP19" i="2" s="1"/>
  <c r="U150" i="2"/>
  <c r="HQ18" i="2" s="1" a="1"/>
  <c r="HQ18" i="2" s="1"/>
  <c r="V150" i="2"/>
  <c r="HQ19" i="2" s="1" a="1"/>
  <c r="HQ19" i="2" s="1"/>
  <c r="U151" i="2"/>
  <c r="HR18" i="2" s="1" a="1"/>
  <c r="HR18" i="2" s="1"/>
  <c r="V151" i="2"/>
  <c r="HR19" i="2" s="1" a="1"/>
  <c r="HR19" i="2" s="1"/>
  <c r="U152" i="2"/>
  <c r="HS18" i="2" s="1" a="1"/>
  <c r="HS18" i="2" s="1"/>
  <c r="V152" i="2"/>
  <c r="HS19" i="2" s="1" a="1"/>
  <c r="HS19" i="2" s="1"/>
  <c r="U153" i="2"/>
  <c r="HT18" i="2" s="1" a="1"/>
  <c r="HT18" i="2" s="1"/>
  <c r="V153" i="2"/>
  <c r="HT19" i="2" s="1" a="1"/>
  <c r="HT19" i="2" s="1"/>
  <c r="U154" i="2"/>
  <c r="HU18" i="2" s="1" a="1"/>
  <c r="HU18" i="2" s="1"/>
  <c r="V154" i="2"/>
  <c r="HU19" i="2" s="1" a="1"/>
  <c r="HU19" i="2" s="1"/>
  <c r="U155" i="2"/>
  <c r="HV18" i="2" s="1" a="1"/>
  <c r="HV18" i="2" s="1"/>
  <c r="V155" i="2"/>
  <c r="HV19" i="2" s="1" a="1"/>
  <c r="HV19" i="2" s="1"/>
  <c r="U156" i="2"/>
  <c r="HW18" i="2" s="1" a="1"/>
  <c r="HW18" i="2" s="1"/>
  <c r="V156" i="2"/>
  <c r="HW19" i="2" s="1" a="1"/>
  <c r="HW19" i="2" s="1"/>
  <c r="U157" i="2"/>
  <c r="HX18" i="2" s="1" a="1"/>
  <c r="HX18" i="2" s="1"/>
  <c r="V157" i="2"/>
  <c r="HX19" i="2" s="1" a="1"/>
  <c r="HX19" i="2" s="1"/>
  <c r="U158" i="2"/>
  <c r="HY18" i="2" s="1" a="1"/>
  <c r="HY18" i="2" s="1"/>
  <c r="V158" i="2"/>
  <c r="HY19" i="2" s="1" a="1"/>
  <c r="HY19" i="2" s="1"/>
  <c r="U159" i="2"/>
  <c r="HZ18" i="2" s="1" a="1"/>
  <c r="HZ18" i="2" s="1"/>
  <c r="V159" i="2"/>
  <c r="HZ19" i="2" s="1" a="1"/>
  <c r="HZ19" i="2" s="1"/>
  <c r="U160" i="2"/>
  <c r="IA18" i="2" s="1" a="1"/>
  <c r="IA18" i="2" s="1"/>
  <c r="V160" i="2"/>
  <c r="IA19" i="2" s="1" a="1"/>
  <c r="IA19" i="2" s="1"/>
  <c r="U161" i="2"/>
  <c r="IB18" i="2" s="1" a="1"/>
  <c r="IB18" i="2" s="1"/>
  <c r="V161" i="2"/>
  <c r="IB19" i="2" s="1" a="1"/>
  <c r="IB19" i="2" s="1"/>
  <c r="U162" i="2"/>
  <c r="IC18" i="2" s="1" a="1"/>
  <c r="IC18" i="2" s="1"/>
  <c r="V162" i="2"/>
  <c r="IC19" i="2" s="1" a="1"/>
  <c r="IC19" i="2" s="1"/>
  <c r="U163" i="2"/>
  <c r="ID18" i="2" s="1" a="1"/>
  <c r="ID18" i="2" s="1"/>
  <c r="V163" i="2"/>
  <c r="ID19" i="2" s="1" a="1"/>
  <c r="ID19" i="2" s="1"/>
  <c r="U164" i="2"/>
  <c r="IE18" i="2" s="1" a="1"/>
  <c r="IE18" i="2" s="1"/>
  <c r="V164" i="2"/>
  <c r="IE19" i="2" s="1" a="1"/>
  <c r="IE19" i="2" s="1"/>
  <c r="U165" i="2"/>
  <c r="IF18" i="2" s="1" a="1"/>
  <c r="IF18" i="2" s="1"/>
  <c r="V165" i="2"/>
  <c r="IF19" i="2" s="1" a="1"/>
  <c r="IF19" i="2" s="1"/>
  <c r="U166" i="2"/>
  <c r="IG18" i="2" s="1" a="1"/>
  <c r="IG18" i="2" s="1"/>
  <c r="V166" i="2"/>
  <c r="IG19" i="2" s="1" a="1"/>
  <c r="IG19" i="2" s="1"/>
  <c r="U167" i="2"/>
  <c r="IH18" i="2" s="1" a="1"/>
  <c r="IH18" i="2" s="1"/>
  <c r="V167" i="2"/>
  <c r="IH19" i="2" s="1" a="1"/>
  <c r="IH19" i="2" s="1"/>
  <c r="U168" i="2"/>
  <c r="II18" i="2" s="1" a="1"/>
  <c r="II18" i="2" s="1"/>
  <c r="V168" i="2"/>
  <c r="II19" i="2" s="1" a="1"/>
  <c r="II19" i="2" s="1"/>
  <c r="U169" i="2"/>
  <c r="IJ18" i="2" s="1" a="1"/>
  <c r="IJ18" i="2" s="1"/>
  <c r="V169" i="2"/>
  <c r="IJ19" i="2" s="1" a="1"/>
  <c r="IJ19" i="2" s="1"/>
  <c r="U170" i="2"/>
  <c r="IK18" i="2" s="1" a="1"/>
  <c r="IK18" i="2" s="1"/>
  <c r="V170" i="2"/>
  <c r="IK19" i="2" s="1" a="1"/>
  <c r="IK19" i="2" s="1"/>
  <c r="U171" i="2"/>
  <c r="IL18" i="2" s="1" a="1"/>
  <c r="IL18" i="2" s="1"/>
  <c r="V171" i="2"/>
  <c r="IL19" i="2" s="1" a="1"/>
  <c r="IL19" i="2" s="1"/>
  <c r="U172" i="2"/>
  <c r="IM18" i="2" s="1" a="1"/>
  <c r="IM18" i="2" s="1"/>
  <c r="V172" i="2"/>
  <c r="IM19" i="2" s="1" a="1"/>
  <c r="IM19" i="2" s="1"/>
  <c r="U173" i="2"/>
  <c r="IN18" i="2" s="1" a="1"/>
  <c r="IN18" i="2" s="1"/>
  <c r="V173" i="2"/>
  <c r="IN19" i="2" s="1" a="1"/>
  <c r="IN19" i="2" s="1"/>
  <c r="U174" i="2"/>
  <c r="IO18" i="2" s="1" a="1"/>
  <c r="IO18" i="2" s="1"/>
  <c r="V174" i="2"/>
  <c r="IO19" i="2" s="1" a="1"/>
  <c r="IO19" i="2" s="1"/>
  <c r="U175" i="2"/>
  <c r="IP18" i="2" s="1" a="1"/>
  <c r="IP18" i="2" s="1"/>
  <c r="V175" i="2"/>
  <c r="IP19" i="2" s="1" a="1"/>
  <c r="IP19" i="2" s="1"/>
  <c r="U176" i="2"/>
  <c r="IQ18" i="2" s="1" a="1"/>
  <c r="IQ18" i="2" s="1"/>
  <c r="V176" i="2"/>
  <c r="IQ19" i="2" s="1" a="1"/>
  <c r="IQ19" i="2" s="1"/>
  <c r="U177" i="2"/>
  <c r="IR18" i="2" s="1" a="1"/>
  <c r="IR18" i="2" s="1"/>
  <c r="V177" i="2"/>
  <c r="IR19" i="2" s="1" a="1"/>
  <c r="IR19" i="2" s="1"/>
  <c r="U178" i="2"/>
  <c r="IS18" i="2" s="1" a="1"/>
  <c r="IS18" i="2" s="1"/>
  <c r="V178" i="2"/>
  <c r="IS19" i="2" s="1" a="1"/>
  <c r="IS19" i="2" s="1"/>
  <c r="U179" i="2"/>
  <c r="IT18" i="2" s="1" a="1"/>
  <c r="IT18" i="2" s="1"/>
  <c r="V179" i="2"/>
  <c r="IT19" i="2" s="1" a="1"/>
  <c r="IT19" i="2" s="1"/>
  <c r="U180" i="2"/>
  <c r="IU18" i="2" s="1" a="1"/>
  <c r="IU18" i="2" s="1"/>
  <c r="V180" i="2"/>
  <c r="IU19" i="2" s="1" a="1"/>
  <c r="IU19" i="2" s="1"/>
  <c r="U181" i="2"/>
  <c r="IV18" i="2" s="1" a="1"/>
  <c r="IV18" i="2" s="1"/>
  <c r="V181" i="2"/>
  <c r="IV19" i="2" s="1" a="1"/>
  <c r="IV19" i="2" s="1"/>
  <c r="U182" i="2"/>
  <c r="IW18" i="2" s="1" a="1"/>
  <c r="IW18" i="2" s="1"/>
  <c r="V182" i="2"/>
  <c r="IW19" i="2" s="1" a="1"/>
  <c r="IW19" i="2" s="1"/>
  <c r="U183" i="2"/>
  <c r="IX18" i="2" s="1" a="1"/>
  <c r="IX18" i="2" s="1"/>
  <c r="V183" i="2"/>
  <c r="IX19" i="2" s="1" a="1"/>
  <c r="IX19" i="2" s="1"/>
  <c r="U184" i="2"/>
  <c r="IY18" i="2" s="1" a="1"/>
  <c r="IY18" i="2" s="1"/>
  <c r="V184" i="2"/>
  <c r="IY19" i="2" s="1" a="1"/>
  <c r="IY19" i="2" s="1"/>
  <c r="U185" i="2"/>
  <c r="IZ18" i="2" s="1" a="1"/>
  <c r="IZ18" i="2" s="1"/>
  <c r="V185" i="2"/>
  <c r="IZ19" i="2" s="1" a="1"/>
  <c r="IZ19" i="2" s="1"/>
  <c r="U186" i="2"/>
  <c r="JA18" i="2" s="1" a="1"/>
  <c r="JA18" i="2" s="1"/>
  <c r="V186" i="2"/>
  <c r="JA19" i="2" s="1" a="1"/>
  <c r="JA19" i="2" s="1"/>
  <c r="U187" i="2"/>
  <c r="JB18" i="2" s="1" a="1"/>
  <c r="JB18" i="2" s="1"/>
  <c r="V187" i="2"/>
  <c r="JB19" i="2" s="1" a="1"/>
  <c r="JB19" i="2" s="1"/>
  <c r="U188" i="2"/>
  <c r="JC18" i="2" s="1" a="1"/>
  <c r="JC18" i="2" s="1"/>
  <c r="V188" i="2"/>
  <c r="JC19" i="2" s="1" a="1"/>
  <c r="JC19" i="2" s="1"/>
  <c r="U189" i="2"/>
  <c r="JD18" i="2" s="1" a="1"/>
  <c r="JD18" i="2" s="1"/>
  <c r="V189" i="2"/>
  <c r="JD19" i="2" s="1" a="1"/>
  <c r="JD19" i="2" s="1"/>
  <c r="U190" i="2"/>
  <c r="JE18" i="2" s="1" a="1"/>
  <c r="JE18" i="2" s="1"/>
  <c r="V190" i="2"/>
  <c r="JE19" i="2" s="1" a="1"/>
  <c r="JE19" i="2" s="1"/>
  <c r="U191" i="2"/>
  <c r="JF18" i="2" s="1" a="1"/>
  <c r="JF18" i="2" s="1"/>
  <c r="V191" i="2"/>
  <c r="JF19" i="2" s="1" a="1"/>
  <c r="JF19" i="2" s="1"/>
  <c r="U192" i="2"/>
  <c r="JG18" i="2" s="1" a="1"/>
  <c r="JG18" i="2" s="1"/>
  <c r="V192" i="2"/>
  <c r="JG19" i="2" s="1" a="1"/>
  <c r="JG19" i="2" s="1"/>
  <c r="U193" i="2"/>
  <c r="JH18" i="2" s="1" a="1"/>
  <c r="JH18" i="2" s="1"/>
  <c r="V193" i="2"/>
  <c r="JH19" i="2" s="1" a="1"/>
  <c r="JH19" i="2" s="1"/>
  <c r="V3" i="2"/>
  <c r="AD19" i="2" s="1" a="1"/>
  <c r="AD19" i="2" s="1"/>
  <c r="AD45" i="2" s="1"/>
  <c r="U3" i="2"/>
  <c r="AD18" i="2" s="1" a="1"/>
  <c r="AD18" i="2" s="1"/>
  <c r="AD44" i="2" s="1"/>
  <c r="AD4035" i="2" l="1"/>
  <c r="AD5043" i="2"/>
  <c r="AD3993" i="2"/>
  <c r="AD5001" i="2"/>
  <c r="AD4959" i="2"/>
  <c r="AD3951" i="2"/>
  <c r="AD3909" i="2"/>
  <c r="AD4917" i="2"/>
  <c r="AD3867" i="2"/>
  <c r="AD4875" i="2"/>
  <c r="AD3825" i="2"/>
  <c r="AD4833" i="2"/>
  <c r="AD3783" i="2"/>
  <c r="AD4791" i="2"/>
  <c r="AD3741" i="2"/>
  <c r="AD4749" i="2"/>
  <c r="AD3699" i="2"/>
  <c r="AD4707" i="2"/>
  <c r="AD3657" i="2"/>
  <c r="AD4665" i="2"/>
  <c r="AD4623" i="2"/>
  <c r="AD3615" i="2"/>
  <c r="AD4581" i="2"/>
  <c r="AD3573" i="2"/>
  <c r="AD4539" i="2"/>
  <c r="AD3531" i="2"/>
  <c r="AD3489" i="2"/>
  <c r="AD4497" i="2"/>
  <c r="AD3447" i="2"/>
  <c r="AD4455" i="2"/>
  <c r="AD4413" i="2"/>
  <c r="AD3405" i="2"/>
  <c r="AD4371" i="2"/>
  <c r="AD3363" i="2"/>
  <c r="AD4329" i="2"/>
  <c r="AD3321" i="2"/>
  <c r="AD4287" i="2"/>
  <c r="AD3279" i="2"/>
  <c r="AD4245" i="2"/>
  <c r="AD3237" i="2"/>
  <c r="AD3195" i="2"/>
  <c r="AD4203" i="2"/>
  <c r="AD4161" i="2"/>
  <c r="AD3153" i="2"/>
  <c r="AD4119" i="2"/>
  <c r="AD3111" i="2"/>
  <c r="AD3069" i="2"/>
  <c r="AD4077" i="2"/>
  <c r="AD4978" i="2"/>
  <c r="AD3970" i="2"/>
  <c r="AD3886" i="2"/>
  <c r="AD4894" i="2"/>
  <c r="AD3802" i="2"/>
  <c r="AD4810" i="2"/>
  <c r="AD3718" i="2"/>
  <c r="AD4726" i="2"/>
  <c r="AD3634" i="2"/>
  <c r="AD4642" i="2"/>
  <c r="AD4558" i="2"/>
  <c r="AD3550" i="2"/>
  <c r="AD3466" i="2"/>
  <c r="AD4474" i="2"/>
  <c r="AD3382" i="2"/>
  <c r="AD4390" i="2"/>
  <c r="AD3298" i="2"/>
  <c r="AD4306" i="2"/>
  <c r="AD4222" i="2"/>
  <c r="AD3214" i="2"/>
  <c r="AD4138" i="2"/>
  <c r="AD3130" i="2"/>
  <c r="AD4054" i="2"/>
  <c r="AD3046" i="2"/>
  <c r="AD4030" i="2"/>
  <c r="AD5038" i="2"/>
  <c r="AD3946" i="2"/>
  <c r="AD4954" i="2"/>
  <c r="AD3862" i="2"/>
  <c r="AD4870" i="2"/>
  <c r="AD3778" i="2"/>
  <c r="AD4786" i="2"/>
  <c r="AD3694" i="2"/>
  <c r="AD4702" i="2"/>
  <c r="AD3610" i="2"/>
  <c r="AD4618" i="2"/>
  <c r="AD3526" i="2"/>
  <c r="AD4534" i="2"/>
  <c r="AD4450" i="2"/>
  <c r="AD3442" i="2"/>
  <c r="AD3358" i="2"/>
  <c r="AD4366" i="2"/>
  <c r="AD4282" i="2"/>
  <c r="AD3274" i="2"/>
  <c r="AD3190" i="2"/>
  <c r="AD4198" i="2"/>
  <c r="AD3106" i="2"/>
  <c r="AD4114" i="2"/>
  <c r="AD4034" i="2"/>
  <c r="AD5042" i="2"/>
  <c r="AD3992" i="2"/>
  <c r="AD5000" i="2"/>
  <c r="AD3950" i="2"/>
  <c r="AD4958" i="2"/>
  <c r="AD3908" i="2"/>
  <c r="AD4916" i="2"/>
  <c r="AD3866" i="2"/>
  <c r="AD4874" i="2"/>
  <c r="AD3824" i="2"/>
  <c r="AD4832" i="2"/>
  <c r="AD3782" i="2"/>
  <c r="AD4790" i="2"/>
  <c r="AD3740" i="2"/>
  <c r="AD4748" i="2"/>
  <c r="AD3698" i="2"/>
  <c r="AD4706" i="2"/>
  <c r="AD3656" i="2"/>
  <c r="AD4664" i="2"/>
  <c r="AD3614" i="2"/>
  <c r="AD4622" i="2"/>
  <c r="AD4580" i="2"/>
  <c r="AD3572" i="2"/>
  <c r="AD4538" i="2"/>
  <c r="AD3530" i="2"/>
  <c r="AD4496" i="2"/>
  <c r="AD3488" i="2"/>
  <c r="AD3446" i="2"/>
  <c r="AD4454" i="2"/>
  <c r="AD3404" i="2"/>
  <c r="AD4412" i="2"/>
  <c r="AD4370" i="2"/>
  <c r="AD3362" i="2"/>
  <c r="AD4328" i="2"/>
  <c r="AD3320" i="2"/>
  <c r="AD3278" i="2"/>
  <c r="AD4286" i="2"/>
  <c r="AD4244" i="2"/>
  <c r="AD3236" i="2"/>
  <c r="AD4202" i="2"/>
  <c r="AD3194" i="2"/>
  <c r="AD4160" i="2"/>
  <c r="AD3152" i="2"/>
  <c r="AD4118" i="2"/>
  <c r="AD3110" i="2"/>
  <c r="AD3068" i="2"/>
  <c r="AD4076" i="2"/>
  <c r="AD4033" i="2"/>
  <c r="AD5041" i="2"/>
  <c r="AD4957" i="2"/>
  <c r="AD3949" i="2"/>
  <c r="AD3865" i="2"/>
  <c r="AD4873" i="2"/>
  <c r="AD3781" i="2"/>
  <c r="AD4789" i="2"/>
  <c r="AD3697" i="2"/>
  <c r="AD4705" i="2"/>
  <c r="AD4621" i="2"/>
  <c r="AD3613" i="2"/>
  <c r="AD4537" i="2"/>
  <c r="AD3529" i="2"/>
  <c r="AD4453" i="2"/>
  <c r="AD3445" i="2"/>
  <c r="AD4369" i="2"/>
  <c r="AD3361" i="2"/>
  <c r="AD4285" i="2"/>
  <c r="AD3277" i="2"/>
  <c r="AD3193" i="2"/>
  <c r="AD4201" i="2"/>
  <c r="AD4117" i="2"/>
  <c r="AD3109" i="2"/>
  <c r="AD4009" i="2"/>
  <c r="AD5017" i="2"/>
  <c r="AD3925" i="2"/>
  <c r="AD4933" i="2"/>
  <c r="AD3841" i="2"/>
  <c r="AD4849" i="2"/>
  <c r="AD3757" i="2"/>
  <c r="AD4765" i="2"/>
  <c r="AD3673" i="2"/>
  <c r="AD4681" i="2"/>
  <c r="AD4597" i="2"/>
  <c r="AD3589" i="2"/>
  <c r="AD3505" i="2"/>
  <c r="AD4513" i="2"/>
  <c r="AD3421" i="2"/>
  <c r="AD4429" i="2"/>
  <c r="AD4345" i="2"/>
  <c r="AD3337" i="2"/>
  <c r="AD4261" i="2"/>
  <c r="AD3253" i="2"/>
  <c r="AD3169" i="2"/>
  <c r="AD4177" i="2"/>
  <c r="AD4093" i="2"/>
  <c r="AD3085" i="2"/>
  <c r="AD4014" i="2"/>
  <c r="AD5022" i="2"/>
  <c r="AD3972" i="2"/>
  <c r="AD4980" i="2"/>
  <c r="AD3930" i="2"/>
  <c r="AD4938" i="2"/>
  <c r="AD3888" i="2"/>
  <c r="AD4896" i="2"/>
  <c r="AD3846" i="2"/>
  <c r="AD4854" i="2"/>
  <c r="AD3804" i="2"/>
  <c r="AD4812" i="2"/>
  <c r="AD3762" i="2"/>
  <c r="AD4770" i="2"/>
  <c r="AD3720" i="2"/>
  <c r="AD4728" i="2"/>
  <c r="AD3678" i="2"/>
  <c r="AD4686" i="2"/>
  <c r="AD3636" i="2"/>
  <c r="AD4644" i="2"/>
  <c r="AD3594" i="2"/>
  <c r="AD4602" i="2"/>
  <c r="AD4560" i="2"/>
  <c r="AD3552" i="2"/>
  <c r="AD3510" i="2"/>
  <c r="AD4518" i="2"/>
  <c r="AD4476" i="2"/>
  <c r="AD3468" i="2"/>
  <c r="AD3426" i="2"/>
  <c r="AD4434" i="2"/>
  <c r="AD3384" i="2"/>
  <c r="AD4392" i="2"/>
  <c r="AD4350" i="2"/>
  <c r="AD3342" i="2"/>
  <c r="AD4308" i="2"/>
  <c r="AD3300" i="2"/>
  <c r="AD3258" i="2"/>
  <c r="AD4266" i="2"/>
  <c r="AD4224" i="2"/>
  <c r="AD3216" i="2"/>
  <c r="AD3174" i="2"/>
  <c r="AD4182" i="2"/>
  <c r="AD3132" i="2"/>
  <c r="AD4140" i="2"/>
  <c r="AD3090" i="2"/>
  <c r="AD4098" i="2"/>
  <c r="AD4056" i="2"/>
  <c r="AD3048" i="2"/>
  <c r="AD4012" i="2"/>
  <c r="AD5020" i="2"/>
  <c r="AD4936" i="2"/>
  <c r="AD3928" i="2"/>
  <c r="AD3844" i="2"/>
  <c r="AD4852" i="2"/>
  <c r="AD3760" i="2"/>
  <c r="AD4768" i="2"/>
  <c r="AD3676" i="2"/>
  <c r="AD4684" i="2"/>
  <c r="AD4600" i="2"/>
  <c r="AD3592" i="2"/>
  <c r="AD4516" i="2"/>
  <c r="AD3508" i="2"/>
  <c r="AD4432" i="2"/>
  <c r="AD3424" i="2"/>
  <c r="AD3340" i="2"/>
  <c r="AD4348" i="2"/>
  <c r="AD4264" i="2"/>
  <c r="AD3256" i="2"/>
  <c r="AD3172" i="2"/>
  <c r="AD4180" i="2"/>
  <c r="AD4096" i="2"/>
  <c r="AD3088" i="2"/>
  <c r="AD4996" i="2"/>
  <c r="AD3988" i="2"/>
  <c r="AD3904" i="2"/>
  <c r="AD4912" i="2"/>
  <c r="AD3820" i="2"/>
  <c r="AD4828" i="2"/>
  <c r="AD3736" i="2"/>
  <c r="AD4744" i="2"/>
  <c r="AD3652" i="2"/>
  <c r="AD4660" i="2"/>
  <c r="AD4576" i="2"/>
  <c r="AD3568" i="2"/>
  <c r="AD4492" i="2"/>
  <c r="AD3484" i="2"/>
  <c r="AD3400" i="2"/>
  <c r="AD4408" i="2"/>
  <c r="AD3316" i="2"/>
  <c r="AD4324" i="2"/>
  <c r="AD3232" i="2"/>
  <c r="AD4240" i="2"/>
  <c r="AD3148" i="2"/>
  <c r="AD4156" i="2"/>
  <c r="AD4072" i="2"/>
  <c r="AD3064" i="2"/>
  <c r="AD4013" i="2"/>
  <c r="AD5021" i="2"/>
  <c r="AD4979" i="2"/>
  <c r="AD3971" i="2"/>
  <c r="AD4937" i="2"/>
  <c r="AD3929" i="2"/>
  <c r="AD3887" i="2"/>
  <c r="AD4895" i="2"/>
  <c r="AD3845" i="2"/>
  <c r="AD4853" i="2"/>
  <c r="AD3803" i="2"/>
  <c r="AD4811" i="2"/>
  <c r="AD3761" i="2"/>
  <c r="AD4769" i="2"/>
  <c r="AD3719" i="2"/>
  <c r="AD4727" i="2"/>
  <c r="AD3677" i="2"/>
  <c r="AD4685" i="2"/>
  <c r="AD3635" i="2"/>
  <c r="AD4643" i="2"/>
  <c r="AD4601" i="2"/>
  <c r="AD3593" i="2"/>
  <c r="AD4559" i="2"/>
  <c r="AD3551" i="2"/>
  <c r="AD4517" i="2"/>
  <c r="AD3509" i="2"/>
  <c r="AD4475" i="2"/>
  <c r="AD3467" i="2"/>
  <c r="AD3425" i="2"/>
  <c r="AD4433" i="2"/>
  <c r="AD3383" i="2"/>
  <c r="AD4391" i="2"/>
  <c r="AD4349" i="2"/>
  <c r="AD3341" i="2"/>
  <c r="AD3299" i="2"/>
  <c r="AD4307" i="2"/>
  <c r="AD3257" i="2"/>
  <c r="AD4265" i="2"/>
  <c r="AD3215" i="2"/>
  <c r="AD4223" i="2"/>
  <c r="AD4181" i="2"/>
  <c r="AD3173" i="2"/>
  <c r="AD4139" i="2"/>
  <c r="AD3131" i="2"/>
  <c r="AD3089" i="2"/>
  <c r="AD4097" i="2"/>
  <c r="AD4055" i="2"/>
  <c r="AD3047" i="2"/>
  <c r="AD4999" i="2"/>
  <c r="AD3991" i="2"/>
  <c r="AD3907" i="2"/>
  <c r="AD4915" i="2"/>
  <c r="AD3823" i="2"/>
  <c r="AD4831" i="2"/>
  <c r="AD3739" i="2"/>
  <c r="AD4747" i="2"/>
  <c r="AD3655" i="2"/>
  <c r="AD4663" i="2"/>
  <c r="AD3571" i="2"/>
  <c r="AD4579" i="2"/>
  <c r="AD4495" i="2"/>
  <c r="AD3487" i="2"/>
  <c r="AD3403" i="2"/>
  <c r="AD4411" i="2"/>
  <c r="AD4327" i="2"/>
  <c r="AD3319" i="2"/>
  <c r="AD3235" i="2"/>
  <c r="AD4243" i="2"/>
  <c r="AD4159" i="2"/>
  <c r="AD3151" i="2"/>
  <c r="AD3067" i="2"/>
  <c r="AD4075" i="2"/>
  <c r="AD4975" i="2"/>
  <c r="AD3967" i="2"/>
  <c r="AD3883" i="2"/>
  <c r="AD4891" i="2"/>
  <c r="AD3799" i="2"/>
  <c r="AD4807" i="2"/>
  <c r="AD3715" i="2"/>
  <c r="AD4723" i="2"/>
  <c r="AD3631" i="2"/>
  <c r="AD4639" i="2"/>
  <c r="AD3547" i="2"/>
  <c r="AD4555" i="2"/>
  <c r="AD3463" i="2"/>
  <c r="AD4471" i="2"/>
  <c r="AD4387" i="2"/>
  <c r="AD3379" i="2"/>
  <c r="AD3295" i="2"/>
  <c r="AD4303" i="2"/>
  <c r="AD3211" i="2"/>
  <c r="AD4219" i="2"/>
  <c r="AD3127" i="2"/>
  <c r="AD4135" i="2"/>
  <c r="AD4051" i="2"/>
  <c r="AD3043" i="2"/>
  <c r="N2" i="4" a="1"/>
  <c r="N2" i="4" s="1"/>
  <c r="H2" i="4" a="1"/>
  <c r="H2" i="4" s="1"/>
  <c r="N238" i="4" a="1"/>
  <c r="N238" i="4" s="1"/>
  <c r="H238" i="4" a="1"/>
  <c r="H238" i="4" s="1"/>
  <c r="N232" i="4" a="1"/>
  <c r="N232" i="4" s="1"/>
  <c r="H232" i="4" a="1"/>
  <c r="H232" i="4" s="1"/>
  <c r="N222" i="4" a="1"/>
  <c r="N222" i="4" s="1"/>
  <c r="H222" i="4" a="1"/>
  <c r="H222" i="4" s="1"/>
  <c r="N216" i="4" a="1"/>
  <c r="N216" i="4" s="1"/>
  <c r="H216" i="4" a="1"/>
  <c r="H216" i="4" s="1"/>
  <c r="N206" i="4" a="1"/>
  <c r="N206" i="4" s="1"/>
  <c r="H206" i="4" a="1"/>
  <c r="H206" i="4" s="1"/>
  <c r="N200" i="4" a="1"/>
  <c r="N200" i="4" s="1"/>
  <c r="H200" i="4" a="1"/>
  <c r="H200" i="4" s="1"/>
  <c r="N190" i="4" a="1"/>
  <c r="N190" i="4" s="1"/>
  <c r="H190" i="4" a="1"/>
  <c r="H190" i="4" s="1"/>
  <c r="N184" i="4" a="1"/>
  <c r="N184" i="4" s="1"/>
  <c r="H184" i="4" a="1"/>
  <c r="H184" i="4" s="1"/>
  <c r="N174" i="4" a="1"/>
  <c r="N174" i="4" s="1"/>
  <c r="H174" i="4" a="1"/>
  <c r="H174" i="4" s="1"/>
  <c r="N164" i="4" a="1"/>
  <c r="N164" i="4" s="1"/>
  <c r="H164" i="4" a="1"/>
  <c r="H164" i="4" s="1"/>
  <c r="N146" i="4" a="1"/>
  <c r="N146" i="4" s="1"/>
  <c r="H146" i="4" a="1"/>
  <c r="H146" i="4" s="1"/>
  <c r="N132" i="4" a="1"/>
  <c r="N132" i="4" s="1"/>
  <c r="H132" i="4" a="1"/>
  <c r="H132" i="4" s="1"/>
  <c r="N114" i="4" a="1"/>
  <c r="N114" i="4" s="1"/>
  <c r="H114" i="4" a="1"/>
  <c r="H114" i="4" s="1"/>
  <c r="N100" i="4" a="1"/>
  <c r="N100" i="4" s="1"/>
  <c r="H100" i="4" a="1"/>
  <c r="H100" i="4" s="1"/>
  <c r="N82" i="4" a="1"/>
  <c r="N82" i="4" s="1"/>
  <c r="H82" i="4" a="1"/>
  <c r="H82" i="4" s="1"/>
  <c r="N68" i="4" a="1"/>
  <c r="N68" i="4" s="1"/>
  <c r="H68" i="4" a="1"/>
  <c r="H68" i="4" s="1"/>
  <c r="N50" i="4" a="1"/>
  <c r="N50" i="4" s="1"/>
  <c r="H50" i="4" a="1"/>
  <c r="H50" i="4" s="1"/>
  <c r="N36" i="4" a="1"/>
  <c r="N36" i="4" s="1"/>
  <c r="H36" i="4" a="1"/>
  <c r="H36" i="4" s="1"/>
  <c r="N18" i="4" a="1"/>
  <c r="N18" i="4" s="1"/>
  <c r="H18" i="4" a="1"/>
  <c r="H18" i="4" s="1"/>
  <c r="N230" i="4" a="1"/>
  <c r="N230" i="4" s="1"/>
  <c r="H230" i="4" a="1"/>
  <c r="H230" i="4" s="1"/>
  <c r="N224" i="4" a="1"/>
  <c r="N224" i="4" s="1"/>
  <c r="H224" i="4" a="1"/>
  <c r="H224" i="4" s="1"/>
  <c r="N214" i="4" a="1"/>
  <c r="N214" i="4" s="1"/>
  <c r="H214" i="4" a="1"/>
  <c r="H214" i="4" s="1"/>
  <c r="N208" i="4" a="1"/>
  <c r="N208" i="4" s="1"/>
  <c r="H208" i="4" a="1"/>
  <c r="H208" i="4" s="1"/>
  <c r="N198" i="4" a="1"/>
  <c r="N198" i="4" s="1"/>
  <c r="H198" i="4" a="1"/>
  <c r="H198" i="4" s="1"/>
  <c r="N192" i="4" a="1"/>
  <c r="N192" i="4" s="1"/>
  <c r="H192" i="4" a="1"/>
  <c r="H192" i="4" s="1"/>
  <c r="N182" i="4" a="1"/>
  <c r="N182" i="4" s="1"/>
  <c r="H182" i="4" a="1"/>
  <c r="H182" i="4" s="1"/>
  <c r="N176" i="4" a="1"/>
  <c r="N176" i="4" s="1"/>
  <c r="H176" i="4" a="1"/>
  <c r="H176" i="4" s="1"/>
  <c r="N162" i="4" a="1"/>
  <c r="N162" i="4" s="1"/>
  <c r="H162" i="4" a="1"/>
  <c r="H162" i="4" s="1"/>
  <c r="N148" i="4" a="1"/>
  <c r="N148" i="4" s="1"/>
  <c r="H148" i="4" a="1"/>
  <c r="H148" i="4" s="1"/>
  <c r="N130" i="4" a="1"/>
  <c r="N130" i="4" s="1"/>
  <c r="H130" i="4" a="1"/>
  <c r="H130" i="4" s="1"/>
  <c r="N116" i="4" a="1"/>
  <c r="N116" i="4" s="1"/>
  <c r="H116" i="4" a="1"/>
  <c r="H116" i="4" s="1"/>
  <c r="N98" i="4" a="1"/>
  <c r="N98" i="4" s="1"/>
  <c r="H98" i="4" a="1"/>
  <c r="H98" i="4" s="1"/>
  <c r="N84" i="4" a="1"/>
  <c r="N84" i="4" s="1"/>
  <c r="H84" i="4" a="1"/>
  <c r="H84" i="4" s="1"/>
  <c r="N66" i="4" a="1"/>
  <c r="N66" i="4" s="1"/>
  <c r="H66" i="4" a="1"/>
  <c r="H66" i="4" s="1"/>
  <c r="N52" i="4" a="1"/>
  <c r="N52" i="4" s="1"/>
  <c r="H52" i="4" a="1"/>
  <c r="H52" i="4" s="1"/>
  <c r="N34" i="4" a="1"/>
  <c r="N34" i="4" s="1"/>
  <c r="H34" i="4" a="1"/>
  <c r="H34" i="4" s="1"/>
  <c r="N20" i="4" a="1"/>
  <c r="N20" i="4" s="1"/>
  <c r="H20" i="4" a="1"/>
  <c r="H20" i="4" s="1"/>
  <c r="N237" i="4" a="1"/>
  <c r="N237" i="4" s="1"/>
  <c r="H237" i="4" a="1"/>
  <c r="H237" i="4" s="1"/>
  <c r="N234" i="4" a="1"/>
  <c r="N234" i="4" s="1"/>
  <c r="H234" i="4" a="1"/>
  <c r="H234" i="4" s="1"/>
  <c r="N229" i="4" a="1"/>
  <c r="N229" i="4" s="1"/>
  <c r="H229" i="4" a="1"/>
  <c r="H229" i="4" s="1"/>
  <c r="N226" i="4" a="1"/>
  <c r="N226" i="4" s="1"/>
  <c r="H226" i="4" a="1"/>
  <c r="H226" i="4" s="1"/>
  <c r="N221" i="4" a="1"/>
  <c r="N221" i="4" s="1"/>
  <c r="H221" i="4" a="1"/>
  <c r="H221" i="4" s="1"/>
  <c r="N218" i="4" a="1"/>
  <c r="N218" i="4" s="1"/>
  <c r="H218" i="4" a="1"/>
  <c r="H218" i="4" s="1"/>
  <c r="N213" i="4" a="1"/>
  <c r="N213" i="4" s="1"/>
  <c r="H213" i="4" a="1"/>
  <c r="H213" i="4" s="1"/>
  <c r="N210" i="4" a="1"/>
  <c r="N210" i="4" s="1"/>
  <c r="H210" i="4" a="1"/>
  <c r="H210" i="4" s="1"/>
  <c r="N205" i="4" a="1"/>
  <c r="N205" i="4" s="1"/>
  <c r="H205" i="4" a="1"/>
  <c r="H205" i="4" s="1"/>
  <c r="N202" i="4" a="1"/>
  <c r="N202" i="4" s="1"/>
  <c r="H202" i="4" a="1"/>
  <c r="H202" i="4" s="1"/>
  <c r="N197" i="4" a="1"/>
  <c r="N197" i="4" s="1"/>
  <c r="H197" i="4" a="1"/>
  <c r="H197" i="4" s="1"/>
  <c r="N194" i="4" a="1"/>
  <c r="N194" i="4" s="1"/>
  <c r="H194" i="4" a="1"/>
  <c r="H194" i="4" s="1"/>
  <c r="N189" i="4" a="1"/>
  <c r="N189" i="4" s="1"/>
  <c r="H189" i="4" a="1"/>
  <c r="H189" i="4" s="1"/>
  <c r="N186" i="4" a="1"/>
  <c r="N186" i="4" s="1"/>
  <c r="H186" i="4" a="1"/>
  <c r="H186" i="4" s="1"/>
  <c r="N181" i="4" a="1"/>
  <c r="N181" i="4" s="1"/>
  <c r="H181" i="4" a="1"/>
  <c r="H181" i="4" s="1"/>
  <c r="N178" i="4" a="1"/>
  <c r="N178" i="4" s="1"/>
  <c r="H178" i="4" a="1"/>
  <c r="H178" i="4" s="1"/>
  <c r="N173" i="4" a="1"/>
  <c r="N173" i="4" s="1"/>
  <c r="H173" i="4" a="1"/>
  <c r="H173" i="4" s="1"/>
  <c r="N170" i="4" a="1"/>
  <c r="N170" i="4" s="1"/>
  <c r="H170" i="4" a="1"/>
  <c r="H170" i="4" s="1"/>
  <c r="N167" i="4" a="1"/>
  <c r="N167" i="4" s="1"/>
  <c r="H167" i="4" a="1"/>
  <c r="H167" i="4" s="1"/>
  <c r="N161" i="4" a="1"/>
  <c r="N161" i="4" s="1"/>
  <c r="H161" i="4" a="1"/>
  <c r="H161" i="4" s="1"/>
  <c r="N157" i="4" a="1"/>
  <c r="N157" i="4" s="1"/>
  <c r="H157" i="4" a="1"/>
  <c r="H157" i="4" s="1"/>
  <c r="N154" i="4" a="1"/>
  <c r="N154" i="4" s="1"/>
  <c r="H154" i="4" a="1"/>
  <c r="H154" i="4" s="1"/>
  <c r="N151" i="4" a="1"/>
  <c r="N151" i="4" s="1"/>
  <c r="H151" i="4" a="1"/>
  <c r="H151" i="4" s="1"/>
  <c r="N145" i="4" a="1"/>
  <c r="N145" i="4" s="1"/>
  <c r="H145" i="4" a="1"/>
  <c r="H145" i="4" s="1"/>
  <c r="N141" i="4" a="1"/>
  <c r="N141" i="4" s="1"/>
  <c r="H141" i="4" a="1"/>
  <c r="H141" i="4" s="1"/>
  <c r="N138" i="4" a="1"/>
  <c r="N138" i="4" s="1"/>
  <c r="H138" i="4" a="1"/>
  <c r="H138" i="4" s="1"/>
  <c r="N135" i="4" a="1"/>
  <c r="N135" i="4" s="1"/>
  <c r="H135" i="4" a="1"/>
  <c r="H135" i="4" s="1"/>
  <c r="N129" i="4" a="1"/>
  <c r="N129" i="4" s="1"/>
  <c r="H129" i="4" a="1"/>
  <c r="H129" i="4" s="1"/>
  <c r="N125" i="4" a="1"/>
  <c r="N125" i="4" s="1"/>
  <c r="H125" i="4" a="1"/>
  <c r="H125" i="4" s="1"/>
  <c r="N122" i="4" a="1"/>
  <c r="N122" i="4" s="1"/>
  <c r="H122" i="4" a="1"/>
  <c r="H122" i="4" s="1"/>
  <c r="N119" i="4" a="1"/>
  <c r="N119" i="4" s="1"/>
  <c r="H119" i="4" a="1"/>
  <c r="H119" i="4" s="1"/>
  <c r="N113" i="4" a="1"/>
  <c r="N113" i="4" s="1"/>
  <c r="H113" i="4" a="1"/>
  <c r="H113" i="4" s="1"/>
  <c r="N109" i="4" a="1"/>
  <c r="N109" i="4" s="1"/>
  <c r="H109" i="4" a="1"/>
  <c r="H109" i="4" s="1"/>
  <c r="N106" i="4" a="1"/>
  <c r="N106" i="4" s="1"/>
  <c r="H106" i="4" a="1"/>
  <c r="H106" i="4" s="1"/>
  <c r="N103" i="4" a="1"/>
  <c r="N103" i="4" s="1"/>
  <c r="H103" i="4" a="1"/>
  <c r="H103" i="4" s="1"/>
  <c r="N97" i="4" a="1"/>
  <c r="N97" i="4" s="1"/>
  <c r="H97" i="4" a="1"/>
  <c r="H97" i="4" s="1"/>
  <c r="N93" i="4" a="1"/>
  <c r="N93" i="4" s="1"/>
  <c r="H93" i="4" a="1"/>
  <c r="H93" i="4" s="1"/>
  <c r="N90" i="4" a="1"/>
  <c r="N90" i="4" s="1"/>
  <c r="H90" i="4" a="1"/>
  <c r="H90" i="4" s="1"/>
  <c r="N87" i="4" a="1"/>
  <c r="N87" i="4" s="1"/>
  <c r="H87" i="4" a="1"/>
  <c r="H87" i="4" s="1"/>
  <c r="N81" i="4" a="1"/>
  <c r="N81" i="4" s="1"/>
  <c r="H81" i="4" a="1"/>
  <c r="H81" i="4" s="1"/>
  <c r="N77" i="4" a="1"/>
  <c r="N77" i="4" s="1"/>
  <c r="H77" i="4" a="1"/>
  <c r="H77" i="4" s="1"/>
  <c r="N74" i="4" a="1"/>
  <c r="N74" i="4" s="1"/>
  <c r="H74" i="4" a="1"/>
  <c r="H74" i="4" s="1"/>
  <c r="N71" i="4" a="1"/>
  <c r="N71" i="4" s="1"/>
  <c r="H71" i="4" a="1"/>
  <c r="H71" i="4" s="1"/>
  <c r="N65" i="4" a="1"/>
  <c r="N65" i="4" s="1"/>
  <c r="H65" i="4" a="1"/>
  <c r="H65" i="4" s="1"/>
  <c r="N61" i="4" a="1"/>
  <c r="N61" i="4" s="1"/>
  <c r="H61" i="4" a="1"/>
  <c r="H61" i="4" s="1"/>
  <c r="N58" i="4" a="1"/>
  <c r="N58" i="4" s="1"/>
  <c r="H58" i="4" a="1"/>
  <c r="H58" i="4" s="1"/>
  <c r="N55" i="4" a="1"/>
  <c r="N55" i="4" s="1"/>
  <c r="H55" i="4" a="1"/>
  <c r="H55" i="4" s="1"/>
  <c r="N49" i="4" a="1"/>
  <c r="N49" i="4" s="1"/>
  <c r="H49" i="4" a="1"/>
  <c r="H49" i="4" s="1"/>
  <c r="N45" i="4" a="1"/>
  <c r="N45" i="4" s="1"/>
  <c r="H45" i="4" a="1"/>
  <c r="H45" i="4" s="1"/>
  <c r="N42" i="4" a="1"/>
  <c r="N42" i="4" s="1"/>
  <c r="H42" i="4" a="1"/>
  <c r="H42" i="4" s="1"/>
  <c r="N39" i="4" a="1"/>
  <c r="N39" i="4" s="1"/>
  <c r="H39" i="4" a="1"/>
  <c r="H39" i="4" s="1"/>
  <c r="N33" i="4" a="1"/>
  <c r="N33" i="4" s="1"/>
  <c r="H33" i="4" a="1"/>
  <c r="H33" i="4" s="1"/>
  <c r="N29" i="4" a="1"/>
  <c r="N29" i="4" s="1"/>
  <c r="H29" i="4" a="1"/>
  <c r="H29" i="4" s="1"/>
  <c r="N26" i="4" a="1"/>
  <c r="N26" i="4" s="1"/>
  <c r="H26" i="4" a="1"/>
  <c r="H26" i="4" s="1"/>
  <c r="N23" i="4" a="1"/>
  <c r="N23" i="4" s="1"/>
  <c r="H23" i="4" a="1"/>
  <c r="H23" i="4" s="1"/>
  <c r="N17" i="4" a="1"/>
  <c r="N17" i="4" s="1"/>
  <c r="H17" i="4" a="1"/>
  <c r="H17" i="4" s="1"/>
  <c r="N239" i="4" a="1"/>
  <c r="N239" i="4" s="1"/>
  <c r="H239" i="4" a="1"/>
  <c r="H239" i="4" s="1"/>
  <c r="N236" i="4" a="1"/>
  <c r="N236" i="4" s="1"/>
  <c r="H236" i="4" a="1"/>
  <c r="H236" i="4" s="1"/>
  <c r="N231" i="4" a="1"/>
  <c r="N231" i="4" s="1"/>
  <c r="H231" i="4" a="1"/>
  <c r="H231" i="4" s="1"/>
  <c r="N228" i="4" a="1"/>
  <c r="N228" i="4" s="1"/>
  <c r="H228" i="4" a="1"/>
  <c r="H228" i="4" s="1"/>
  <c r="N223" i="4" a="1"/>
  <c r="N223" i="4" s="1"/>
  <c r="H223" i="4" a="1"/>
  <c r="H223" i="4" s="1"/>
  <c r="N220" i="4" a="1"/>
  <c r="N220" i="4" s="1"/>
  <c r="H220" i="4" a="1"/>
  <c r="H220" i="4" s="1"/>
  <c r="N215" i="4" a="1"/>
  <c r="N215" i="4" s="1"/>
  <c r="H215" i="4" a="1"/>
  <c r="H215" i="4" s="1"/>
  <c r="N212" i="4" a="1"/>
  <c r="N212" i="4" s="1"/>
  <c r="H212" i="4" a="1"/>
  <c r="H212" i="4" s="1"/>
  <c r="N207" i="4" a="1"/>
  <c r="N207" i="4" s="1"/>
  <c r="H207" i="4" a="1"/>
  <c r="H207" i="4" s="1"/>
  <c r="N204" i="4" a="1"/>
  <c r="N204" i="4" s="1"/>
  <c r="H204" i="4" a="1"/>
  <c r="H204" i="4" s="1"/>
  <c r="N199" i="4" a="1"/>
  <c r="N199" i="4" s="1"/>
  <c r="H199" i="4" a="1"/>
  <c r="H199" i="4" s="1"/>
  <c r="N196" i="4" a="1"/>
  <c r="N196" i="4" s="1"/>
  <c r="H196" i="4" a="1"/>
  <c r="H196" i="4" s="1"/>
  <c r="N191" i="4" a="1"/>
  <c r="N191" i="4" s="1"/>
  <c r="H191" i="4" a="1"/>
  <c r="H191" i="4" s="1"/>
  <c r="N188" i="4" a="1"/>
  <c r="N188" i="4" s="1"/>
  <c r="H188" i="4" a="1"/>
  <c r="H188" i="4" s="1"/>
  <c r="N183" i="4" a="1"/>
  <c r="N183" i="4" s="1"/>
  <c r="H183" i="4" a="1"/>
  <c r="H183" i="4" s="1"/>
  <c r="N180" i="4" a="1"/>
  <c r="N180" i="4" s="1"/>
  <c r="H180" i="4" a="1"/>
  <c r="H180" i="4" s="1"/>
  <c r="N175" i="4" a="1"/>
  <c r="N175" i="4" s="1"/>
  <c r="H175" i="4" a="1"/>
  <c r="H175" i="4" s="1"/>
  <c r="N172" i="4" a="1"/>
  <c r="N172" i="4" s="1"/>
  <c r="H172" i="4" a="1"/>
  <c r="H172" i="4" s="1"/>
  <c r="N166" i="4" a="1"/>
  <c r="N166" i="4" s="1"/>
  <c r="H166" i="4" a="1"/>
  <c r="H166" i="4" s="1"/>
  <c r="N163" i="4" a="1"/>
  <c r="N163" i="4" s="1"/>
  <c r="H163" i="4" a="1"/>
  <c r="H163" i="4" s="1"/>
  <c r="N160" i="4" a="1"/>
  <c r="N160" i="4" s="1"/>
  <c r="H160" i="4" a="1"/>
  <c r="H160" i="4" s="1"/>
  <c r="N156" i="4" a="1"/>
  <c r="N156" i="4" s="1"/>
  <c r="H156" i="4" a="1"/>
  <c r="H156" i="4" s="1"/>
  <c r="N150" i="4" a="1"/>
  <c r="N150" i="4" s="1"/>
  <c r="H150" i="4" a="1"/>
  <c r="H150" i="4" s="1"/>
  <c r="N147" i="4" a="1"/>
  <c r="N147" i="4" s="1"/>
  <c r="H147" i="4" a="1"/>
  <c r="H147" i="4" s="1"/>
  <c r="N144" i="4" a="1"/>
  <c r="N144" i="4" s="1"/>
  <c r="H144" i="4" a="1"/>
  <c r="H144" i="4" s="1"/>
  <c r="N140" i="4" a="1"/>
  <c r="N140" i="4" s="1"/>
  <c r="H140" i="4" a="1"/>
  <c r="H140" i="4" s="1"/>
  <c r="N134" i="4" a="1"/>
  <c r="N134" i="4" s="1"/>
  <c r="H134" i="4" a="1"/>
  <c r="H134" i="4" s="1"/>
  <c r="N131" i="4" a="1"/>
  <c r="N131" i="4" s="1"/>
  <c r="H131" i="4" a="1"/>
  <c r="H131" i="4" s="1"/>
  <c r="N128" i="4" a="1"/>
  <c r="N128" i="4" s="1"/>
  <c r="H128" i="4" a="1"/>
  <c r="H128" i="4" s="1"/>
  <c r="N124" i="4" a="1"/>
  <c r="N124" i="4" s="1"/>
  <c r="H124" i="4" a="1"/>
  <c r="H124" i="4" s="1"/>
  <c r="N118" i="4" a="1"/>
  <c r="N118" i="4" s="1"/>
  <c r="H118" i="4" a="1"/>
  <c r="H118" i="4" s="1"/>
  <c r="N115" i="4" a="1"/>
  <c r="N115" i="4" s="1"/>
  <c r="H115" i="4" a="1"/>
  <c r="H115" i="4" s="1"/>
  <c r="N112" i="4" a="1"/>
  <c r="N112" i="4" s="1"/>
  <c r="H112" i="4" a="1"/>
  <c r="H112" i="4" s="1"/>
  <c r="N108" i="4" a="1"/>
  <c r="N108" i="4" s="1"/>
  <c r="H108" i="4" a="1"/>
  <c r="H108" i="4" s="1"/>
  <c r="N102" i="4" a="1"/>
  <c r="N102" i="4" s="1"/>
  <c r="H102" i="4" a="1"/>
  <c r="H102" i="4" s="1"/>
  <c r="N99" i="4" a="1"/>
  <c r="N99" i="4" s="1"/>
  <c r="H99" i="4" a="1"/>
  <c r="H99" i="4" s="1"/>
  <c r="N96" i="4" a="1"/>
  <c r="N96" i="4" s="1"/>
  <c r="H96" i="4" a="1"/>
  <c r="H96" i="4" s="1"/>
  <c r="N92" i="4" a="1"/>
  <c r="N92" i="4" s="1"/>
  <c r="H92" i="4" a="1"/>
  <c r="H92" i="4" s="1"/>
  <c r="N86" i="4" a="1"/>
  <c r="N86" i="4" s="1"/>
  <c r="H86" i="4" a="1"/>
  <c r="H86" i="4" s="1"/>
  <c r="N83" i="4" a="1"/>
  <c r="N83" i="4" s="1"/>
  <c r="H83" i="4" a="1"/>
  <c r="H83" i="4" s="1"/>
  <c r="N80" i="4" a="1"/>
  <c r="N80" i="4" s="1"/>
  <c r="H80" i="4" a="1"/>
  <c r="H80" i="4" s="1"/>
  <c r="N76" i="4" a="1"/>
  <c r="N76" i="4" s="1"/>
  <c r="H76" i="4" a="1"/>
  <c r="H76" i="4" s="1"/>
  <c r="N70" i="4" a="1"/>
  <c r="N70" i="4" s="1"/>
  <c r="H70" i="4" a="1"/>
  <c r="H70" i="4" s="1"/>
  <c r="N67" i="4" a="1"/>
  <c r="N67" i="4" s="1"/>
  <c r="H67" i="4" a="1"/>
  <c r="H67" i="4" s="1"/>
  <c r="N64" i="4" a="1"/>
  <c r="N64" i="4" s="1"/>
  <c r="H64" i="4" a="1"/>
  <c r="H64" i="4" s="1"/>
  <c r="N60" i="4" a="1"/>
  <c r="N60" i="4" s="1"/>
  <c r="H60" i="4" a="1"/>
  <c r="H60" i="4" s="1"/>
  <c r="N54" i="4" a="1"/>
  <c r="N54" i="4" s="1"/>
  <c r="H54" i="4" a="1"/>
  <c r="H54" i="4" s="1"/>
  <c r="N51" i="4" a="1"/>
  <c r="N51" i="4" s="1"/>
  <c r="H51" i="4" a="1"/>
  <c r="H51" i="4" s="1"/>
  <c r="N48" i="4" a="1"/>
  <c r="N48" i="4" s="1"/>
  <c r="H48" i="4" a="1"/>
  <c r="H48" i="4" s="1"/>
  <c r="N44" i="4" a="1"/>
  <c r="N44" i="4" s="1"/>
  <c r="H44" i="4" a="1"/>
  <c r="H44" i="4" s="1"/>
  <c r="N38" i="4" a="1"/>
  <c r="N38" i="4" s="1"/>
  <c r="H38" i="4" a="1"/>
  <c r="H38" i="4" s="1"/>
  <c r="N35" i="4" a="1"/>
  <c r="N35" i="4" s="1"/>
  <c r="H35" i="4" a="1"/>
  <c r="H35" i="4" s="1"/>
  <c r="N32" i="4" a="1"/>
  <c r="N32" i="4" s="1"/>
  <c r="H32" i="4" a="1"/>
  <c r="H32" i="4" s="1"/>
  <c r="N28" i="4" a="1"/>
  <c r="N28" i="4" s="1"/>
  <c r="H28" i="4" a="1"/>
  <c r="H28" i="4" s="1"/>
  <c r="N22" i="4" a="1"/>
  <c r="N22" i="4" s="1"/>
  <c r="H22" i="4" a="1"/>
  <c r="H22" i="4" s="1"/>
  <c r="N19" i="4" a="1"/>
  <c r="N19" i="4" s="1"/>
  <c r="H19" i="4" a="1"/>
  <c r="H19" i="4" s="1"/>
  <c r="N16" i="4" a="1"/>
  <c r="N16" i="4" s="1"/>
  <c r="H16" i="4" a="1"/>
  <c r="H16" i="4" s="1"/>
  <c r="N233" i="4" a="1"/>
  <c r="N233" i="4" s="1"/>
  <c r="H233" i="4" a="1"/>
  <c r="H233" i="4" s="1"/>
  <c r="N225" i="4" a="1"/>
  <c r="N225" i="4" s="1"/>
  <c r="H225" i="4" a="1"/>
  <c r="H225" i="4" s="1"/>
  <c r="N217" i="4" a="1"/>
  <c r="N217" i="4" s="1"/>
  <c r="H217" i="4" a="1"/>
  <c r="H217" i="4" s="1"/>
  <c r="N209" i="4" a="1"/>
  <c r="N209" i="4" s="1"/>
  <c r="H209" i="4" a="1"/>
  <c r="H209" i="4" s="1"/>
  <c r="N201" i="4" a="1"/>
  <c r="N201" i="4" s="1"/>
  <c r="H201" i="4" a="1"/>
  <c r="H201" i="4" s="1"/>
  <c r="N193" i="4" a="1"/>
  <c r="N193" i="4" s="1"/>
  <c r="H193" i="4" a="1"/>
  <c r="H193" i="4" s="1"/>
  <c r="N185" i="4" a="1"/>
  <c r="N185" i="4" s="1"/>
  <c r="H185" i="4" a="1"/>
  <c r="H185" i="4" s="1"/>
  <c r="N177" i="4" a="1"/>
  <c r="N177" i="4" s="1"/>
  <c r="H177" i="4" a="1"/>
  <c r="H177" i="4" s="1"/>
  <c r="N169" i="4" a="1"/>
  <c r="N169" i="4" s="1"/>
  <c r="H169" i="4" a="1"/>
  <c r="H169" i="4" s="1"/>
  <c r="N165" i="4" a="1"/>
  <c r="N165" i="4" s="1"/>
  <c r="H165" i="4" a="1"/>
  <c r="H165" i="4" s="1"/>
  <c r="N159" i="4" a="1"/>
  <c r="N159" i="4" s="1"/>
  <c r="H159" i="4" a="1"/>
  <c r="H159" i="4" s="1"/>
  <c r="N153" i="4" a="1"/>
  <c r="N153" i="4" s="1"/>
  <c r="H153" i="4" a="1"/>
  <c r="H153" i="4" s="1"/>
  <c r="N149" i="4" a="1"/>
  <c r="N149" i="4" s="1"/>
  <c r="H149" i="4" a="1"/>
  <c r="H149" i="4" s="1"/>
  <c r="N143" i="4" a="1"/>
  <c r="N143" i="4" s="1"/>
  <c r="H143" i="4" a="1"/>
  <c r="H143" i="4" s="1"/>
  <c r="N137" i="4" a="1"/>
  <c r="N137" i="4" s="1"/>
  <c r="H137" i="4" a="1"/>
  <c r="H137" i="4" s="1"/>
  <c r="N133" i="4" a="1"/>
  <c r="N133" i="4" s="1"/>
  <c r="H133" i="4" a="1"/>
  <c r="H133" i="4" s="1"/>
  <c r="N127" i="4" a="1"/>
  <c r="N127" i="4" s="1"/>
  <c r="H127" i="4" a="1"/>
  <c r="H127" i="4" s="1"/>
  <c r="N121" i="4" a="1"/>
  <c r="N121" i="4" s="1"/>
  <c r="H121" i="4" a="1"/>
  <c r="H121" i="4" s="1"/>
  <c r="N117" i="4" a="1"/>
  <c r="N117" i="4" s="1"/>
  <c r="H117" i="4" a="1"/>
  <c r="H117" i="4" s="1"/>
  <c r="N111" i="4" a="1"/>
  <c r="N111" i="4" s="1"/>
  <c r="H111" i="4" a="1"/>
  <c r="H111" i="4" s="1"/>
  <c r="N105" i="4" a="1"/>
  <c r="N105" i="4" s="1"/>
  <c r="H105" i="4" a="1"/>
  <c r="H105" i="4" s="1"/>
  <c r="N101" i="4" a="1"/>
  <c r="N101" i="4" s="1"/>
  <c r="H101" i="4" a="1"/>
  <c r="H101" i="4" s="1"/>
  <c r="N95" i="4" a="1"/>
  <c r="N95" i="4" s="1"/>
  <c r="H95" i="4" a="1"/>
  <c r="H95" i="4" s="1"/>
  <c r="N89" i="4" a="1"/>
  <c r="N89" i="4" s="1"/>
  <c r="H89" i="4" a="1"/>
  <c r="H89" i="4" s="1"/>
  <c r="N85" i="4" a="1"/>
  <c r="N85" i="4" s="1"/>
  <c r="H85" i="4" a="1"/>
  <c r="H85" i="4" s="1"/>
  <c r="N79" i="4" a="1"/>
  <c r="N79" i="4" s="1"/>
  <c r="H79" i="4" a="1"/>
  <c r="H79" i="4" s="1"/>
  <c r="N73" i="4" a="1"/>
  <c r="N73" i="4" s="1"/>
  <c r="H73" i="4" a="1"/>
  <c r="H73" i="4" s="1"/>
  <c r="N69" i="4" a="1"/>
  <c r="N69" i="4" s="1"/>
  <c r="H69" i="4" a="1"/>
  <c r="H69" i="4" s="1"/>
  <c r="N63" i="4" a="1"/>
  <c r="N63" i="4" s="1"/>
  <c r="H63" i="4" a="1"/>
  <c r="H63" i="4" s="1"/>
  <c r="N57" i="4" a="1"/>
  <c r="N57" i="4" s="1"/>
  <c r="H57" i="4" a="1"/>
  <c r="H57" i="4" s="1"/>
  <c r="N53" i="4" a="1"/>
  <c r="N53" i="4" s="1"/>
  <c r="H53" i="4" a="1"/>
  <c r="H53" i="4" s="1"/>
  <c r="N47" i="4" a="1"/>
  <c r="N47" i="4" s="1"/>
  <c r="H47" i="4" a="1"/>
  <c r="H47" i="4" s="1"/>
  <c r="N41" i="4" a="1"/>
  <c r="N41" i="4" s="1"/>
  <c r="H41" i="4" a="1"/>
  <c r="H41" i="4" s="1"/>
  <c r="N37" i="4" a="1"/>
  <c r="N37" i="4" s="1"/>
  <c r="H37" i="4" a="1"/>
  <c r="H37" i="4" s="1"/>
  <c r="N31" i="4" a="1"/>
  <c r="N31" i="4" s="1"/>
  <c r="H31" i="4" a="1"/>
  <c r="H31" i="4" s="1"/>
  <c r="N25" i="4" a="1"/>
  <c r="N25" i="4" s="1"/>
  <c r="H25" i="4" a="1"/>
  <c r="H25" i="4" s="1"/>
  <c r="N21" i="4" a="1"/>
  <c r="N21" i="4" s="1"/>
  <c r="H21" i="4" a="1"/>
  <c r="H21" i="4" s="1"/>
  <c r="N15" i="4" a="1"/>
  <c r="N15" i="4" s="1"/>
  <c r="H15" i="4" a="1"/>
  <c r="H15" i="4" s="1"/>
  <c r="N235" i="4" a="1"/>
  <c r="N235" i="4" s="1"/>
  <c r="H235" i="4" a="1"/>
  <c r="H235" i="4" s="1"/>
  <c r="N227" i="4" a="1"/>
  <c r="N227" i="4" s="1"/>
  <c r="H227" i="4" a="1"/>
  <c r="H227" i="4" s="1"/>
  <c r="N219" i="4" a="1"/>
  <c r="N219" i="4" s="1"/>
  <c r="H219" i="4" a="1"/>
  <c r="H219" i="4" s="1"/>
  <c r="N211" i="4" a="1"/>
  <c r="N211" i="4" s="1"/>
  <c r="H211" i="4" a="1"/>
  <c r="H211" i="4" s="1"/>
  <c r="N203" i="4" a="1"/>
  <c r="N203" i="4" s="1"/>
  <c r="H203" i="4" a="1"/>
  <c r="H203" i="4" s="1"/>
  <c r="N195" i="4" a="1"/>
  <c r="N195" i="4" s="1"/>
  <c r="H195" i="4" a="1"/>
  <c r="H195" i="4" s="1"/>
  <c r="N187" i="4" a="1"/>
  <c r="N187" i="4" s="1"/>
  <c r="H187" i="4" a="1"/>
  <c r="H187" i="4" s="1"/>
  <c r="N179" i="4" a="1"/>
  <c r="N179" i="4" s="1"/>
  <c r="H179" i="4" a="1"/>
  <c r="H179" i="4" s="1"/>
  <c r="N171" i="4" a="1"/>
  <c r="N171" i="4" s="1"/>
  <c r="H171" i="4" a="1"/>
  <c r="H171" i="4" s="1"/>
  <c r="N168" i="4" a="1"/>
  <c r="N168" i="4" s="1"/>
  <c r="H168" i="4" a="1"/>
  <c r="H168" i="4" s="1"/>
  <c r="N158" i="4" a="1"/>
  <c r="N158" i="4" s="1"/>
  <c r="H158" i="4" a="1"/>
  <c r="H158" i="4" s="1"/>
  <c r="N155" i="4" a="1"/>
  <c r="N155" i="4" s="1"/>
  <c r="H155" i="4" a="1"/>
  <c r="H155" i="4" s="1"/>
  <c r="N152" i="4" a="1"/>
  <c r="N152" i="4" s="1"/>
  <c r="H152" i="4" a="1"/>
  <c r="H152" i="4" s="1"/>
  <c r="N142" i="4" a="1"/>
  <c r="N142" i="4" s="1"/>
  <c r="H142" i="4" a="1"/>
  <c r="H142" i="4" s="1"/>
  <c r="N139" i="4" a="1"/>
  <c r="N139" i="4" s="1"/>
  <c r="H139" i="4" a="1"/>
  <c r="H139" i="4" s="1"/>
  <c r="N136" i="4" a="1"/>
  <c r="N136" i="4" s="1"/>
  <c r="H136" i="4" a="1"/>
  <c r="H136" i="4" s="1"/>
  <c r="N126" i="4" a="1"/>
  <c r="N126" i="4" s="1"/>
  <c r="H126" i="4" a="1"/>
  <c r="H126" i="4" s="1"/>
  <c r="N123" i="4" a="1"/>
  <c r="N123" i="4" s="1"/>
  <c r="H123" i="4" a="1"/>
  <c r="H123" i="4" s="1"/>
  <c r="N120" i="4" a="1"/>
  <c r="N120" i="4" s="1"/>
  <c r="H120" i="4" a="1"/>
  <c r="H120" i="4" s="1"/>
  <c r="N110" i="4" a="1"/>
  <c r="N110" i="4" s="1"/>
  <c r="H110" i="4" a="1"/>
  <c r="H110" i="4" s="1"/>
  <c r="N107" i="4" a="1"/>
  <c r="N107" i="4" s="1"/>
  <c r="H107" i="4" a="1"/>
  <c r="H107" i="4" s="1"/>
  <c r="N104" i="4" a="1"/>
  <c r="N104" i="4" s="1"/>
  <c r="H104" i="4" a="1"/>
  <c r="H104" i="4" s="1"/>
  <c r="N94" i="4" a="1"/>
  <c r="N94" i="4" s="1"/>
  <c r="H94" i="4" a="1"/>
  <c r="H94" i="4" s="1"/>
  <c r="N91" i="4" a="1"/>
  <c r="N91" i="4" s="1"/>
  <c r="H91" i="4" a="1"/>
  <c r="H91" i="4" s="1"/>
  <c r="N88" i="4" a="1"/>
  <c r="N88" i="4" s="1"/>
  <c r="H88" i="4" a="1"/>
  <c r="H88" i="4" s="1"/>
  <c r="N78" i="4" a="1"/>
  <c r="N78" i="4" s="1"/>
  <c r="H78" i="4" a="1"/>
  <c r="H78" i="4" s="1"/>
  <c r="N75" i="4" a="1"/>
  <c r="N75" i="4" s="1"/>
  <c r="H75" i="4" a="1"/>
  <c r="H75" i="4" s="1"/>
  <c r="N72" i="4" a="1"/>
  <c r="N72" i="4" s="1"/>
  <c r="H72" i="4" a="1"/>
  <c r="H72" i="4" s="1"/>
  <c r="N62" i="4" a="1"/>
  <c r="N62" i="4" s="1"/>
  <c r="H62" i="4" a="1"/>
  <c r="H62" i="4" s="1"/>
  <c r="N59" i="4" a="1"/>
  <c r="N59" i="4" s="1"/>
  <c r="H59" i="4" a="1"/>
  <c r="H59" i="4" s="1"/>
  <c r="N56" i="4" a="1"/>
  <c r="N56" i="4" s="1"/>
  <c r="H56" i="4" a="1"/>
  <c r="H56" i="4" s="1"/>
  <c r="N46" i="4" a="1"/>
  <c r="N46" i="4" s="1"/>
  <c r="H46" i="4" a="1"/>
  <c r="H46" i="4" s="1"/>
  <c r="N43" i="4" a="1"/>
  <c r="N43" i="4" s="1"/>
  <c r="H43" i="4" a="1"/>
  <c r="H43" i="4" s="1"/>
  <c r="N40" i="4" a="1"/>
  <c r="N40" i="4" s="1"/>
  <c r="H40" i="4" a="1"/>
  <c r="H40" i="4" s="1"/>
  <c r="N30" i="4" a="1"/>
  <c r="N30" i="4" s="1"/>
  <c r="H30" i="4" a="1"/>
  <c r="H30" i="4" s="1"/>
  <c r="N27" i="4" a="1"/>
  <c r="N27" i="4" s="1"/>
  <c r="H27" i="4" a="1"/>
  <c r="H27" i="4" s="1"/>
  <c r="N24" i="4" a="1"/>
  <c r="N24" i="4" s="1"/>
  <c r="H24" i="4" a="1"/>
  <c r="H24" i="4" s="1"/>
  <c r="AC625" i="2"/>
  <c r="AC621" i="2"/>
  <c r="AC593" i="2"/>
  <c r="AC589" i="2"/>
  <c r="AC633" i="2"/>
  <c r="AC629" i="2"/>
  <c r="AC605" i="2"/>
  <c r="AC641" i="2"/>
  <c r="AC628" i="2"/>
  <c r="AC737" i="2"/>
  <c r="AC577" i="2"/>
  <c r="AC617" i="2"/>
  <c r="AC585" i="2"/>
  <c r="AC613" i="2"/>
  <c r="AC581" i="2"/>
  <c r="AC601" i="2"/>
  <c r="AC609" i="2"/>
  <c r="AC645" i="2"/>
  <c r="AC597" i="2"/>
  <c r="AC657" i="2"/>
  <c r="AC637" i="2"/>
  <c r="N14" i="4" a="1"/>
  <c r="N14" i="4" s="1"/>
  <c r="J14" i="4"/>
  <c r="H14" i="4" a="1"/>
  <c r="H14" i="4" s="1"/>
  <c r="N13" i="4" a="1"/>
  <c r="N13" i="4" s="1"/>
  <c r="J13" i="4"/>
  <c r="H13" i="4" a="1"/>
  <c r="H13" i="4" s="1"/>
  <c r="N12" i="4" a="1"/>
  <c r="N12" i="4" s="1"/>
  <c r="J12" i="4"/>
  <c r="H12" i="4" a="1"/>
  <c r="H12" i="4" s="1"/>
  <c r="N11" i="4" a="1"/>
  <c r="N11" i="4" s="1"/>
  <c r="J11" i="4"/>
  <c r="H11" i="4" a="1"/>
  <c r="H11" i="4" s="1"/>
  <c r="N10" i="4" a="1"/>
  <c r="N10" i="4" s="1"/>
  <c r="J10" i="4"/>
  <c r="H10" i="4" a="1"/>
  <c r="H10" i="4" s="1"/>
  <c r="N9" i="4" a="1"/>
  <c r="N9" i="4" s="1"/>
  <c r="J9" i="4"/>
  <c r="H9" i="4" a="1"/>
  <c r="H9" i="4" s="1"/>
  <c r="N8" i="4" a="1"/>
  <c r="N8" i="4" s="1"/>
  <c r="J8" i="4"/>
  <c r="H8" i="4" a="1"/>
  <c r="H8" i="4" s="1"/>
  <c r="N7" i="4" a="1"/>
  <c r="N7" i="4" s="1"/>
  <c r="J7" i="4"/>
  <c r="H7" i="4" a="1"/>
  <c r="H7" i="4" s="1"/>
  <c r="N6" i="4" a="1"/>
  <c r="N6" i="4" s="1"/>
  <c r="J6" i="4"/>
  <c r="H6" i="4" a="1"/>
  <c r="H6" i="4" s="1"/>
  <c r="N5" i="4" a="1"/>
  <c r="N5" i="4" s="1"/>
  <c r="J5" i="4"/>
  <c r="H5" i="4" a="1"/>
  <c r="H5" i="4" s="1"/>
  <c r="N4" i="4" a="1"/>
  <c r="N4" i="4" s="1"/>
  <c r="J4" i="4"/>
  <c r="H4" i="4" a="1"/>
  <c r="H4" i="4" s="1"/>
  <c r="N3" i="4" a="1"/>
  <c r="N3" i="4" s="1"/>
  <c r="J3" i="4"/>
  <c r="H3" i="4" a="1"/>
  <c r="H3" i="4" s="1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236" i="4"/>
  <c r="J237" i="4"/>
  <c r="J238" i="4"/>
  <c r="J239" i="4"/>
  <c r="J2" i="4"/>
  <c r="AC678" i="2" l="1"/>
  <c r="AC666" i="2"/>
  <c r="AC634" i="2"/>
  <c r="AC638" i="2"/>
  <c r="AC758" i="2"/>
  <c r="AC662" i="2"/>
  <c r="AC650" i="2"/>
  <c r="AC610" i="2"/>
  <c r="AC642" i="2"/>
  <c r="AC622" i="2"/>
  <c r="AC658" i="2"/>
  <c r="AC649" i="2"/>
  <c r="AC654" i="2"/>
  <c r="AC646" i="2"/>
  <c r="AC618" i="2"/>
  <c r="AC630" i="2"/>
  <c r="AC602" i="2"/>
  <c r="AC606" i="2"/>
  <c r="AC598" i="2"/>
  <c r="AC626" i="2"/>
  <c r="AC614" i="2"/>
  <c r="C62" i="5"/>
  <c r="M239" i="4"/>
  <c r="Q239" i="4" s="1" a="1"/>
  <c r="Q239" i="4" s="1"/>
  <c r="L239" i="4"/>
  <c r="I239" i="4"/>
  <c r="M238" i="4"/>
  <c r="Q238" i="4" s="1" a="1"/>
  <c r="Q238" i="4" s="1"/>
  <c r="L238" i="4"/>
  <c r="I238" i="4"/>
  <c r="M237" i="4"/>
  <c r="Q237" i="4" s="1" a="1"/>
  <c r="Q237" i="4" s="1"/>
  <c r="L237" i="4"/>
  <c r="I237" i="4"/>
  <c r="M236" i="4"/>
  <c r="Q236" i="4" s="1" a="1"/>
  <c r="Q236" i="4" s="1"/>
  <c r="L236" i="4"/>
  <c r="I236" i="4"/>
  <c r="M235" i="4"/>
  <c r="Q235" i="4" s="1" a="1"/>
  <c r="Q235" i="4" s="1"/>
  <c r="L235" i="4"/>
  <c r="I235" i="4"/>
  <c r="M234" i="4"/>
  <c r="Q234" i="4" s="1" a="1"/>
  <c r="Q234" i="4" s="1"/>
  <c r="L234" i="4"/>
  <c r="I234" i="4"/>
  <c r="M233" i="4"/>
  <c r="Q233" i="4" s="1" a="1"/>
  <c r="Q233" i="4" s="1"/>
  <c r="L233" i="4"/>
  <c r="I233" i="4"/>
  <c r="M232" i="4"/>
  <c r="Q232" i="4" s="1" a="1"/>
  <c r="Q232" i="4" s="1"/>
  <c r="L232" i="4"/>
  <c r="I232" i="4"/>
  <c r="M231" i="4"/>
  <c r="Q231" i="4" s="1" a="1"/>
  <c r="Q231" i="4" s="1"/>
  <c r="L231" i="4"/>
  <c r="I231" i="4"/>
  <c r="M230" i="4"/>
  <c r="Q230" i="4" s="1" a="1"/>
  <c r="Q230" i="4" s="1"/>
  <c r="L230" i="4"/>
  <c r="I230" i="4"/>
  <c r="M229" i="4"/>
  <c r="Q229" i="4" s="1" a="1"/>
  <c r="Q229" i="4" s="1"/>
  <c r="L229" i="4"/>
  <c r="I229" i="4"/>
  <c r="M228" i="4"/>
  <c r="Q228" i="4" s="1" a="1"/>
  <c r="Q228" i="4" s="1"/>
  <c r="L228" i="4"/>
  <c r="I228" i="4"/>
  <c r="M227" i="4"/>
  <c r="Q227" i="4" s="1" a="1"/>
  <c r="Q227" i="4" s="1"/>
  <c r="L227" i="4"/>
  <c r="I227" i="4"/>
  <c r="M226" i="4"/>
  <c r="Q226" i="4" s="1" a="1"/>
  <c r="Q226" i="4" s="1"/>
  <c r="L226" i="4"/>
  <c r="I226" i="4"/>
  <c r="M225" i="4"/>
  <c r="Q225" i="4" s="1" a="1"/>
  <c r="Q225" i="4" s="1"/>
  <c r="L225" i="4"/>
  <c r="I225" i="4"/>
  <c r="M224" i="4"/>
  <c r="Q224" i="4" s="1" a="1"/>
  <c r="Q224" i="4" s="1"/>
  <c r="L224" i="4"/>
  <c r="I224" i="4"/>
  <c r="M223" i="4"/>
  <c r="Q223" i="4" s="1" a="1"/>
  <c r="Q223" i="4" s="1"/>
  <c r="L223" i="4"/>
  <c r="I223" i="4"/>
  <c r="M222" i="4"/>
  <c r="Q222" i="4" s="1" a="1"/>
  <c r="Q222" i="4" s="1"/>
  <c r="L222" i="4"/>
  <c r="I222" i="4"/>
  <c r="M221" i="4"/>
  <c r="Q221" i="4" s="1" a="1"/>
  <c r="Q221" i="4" s="1"/>
  <c r="L221" i="4"/>
  <c r="I221" i="4"/>
  <c r="M220" i="4"/>
  <c r="Q220" i="4" s="1" a="1"/>
  <c r="Q220" i="4" s="1"/>
  <c r="L220" i="4"/>
  <c r="I220" i="4"/>
  <c r="M219" i="4"/>
  <c r="Q219" i="4" s="1" a="1"/>
  <c r="Q219" i="4" s="1"/>
  <c r="L219" i="4"/>
  <c r="I219" i="4"/>
  <c r="M218" i="4"/>
  <c r="Q218" i="4" s="1" a="1"/>
  <c r="Q218" i="4" s="1"/>
  <c r="L218" i="4"/>
  <c r="I218" i="4"/>
  <c r="M217" i="4"/>
  <c r="Q217" i="4" s="1" a="1"/>
  <c r="Q217" i="4" s="1"/>
  <c r="L217" i="4"/>
  <c r="I217" i="4"/>
  <c r="M216" i="4"/>
  <c r="Q216" i="4" s="1" a="1"/>
  <c r="Q216" i="4" s="1"/>
  <c r="L216" i="4"/>
  <c r="I216" i="4"/>
  <c r="M215" i="4"/>
  <c r="Q215" i="4" s="1" a="1"/>
  <c r="Q215" i="4" s="1"/>
  <c r="L215" i="4"/>
  <c r="I215" i="4"/>
  <c r="M214" i="4"/>
  <c r="Q214" i="4" s="1" a="1"/>
  <c r="Q214" i="4" s="1"/>
  <c r="L214" i="4"/>
  <c r="I214" i="4"/>
  <c r="M213" i="4"/>
  <c r="Q213" i="4" s="1" a="1"/>
  <c r="Q213" i="4" s="1"/>
  <c r="L213" i="4"/>
  <c r="I213" i="4"/>
  <c r="M212" i="4"/>
  <c r="Q212" i="4" s="1" a="1"/>
  <c r="Q212" i="4" s="1"/>
  <c r="L212" i="4"/>
  <c r="I212" i="4"/>
  <c r="M211" i="4"/>
  <c r="Q211" i="4" s="1" a="1"/>
  <c r="Q211" i="4" s="1"/>
  <c r="L211" i="4"/>
  <c r="I211" i="4"/>
  <c r="M210" i="4"/>
  <c r="Q210" i="4" s="1" a="1"/>
  <c r="Q210" i="4" s="1"/>
  <c r="L210" i="4"/>
  <c r="I210" i="4"/>
  <c r="M209" i="4"/>
  <c r="Q209" i="4" s="1" a="1"/>
  <c r="Q209" i="4" s="1"/>
  <c r="L209" i="4"/>
  <c r="I209" i="4"/>
  <c r="M208" i="4"/>
  <c r="Q208" i="4" s="1" a="1"/>
  <c r="Q208" i="4" s="1"/>
  <c r="L208" i="4"/>
  <c r="I208" i="4"/>
  <c r="M207" i="4"/>
  <c r="Q207" i="4" s="1" a="1"/>
  <c r="Q207" i="4" s="1"/>
  <c r="L207" i="4"/>
  <c r="I207" i="4"/>
  <c r="M206" i="4"/>
  <c r="Q206" i="4" s="1" a="1"/>
  <c r="Q206" i="4" s="1"/>
  <c r="L206" i="4"/>
  <c r="I206" i="4"/>
  <c r="M205" i="4"/>
  <c r="Q205" i="4" s="1" a="1"/>
  <c r="Q205" i="4" s="1"/>
  <c r="L205" i="4"/>
  <c r="I205" i="4"/>
  <c r="M204" i="4"/>
  <c r="Q204" i="4" s="1" a="1"/>
  <c r="Q204" i="4" s="1"/>
  <c r="L204" i="4"/>
  <c r="I204" i="4"/>
  <c r="M203" i="4"/>
  <c r="Q203" i="4" s="1" a="1"/>
  <c r="Q203" i="4" s="1"/>
  <c r="L203" i="4"/>
  <c r="I203" i="4"/>
  <c r="M202" i="4"/>
  <c r="Q202" i="4" s="1" a="1"/>
  <c r="Q202" i="4" s="1"/>
  <c r="L202" i="4"/>
  <c r="I202" i="4"/>
  <c r="M201" i="4"/>
  <c r="Q201" i="4" s="1" a="1"/>
  <c r="Q201" i="4" s="1"/>
  <c r="L201" i="4"/>
  <c r="I201" i="4"/>
  <c r="M200" i="4"/>
  <c r="Q200" i="4" s="1" a="1"/>
  <c r="Q200" i="4" s="1"/>
  <c r="L200" i="4"/>
  <c r="I200" i="4"/>
  <c r="M199" i="4"/>
  <c r="Q199" i="4" s="1" a="1"/>
  <c r="Q199" i="4" s="1"/>
  <c r="L199" i="4"/>
  <c r="I199" i="4"/>
  <c r="M198" i="4"/>
  <c r="Q198" i="4" s="1" a="1"/>
  <c r="Q198" i="4" s="1"/>
  <c r="L198" i="4"/>
  <c r="I198" i="4"/>
  <c r="M197" i="4"/>
  <c r="Q197" i="4" s="1" a="1"/>
  <c r="Q197" i="4" s="1"/>
  <c r="L197" i="4"/>
  <c r="I197" i="4"/>
  <c r="M196" i="4"/>
  <c r="Q196" i="4" s="1" a="1"/>
  <c r="Q196" i="4" s="1"/>
  <c r="L196" i="4"/>
  <c r="I196" i="4"/>
  <c r="M195" i="4"/>
  <c r="Q195" i="4" s="1" a="1"/>
  <c r="Q195" i="4" s="1"/>
  <c r="L195" i="4"/>
  <c r="I195" i="4"/>
  <c r="M194" i="4"/>
  <c r="Q194" i="4" s="1" a="1"/>
  <c r="Q194" i="4" s="1"/>
  <c r="L194" i="4"/>
  <c r="I194" i="4"/>
  <c r="M193" i="4"/>
  <c r="Q193" i="4" s="1" a="1"/>
  <c r="Q193" i="4" s="1"/>
  <c r="L193" i="4"/>
  <c r="I193" i="4"/>
  <c r="M192" i="4"/>
  <c r="Q192" i="4" s="1" a="1"/>
  <c r="Q192" i="4" s="1"/>
  <c r="L192" i="4"/>
  <c r="I192" i="4"/>
  <c r="M191" i="4"/>
  <c r="Q191" i="4" s="1" a="1"/>
  <c r="Q191" i="4" s="1"/>
  <c r="L191" i="4"/>
  <c r="I191" i="4"/>
  <c r="M190" i="4"/>
  <c r="Q190" i="4" s="1" a="1"/>
  <c r="Q190" i="4" s="1"/>
  <c r="L190" i="4"/>
  <c r="I190" i="4"/>
  <c r="M189" i="4"/>
  <c r="Q189" i="4" s="1" a="1"/>
  <c r="Q189" i="4" s="1"/>
  <c r="L189" i="4"/>
  <c r="I189" i="4"/>
  <c r="M188" i="4"/>
  <c r="Q188" i="4" s="1" a="1"/>
  <c r="Q188" i="4" s="1"/>
  <c r="L188" i="4"/>
  <c r="I188" i="4"/>
  <c r="M187" i="4"/>
  <c r="Q187" i="4" s="1" a="1"/>
  <c r="Q187" i="4" s="1"/>
  <c r="L187" i="4"/>
  <c r="I187" i="4"/>
  <c r="M186" i="4"/>
  <c r="Q186" i="4" s="1" a="1"/>
  <c r="Q186" i="4" s="1"/>
  <c r="L186" i="4"/>
  <c r="I186" i="4"/>
  <c r="M185" i="4"/>
  <c r="Q185" i="4" s="1" a="1"/>
  <c r="Q185" i="4" s="1"/>
  <c r="L185" i="4"/>
  <c r="I185" i="4"/>
  <c r="M184" i="4"/>
  <c r="Q184" i="4" s="1" a="1"/>
  <c r="Q184" i="4" s="1"/>
  <c r="L184" i="4"/>
  <c r="I184" i="4"/>
  <c r="M183" i="4"/>
  <c r="Q183" i="4" s="1" a="1"/>
  <c r="Q183" i="4" s="1"/>
  <c r="L183" i="4"/>
  <c r="I183" i="4"/>
  <c r="M182" i="4"/>
  <c r="Q182" i="4" s="1" a="1"/>
  <c r="Q182" i="4" s="1"/>
  <c r="L182" i="4"/>
  <c r="I182" i="4"/>
  <c r="M181" i="4"/>
  <c r="Q181" i="4" s="1" a="1"/>
  <c r="Q181" i="4" s="1"/>
  <c r="L181" i="4"/>
  <c r="I181" i="4"/>
  <c r="M180" i="4"/>
  <c r="Q180" i="4" s="1" a="1"/>
  <c r="Q180" i="4" s="1"/>
  <c r="L180" i="4"/>
  <c r="I180" i="4"/>
  <c r="M179" i="4"/>
  <c r="Q179" i="4" s="1" a="1"/>
  <c r="Q179" i="4" s="1"/>
  <c r="L179" i="4"/>
  <c r="I179" i="4"/>
  <c r="M178" i="4"/>
  <c r="Q178" i="4" s="1" a="1"/>
  <c r="Q178" i="4" s="1"/>
  <c r="L178" i="4"/>
  <c r="I178" i="4"/>
  <c r="M177" i="4"/>
  <c r="Q177" i="4" s="1" a="1"/>
  <c r="Q177" i="4" s="1"/>
  <c r="L177" i="4"/>
  <c r="I177" i="4"/>
  <c r="M176" i="4"/>
  <c r="Q176" i="4" s="1" a="1"/>
  <c r="Q176" i="4" s="1"/>
  <c r="L176" i="4"/>
  <c r="I176" i="4"/>
  <c r="M175" i="4"/>
  <c r="Q175" i="4" s="1" a="1"/>
  <c r="Q175" i="4" s="1"/>
  <c r="L175" i="4"/>
  <c r="I175" i="4"/>
  <c r="M174" i="4"/>
  <c r="Q174" i="4" s="1" a="1"/>
  <c r="Q174" i="4" s="1"/>
  <c r="L174" i="4"/>
  <c r="I174" i="4"/>
  <c r="M173" i="4"/>
  <c r="Q173" i="4" s="1" a="1"/>
  <c r="Q173" i="4" s="1"/>
  <c r="L173" i="4"/>
  <c r="I173" i="4"/>
  <c r="M172" i="4"/>
  <c r="Q172" i="4" s="1" a="1"/>
  <c r="Q172" i="4" s="1"/>
  <c r="L172" i="4"/>
  <c r="I172" i="4"/>
  <c r="M171" i="4"/>
  <c r="Q171" i="4" s="1" a="1"/>
  <c r="Q171" i="4" s="1"/>
  <c r="L171" i="4"/>
  <c r="I171" i="4"/>
  <c r="M170" i="4"/>
  <c r="Q170" i="4" s="1" a="1"/>
  <c r="Q170" i="4" s="1"/>
  <c r="L170" i="4"/>
  <c r="I170" i="4"/>
  <c r="M169" i="4"/>
  <c r="Q169" i="4" s="1" a="1"/>
  <c r="Q169" i="4" s="1"/>
  <c r="L169" i="4"/>
  <c r="I169" i="4"/>
  <c r="M168" i="4"/>
  <c r="Q168" i="4" s="1" a="1"/>
  <c r="Q168" i="4" s="1"/>
  <c r="L168" i="4"/>
  <c r="I168" i="4"/>
  <c r="M167" i="4"/>
  <c r="Q167" i="4" s="1" a="1"/>
  <c r="Q167" i="4" s="1"/>
  <c r="L167" i="4"/>
  <c r="I167" i="4"/>
  <c r="M166" i="4"/>
  <c r="Q166" i="4" s="1" a="1"/>
  <c r="Q166" i="4" s="1"/>
  <c r="L166" i="4"/>
  <c r="I166" i="4"/>
  <c r="M165" i="4"/>
  <c r="Q165" i="4" s="1" a="1"/>
  <c r="Q165" i="4" s="1"/>
  <c r="L165" i="4"/>
  <c r="I165" i="4"/>
  <c r="M164" i="4"/>
  <c r="Q164" i="4" s="1" a="1"/>
  <c r="Q164" i="4" s="1"/>
  <c r="L164" i="4"/>
  <c r="I164" i="4"/>
  <c r="M163" i="4"/>
  <c r="Q163" i="4" s="1" a="1"/>
  <c r="Q163" i="4" s="1"/>
  <c r="L163" i="4"/>
  <c r="I163" i="4"/>
  <c r="M162" i="4"/>
  <c r="Q162" i="4" s="1" a="1"/>
  <c r="Q162" i="4" s="1"/>
  <c r="L162" i="4"/>
  <c r="I162" i="4"/>
  <c r="M161" i="4"/>
  <c r="Q161" i="4" s="1" a="1"/>
  <c r="Q161" i="4" s="1"/>
  <c r="L161" i="4"/>
  <c r="I161" i="4"/>
  <c r="M160" i="4"/>
  <c r="Q160" i="4" s="1" a="1"/>
  <c r="Q160" i="4" s="1"/>
  <c r="L160" i="4"/>
  <c r="I160" i="4"/>
  <c r="M159" i="4"/>
  <c r="Q159" i="4" s="1" a="1"/>
  <c r="Q159" i="4" s="1"/>
  <c r="L159" i="4"/>
  <c r="I159" i="4"/>
  <c r="M158" i="4"/>
  <c r="Q158" i="4" s="1" a="1"/>
  <c r="Q158" i="4" s="1"/>
  <c r="L158" i="4"/>
  <c r="I158" i="4"/>
  <c r="M157" i="4"/>
  <c r="Q157" i="4" s="1" a="1"/>
  <c r="Q157" i="4" s="1"/>
  <c r="L157" i="4"/>
  <c r="I157" i="4"/>
  <c r="M156" i="4"/>
  <c r="Q156" i="4" s="1" a="1"/>
  <c r="Q156" i="4" s="1"/>
  <c r="L156" i="4"/>
  <c r="I156" i="4"/>
  <c r="M155" i="4"/>
  <c r="Q155" i="4" s="1" a="1"/>
  <c r="Q155" i="4" s="1"/>
  <c r="L155" i="4"/>
  <c r="I155" i="4"/>
  <c r="M154" i="4"/>
  <c r="Q154" i="4" s="1" a="1"/>
  <c r="Q154" i="4" s="1"/>
  <c r="L154" i="4"/>
  <c r="I154" i="4"/>
  <c r="M153" i="4"/>
  <c r="Q153" i="4" s="1" a="1"/>
  <c r="Q153" i="4" s="1"/>
  <c r="L153" i="4"/>
  <c r="I153" i="4"/>
  <c r="M152" i="4"/>
  <c r="Q152" i="4" s="1" a="1"/>
  <c r="Q152" i="4" s="1"/>
  <c r="L152" i="4"/>
  <c r="I152" i="4"/>
  <c r="M151" i="4"/>
  <c r="Q151" i="4" s="1" a="1"/>
  <c r="Q151" i="4" s="1"/>
  <c r="L151" i="4"/>
  <c r="I151" i="4"/>
  <c r="M150" i="4"/>
  <c r="Q150" i="4" s="1" a="1"/>
  <c r="Q150" i="4" s="1"/>
  <c r="L150" i="4"/>
  <c r="I150" i="4"/>
  <c r="M149" i="4"/>
  <c r="Q149" i="4" s="1" a="1"/>
  <c r="Q149" i="4" s="1"/>
  <c r="L149" i="4"/>
  <c r="I149" i="4"/>
  <c r="M148" i="4"/>
  <c r="Q148" i="4" s="1" a="1"/>
  <c r="Q148" i="4" s="1"/>
  <c r="L148" i="4"/>
  <c r="I148" i="4"/>
  <c r="M147" i="4"/>
  <c r="Q147" i="4" s="1" a="1"/>
  <c r="Q147" i="4" s="1"/>
  <c r="L147" i="4"/>
  <c r="I147" i="4"/>
  <c r="M146" i="4"/>
  <c r="Q146" i="4" s="1" a="1"/>
  <c r="Q146" i="4" s="1"/>
  <c r="L146" i="4"/>
  <c r="I146" i="4"/>
  <c r="M145" i="4"/>
  <c r="Q145" i="4" s="1" a="1"/>
  <c r="Q145" i="4" s="1"/>
  <c r="L145" i="4"/>
  <c r="I145" i="4"/>
  <c r="M144" i="4"/>
  <c r="Q144" i="4" s="1" a="1"/>
  <c r="Q144" i="4" s="1"/>
  <c r="L144" i="4"/>
  <c r="I144" i="4"/>
  <c r="M143" i="4"/>
  <c r="Q143" i="4" s="1" a="1"/>
  <c r="Q143" i="4" s="1"/>
  <c r="L143" i="4"/>
  <c r="I143" i="4"/>
  <c r="M142" i="4"/>
  <c r="Q142" i="4" s="1" a="1"/>
  <c r="Q142" i="4" s="1"/>
  <c r="L142" i="4"/>
  <c r="I142" i="4"/>
  <c r="M141" i="4"/>
  <c r="Q141" i="4" s="1" a="1"/>
  <c r="Q141" i="4" s="1"/>
  <c r="L141" i="4"/>
  <c r="I141" i="4"/>
  <c r="M140" i="4"/>
  <c r="Q140" i="4" s="1" a="1"/>
  <c r="Q140" i="4" s="1"/>
  <c r="L140" i="4"/>
  <c r="I140" i="4"/>
  <c r="M139" i="4"/>
  <c r="Q139" i="4" s="1" a="1"/>
  <c r="Q139" i="4" s="1"/>
  <c r="L139" i="4"/>
  <c r="I139" i="4"/>
  <c r="M138" i="4"/>
  <c r="Q138" i="4" s="1" a="1"/>
  <c r="Q138" i="4" s="1"/>
  <c r="L138" i="4"/>
  <c r="I138" i="4"/>
  <c r="M137" i="4"/>
  <c r="Q137" i="4" s="1" a="1"/>
  <c r="Q137" i="4" s="1"/>
  <c r="L137" i="4"/>
  <c r="I137" i="4"/>
  <c r="M136" i="4"/>
  <c r="Q136" i="4" s="1" a="1"/>
  <c r="Q136" i="4" s="1"/>
  <c r="L136" i="4"/>
  <c r="I136" i="4"/>
  <c r="M135" i="4"/>
  <c r="Q135" i="4" s="1" a="1"/>
  <c r="Q135" i="4" s="1"/>
  <c r="L135" i="4"/>
  <c r="I135" i="4"/>
  <c r="M134" i="4"/>
  <c r="Q134" i="4" s="1" a="1"/>
  <c r="Q134" i="4" s="1"/>
  <c r="L134" i="4"/>
  <c r="I134" i="4"/>
  <c r="M133" i="4"/>
  <c r="Q133" i="4" s="1" a="1"/>
  <c r="Q133" i="4" s="1"/>
  <c r="L133" i="4"/>
  <c r="I133" i="4"/>
  <c r="M132" i="4"/>
  <c r="Q132" i="4" s="1" a="1"/>
  <c r="Q132" i="4" s="1"/>
  <c r="L132" i="4"/>
  <c r="I132" i="4"/>
  <c r="M131" i="4"/>
  <c r="Q131" i="4" s="1" a="1"/>
  <c r="Q131" i="4" s="1"/>
  <c r="L131" i="4"/>
  <c r="I131" i="4"/>
  <c r="M130" i="4"/>
  <c r="Q130" i="4" s="1" a="1"/>
  <c r="Q130" i="4" s="1"/>
  <c r="L130" i="4"/>
  <c r="I130" i="4"/>
  <c r="M129" i="4"/>
  <c r="Q129" i="4" s="1" a="1"/>
  <c r="Q129" i="4" s="1"/>
  <c r="L129" i="4"/>
  <c r="I129" i="4"/>
  <c r="M128" i="4"/>
  <c r="Q128" i="4" s="1" a="1"/>
  <c r="Q128" i="4" s="1"/>
  <c r="L128" i="4"/>
  <c r="I128" i="4"/>
  <c r="M127" i="4"/>
  <c r="Q127" i="4" s="1" a="1"/>
  <c r="Q127" i="4" s="1"/>
  <c r="L127" i="4"/>
  <c r="I127" i="4"/>
  <c r="M126" i="4"/>
  <c r="Q126" i="4" s="1" a="1"/>
  <c r="Q126" i="4" s="1"/>
  <c r="L126" i="4"/>
  <c r="I126" i="4"/>
  <c r="M125" i="4"/>
  <c r="Q125" i="4" s="1" a="1"/>
  <c r="Q125" i="4" s="1"/>
  <c r="L125" i="4"/>
  <c r="I125" i="4"/>
  <c r="M124" i="4"/>
  <c r="Q124" i="4" s="1" a="1"/>
  <c r="Q124" i="4" s="1"/>
  <c r="L124" i="4"/>
  <c r="I124" i="4"/>
  <c r="M123" i="4"/>
  <c r="Q123" i="4" s="1" a="1"/>
  <c r="Q123" i="4" s="1"/>
  <c r="L123" i="4"/>
  <c r="I123" i="4"/>
  <c r="M122" i="4"/>
  <c r="Q122" i="4" s="1" a="1"/>
  <c r="Q122" i="4" s="1"/>
  <c r="L122" i="4"/>
  <c r="I122" i="4"/>
  <c r="M121" i="4"/>
  <c r="Q121" i="4" s="1" a="1"/>
  <c r="Q121" i="4" s="1"/>
  <c r="L121" i="4"/>
  <c r="I121" i="4"/>
  <c r="M120" i="4"/>
  <c r="Q120" i="4" s="1" a="1"/>
  <c r="Q120" i="4" s="1"/>
  <c r="L120" i="4"/>
  <c r="I120" i="4"/>
  <c r="M119" i="4"/>
  <c r="Q119" i="4" s="1" a="1"/>
  <c r="Q119" i="4" s="1"/>
  <c r="L119" i="4"/>
  <c r="I119" i="4"/>
  <c r="M118" i="4"/>
  <c r="Q118" i="4" s="1" a="1"/>
  <c r="Q118" i="4" s="1"/>
  <c r="L118" i="4"/>
  <c r="I118" i="4"/>
  <c r="M117" i="4"/>
  <c r="Q117" i="4" s="1" a="1"/>
  <c r="Q117" i="4" s="1"/>
  <c r="L117" i="4"/>
  <c r="I117" i="4"/>
  <c r="M116" i="4"/>
  <c r="Q116" i="4" s="1" a="1"/>
  <c r="Q116" i="4" s="1"/>
  <c r="L116" i="4"/>
  <c r="I116" i="4"/>
  <c r="M115" i="4"/>
  <c r="Q115" i="4" s="1" a="1"/>
  <c r="Q115" i="4" s="1"/>
  <c r="L115" i="4"/>
  <c r="I115" i="4"/>
  <c r="M114" i="4"/>
  <c r="Q114" i="4" s="1" a="1"/>
  <c r="Q114" i="4" s="1"/>
  <c r="L114" i="4"/>
  <c r="I114" i="4"/>
  <c r="M113" i="4"/>
  <c r="Q113" i="4" s="1" a="1"/>
  <c r="Q113" i="4" s="1"/>
  <c r="L113" i="4"/>
  <c r="I113" i="4"/>
  <c r="M112" i="4"/>
  <c r="Q112" i="4" s="1" a="1"/>
  <c r="Q112" i="4" s="1"/>
  <c r="L112" i="4"/>
  <c r="I112" i="4"/>
  <c r="M111" i="4"/>
  <c r="Q111" i="4" s="1" a="1"/>
  <c r="Q111" i="4" s="1"/>
  <c r="L111" i="4"/>
  <c r="I111" i="4"/>
  <c r="M110" i="4"/>
  <c r="Q110" i="4" s="1" a="1"/>
  <c r="Q110" i="4" s="1"/>
  <c r="L110" i="4"/>
  <c r="I110" i="4"/>
  <c r="M109" i="4"/>
  <c r="Q109" i="4" s="1" a="1"/>
  <c r="Q109" i="4" s="1"/>
  <c r="L109" i="4"/>
  <c r="I109" i="4"/>
  <c r="M108" i="4"/>
  <c r="Q108" i="4" s="1" a="1"/>
  <c r="Q108" i="4" s="1"/>
  <c r="L108" i="4"/>
  <c r="I108" i="4"/>
  <c r="M107" i="4"/>
  <c r="Q107" i="4" s="1" a="1"/>
  <c r="Q107" i="4" s="1"/>
  <c r="L107" i="4"/>
  <c r="I107" i="4"/>
  <c r="M106" i="4"/>
  <c r="Q106" i="4" s="1" a="1"/>
  <c r="Q106" i="4" s="1"/>
  <c r="L106" i="4"/>
  <c r="I106" i="4"/>
  <c r="M105" i="4"/>
  <c r="Q105" i="4" s="1" a="1"/>
  <c r="Q105" i="4" s="1"/>
  <c r="L105" i="4"/>
  <c r="I105" i="4"/>
  <c r="M104" i="4"/>
  <c r="Q104" i="4" s="1" a="1"/>
  <c r="Q104" i="4" s="1"/>
  <c r="L104" i="4"/>
  <c r="I104" i="4"/>
  <c r="M103" i="4"/>
  <c r="Q103" i="4" s="1" a="1"/>
  <c r="Q103" i="4" s="1"/>
  <c r="L103" i="4"/>
  <c r="I103" i="4"/>
  <c r="M102" i="4"/>
  <c r="Q102" i="4" s="1" a="1"/>
  <c r="Q102" i="4" s="1"/>
  <c r="L102" i="4"/>
  <c r="I102" i="4"/>
  <c r="M101" i="4"/>
  <c r="Q101" i="4" s="1" a="1"/>
  <c r="Q101" i="4" s="1"/>
  <c r="L101" i="4"/>
  <c r="I101" i="4"/>
  <c r="M100" i="4"/>
  <c r="Q100" i="4" s="1" a="1"/>
  <c r="Q100" i="4" s="1"/>
  <c r="L100" i="4"/>
  <c r="I100" i="4"/>
  <c r="M99" i="4"/>
  <c r="Q99" i="4" s="1" a="1"/>
  <c r="Q99" i="4" s="1"/>
  <c r="L99" i="4"/>
  <c r="I99" i="4"/>
  <c r="M98" i="4"/>
  <c r="Q98" i="4" s="1" a="1"/>
  <c r="Q98" i="4" s="1"/>
  <c r="L98" i="4"/>
  <c r="I98" i="4"/>
  <c r="M97" i="4"/>
  <c r="Q97" i="4" s="1" a="1"/>
  <c r="Q97" i="4" s="1"/>
  <c r="L97" i="4"/>
  <c r="I97" i="4"/>
  <c r="M96" i="4"/>
  <c r="Q96" i="4" s="1" a="1"/>
  <c r="Q96" i="4" s="1"/>
  <c r="L96" i="4"/>
  <c r="I96" i="4"/>
  <c r="M95" i="4"/>
  <c r="Q95" i="4" s="1" a="1"/>
  <c r="Q95" i="4" s="1"/>
  <c r="L95" i="4"/>
  <c r="I95" i="4"/>
  <c r="M94" i="4"/>
  <c r="Q94" i="4" s="1" a="1"/>
  <c r="Q94" i="4" s="1"/>
  <c r="L94" i="4"/>
  <c r="I94" i="4"/>
  <c r="M93" i="4"/>
  <c r="Q93" i="4" s="1" a="1"/>
  <c r="Q93" i="4" s="1"/>
  <c r="L93" i="4"/>
  <c r="I93" i="4"/>
  <c r="M92" i="4"/>
  <c r="Q92" i="4" s="1" a="1"/>
  <c r="Q92" i="4" s="1"/>
  <c r="L92" i="4"/>
  <c r="I92" i="4"/>
  <c r="M91" i="4"/>
  <c r="Q91" i="4" s="1" a="1"/>
  <c r="Q91" i="4" s="1"/>
  <c r="L91" i="4"/>
  <c r="I91" i="4"/>
  <c r="M90" i="4"/>
  <c r="Q90" i="4" s="1" a="1"/>
  <c r="Q90" i="4" s="1"/>
  <c r="L90" i="4"/>
  <c r="I90" i="4"/>
  <c r="M89" i="4"/>
  <c r="Q89" i="4" s="1" a="1"/>
  <c r="Q89" i="4" s="1"/>
  <c r="L89" i="4"/>
  <c r="I89" i="4"/>
  <c r="M88" i="4"/>
  <c r="Q88" i="4" s="1" a="1"/>
  <c r="Q88" i="4" s="1"/>
  <c r="L88" i="4"/>
  <c r="I88" i="4"/>
  <c r="M87" i="4"/>
  <c r="Q87" i="4" s="1" a="1"/>
  <c r="Q87" i="4" s="1"/>
  <c r="L87" i="4"/>
  <c r="I87" i="4"/>
  <c r="M86" i="4"/>
  <c r="Q86" i="4" s="1" a="1"/>
  <c r="Q86" i="4" s="1"/>
  <c r="L86" i="4"/>
  <c r="I86" i="4"/>
  <c r="M85" i="4"/>
  <c r="Q85" i="4" s="1" a="1"/>
  <c r="Q85" i="4" s="1"/>
  <c r="L85" i="4"/>
  <c r="I85" i="4"/>
  <c r="M84" i="4"/>
  <c r="Q84" i="4" s="1" a="1"/>
  <c r="Q84" i="4" s="1"/>
  <c r="L84" i="4"/>
  <c r="I84" i="4"/>
  <c r="M83" i="4"/>
  <c r="Q83" i="4" s="1" a="1"/>
  <c r="Q83" i="4" s="1"/>
  <c r="L83" i="4"/>
  <c r="I83" i="4"/>
  <c r="M82" i="4"/>
  <c r="Q82" i="4" s="1" a="1"/>
  <c r="Q82" i="4" s="1"/>
  <c r="L82" i="4"/>
  <c r="I82" i="4"/>
  <c r="M81" i="4"/>
  <c r="Q81" i="4" s="1" a="1"/>
  <c r="Q81" i="4" s="1"/>
  <c r="L81" i="4"/>
  <c r="I81" i="4"/>
  <c r="M80" i="4"/>
  <c r="Q80" i="4" s="1" a="1"/>
  <c r="Q80" i="4" s="1"/>
  <c r="L80" i="4"/>
  <c r="I80" i="4"/>
  <c r="M79" i="4"/>
  <c r="Q79" i="4" s="1" a="1"/>
  <c r="Q79" i="4" s="1"/>
  <c r="L79" i="4"/>
  <c r="I79" i="4"/>
  <c r="M78" i="4"/>
  <c r="Q78" i="4" s="1" a="1"/>
  <c r="Q78" i="4" s="1"/>
  <c r="L78" i="4"/>
  <c r="I78" i="4"/>
  <c r="M77" i="4"/>
  <c r="Q77" i="4" s="1" a="1"/>
  <c r="Q77" i="4" s="1"/>
  <c r="L77" i="4"/>
  <c r="I77" i="4"/>
  <c r="M76" i="4"/>
  <c r="Q76" i="4" s="1" a="1"/>
  <c r="Q76" i="4" s="1"/>
  <c r="L76" i="4"/>
  <c r="I76" i="4"/>
  <c r="M75" i="4"/>
  <c r="Q75" i="4" s="1" a="1"/>
  <c r="Q75" i="4" s="1"/>
  <c r="L75" i="4"/>
  <c r="I75" i="4"/>
  <c r="M74" i="4"/>
  <c r="Q74" i="4" s="1" a="1"/>
  <c r="Q74" i="4" s="1"/>
  <c r="L74" i="4"/>
  <c r="I74" i="4"/>
  <c r="M73" i="4"/>
  <c r="Q73" i="4" s="1" a="1"/>
  <c r="Q73" i="4" s="1"/>
  <c r="L73" i="4"/>
  <c r="I73" i="4"/>
  <c r="M72" i="4"/>
  <c r="Q72" i="4" s="1" a="1"/>
  <c r="Q72" i="4" s="1"/>
  <c r="L72" i="4"/>
  <c r="I72" i="4"/>
  <c r="M71" i="4"/>
  <c r="Q71" i="4" s="1" a="1"/>
  <c r="Q71" i="4" s="1"/>
  <c r="L71" i="4"/>
  <c r="I71" i="4"/>
  <c r="M70" i="4"/>
  <c r="Q70" i="4" s="1" a="1"/>
  <c r="Q70" i="4" s="1"/>
  <c r="L70" i="4"/>
  <c r="I70" i="4"/>
  <c r="M69" i="4"/>
  <c r="Q69" i="4" s="1" a="1"/>
  <c r="Q69" i="4" s="1"/>
  <c r="L69" i="4"/>
  <c r="I69" i="4"/>
  <c r="M68" i="4"/>
  <c r="Q68" i="4" s="1" a="1"/>
  <c r="Q68" i="4" s="1"/>
  <c r="L68" i="4"/>
  <c r="I68" i="4"/>
  <c r="M67" i="4"/>
  <c r="Q67" i="4" s="1" a="1"/>
  <c r="Q67" i="4" s="1"/>
  <c r="L67" i="4"/>
  <c r="I67" i="4"/>
  <c r="M66" i="4"/>
  <c r="Q66" i="4" s="1" a="1"/>
  <c r="Q66" i="4" s="1"/>
  <c r="L66" i="4"/>
  <c r="I66" i="4"/>
  <c r="M65" i="4"/>
  <c r="Q65" i="4" s="1" a="1"/>
  <c r="Q65" i="4" s="1"/>
  <c r="L65" i="4"/>
  <c r="I65" i="4"/>
  <c r="M64" i="4"/>
  <c r="Q64" i="4" s="1" a="1"/>
  <c r="Q64" i="4" s="1"/>
  <c r="L64" i="4"/>
  <c r="I64" i="4"/>
  <c r="M63" i="4"/>
  <c r="Q63" i="4" s="1" a="1"/>
  <c r="Q63" i="4" s="1"/>
  <c r="L63" i="4"/>
  <c r="I63" i="4"/>
  <c r="M62" i="4"/>
  <c r="Q62" i="4" s="1" a="1"/>
  <c r="Q62" i="4" s="1"/>
  <c r="L62" i="4"/>
  <c r="I62" i="4"/>
  <c r="M61" i="4"/>
  <c r="Q61" i="4" s="1" a="1"/>
  <c r="Q61" i="4" s="1"/>
  <c r="L61" i="4"/>
  <c r="I61" i="4"/>
  <c r="M60" i="4"/>
  <c r="Q60" i="4" s="1" a="1"/>
  <c r="Q60" i="4" s="1"/>
  <c r="L60" i="4"/>
  <c r="I60" i="4"/>
  <c r="M59" i="4"/>
  <c r="Q59" i="4" s="1" a="1"/>
  <c r="Q59" i="4" s="1"/>
  <c r="L59" i="4"/>
  <c r="I59" i="4"/>
  <c r="M58" i="4"/>
  <c r="Q58" i="4" s="1" a="1"/>
  <c r="Q58" i="4" s="1"/>
  <c r="L58" i="4"/>
  <c r="I58" i="4"/>
  <c r="M57" i="4"/>
  <c r="Q57" i="4" s="1" a="1"/>
  <c r="Q57" i="4" s="1"/>
  <c r="L57" i="4"/>
  <c r="I57" i="4"/>
  <c r="M56" i="4"/>
  <c r="Q56" i="4" s="1" a="1"/>
  <c r="Q56" i="4" s="1"/>
  <c r="L56" i="4"/>
  <c r="I56" i="4"/>
  <c r="M55" i="4"/>
  <c r="Q55" i="4" s="1" a="1"/>
  <c r="Q55" i="4" s="1"/>
  <c r="L55" i="4"/>
  <c r="I55" i="4"/>
  <c r="M54" i="4"/>
  <c r="Q54" i="4" s="1" a="1"/>
  <c r="Q54" i="4" s="1"/>
  <c r="L54" i="4"/>
  <c r="I54" i="4"/>
  <c r="M53" i="4"/>
  <c r="Q53" i="4" s="1" a="1"/>
  <c r="Q53" i="4" s="1"/>
  <c r="L53" i="4"/>
  <c r="I53" i="4"/>
  <c r="M52" i="4"/>
  <c r="Q52" i="4" s="1" a="1"/>
  <c r="Q52" i="4" s="1"/>
  <c r="L52" i="4"/>
  <c r="I52" i="4"/>
  <c r="M51" i="4"/>
  <c r="Q51" i="4" s="1" a="1"/>
  <c r="Q51" i="4" s="1"/>
  <c r="L51" i="4"/>
  <c r="I51" i="4"/>
  <c r="M50" i="4"/>
  <c r="Q50" i="4" s="1" a="1"/>
  <c r="Q50" i="4" s="1"/>
  <c r="L50" i="4"/>
  <c r="I50" i="4"/>
  <c r="M49" i="4"/>
  <c r="Q49" i="4" s="1" a="1"/>
  <c r="Q49" i="4" s="1"/>
  <c r="L49" i="4"/>
  <c r="I49" i="4"/>
  <c r="M48" i="4"/>
  <c r="Q48" i="4" s="1" a="1"/>
  <c r="Q48" i="4" s="1"/>
  <c r="L48" i="4"/>
  <c r="I48" i="4"/>
  <c r="M47" i="4"/>
  <c r="Q47" i="4" s="1" a="1"/>
  <c r="Q47" i="4" s="1"/>
  <c r="L47" i="4"/>
  <c r="I47" i="4"/>
  <c r="M46" i="4"/>
  <c r="Q46" i="4" s="1" a="1"/>
  <c r="Q46" i="4" s="1"/>
  <c r="L46" i="4"/>
  <c r="I46" i="4"/>
  <c r="M45" i="4"/>
  <c r="Q45" i="4" s="1" a="1"/>
  <c r="Q45" i="4" s="1"/>
  <c r="L45" i="4"/>
  <c r="I45" i="4"/>
  <c r="M44" i="4"/>
  <c r="Q44" i="4" s="1" a="1"/>
  <c r="Q44" i="4" s="1"/>
  <c r="L44" i="4"/>
  <c r="I44" i="4"/>
  <c r="M43" i="4"/>
  <c r="Q43" i="4" s="1" a="1"/>
  <c r="Q43" i="4" s="1"/>
  <c r="L43" i="4"/>
  <c r="I43" i="4"/>
  <c r="M42" i="4"/>
  <c r="Q42" i="4" s="1" a="1"/>
  <c r="Q42" i="4" s="1"/>
  <c r="L42" i="4"/>
  <c r="I42" i="4"/>
  <c r="M41" i="4"/>
  <c r="Q41" i="4" s="1" a="1"/>
  <c r="Q41" i="4" s="1"/>
  <c r="L41" i="4"/>
  <c r="I41" i="4"/>
  <c r="M40" i="4"/>
  <c r="Q40" i="4" s="1" a="1"/>
  <c r="Q40" i="4" s="1"/>
  <c r="L40" i="4"/>
  <c r="I40" i="4"/>
  <c r="M39" i="4"/>
  <c r="Q39" i="4" s="1" a="1"/>
  <c r="Q39" i="4" s="1"/>
  <c r="L39" i="4"/>
  <c r="I39" i="4"/>
  <c r="M38" i="4"/>
  <c r="Q38" i="4" s="1" a="1"/>
  <c r="Q38" i="4" s="1"/>
  <c r="L38" i="4"/>
  <c r="I38" i="4"/>
  <c r="M37" i="4"/>
  <c r="Q37" i="4" s="1" a="1"/>
  <c r="Q37" i="4" s="1"/>
  <c r="L37" i="4"/>
  <c r="I37" i="4"/>
  <c r="M36" i="4"/>
  <c r="Q36" i="4" s="1" a="1"/>
  <c r="Q36" i="4" s="1"/>
  <c r="L36" i="4"/>
  <c r="I36" i="4"/>
  <c r="M35" i="4"/>
  <c r="Q35" i="4" s="1" a="1"/>
  <c r="Q35" i="4" s="1"/>
  <c r="L35" i="4"/>
  <c r="I35" i="4"/>
  <c r="M34" i="4"/>
  <c r="Q34" i="4" s="1" a="1"/>
  <c r="Q34" i="4" s="1"/>
  <c r="L34" i="4"/>
  <c r="I34" i="4"/>
  <c r="M33" i="4"/>
  <c r="Q33" i="4" s="1" a="1"/>
  <c r="Q33" i="4" s="1"/>
  <c r="L33" i="4"/>
  <c r="I33" i="4"/>
  <c r="M32" i="4"/>
  <c r="Q32" i="4" s="1" a="1"/>
  <c r="Q32" i="4" s="1"/>
  <c r="L32" i="4"/>
  <c r="I32" i="4"/>
  <c r="M31" i="4"/>
  <c r="Q31" i="4" s="1" a="1"/>
  <c r="Q31" i="4" s="1"/>
  <c r="L31" i="4"/>
  <c r="I31" i="4"/>
  <c r="M30" i="4"/>
  <c r="Q30" i="4" s="1" a="1"/>
  <c r="Q30" i="4" s="1"/>
  <c r="L30" i="4"/>
  <c r="I30" i="4"/>
  <c r="M29" i="4"/>
  <c r="Q29" i="4" s="1" a="1"/>
  <c r="Q29" i="4" s="1"/>
  <c r="L29" i="4"/>
  <c r="I29" i="4"/>
  <c r="M28" i="4"/>
  <c r="Q28" i="4" s="1" a="1"/>
  <c r="Q28" i="4" s="1"/>
  <c r="L28" i="4"/>
  <c r="I28" i="4"/>
  <c r="M27" i="4"/>
  <c r="Q27" i="4" s="1" a="1"/>
  <c r="Q27" i="4" s="1"/>
  <c r="L27" i="4"/>
  <c r="I27" i="4"/>
  <c r="M26" i="4"/>
  <c r="Q26" i="4" s="1" a="1"/>
  <c r="Q26" i="4" s="1"/>
  <c r="L26" i="4"/>
  <c r="I26" i="4"/>
  <c r="M25" i="4"/>
  <c r="Q25" i="4" s="1" a="1"/>
  <c r="Q25" i="4" s="1"/>
  <c r="L25" i="4"/>
  <c r="I25" i="4"/>
  <c r="M24" i="4"/>
  <c r="Q24" i="4" s="1" a="1"/>
  <c r="Q24" i="4" s="1"/>
  <c r="L24" i="4"/>
  <c r="I24" i="4"/>
  <c r="M23" i="4"/>
  <c r="Q23" i="4" s="1" a="1"/>
  <c r="Q23" i="4" s="1"/>
  <c r="L23" i="4"/>
  <c r="I23" i="4"/>
  <c r="M22" i="4"/>
  <c r="Q22" i="4" s="1" a="1"/>
  <c r="Q22" i="4" s="1"/>
  <c r="L22" i="4"/>
  <c r="I22" i="4"/>
  <c r="M21" i="4"/>
  <c r="Q21" i="4" s="1" a="1"/>
  <c r="Q21" i="4" s="1"/>
  <c r="L21" i="4"/>
  <c r="I21" i="4"/>
  <c r="M20" i="4"/>
  <c r="Q20" i="4" s="1" a="1"/>
  <c r="Q20" i="4" s="1"/>
  <c r="L20" i="4"/>
  <c r="I20" i="4"/>
  <c r="M19" i="4"/>
  <c r="Q19" i="4" s="1" a="1"/>
  <c r="Q19" i="4" s="1"/>
  <c r="L19" i="4"/>
  <c r="I19" i="4"/>
  <c r="M18" i="4"/>
  <c r="Q18" i="4" s="1" a="1"/>
  <c r="Q18" i="4" s="1"/>
  <c r="L18" i="4"/>
  <c r="I18" i="4"/>
  <c r="M17" i="4"/>
  <c r="Q17" i="4" s="1" a="1"/>
  <c r="Q17" i="4" s="1"/>
  <c r="L17" i="4"/>
  <c r="I17" i="4"/>
  <c r="M16" i="4"/>
  <c r="Q16" i="4" s="1" a="1"/>
  <c r="Q16" i="4" s="1"/>
  <c r="L16" i="4"/>
  <c r="I16" i="4"/>
  <c r="M15" i="4"/>
  <c r="Q15" i="4" s="1" a="1"/>
  <c r="Q15" i="4" s="1"/>
  <c r="L15" i="4"/>
  <c r="I15" i="4"/>
  <c r="L2" i="4"/>
  <c r="I2" i="4"/>
  <c r="S193" i="2" a="1"/>
  <c r="S193" i="2" s="1"/>
  <c r="JH16" i="2" s="1" a="1"/>
  <c r="JH16" i="2" s="1"/>
  <c r="R193" i="2" a="1"/>
  <c r="R193" i="2" s="1"/>
  <c r="JH15" i="2" s="1" a="1"/>
  <c r="JH15" i="2" s="1"/>
  <c r="P193" i="2"/>
  <c r="JH13" i="2" s="1" a="1"/>
  <c r="JH13" i="2" s="1"/>
  <c r="O193" i="2"/>
  <c r="JH12" i="2" s="1" a="1"/>
  <c r="JH12" i="2" s="1"/>
  <c r="N193" i="2"/>
  <c r="JH11" i="2" s="1" a="1"/>
  <c r="JH11" i="2" s="1"/>
  <c r="M193" i="2"/>
  <c r="JH10" i="2" s="1" a="1"/>
  <c r="JH10" i="2" s="1"/>
  <c r="L193" i="2"/>
  <c r="JH9" i="2" s="1" a="1"/>
  <c r="JH9" i="2" s="1"/>
  <c r="K193" i="2"/>
  <c r="JH8" i="2" s="1" a="1"/>
  <c r="JH8" i="2" s="1"/>
  <c r="J193" i="2"/>
  <c r="JH7" i="2" s="1" a="1"/>
  <c r="JH7" i="2" s="1"/>
  <c r="I193" i="2"/>
  <c r="JH6" i="2" s="1" a="1"/>
  <c r="JH6" i="2" s="1"/>
  <c r="H193" i="2"/>
  <c r="G193" i="2"/>
  <c r="JH4" i="2" s="1" a="1"/>
  <c r="JH4" i="2" s="1"/>
  <c r="F193" i="2"/>
  <c r="JH3" i="2" s="1" a="1"/>
  <c r="JH3" i="2" s="1"/>
  <c r="E193" i="2"/>
  <c r="JH2" i="2" s="1" a="1"/>
  <c r="JH2" i="2" s="1"/>
  <c r="S192" i="2" a="1"/>
  <c r="S192" i="2" s="1"/>
  <c r="JG16" i="2" s="1" a="1"/>
  <c r="JG16" i="2" s="1"/>
  <c r="R192" i="2" a="1"/>
  <c r="R192" i="2" s="1"/>
  <c r="JG15" i="2" s="1" a="1"/>
  <c r="JG15" i="2" s="1"/>
  <c r="P192" i="2"/>
  <c r="JG13" i="2" s="1" a="1"/>
  <c r="JG13" i="2" s="1"/>
  <c r="O192" i="2"/>
  <c r="JG12" i="2" s="1" a="1"/>
  <c r="JG12" i="2" s="1"/>
  <c r="N192" i="2"/>
  <c r="JG11" i="2" s="1" a="1"/>
  <c r="JG11" i="2" s="1"/>
  <c r="M192" i="2"/>
  <c r="JG10" i="2" s="1" a="1"/>
  <c r="JG10" i="2" s="1"/>
  <c r="L192" i="2"/>
  <c r="JG9" i="2" s="1" a="1"/>
  <c r="JG9" i="2" s="1"/>
  <c r="K192" i="2"/>
  <c r="JG8" i="2" s="1" a="1"/>
  <c r="JG8" i="2" s="1"/>
  <c r="J192" i="2"/>
  <c r="JG7" i="2" s="1" a="1"/>
  <c r="JG7" i="2" s="1"/>
  <c r="I192" i="2"/>
  <c r="JG6" i="2" s="1" a="1"/>
  <c r="JG6" i="2" s="1"/>
  <c r="H192" i="2"/>
  <c r="G192" i="2"/>
  <c r="JG4" i="2" s="1" a="1"/>
  <c r="JG4" i="2" s="1"/>
  <c r="F192" i="2"/>
  <c r="JG3" i="2" s="1" a="1"/>
  <c r="JG3" i="2" s="1"/>
  <c r="E192" i="2"/>
  <c r="JG2" i="2" s="1" a="1"/>
  <c r="JG2" i="2" s="1"/>
  <c r="S191" i="2" a="1"/>
  <c r="S191" i="2" s="1"/>
  <c r="JF16" i="2" s="1" a="1"/>
  <c r="JF16" i="2" s="1"/>
  <c r="R191" i="2" a="1"/>
  <c r="R191" i="2" s="1"/>
  <c r="JF15" i="2" s="1" a="1"/>
  <c r="JF15" i="2" s="1"/>
  <c r="P191" i="2"/>
  <c r="JF13" i="2" s="1" a="1"/>
  <c r="JF13" i="2" s="1"/>
  <c r="O191" i="2"/>
  <c r="JF12" i="2" s="1" a="1"/>
  <c r="JF12" i="2" s="1"/>
  <c r="N191" i="2"/>
  <c r="JF11" i="2" s="1" a="1"/>
  <c r="JF11" i="2" s="1"/>
  <c r="M191" i="2"/>
  <c r="JF10" i="2" s="1" a="1"/>
  <c r="JF10" i="2" s="1"/>
  <c r="L191" i="2"/>
  <c r="JF9" i="2" s="1" a="1"/>
  <c r="JF9" i="2" s="1"/>
  <c r="K191" i="2"/>
  <c r="JF8" i="2" s="1" a="1"/>
  <c r="JF8" i="2" s="1"/>
  <c r="J191" i="2"/>
  <c r="JF7" i="2" s="1" a="1"/>
  <c r="JF7" i="2" s="1"/>
  <c r="I191" i="2"/>
  <c r="JF6" i="2" s="1" a="1"/>
  <c r="JF6" i="2" s="1"/>
  <c r="H191" i="2"/>
  <c r="G191" i="2"/>
  <c r="JF4" i="2" s="1" a="1"/>
  <c r="JF4" i="2" s="1"/>
  <c r="F191" i="2"/>
  <c r="JF3" i="2" s="1" a="1"/>
  <c r="JF3" i="2" s="1"/>
  <c r="E191" i="2"/>
  <c r="JF2" i="2" s="1" a="1"/>
  <c r="JF2" i="2" s="1"/>
  <c r="S190" i="2" a="1"/>
  <c r="S190" i="2" s="1"/>
  <c r="JE16" i="2" s="1" a="1"/>
  <c r="JE16" i="2" s="1"/>
  <c r="R190" i="2" a="1"/>
  <c r="R190" i="2" s="1"/>
  <c r="JE15" i="2" s="1" a="1"/>
  <c r="JE15" i="2" s="1"/>
  <c r="P190" i="2"/>
  <c r="JE13" i="2" s="1" a="1"/>
  <c r="JE13" i="2" s="1"/>
  <c r="O190" i="2"/>
  <c r="JE12" i="2" s="1" a="1"/>
  <c r="JE12" i="2" s="1"/>
  <c r="N190" i="2"/>
  <c r="JE11" i="2" s="1" a="1"/>
  <c r="JE11" i="2" s="1"/>
  <c r="M190" i="2"/>
  <c r="JE10" i="2" s="1" a="1"/>
  <c r="JE10" i="2" s="1"/>
  <c r="L190" i="2"/>
  <c r="JE9" i="2" s="1" a="1"/>
  <c r="JE9" i="2" s="1"/>
  <c r="K190" i="2"/>
  <c r="JE8" i="2" s="1" a="1"/>
  <c r="JE8" i="2" s="1"/>
  <c r="J190" i="2"/>
  <c r="JE7" i="2" s="1" a="1"/>
  <c r="JE7" i="2" s="1"/>
  <c r="I190" i="2"/>
  <c r="JE6" i="2" s="1" a="1"/>
  <c r="JE6" i="2" s="1"/>
  <c r="H190" i="2"/>
  <c r="G190" i="2"/>
  <c r="JE4" i="2" s="1" a="1"/>
  <c r="JE4" i="2" s="1"/>
  <c r="F190" i="2"/>
  <c r="JE3" i="2" s="1" a="1"/>
  <c r="JE3" i="2" s="1"/>
  <c r="E190" i="2"/>
  <c r="JE2" i="2" s="1" a="1"/>
  <c r="JE2" i="2" s="1"/>
  <c r="S189" i="2" a="1"/>
  <c r="S189" i="2" s="1"/>
  <c r="JD16" i="2" s="1" a="1"/>
  <c r="JD16" i="2" s="1"/>
  <c r="R189" i="2" a="1"/>
  <c r="R189" i="2" s="1"/>
  <c r="JD15" i="2" s="1" a="1"/>
  <c r="JD15" i="2" s="1"/>
  <c r="P189" i="2"/>
  <c r="JD13" i="2" s="1" a="1"/>
  <c r="JD13" i="2" s="1"/>
  <c r="O189" i="2"/>
  <c r="JD12" i="2" s="1" a="1"/>
  <c r="JD12" i="2" s="1"/>
  <c r="N189" i="2"/>
  <c r="JD11" i="2" s="1" a="1"/>
  <c r="JD11" i="2" s="1"/>
  <c r="M189" i="2"/>
  <c r="JD10" i="2" s="1" a="1"/>
  <c r="JD10" i="2" s="1"/>
  <c r="L189" i="2"/>
  <c r="JD9" i="2" s="1" a="1"/>
  <c r="JD9" i="2" s="1"/>
  <c r="K189" i="2"/>
  <c r="JD8" i="2" s="1" a="1"/>
  <c r="JD8" i="2" s="1"/>
  <c r="J189" i="2"/>
  <c r="JD7" i="2" s="1" a="1"/>
  <c r="JD7" i="2" s="1"/>
  <c r="I189" i="2"/>
  <c r="JD6" i="2" s="1" a="1"/>
  <c r="JD6" i="2" s="1"/>
  <c r="H189" i="2"/>
  <c r="G189" i="2"/>
  <c r="JD4" i="2" s="1" a="1"/>
  <c r="JD4" i="2" s="1"/>
  <c r="F189" i="2"/>
  <c r="JD3" i="2" s="1" a="1"/>
  <c r="JD3" i="2" s="1"/>
  <c r="E189" i="2"/>
  <c r="JD2" i="2" s="1" a="1"/>
  <c r="JD2" i="2" s="1"/>
  <c r="S188" i="2" a="1"/>
  <c r="S188" i="2" s="1"/>
  <c r="JC16" i="2" s="1" a="1"/>
  <c r="JC16" i="2" s="1"/>
  <c r="R188" i="2" a="1"/>
  <c r="R188" i="2" s="1"/>
  <c r="JC15" i="2" s="1" a="1"/>
  <c r="JC15" i="2" s="1"/>
  <c r="P188" i="2"/>
  <c r="JC13" i="2" s="1" a="1"/>
  <c r="JC13" i="2" s="1"/>
  <c r="O188" i="2"/>
  <c r="JC12" i="2" s="1" a="1"/>
  <c r="JC12" i="2" s="1"/>
  <c r="N188" i="2"/>
  <c r="JC11" i="2" s="1" a="1"/>
  <c r="JC11" i="2" s="1"/>
  <c r="M188" i="2"/>
  <c r="JC10" i="2" s="1" a="1"/>
  <c r="JC10" i="2" s="1"/>
  <c r="L188" i="2"/>
  <c r="JC9" i="2" s="1" a="1"/>
  <c r="JC9" i="2" s="1"/>
  <c r="K188" i="2"/>
  <c r="JC8" i="2" s="1" a="1"/>
  <c r="JC8" i="2" s="1"/>
  <c r="J188" i="2"/>
  <c r="JC7" i="2" s="1" a="1"/>
  <c r="JC7" i="2" s="1"/>
  <c r="I188" i="2"/>
  <c r="JC6" i="2" s="1" a="1"/>
  <c r="JC6" i="2" s="1"/>
  <c r="H188" i="2"/>
  <c r="G188" i="2"/>
  <c r="JC4" i="2" s="1" a="1"/>
  <c r="JC4" i="2" s="1"/>
  <c r="F188" i="2"/>
  <c r="JC3" i="2" s="1" a="1"/>
  <c r="JC3" i="2" s="1"/>
  <c r="E188" i="2"/>
  <c r="JC2" i="2" s="1" a="1"/>
  <c r="JC2" i="2" s="1"/>
  <c r="S187" i="2" a="1"/>
  <c r="S187" i="2" s="1"/>
  <c r="JB16" i="2" s="1" a="1"/>
  <c r="JB16" i="2" s="1"/>
  <c r="R187" i="2" a="1"/>
  <c r="R187" i="2" s="1"/>
  <c r="JB15" i="2" s="1" a="1"/>
  <c r="JB15" i="2" s="1"/>
  <c r="P187" i="2"/>
  <c r="JB13" i="2" s="1" a="1"/>
  <c r="JB13" i="2" s="1"/>
  <c r="O187" i="2"/>
  <c r="JB12" i="2" s="1" a="1"/>
  <c r="JB12" i="2" s="1"/>
  <c r="N187" i="2"/>
  <c r="JB11" i="2" s="1" a="1"/>
  <c r="JB11" i="2" s="1"/>
  <c r="M187" i="2"/>
  <c r="JB10" i="2" s="1" a="1"/>
  <c r="JB10" i="2" s="1"/>
  <c r="L187" i="2"/>
  <c r="JB9" i="2" s="1" a="1"/>
  <c r="JB9" i="2" s="1"/>
  <c r="K187" i="2"/>
  <c r="JB8" i="2" s="1" a="1"/>
  <c r="JB8" i="2" s="1"/>
  <c r="J187" i="2"/>
  <c r="JB7" i="2" s="1" a="1"/>
  <c r="JB7" i="2" s="1"/>
  <c r="I187" i="2"/>
  <c r="JB6" i="2" s="1" a="1"/>
  <c r="JB6" i="2" s="1"/>
  <c r="H187" i="2"/>
  <c r="G187" i="2"/>
  <c r="JB4" i="2" s="1" a="1"/>
  <c r="JB4" i="2" s="1"/>
  <c r="F187" i="2"/>
  <c r="JB3" i="2" s="1" a="1"/>
  <c r="JB3" i="2" s="1"/>
  <c r="E187" i="2"/>
  <c r="JB2" i="2" s="1" a="1"/>
  <c r="JB2" i="2" s="1"/>
  <c r="S186" i="2" a="1"/>
  <c r="S186" i="2" s="1"/>
  <c r="JA16" i="2" s="1" a="1"/>
  <c r="JA16" i="2" s="1"/>
  <c r="R186" i="2" a="1"/>
  <c r="R186" i="2" s="1"/>
  <c r="JA15" i="2" s="1" a="1"/>
  <c r="JA15" i="2" s="1"/>
  <c r="P186" i="2"/>
  <c r="JA13" i="2" s="1" a="1"/>
  <c r="JA13" i="2" s="1"/>
  <c r="O186" i="2"/>
  <c r="JA12" i="2" s="1" a="1"/>
  <c r="JA12" i="2" s="1"/>
  <c r="N186" i="2"/>
  <c r="JA11" i="2" s="1" a="1"/>
  <c r="JA11" i="2" s="1"/>
  <c r="M186" i="2"/>
  <c r="JA10" i="2" s="1" a="1"/>
  <c r="JA10" i="2" s="1"/>
  <c r="L186" i="2"/>
  <c r="JA9" i="2" s="1" a="1"/>
  <c r="JA9" i="2" s="1"/>
  <c r="K186" i="2"/>
  <c r="JA8" i="2" s="1" a="1"/>
  <c r="JA8" i="2" s="1"/>
  <c r="J186" i="2"/>
  <c r="JA7" i="2" s="1" a="1"/>
  <c r="JA7" i="2" s="1"/>
  <c r="I186" i="2"/>
  <c r="JA6" i="2" s="1" a="1"/>
  <c r="JA6" i="2" s="1"/>
  <c r="H186" i="2"/>
  <c r="G186" i="2"/>
  <c r="JA4" i="2" s="1" a="1"/>
  <c r="JA4" i="2" s="1"/>
  <c r="F186" i="2"/>
  <c r="JA3" i="2" s="1" a="1"/>
  <c r="JA3" i="2" s="1"/>
  <c r="E186" i="2"/>
  <c r="JA2" i="2" s="1" a="1"/>
  <c r="JA2" i="2" s="1"/>
  <c r="S185" i="2" a="1"/>
  <c r="S185" i="2" s="1"/>
  <c r="IZ16" i="2" s="1" a="1"/>
  <c r="IZ16" i="2" s="1"/>
  <c r="R185" i="2" a="1"/>
  <c r="R185" i="2" s="1"/>
  <c r="IZ15" i="2" s="1" a="1"/>
  <c r="IZ15" i="2" s="1"/>
  <c r="P185" i="2"/>
  <c r="IZ13" i="2" s="1" a="1"/>
  <c r="IZ13" i="2" s="1"/>
  <c r="O185" i="2"/>
  <c r="IZ12" i="2" s="1" a="1"/>
  <c r="IZ12" i="2" s="1"/>
  <c r="N185" i="2"/>
  <c r="IZ11" i="2" s="1" a="1"/>
  <c r="IZ11" i="2" s="1"/>
  <c r="M185" i="2"/>
  <c r="IZ10" i="2" s="1" a="1"/>
  <c r="IZ10" i="2" s="1"/>
  <c r="L185" i="2"/>
  <c r="IZ9" i="2" s="1" a="1"/>
  <c r="IZ9" i="2" s="1"/>
  <c r="K185" i="2"/>
  <c r="IZ8" i="2" s="1" a="1"/>
  <c r="IZ8" i="2" s="1"/>
  <c r="J185" i="2"/>
  <c r="IZ7" i="2" s="1" a="1"/>
  <c r="IZ7" i="2" s="1"/>
  <c r="I185" i="2"/>
  <c r="IZ6" i="2" s="1" a="1"/>
  <c r="IZ6" i="2" s="1"/>
  <c r="H185" i="2"/>
  <c r="G185" i="2"/>
  <c r="IZ4" i="2" s="1" a="1"/>
  <c r="IZ4" i="2" s="1"/>
  <c r="F185" i="2"/>
  <c r="IZ3" i="2" s="1" a="1"/>
  <c r="IZ3" i="2" s="1"/>
  <c r="E185" i="2"/>
  <c r="IZ2" i="2" s="1" a="1"/>
  <c r="IZ2" i="2" s="1"/>
  <c r="S184" i="2" a="1"/>
  <c r="S184" i="2" s="1"/>
  <c r="IY16" i="2" s="1" a="1"/>
  <c r="IY16" i="2" s="1"/>
  <c r="R184" i="2" a="1"/>
  <c r="R184" i="2" s="1"/>
  <c r="IY15" i="2" s="1" a="1"/>
  <c r="IY15" i="2" s="1"/>
  <c r="P184" i="2"/>
  <c r="IY13" i="2" s="1" a="1"/>
  <c r="IY13" i="2" s="1"/>
  <c r="O184" i="2"/>
  <c r="IY12" i="2" s="1" a="1"/>
  <c r="IY12" i="2" s="1"/>
  <c r="N184" i="2"/>
  <c r="IY11" i="2" s="1" a="1"/>
  <c r="IY11" i="2" s="1"/>
  <c r="M184" i="2"/>
  <c r="IY10" i="2" s="1" a="1"/>
  <c r="IY10" i="2" s="1"/>
  <c r="L184" i="2"/>
  <c r="IY9" i="2" s="1" a="1"/>
  <c r="IY9" i="2" s="1"/>
  <c r="K184" i="2"/>
  <c r="IY8" i="2" s="1" a="1"/>
  <c r="IY8" i="2" s="1"/>
  <c r="J184" i="2"/>
  <c r="IY7" i="2" s="1" a="1"/>
  <c r="IY7" i="2" s="1"/>
  <c r="I184" i="2"/>
  <c r="IY6" i="2" s="1" a="1"/>
  <c r="IY6" i="2" s="1"/>
  <c r="H184" i="2"/>
  <c r="G184" i="2"/>
  <c r="IY4" i="2" s="1" a="1"/>
  <c r="IY4" i="2" s="1"/>
  <c r="F184" i="2"/>
  <c r="IY3" i="2" s="1" a="1"/>
  <c r="IY3" i="2" s="1"/>
  <c r="E184" i="2"/>
  <c r="IY2" i="2" s="1" a="1"/>
  <c r="IY2" i="2" s="1"/>
  <c r="S183" i="2" a="1"/>
  <c r="S183" i="2" s="1"/>
  <c r="IX16" i="2" s="1" a="1"/>
  <c r="IX16" i="2" s="1"/>
  <c r="R183" i="2" a="1"/>
  <c r="R183" i="2" s="1"/>
  <c r="IX15" i="2" s="1" a="1"/>
  <c r="IX15" i="2" s="1"/>
  <c r="P183" i="2"/>
  <c r="IX13" i="2" s="1" a="1"/>
  <c r="IX13" i="2" s="1"/>
  <c r="O183" i="2"/>
  <c r="IX12" i="2" s="1" a="1"/>
  <c r="IX12" i="2" s="1"/>
  <c r="N183" i="2"/>
  <c r="IX11" i="2" s="1" a="1"/>
  <c r="IX11" i="2" s="1"/>
  <c r="M183" i="2"/>
  <c r="IX10" i="2" s="1" a="1"/>
  <c r="IX10" i="2" s="1"/>
  <c r="L183" i="2"/>
  <c r="IX9" i="2" s="1" a="1"/>
  <c r="IX9" i="2" s="1"/>
  <c r="K183" i="2"/>
  <c r="IX8" i="2" s="1" a="1"/>
  <c r="IX8" i="2" s="1"/>
  <c r="J183" i="2"/>
  <c r="IX7" i="2" s="1" a="1"/>
  <c r="IX7" i="2" s="1"/>
  <c r="I183" i="2"/>
  <c r="IX6" i="2" s="1" a="1"/>
  <c r="IX6" i="2" s="1"/>
  <c r="H183" i="2"/>
  <c r="G183" i="2"/>
  <c r="IX4" i="2" s="1" a="1"/>
  <c r="IX4" i="2" s="1"/>
  <c r="F183" i="2"/>
  <c r="IX3" i="2" s="1" a="1"/>
  <c r="IX3" i="2" s="1"/>
  <c r="E183" i="2"/>
  <c r="IX2" i="2" s="1" a="1"/>
  <c r="IX2" i="2" s="1"/>
  <c r="S182" i="2" a="1"/>
  <c r="S182" i="2" s="1"/>
  <c r="IW16" i="2" s="1" a="1"/>
  <c r="IW16" i="2" s="1"/>
  <c r="R182" i="2" a="1"/>
  <c r="R182" i="2" s="1"/>
  <c r="IW15" i="2" s="1" a="1"/>
  <c r="IW15" i="2" s="1"/>
  <c r="P182" i="2"/>
  <c r="IW13" i="2" s="1" a="1"/>
  <c r="IW13" i="2" s="1"/>
  <c r="O182" i="2"/>
  <c r="IW12" i="2" s="1" a="1"/>
  <c r="IW12" i="2" s="1"/>
  <c r="N182" i="2"/>
  <c r="IW11" i="2" s="1" a="1"/>
  <c r="IW11" i="2" s="1"/>
  <c r="M182" i="2"/>
  <c r="IW10" i="2" s="1" a="1"/>
  <c r="IW10" i="2" s="1"/>
  <c r="L182" i="2"/>
  <c r="IW9" i="2" s="1" a="1"/>
  <c r="IW9" i="2" s="1"/>
  <c r="K182" i="2"/>
  <c r="IW8" i="2" s="1" a="1"/>
  <c r="IW8" i="2" s="1"/>
  <c r="J182" i="2"/>
  <c r="IW7" i="2" s="1" a="1"/>
  <c r="IW7" i="2" s="1"/>
  <c r="I182" i="2"/>
  <c r="IW6" i="2" s="1" a="1"/>
  <c r="IW6" i="2" s="1"/>
  <c r="H182" i="2"/>
  <c r="G182" i="2"/>
  <c r="IW4" i="2" s="1" a="1"/>
  <c r="IW4" i="2" s="1"/>
  <c r="F182" i="2"/>
  <c r="IW3" i="2" s="1" a="1"/>
  <c r="IW3" i="2" s="1"/>
  <c r="E182" i="2"/>
  <c r="IW2" i="2" s="1" a="1"/>
  <c r="IW2" i="2" s="1"/>
  <c r="S181" i="2" a="1"/>
  <c r="S181" i="2" s="1"/>
  <c r="IV16" i="2" s="1" a="1"/>
  <c r="IV16" i="2" s="1"/>
  <c r="R181" i="2" a="1"/>
  <c r="R181" i="2" s="1"/>
  <c r="IV15" i="2" s="1" a="1"/>
  <c r="IV15" i="2" s="1"/>
  <c r="P181" i="2"/>
  <c r="IV13" i="2" s="1" a="1"/>
  <c r="IV13" i="2" s="1"/>
  <c r="O181" i="2"/>
  <c r="IV12" i="2" s="1" a="1"/>
  <c r="IV12" i="2" s="1"/>
  <c r="N181" i="2"/>
  <c r="IV11" i="2" s="1" a="1"/>
  <c r="IV11" i="2" s="1"/>
  <c r="M181" i="2"/>
  <c r="IV10" i="2" s="1" a="1"/>
  <c r="IV10" i="2" s="1"/>
  <c r="L181" i="2"/>
  <c r="IV9" i="2" s="1" a="1"/>
  <c r="IV9" i="2" s="1"/>
  <c r="K181" i="2"/>
  <c r="IV8" i="2" s="1" a="1"/>
  <c r="IV8" i="2" s="1"/>
  <c r="J181" i="2"/>
  <c r="IV7" i="2" s="1" a="1"/>
  <c r="IV7" i="2" s="1"/>
  <c r="I181" i="2"/>
  <c r="IV6" i="2" s="1" a="1"/>
  <c r="IV6" i="2" s="1"/>
  <c r="H181" i="2"/>
  <c r="G181" i="2"/>
  <c r="IV4" i="2" s="1" a="1"/>
  <c r="IV4" i="2" s="1"/>
  <c r="F181" i="2"/>
  <c r="IV3" i="2" s="1" a="1"/>
  <c r="IV3" i="2" s="1"/>
  <c r="E181" i="2"/>
  <c r="IV2" i="2" s="1" a="1"/>
  <c r="IV2" i="2" s="1"/>
  <c r="S180" i="2" a="1"/>
  <c r="S180" i="2" s="1"/>
  <c r="IU16" i="2" s="1" a="1"/>
  <c r="IU16" i="2" s="1"/>
  <c r="R180" i="2" a="1"/>
  <c r="R180" i="2" s="1"/>
  <c r="IU15" i="2" s="1" a="1"/>
  <c r="IU15" i="2" s="1"/>
  <c r="P180" i="2"/>
  <c r="IU13" i="2" s="1" a="1"/>
  <c r="IU13" i="2" s="1"/>
  <c r="O180" i="2"/>
  <c r="IU12" i="2" s="1" a="1"/>
  <c r="IU12" i="2" s="1"/>
  <c r="N180" i="2"/>
  <c r="IU11" i="2" s="1" a="1"/>
  <c r="IU11" i="2" s="1"/>
  <c r="M180" i="2"/>
  <c r="IU10" i="2" s="1" a="1"/>
  <c r="IU10" i="2" s="1"/>
  <c r="L180" i="2"/>
  <c r="IU9" i="2" s="1" a="1"/>
  <c r="IU9" i="2" s="1"/>
  <c r="K180" i="2"/>
  <c r="IU8" i="2" s="1" a="1"/>
  <c r="IU8" i="2" s="1"/>
  <c r="J180" i="2"/>
  <c r="IU7" i="2" s="1" a="1"/>
  <c r="IU7" i="2" s="1"/>
  <c r="I180" i="2"/>
  <c r="IU6" i="2" s="1" a="1"/>
  <c r="IU6" i="2" s="1"/>
  <c r="H180" i="2"/>
  <c r="G180" i="2"/>
  <c r="IU4" i="2" s="1" a="1"/>
  <c r="IU4" i="2" s="1"/>
  <c r="F180" i="2"/>
  <c r="IU3" i="2" s="1" a="1"/>
  <c r="IU3" i="2" s="1"/>
  <c r="E180" i="2"/>
  <c r="IU2" i="2" s="1" a="1"/>
  <c r="IU2" i="2" s="1"/>
  <c r="S179" i="2" a="1"/>
  <c r="S179" i="2" s="1"/>
  <c r="IT16" i="2" s="1" a="1"/>
  <c r="IT16" i="2" s="1"/>
  <c r="R179" i="2" a="1"/>
  <c r="R179" i="2" s="1"/>
  <c r="IT15" i="2" s="1" a="1"/>
  <c r="IT15" i="2" s="1"/>
  <c r="P179" i="2"/>
  <c r="IT13" i="2" s="1" a="1"/>
  <c r="IT13" i="2" s="1"/>
  <c r="O179" i="2"/>
  <c r="IT12" i="2" s="1" a="1"/>
  <c r="IT12" i="2" s="1"/>
  <c r="N179" i="2"/>
  <c r="IT11" i="2" s="1" a="1"/>
  <c r="IT11" i="2" s="1"/>
  <c r="M179" i="2"/>
  <c r="IT10" i="2" s="1" a="1"/>
  <c r="IT10" i="2" s="1"/>
  <c r="L179" i="2"/>
  <c r="IT9" i="2" s="1" a="1"/>
  <c r="IT9" i="2" s="1"/>
  <c r="K179" i="2"/>
  <c r="IT8" i="2" s="1" a="1"/>
  <c r="IT8" i="2" s="1"/>
  <c r="J179" i="2"/>
  <c r="IT7" i="2" s="1" a="1"/>
  <c r="IT7" i="2" s="1"/>
  <c r="I179" i="2"/>
  <c r="IT6" i="2" s="1" a="1"/>
  <c r="IT6" i="2" s="1"/>
  <c r="H179" i="2"/>
  <c r="G179" i="2"/>
  <c r="IT4" i="2" s="1" a="1"/>
  <c r="IT4" i="2" s="1"/>
  <c r="F179" i="2"/>
  <c r="IT3" i="2" s="1" a="1"/>
  <c r="IT3" i="2" s="1"/>
  <c r="E179" i="2"/>
  <c r="IT2" i="2" s="1" a="1"/>
  <c r="IT2" i="2" s="1"/>
  <c r="S178" i="2" a="1"/>
  <c r="S178" i="2" s="1"/>
  <c r="IS16" i="2" s="1" a="1"/>
  <c r="IS16" i="2" s="1"/>
  <c r="R178" i="2" a="1"/>
  <c r="R178" i="2" s="1"/>
  <c r="IS15" i="2" s="1" a="1"/>
  <c r="IS15" i="2" s="1"/>
  <c r="P178" i="2"/>
  <c r="IS13" i="2" s="1" a="1"/>
  <c r="IS13" i="2" s="1"/>
  <c r="O178" i="2"/>
  <c r="IS12" i="2" s="1" a="1"/>
  <c r="IS12" i="2" s="1"/>
  <c r="N178" i="2"/>
  <c r="IS11" i="2" s="1" a="1"/>
  <c r="IS11" i="2" s="1"/>
  <c r="M178" i="2"/>
  <c r="IS10" i="2" s="1" a="1"/>
  <c r="IS10" i="2" s="1"/>
  <c r="L178" i="2"/>
  <c r="IS9" i="2" s="1" a="1"/>
  <c r="IS9" i="2" s="1"/>
  <c r="K178" i="2"/>
  <c r="IS8" i="2" s="1" a="1"/>
  <c r="IS8" i="2" s="1"/>
  <c r="J178" i="2"/>
  <c r="IS7" i="2" s="1" a="1"/>
  <c r="IS7" i="2" s="1"/>
  <c r="I178" i="2"/>
  <c r="IS6" i="2" s="1" a="1"/>
  <c r="IS6" i="2" s="1"/>
  <c r="H178" i="2"/>
  <c r="G178" i="2"/>
  <c r="IS4" i="2" s="1" a="1"/>
  <c r="IS4" i="2" s="1"/>
  <c r="F178" i="2"/>
  <c r="IS3" i="2" s="1" a="1"/>
  <c r="IS3" i="2" s="1"/>
  <c r="E178" i="2"/>
  <c r="IS2" i="2" s="1" a="1"/>
  <c r="IS2" i="2" s="1"/>
  <c r="S177" i="2" a="1"/>
  <c r="S177" i="2" s="1"/>
  <c r="IR16" i="2" s="1" a="1"/>
  <c r="IR16" i="2" s="1"/>
  <c r="R177" i="2" a="1"/>
  <c r="R177" i="2" s="1"/>
  <c r="IR15" i="2" s="1" a="1"/>
  <c r="IR15" i="2" s="1"/>
  <c r="P177" i="2"/>
  <c r="IR13" i="2" s="1" a="1"/>
  <c r="IR13" i="2" s="1"/>
  <c r="O177" i="2"/>
  <c r="IR12" i="2" s="1" a="1"/>
  <c r="IR12" i="2" s="1"/>
  <c r="N177" i="2"/>
  <c r="IR11" i="2" s="1" a="1"/>
  <c r="IR11" i="2" s="1"/>
  <c r="M177" i="2"/>
  <c r="IR10" i="2" s="1" a="1"/>
  <c r="IR10" i="2" s="1"/>
  <c r="L177" i="2"/>
  <c r="IR9" i="2" s="1" a="1"/>
  <c r="IR9" i="2" s="1"/>
  <c r="K177" i="2"/>
  <c r="IR8" i="2" s="1" a="1"/>
  <c r="IR8" i="2" s="1"/>
  <c r="J177" i="2"/>
  <c r="IR7" i="2" s="1" a="1"/>
  <c r="IR7" i="2" s="1"/>
  <c r="I177" i="2"/>
  <c r="IR6" i="2" s="1" a="1"/>
  <c r="IR6" i="2" s="1"/>
  <c r="H177" i="2"/>
  <c r="G177" i="2"/>
  <c r="IR4" i="2" s="1" a="1"/>
  <c r="IR4" i="2" s="1"/>
  <c r="F177" i="2"/>
  <c r="IR3" i="2" s="1" a="1"/>
  <c r="IR3" i="2" s="1"/>
  <c r="E177" i="2"/>
  <c r="IR2" i="2" s="1" a="1"/>
  <c r="IR2" i="2" s="1"/>
  <c r="S176" i="2" a="1"/>
  <c r="S176" i="2" s="1"/>
  <c r="IQ16" i="2" s="1" a="1"/>
  <c r="IQ16" i="2" s="1"/>
  <c r="R176" i="2" a="1"/>
  <c r="R176" i="2" s="1"/>
  <c r="IQ15" i="2" s="1" a="1"/>
  <c r="IQ15" i="2" s="1"/>
  <c r="P176" i="2"/>
  <c r="IQ13" i="2" s="1" a="1"/>
  <c r="IQ13" i="2" s="1"/>
  <c r="O176" i="2"/>
  <c r="IQ12" i="2" s="1" a="1"/>
  <c r="IQ12" i="2" s="1"/>
  <c r="N176" i="2"/>
  <c r="IQ11" i="2" s="1" a="1"/>
  <c r="IQ11" i="2" s="1"/>
  <c r="M176" i="2"/>
  <c r="IQ10" i="2" s="1" a="1"/>
  <c r="IQ10" i="2" s="1"/>
  <c r="L176" i="2"/>
  <c r="IQ9" i="2" s="1" a="1"/>
  <c r="IQ9" i="2" s="1"/>
  <c r="K176" i="2"/>
  <c r="IQ8" i="2" s="1" a="1"/>
  <c r="IQ8" i="2" s="1"/>
  <c r="J176" i="2"/>
  <c r="IQ7" i="2" s="1" a="1"/>
  <c r="IQ7" i="2" s="1"/>
  <c r="I176" i="2"/>
  <c r="IQ6" i="2" s="1" a="1"/>
  <c r="IQ6" i="2" s="1"/>
  <c r="H176" i="2"/>
  <c r="G176" i="2"/>
  <c r="IQ4" i="2" s="1" a="1"/>
  <c r="IQ4" i="2" s="1"/>
  <c r="F176" i="2"/>
  <c r="IQ3" i="2" s="1" a="1"/>
  <c r="IQ3" i="2" s="1"/>
  <c r="E176" i="2"/>
  <c r="IQ2" i="2" s="1" a="1"/>
  <c r="IQ2" i="2" s="1"/>
  <c r="S175" i="2" a="1"/>
  <c r="S175" i="2" s="1"/>
  <c r="IP16" i="2" s="1" a="1"/>
  <c r="IP16" i="2" s="1"/>
  <c r="R175" i="2" a="1"/>
  <c r="R175" i="2" s="1"/>
  <c r="IP15" i="2" s="1" a="1"/>
  <c r="IP15" i="2" s="1"/>
  <c r="P175" i="2"/>
  <c r="IP13" i="2" s="1" a="1"/>
  <c r="IP13" i="2" s="1"/>
  <c r="O175" i="2"/>
  <c r="IP12" i="2" s="1" a="1"/>
  <c r="IP12" i="2" s="1"/>
  <c r="N175" i="2"/>
  <c r="IP11" i="2" s="1" a="1"/>
  <c r="IP11" i="2" s="1"/>
  <c r="M175" i="2"/>
  <c r="IP10" i="2" s="1" a="1"/>
  <c r="IP10" i="2" s="1"/>
  <c r="L175" i="2"/>
  <c r="IP9" i="2" s="1" a="1"/>
  <c r="IP9" i="2" s="1"/>
  <c r="K175" i="2"/>
  <c r="IP8" i="2" s="1" a="1"/>
  <c r="IP8" i="2" s="1"/>
  <c r="J175" i="2"/>
  <c r="IP7" i="2" s="1" a="1"/>
  <c r="IP7" i="2" s="1"/>
  <c r="I175" i="2"/>
  <c r="IP6" i="2" s="1" a="1"/>
  <c r="IP6" i="2" s="1"/>
  <c r="H175" i="2"/>
  <c r="G175" i="2"/>
  <c r="IP4" i="2" s="1" a="1"/>
  <c r="IP4" i="2" s="1"/>
  <c r="F175" i="2"/>
  <c r="IP3" i="2" s="1" a="1"/>
  <c r="IP3" i="2" s="1"/>
  <c r="E175" i="2"/>
  <c r="IP2" i="2" s="1" a="1"/>
  <c r="IP2" i="2" s="1"/>
  <c r="S174" i="2" a="1"/>
  <c r="S174" i="2" s="1"/>
  <c r="IO16" i="2" s="1" a="1"/>
  <c r="IO16" i="2" s="1"/>
  <c r="R174" i="2" a="1"/>
  <c r="R174" i="2" s="1"/>
  <c r="IO15" i="2" s="1" a="1"/>
  <c r="IO15" i="2" s="1"/>
  <c r="P174" i="2"/>
  <c r="IO13" i="2" s="1" a="1"/>
  <c r="IO13" i="2" s="1"/>
  <c r="O174" i="2"/>
  <c r="IO12" i="2" s="1" a="1"/>
  <c r="IO12" i="2" s="1"/>
  <c r="N174" i="2"/>
  <c r="IO11" i="2" s="1" a="1"/>
  <c r="IO11" i="2" s="1"/>
  <c r="M174" i="2"/>
  <c r="IO10" i="2" s="1" a="1"/>
  <c r="IO10" i="2" s="1"/>
  <c r="L174" i="2"/>
  <c r="IO9" i="2" s="1" a="1"/>
  <c r="IO9" i="2" s="1"/>
  <c r="K174" i="2"/>
  <c r="IO8" i="2" s="1" a="1"/>
  <c r="IO8" i="2" s="1"/>
  <c r="J174" i="2"/>
  <c r="IO7" i="2" s="1" a="1"/>
  <c r="IO7" i="2" s="1"/>
  <c r="I174" i="2"/>
  <c r="IO6" i="2" s="1" a="1"/>
  <c r="IO6" i="2" s="1"/>
  <c r="H174" i="2"/>
  <c r="G174" i="2"/>
  <c r="IO4" i="2" s="1" a="1"/>
  <c r="IO4" i="2" s="1"/>
  <c r="F174" i="2"/>
  <c r="IO3" i="2" s="1" a="1"/>
  <c r="IO3" i="2" s="1"/>
  <c r="E174" i="2"/>
  <c r="IO2" i="2" s="1" a="1"/>
  <c r="IO2" i="2" s="1"/>
  <c r="S173" i="2" a="1"/>
  <c r="S173" i="2" s="1"/>
  <c r="IN16" i="2" s="1" a="1"/>
  <c r="IN16" i="2" s="1"/>
  <c r="R173" i="2" a="1"/>
  <c r="R173" i="2" s="1"/>
  <c r="IN15" i="2" s="1" a="1"/>
  <c r="IN15" i="2" s="1"/>
  <c r="P173" i="2"/>
  <c r="IN13" i="2" s="1" a="1"/>
  <c r="IN13" i="2" s="1"/>
  <c r="O173" i="2"/>
  <c r="IN12" i="2" s="1" a="1"/>
  <c r="IN12" i="2" s="1"/>
  <c r="N173" i="2"/>
  <c r="IN11" i="2" s="1" a="1"/>
  <c r="IN11" i="2" s="1"/>
  <c r="M173" i="2"/>
  <c r="IN10" i="2" s="1" a="1"/>
  <c r="IN10" i="2" s="1"/>
  <c r="L173" i="2"/>
  <c r="IN9" i="2" s="1" a="1"/>
  <c r="IN9" i="2" s="1"/>
  <c r="K173" i="2"/>
  <c r="IN8" i="2" s="1" a="1"/>
  <c r="IN8" i="2" s="1"/>
  <c r="J173" i="2"/>
  <c r="IN7" i="2" s="1" a="1"/>
  <c r="IN7" i="2" s="1"/>
  <c r="I173" i="2"/>
  <c r="IN6" i="2" s="1" a="1"/>
  <c r="IN6" i="2" s="1"/>
  <c r="H173" i="2"/>
  <c r="G173" i="2"/>
  <c r="IN4" i="2" s="1" a="1"/>
  <c r="IN4" i="2" s="1"/>
  <c r="F173" i="2"/>
  <c r="IN3" i="2" s="1" a="1"/>
  <c r="IN3" i="2" s="1"/>
  <c r="E173" i="2"/>
  <c r="IN2" i="2" s="1" a="1"/>
  <c r="IN2" i="2" s="1"/>
  <c r="S172" i="2" a="1"/>
  <c r="S172" i="2" s="1"/>
  <c r="IM16" i="2" s="1" a="1"/>
  <c r="IM16" i="2" s="1"/>
  <c r="R172" i="2" a="1"/>
  <c r="R172" i="2" s="1"/>
  <c r="IM15" i="2" s="1" a="1"/>
  <c r="IM15" i="2" s="1"/>
  <c r="P172" i="2"/>
  <c r="IM13" i="2" s="1" a="1"/>
  <c r="IM13" i="2" s="1"/>
  <c r="O172" i="2"/>
  <c r="IM12" i="2" s="1" a="1"/>
  <c r="IM12" i="2" s="1"/>
  <c r="N172" i="2"/>
  <c r="IM11" i="2" s="1" a="1"/>
  <c r="IM11" i="2" s="1"/>
  <c r="M172" i="2"/>
  <c r="IM10" i="2" s="1" a="1"/>
  <c r="IM10" i="2" s="1"/>
  <c r="L172" i="2"/>
  <c r="IM9" i="2" s="1" a="1"/>
  <c r="IM9" i="2" s="1"/>
  <c r="K172" i="2"/>
  <c r="IM8" i="2" s="1" a="1"/>
  <c r="IM8" i="2" s="1"/>
  <c r="J172" i="2"/>
  <c r="IM7" i="2" s="1" a="1"/>
  <c r="IM7" i="2" s="1"/>
  <c r="I172" i="2"/>
  <c r="IM6" i="2" s="1" a="1"/>
  <c r="IM6" i="2" s="1"/>
  <c r="H172" i="2"/>
  <c r="G172" i="2"/>
  <c r="IM4" i="2" s="1" a="1"/>
  <c r="IM4" i="2" s="1"/>
  <c r="F172" i="2"/>
  <c r="IM3" i="2" s="1" a="1"/>
  <c r="IM3" i="2" s="1"/>
  <c r="E172" i="2"/>
  <c r="IM2" i="2" s="1" a="1"/>
  <c r="IM2" i="2" s="1"/>
  <c r="S171" i="2" a="1"/>
  <c r="S171" i="2" s="1"/>
  <c r="IL16" i="2" s="1" a="1"/>
  <c r="IL16" i="2" s="1"/>
  <c r="R171" i="2" a="1"/>
  <c r="R171" i="2" s="1"/>
  <c r="IL15" i="2" s="1" a="1"/>
  <c r="IL15" i="2" s="1"/>
  <c r="P171" i="2"/>
  <c r="IL13" i="2" s="1" a="1"/>
  <c r="IL13" i="2" s="1"/>
  <c r="O171" i="2"/>
  <c r="IL12" i="2" s="1" a="1"/>
  <c r="IL12" i="2" s="1"/>
  <c r="N171" i="2"/>
  <c r="IL11" i="2" s="1" a="1"/>
  <c r="IL11" i="2" s="1"/>
  <c r="M171" i="2"/>
  <c r="IL10" i="2" s="1" a="1"/>
  <c r="IL10" i="2" s="1"/>
  <c r="L171" i="2"/>
  <c r="IL9" i="2" s="1" a="1"/>
  <c r="IL9" i="2" s="1"/>
  <c r="K171" i="2"/>
  <c r="IL8" i="2" s="1" a="1"/>
  <c r="IL8" i="2" s="1"/>
  <c r="J171" i="2"/>
  <c r="IL7" i="2" s="1" a="1"/>
  <c r="IL7" i="2" s="1"/>
  <c r="I171" i="2"/>
  <c r="IL6" i="2" s="1" a="1"/>
  <c r="IL6" i="2" s="1"/>
  <c r="H171" i="2"/>
  <c r="G171" i="2"/>
  <c r="IL4" i="2" s="1" a="1"/>
  <c r="IL4" i="2" s="1"/>
  <c r="F171" i="2"/>
  <c r="IL3" i="2" s="1" a="1"/>
  <c r="IL3" i="2" s="1"/>
  <c r="E171" i="2"/>
  <c r="IL2" i="2" s="1" a="1"/>
  <c r="IL2" i="2" s="1"/>
  <c r="S170" i="2" a="1"/>
  <c r="S170" i="2" s="1"/>
  <c r="IK16" i="2" s="1" a="1"/>
  <c r="IK16" i="2" s="1"/>
  <c r="R170" i="2" a="1"/>
  <c r="R170" i="2" s="1"/>
  <c r="IK15" i="2" s="1" a="1"/>
  <c r="IK15" i="2" s="1"/>
  <c r="P170" i="2"/>
  <c r="IK13" i="2" s="1" a="1"/>
  <c r="IK13" i="2" s="1"/>
  <c r="O170" i="2"/>
  <c r="IK12" i="2" s="1" a="1"/>
  <c r="IK12" i="2" s="1"/>
  <c r="N170" i="2"/>
  <c r="IK11" i="2" s="1" a="1"/>
  <c r="IK11" i="2" s="1"/>
  <c r="M170" i="2"/>
  <c r="IK10" i="2" s="1" a="1"/>
  <c r="IK10" i="2" s="1"/>
  <c r="L170" i="2"/>
  <c r="IK9" i="2" s="1" a="1"/>
  <c r="IK9" i="2" s="1"/>
  <c r="K170" i="2"/>
  <c r="IK8" i="2" s="1" a="1"/>
  <c r="IK8" i="2" s="1"/>
  <c r="J170" i="2"/>
  <c r="IK7" i="2" s="1" a="1"/>
  <c r="IK7" i="2" s="1"/>
  <c r="I170" i="2"/>
  <c r="IK6" i="2" s="1" a="1"/>
  <c r="IK6" i="2" s="1"/>
  <c r="H170" i="2"/>
  <c r="G170" i="2"/>
  <c r="IK4" i="2" s="1" a="1"/>
  <c r="IK4" i="2" s="1"/>
  <c r="F170" i="2"/>
  <c r="IK3" i="2" s="1" a="1"/>
  <c r="IK3" i="2" s="1"/>
  <c r="E170" i="2"/>
  <c r="IK2" i="2" s="1" a="1"/>
  <c r="IK2" i="2" s="1"/>
  <c r="S169" i="2" a="1"/>
  <c r="S169" i="2" s="1"/>
  <c r="IJ16" i="2" s="1" a="1"/>
  <c r="IJ16" i="2" s="1"/>
  <c r="R169" i="2" a="1"/>
  <c r="R169" i="2" s="1"/>
  <c r="IJ15" i="2" s="1" a="1"/>
  <c r="IJ15" i="2" s="1"/>
  <c r="P169" i="2"/>
  <c r="IJ13" i="2" s="1" a="1"/>
  <c r="IJ13" i="2" s="1"/>
  <c r="O169" i="2"/>
  <c r="IJ12" i="2" s="1" a="1"/>
  <c r="IJ12" i="2" s="1"/>
  <c r="N169" i="2"/>
  <c r="IJ11" i="2" s="1" a="1"/>
  <c r="IJ11" i="2" s="1"/>
  <c r="M169" i="2"/>
  <c r="IJ10" i="2" s="1" a="1"/>
  <c r="IJ10" i="2" s="1"/>
  <c r="L169" i="2"/>
  <c r="IJ9" i="2" s="1" a="1"/>
  <c r="IJ9" i="2" s="1"/>
  <c r="K169" i="2"/>
  <c r="IJ8" i="2" s="1" a="1"/>
  <c r="IJ8" i="2" s="1"/>
  <c r="J169" i="2"/>
  <c r="IJ7" i="2" s="1" a="1"/>
  <c r="IJ7" i="2" s="1"/>
  <c r="I169" i="2"/>
  <c r="IJ6" i="2" s="1" a="1"/>
  <c r="IJ6" i="2" s="1"/>
  <c r="H169" i="2"/>
  <c r="G169" i="2"/>
  <c r="IJ4" i="2" s="1" a="1"/>
  <c r="IJ4" i="2" s="1"/>
  <c r="F169" i="2"/>
  <c r="IJ3" i="2" s="1" a="1"/>
  <c r="IJ3" i="2" s="1"/>
  <c r="E169" i="2"/>
  <c r="IJ2" i="2" s="1" a="1"/>
  <c r="IJ2" i="2" s="1"/>
  <c r="S168" i="2" a="1"/>
  <c r="S168" i="2" s="1"/>
  <c r="II16" i="2" s="1" a="1"/>
  <c r="II16" i="2" s="1"/>
  <c r="R168" i="2" a="1"/>
  <c r="R168" i="2" s="1"/>
  <c r="II15" i="2" s="1" a="1"/>
  <c r="II15" i="2" s="1"/>
  <c r="P168" i="2"/>
  <c r="II13" i="2" s="1" a="1"/>
  <c r="II13" i="2" s="1"/>
  <c r="O168" i="2"/>
  <c r="II12" i="2" s="1" a="1"/>
  <c r="II12" i="2" s="1"/>
  <c r="N168" i="2"/>
  <c r="II11" i="2" s="1" a="1"/>
  <c r="II11" i="2" s="1"/>
  <c r="M168" i="2"/>
  <c r="II10" i="2" s="1" a="1"/>
  <c r="II10" i="2" s="1"/>
  <c r="L168" i="2"/>
  <c r="II9" i="2" s="1" a="1"/>
  <c r="II9" i="2" s="1"/>
  <c r="K168" i="2"/>
  <c r="II8" i="2" s="1" a="1"/>
  <c r="II8" i="2" s="1"/>
  <c r="J168" i="2"/>
  <c r="II7" i="2" s="1" a="1"/>
  <c r="II7" i="2" s="1"/>
  <c r="I168" i="2"/>
  <c r="II6" i="2" s="1" a="1"/>
  <c r="II6" i="2" s="1"/>
  <c r="H168" i="2"/>
  <c r="G168" i="2"/>
  <c r="II4" i="2" s="1" a="1"/>
  <c r="II4" i="2" s="1"/>
  <c r="F168" i="2"/>
  <c r="II3" i="2" s="1" a="1"/>
  <c r="II3" i="2" s="1"/>
  <c r="E168" i="2"/>
  <c r="II2" i="2" s="1" a="1"/>
  <c r="II2" i="2" s="1"/>
  <c r="S167" i="2" a="1"/>
  <c r="S167" i="2" s="1"/>
  <c r="IH16" i="2" s="1" a="1"/>
  <c r="IH16" i="2" s="1"/>
  <c r="R167" i="2" a="1"/>
  <c r="R167" i="2" s="1"/>
  <c r="IH15" i="2" s="1" a="1"/>
  <c r="IH15" i="2" s="1"/>
  <c r="P167" i="2"/>
  <c r="IH13" i="2" s="1" a="1"/>
  <c r="IH13" i="2" s="1"/>
  <c r="O167" i="2"/>
  <c r="IH12" i="2" s="1" a="1"/>
  <c r="IH12" i="2" s="1"/>
  <c r="N167" i="2"/>
  <c r="IH11" i="2" s="1" a="1"/>
  <c r="IH11" i="2" s="1"/>
  <c r="M167" i="2"/>
  <c r="IH10" i="2" s="1" a="1"/>
  <c r="IH10" i="2" s="1"/>
  <c r="L167" i="2"/>
  <c r="IH9" i="2" s="1" a="1"/>
  <c r="IH9" i="2" s="1"/>
  <c r="K167" i="2"/>
  <c r="IH8" i="2" s="1" a="1"/>
  <c r="IH8" i="2" s="1"/>
  <c r="J167" i="2"/>
  <c r="IH7" i="2" s="1" a="1"/>
  <c r="IH7" i="2" s="1"/>
  <c r="I167" i="2"/>
  <c r="IH6" i="2" s="1" a="1"/>
  <c r="IH6" i="2" s="1"/>
  <c r="H167" i="2"/>
  <c r="G167" i="2"/>
  <c r="IH4" i="2" s="1" a="1"/>
  <c r="IH4" i="2" s="1"/>
  <c r="F167" i="2"/>
  <c r="IH3" i="2" s="1" a="1"/>
  <c r="IH3" i="2" s="1"/>
  <c r="E167" i="2"/>
  <c r="IH2" i="2" s="1" a="1"/>
  <c r="IH2" i="2" s="1"/>
  <c r="S166" i="2" a="1"/>
  <c r="S166" i="2" s="1"/>
  <c r="IG16" i="2" s="1" a="1"/>
  <c r="IG16" i="2" s="1"/>
  <c r="R166" i="2" a="1"/>
  <c r="R166" i="2" s="1"/>
  <c r="IG15" i="2" s="1" a="1"/>
  <c r="IG15" i="2" s="1"/>
  <c r="P166" i="2"/>
  <c r="IG13" i="2" s="1" a="1"/>
  <c r="IG13" i="2" s="1"/>
  <c r="O166" i="2"/>
  <c r="IG12" i="2" s="1" a="1"/>
  <c r="IG12" i="2" s="1"/>
  <c r="N166" i="2"/>
  <c r="IG11" i="2" s="1" a="1"/>
  <c r="IG11" i="2" s="1"/>
  <c r="M166" i="2"/>
  <c r="IG10" i="2" s="1" a="1"/>
  <c r="IG10" i="2" s="1"/>
  <c r="L166" i="2"/>
  <c r="IG9" i="2" s="1" a="1"/>
  <c r="IG9" i="2" s="1"/>
  <c r="K166" i="2"/>
  <c r="IG8" i="2" s="1" a="1"/>
  <c r="IG8" i="2" s="1"/>
  <c r="J166" i="2"/>
  <c r="IG7" i="2" s="1" a="1"/>
  <c r="IG7" i="2" s="1"/>
  <c r="I166" i="2"/>
  <c r="IG6" i="2" s="1" a="1"/>
  <c r="IG6" i="2" s="1"/>
  <c r="H166" i="2"/>
  <c r="G166" i="2"/>
  <c r="IG4" i="2" s="1" a="1"/>
  <c r="IG4" i="2" s="1"/>
  <c r="F166" i="2"/>
  <c r="IG3" i="2" s="1" a="1"/>
  <c r="IG3" i="2" s="1"/>
  <c r="E166" i="2"/>
  <c r="IG2" i="2" s="1" a="1"/>
  <c r="IG2" i="2" s="1"/>
  <c r="S165" i="2" a="1"/>
  <c r="S165" i="2" s="1"/>
  <c r="IF16" i="2" s="1" a="1"/>
  <c r="IF16" i="2" s="1"/>
  <c r="R165" i="2" a="1"/>
  <c r="R165" i="2" s="1"/>
  <c r="IF15" i="2" s="1" a="1"/>
  <c r="IF15" i="2" s="1"/>
  <c r="P165" i="2"/>
  <c r="IF13" i="2" s="1" a="1"/>
  <c r="IF13" i="2" s="1"/>
  <c r="O165" i="2"/>
  <c r="IF12" i="2" s="1" a="1"/>
  <c r="IF12" i="2" s="1"/>
  <c r="N165" i="2"/>
  <c r="IF11" i="2" s="1" a="1"/>
  <c r="IF11" i="2" s="1"/>
  <c r="M165" i="2"/>
  <c r="IF10" i="2" s="1" a="1"/>
  <c r="IF10" i="2" s="1"/>
  <c r="L165" i="2"/>
  <c r="IF9" i="2" s="1" a="1"/>
  <c r="IF9" i="2" s="1"/>
  <c r="K165" i="2"/>
  <c r="IF8" i="2" s="1" a="1"/>
  <c r="IF8" i="2" s="1"/>
  <c r="J165" i="2"/>
  <c r="IF7" i="2" s="1" a="1"/>
  <c r="IF7" i="2" s="1"/>
  <c r="I165" i="2"/>
  <c r="IF6" i="2" s="1" a="1"/>
  <c r="IF6" i="2" s="1"/>
  <c r="H165" i="2"/>
  <c r="G165" i="2"/>
  <c r="IF4" i="2" s="1" a="1"/>
  <c r="IF4" i="2" s="1"/>
  <c r="F165" i="2"/>
  <c r="IF3" i="2" s="1" a="1"/>
  <c r="IF3" i="2" s="1"/>
  <c r="E165" i="2"/>
  <c r="IF2" i="2" s="1" a="1"/>
  <c r="IF2" i="2" s="1"/>
  <c r="S164" i="2" a="1"/>
  <c r="S164" i="2" s="1"/>
  <c r="IE16" i="2" s="1" a="1"/>
  <c r="IE16" i="2" s="1"/>
  <c r="R164" i="2" a="1"/>
  <c r="R164" i="2" s="1"/>
  <c r="IE15" i="2" s="1" a="1"/>
  <c r="IE15" i="2" s="1"/>
  <c r="P164" i="2"/>
  <c r="IE13" i="2" s="1" a="1"/>
  <c r="IE13" i="2" s="1"/>
  <c r="O164" i="2"/>
  <c r="IE12" i="2" s="1" a="1"/>
  <c r="IE12" i="2" s="1"/>
  <c r="N164" i="2"/>
  <c r="IE11" i="2" s="1" a="1"/>
  <c r="IE11" i="2" s="1"/>
  <c r="M164" i="2"/>
  <c r="IE10" i="2" s="1" a="1"/>
  <c r="IE10" i="2" s="1"/>
  <c r="L164" i="2"/>
  <c r="IE9" i="2" s="1" a="1"/>
  <c r="IE9" i="2" s="1"/>
  <c r="K164" i="2"/>
  <c r="IE8" i="2" s="1" a="1"/>
  <c r="IE8" i="2" s="1"/>
  <c r="J164" i="2"/>
  <c r="IE7" i="2" s="1" a="1"/>
  <c r="IE7" i="2" s="1"/>
  <c r="I164" i="2"/>
  <c r="IE6" i="2" s="1" a="1"/>
  <c r="IE6" i="2" s="1"/>
  <c r="H164" i="2"/>
  <c r="G164" i="2"/>
  <c r="IE4" i="2" s="1" a="1"/>
  <c r="IE4" i="2" s="1"/>
  <c r="F164" i="2"/>
  <c r="IE3" i="2" s="1" a="1"/>
  <c r="IE3" i="2" s="1"/>
  <c r="E164" i="2"/>
  <c r="IE2" i="2" s="1" a="1"/>
  <c r="IE2" i="2" s="1"/>
  <c r="S163" i="2" a="1"/>
  <c r="S163" i="2" s="1"/>
  <c r="ID16" i="2" s="1" a="1"/>
  <c r="ID16" i="2" s="1"/>
  <c r="R163" i="2" a="1"/>
  <c r="R163" i="2" s="1"/>
  <c r="ID15" i="2" s="1" a="1"/>
  <c r="ID15" i="2" s="1"/>
  <c r="P163" i="2"/>
  <c r="ID13" i="2" s="1" a="1"/>
  <c r="ID13" i="2" s="1"/>
  <c r="O163" i="2"/>
  <c r="ID12" i="2" s="1" a="1"/>
  <c r="ID12" i="2" s="1"/>
  <c r="N163" i="2"/>
  <c r="ID11" i="2" s="1" a="1"/>
  <c r="ID11" i="2" s="1"/>
  <c r="M163" i="2"/>
  <c r="ID10" i="2" s="1" a="1"/>
  <c r="ID10" i="2" s="1"/>
  <c r="L163" i="2"/>
  <c r="ID9" i="2" s="1" a="1"/>
  <c r="ID9" i="2" s="1"/>
  <c r="K163" i="2"/>
  <c r="ID8" i="2" s="1" a="1"/>
  <c r="ID8" i="2" s="1"/>
  <c r="J163" i="2"/>
  <c r="ID7" i="2" s="1" a="1"/>
  <c r="ID7" i="2" s="1"/>
  <c r="I163" i="2"/>
  <c r="ID6" i="2" s="1" a="1"/>
  <c r="ID6" i="2" s="1"/>
  <c r="H163" i="2"/>
  <c r="G163" i="2"/>
  <c r="ID4" i="2" s="1" a="1"/>
  <c r="ID4" i="2" s="1"/>
  <c r="F163" i="2"/>
  <c r="ID3" i="2" s="1" a="1"/>
  <c r="ID3" i="2" s="1"/>
  <c r="E163" i="2"/>
  <c r="ID2" i="2" s="1" a="1"/>
  <c r="ID2" i="2" s="1"/>
  <c r="S162" i="2" a="1"/>
  <c r="S162" i="2" s="1"/>
  <c r="IC16" i="2" s="1" a="1"/>
  <c r="IC16" i="2" s="1"/>
  <c r="R162" i="2" a="1"/>
  <c r="R162" i="2" s="1"/>
  <c r="IC15" i="2" s="1" a="1"/>
  <c r="IC15" i="2" s="1"/>
  <c r="P162" i="2"/>
  <c r="IC13" i="2" s="1" a="1"/>
  <c r="IC13" i="2" s="1"/>
  <c r="O162" i="2"/>
  <c r="IC12" i="2" s="1" a="1"/>
  <c r="IC12" i="2" s="1"/>
  <c r="N162" i="2"/>
  <c r="IC11" i="2" s="1" a="1"/>
  <c r="IC11" i="2" s="1"/>
  <c r="M162" i="2"/>
  <c r="IC10" i="2" s="1" a="1"/>
  <c r="IC10" i="2" s="1"/>
  <c r="L162" i="2"/>
  <c r="IC9" i="2" s="1" a="1"/>
  <c r="IC9" i="2" s="1"/>
  <c r="K162" i="2"/>
  <c r="IC8" i="2" s="1" a="1"/>
  <c r="IC8" i="2" s="1"/>
  <c r="J162" i="2"/>
  <c r="IC7" i="2" s="1" a="1"/>
  <c r="IC7" i="2" s="1"/>
  <c r="I162" i="2"/>
  <c r="IC6" i="2" s="1" a="1"/>
  <c r="IC6" i="2" s="1"/>
  <c r="H162" i="2"/>
  <c r="G162" i="2"/>
  <c r="IC4" i="2" s="1" a="1"/>
  <c r="IC4" i="2" s="1"/>
  <c r="F162" i="2"/>
  <c r="IC3" i="2" s="1" a="1"/>
  <c r="IC3" i="2" s="1"/>
  <c r="E162" i="2"/>
  <c r="IC2" i="2" s="1" a="1"/>
  <c r="IC2" i="2" s="1"/>
  <c r="S161" i="2" a="1"/>
  <c r="S161" i="2" s="1"/>
  <c r="IB16" i="2" s="1" a="1"/>
  <c r="IB16" i="2" s="1"/>
  <c r="R161" i="2" a="1"/>
  <c r="R161" i="2" s="1"/>
  <c r="IB15" i="2" s="1" a="1"/>
  <c r="IB15" i="2" s="1"/>
  <c r="P161" i="2"/>
  <c r="IB13" i="2" s="1" a="1"/>
  <c r="IB13" i="2" s="1"/>
  <c r="O161" i="2"/>
  <c r="IB12" i="2" s="1" a="1"/>
  <c r="IB12" i="2" s="1"/>
  <c r="N161" i="2"/>
  <c r="IB11" i="2" s="1" a="1"/>
  <c r="IB11" i="2" s="1"/>
  <c r="M161" i="2"/>
  <c r="IB10" i="2" s="1" a="1"/>
  <c r="IB10" i="2" s="1"/>
  <c r="L161" i="2"/>
  <c r="IB9" i="2" s="1" a="1"/>
  <c r="IB9" i="2" s="1"/>
  <c r="K161" i="2"/>
  <c r="IB8" i="2" s="1" a="1"/>
  <c r="IB8" i="2" s="1"/>
  <c r="J161" i="2"/>
  <c r="IB7" i="2" s="1" a="1"/>
  <c r="IB7" i="2" s="1"/>
  <c r="I161" i="2"/>
  <c r="IB6" i="2" s="1" a="1"/>
  <c r="IB6" i="2" s="1"/>
  <c r="H161" i="2"/>
  <c r="G161" i="2"/>
  <c r="IB4" i="2" s="1" a="1"/>
  <c r="IB4" i="2" s="1"/>
  <c r="F161" i="2"/>
  <c r="IB3" i="2" s="1" a="1"/>
  <c r="IB3" i="2" s="1"/>
  <c r="E161" i="2"/>
  <c r="IB2" i="2" s="1" a="1"/>
  <c r="IB2" i="2" s="1"/>
  <c r="S160" i="2" a="1"/>
  <c r="S160" i="2" s="1"/>
  <c r="IA16" i="2" s="1" a="1"/>
  <c r="IA16" i="2" s="1"/>
  <c r="R160" i="2" a="1"/>
  <c r="R160" i="2" s="1"/>
  <c r="IA15" i="2" s="1" a="1"/>
  <c r="IA15" i="2" s="1"/>
  <c r="P160" i="2"/>
  <c r="IA13" i="2" s="1" a="1"/>
  <c r="IA13" i="2" s="1"/>
  <c r="O160" i="2"/>
  <c r="IA12" i="2" s="1" a="1"/>
  <c r="IA12" i="2" s="1"/>
  <c r="N160" i="2"/>
  <c r="IA11" i="2" s="1" a="1"/>
  <c r="IA11" i="2" s="1"/>
  <c r="M160" i="2"/>
  <c r="IA10" i="2" s="1" a="1"/>
  <c r="IA10" i="2" s="1"/>
  <c r="L160" i="2"/>
  <c r="IA9" i="2" s="1" a="1"/>
  <c r="IA9" i="2" s="1"/>
  <c r="K160" i="2"/>
  <c r="IA8" i="2" s="1" a="1"/>
  <c r="IA8" i="2" s="1"/>
  <c r="J160" i="2"/>
  <c r="IA7" i="2" s="1" a="1"/>
  <c r="IA7" i="2" s="1"/>
  <c r="I160" i="2"/>
  <c r="IA6" i="2" s="1" a="1"/>
  <c r="IA6" i="2" s="1"/>
  <c r="H160" i="2"/>
  <c r="G160" i="2"/>
  <c r="IA4" i="2" s="1" a="1"/>
  <c r="IA4" i="2" s="1"/>
  <c r="F160" i="2"/>
  <c r="IA3" i="2" s="1" a="1"/>
  <c r="IA3" i="2" s="1"/>
  <c r="E160" i="2"/>
  <c r="IA2" i="2" s="1" a="1"/>
  <c r="IA2" i="2" s="1"/>
  <c r="S159" i="2" a="1"/>
  <c r="S159" i="2" s="1"/>
  <c r="HZ16" i="2" s="1" a="1"/>
  <c r="HZ16" i="2" s="1"/>
  <c r="R159" i="2" a="1"/>
  <c r="R159" i="2" s="1"/>
  <c r="HZ15" i="2" s="1" a="1"/>
  <c r="HZ15" i="2" s="1"/>
  <c r="P159" i="2"/>
  <c r="HZ13" i="2" s="1" a="1"/>
  <c r="HZ13" i="2" s="1"/>
  <c r="O159" i="2"/>
  <c r="HZ12" i="2" s="1" a="1"/>
  <c r="HZ12" i="2" s="1"/>
  <c r="N159" i="2"/>
  <c r="HZ11" i="2" s="1" a="1"/>
  <c r="HZ11" i="2" s="1"/>
  <c r="M159" i="2"/>
  <c r="HZ10" i="2" s="1" a="1"/>
  <c r="HZ10" i="2" s="1"/>
  <c r="L159" i="2"/>
  <c r="HZ9" i="2" s="1" a="1"/>
  <c r="HZ9" i="2" s="1"/>
  <c r="K159" i="2"/>
  <c r="HZ8" i="2" s="1" a="1"/>
  <c r="HZ8" i="2" s="1"/>
  <c r="J159" i="2"/>
  <c r="HZ7" i="2" s="1" a="1"/>
  <c r="HZ7" i="2" s="1"/>
  <c r="I159" i="2"/>
  <c r="HZ6" i="2" s="1" a="1"/>
  <c r="HZ6" i="2" s="1"/>
  <c r="H159" i="2"/>
  <c r="G159" i="2"/>
  <c r="HZ4" i="2" s="1" a="1"/>
  <c r="HZ4" i="2" s="1"/>
  <c r="F159" i="2"/>
  <c r="HZ3" i="2" s="1" a="1"/>
  <c r="HZ3" i="2" s="1"/>
  <c r="E159" i="2"/>
  <c r="HZ2" i="2" s="1" a="1"/>
  <c r="HZ2" i="2" s="1"/>
  <c r="S158" i="2" a="1"/>
  <c r="S158" i="2" s="1"/>
  <c r="HY16" i="2" s="1" a="1"/>
  <c r="HY16" i="2" s="1"/>
  <c r="R158" i="2" a="1"/>
  <c r="R158" i="2" s="1"/>
  <c r="HY15" i="2" s="1" a="1"/>
  <c r="HY15" i="2" s="1"/>
  <c r="P158" i="2"/>
  <c r="HY13" i="2" s="1" a="1"/>
  <c r="HY13" i="2" s="1"/>
  <c r="O158" i="2"/>
  <c r="HY12" i="2" s="1" a="1"/>
  <c r="HY12" i="2" s="1"/>
  <c r="N158" i="2"/>
  <c r="HY11" i="2" s="1" a="1"/>
  <c r="HY11" i="2" s="1"/>
  <c r="M158" i="2"/>
  <c r="HY10" i="2" s="1" a="1"/>
  <c r="HY10" i="2" s="1"/>
  <c r="L158" i="2"/>
  <c r="HY9" i="2" s="1" a="1"/>
  <c r="HY9" i="2" s="1"/>
  <c r="K158" i="2"/>
  <c r="HY8" i="2" s="1" a="1"/>
  <c r="HY8" i="2" s="1"/>
  <c r="J158" i="2"/>
  <c r="HY7" i="2" s="1" a="1"/>
  <c r="HY7" i="2" s="1"/>
  <c r="I158" i="2"/>
  <c r="HY6" i="2" s="1" a="1"/>
  <c r="HY6" i="2" s="1"/>
  <c r="H158" i="2"/>
  <c r="G158" i="2"/>
  <c r="HY4" i="2" s="1" a="1"/>
  <c r="HY4" i="2" s="1"/>
  <c r="F158" i="2"/>
  <c r="HY3" i="2" s="1" a="1"/>
  <c r="HY3" i="2" s="1"/>
  <c r="E158" i="2"/>
  <c r="HY2" i="2" s="1" a="1"/>
  <c r="HY2" i="2" s="1"/>
  <c r="S157" i="2" a="1"/>
  <c r="S157" i="2" s="1"/>
  <c r="HX16" i="2" s="1" a="1"/>
  <c r="HX16" i="2" s="1"/>
  <c r="R157" i="2" a="1"/>
  <c r="R157" i="2" s="1"/>
  <c r="HX15" i="2" s="1" a="1"/>
  <c r="HX15" i="2" s="1"/>
  <c r="P157" i="2"/>
  <c r="HX13" i="2" s="1" a="1"/>
  <c r="HX13" i="2" s="1"/>
  <c r="O157" i="2"/>
  <c r="HX12" i="2" s="1" a="1"/>
  <c r="HX12" i="2" s="1"/>
  <c r="N157" i="2"/>
  <c r="HX11" i="2" s="1" a="1"/>
  <c r="HX11" i="2" s="1"/>
  <c r="M157" i="2"/>
  <c r="HX10" i="2" s="1" a="1"/>
  <c r="HX10" i="2" s="1"/>
  <c r="L157" i="2"/>
  <c r="HX9" i="2" s="1" a="1"/>
  <c r="HX9" i="2" s="1"/>
  <c r="K157" i="2"/>
  <c r="HX8" i="2" s="1" a="1"/>
  <c r="HX8" i="2" s="1"/>
  <c r="J157" i="2"/>
  <c r="HX7" i="2" s="1" a="1"/>
  <c r="HX7" i="2" s="1"/>
  <c r="I157" i="2"/>
  <c r="HX6" i="2" s="1" a="1"/>
  <c r="HX6" i="2" s="1"/>
  <c r="H157" i="2"/>
  <c r="G157" i="2"/>
  <c r="HX4" i="2" s="1" a="1"/>
  <c r="HX4" i="2" s="1"/>
  <c r="F157" i="2"/>
  <c r="HX3" i="2" s="1" a="1"/>
  <c r="HX3" i="2" s="1"/>
  <c r="E157" i="2"/>
  <c r="HX2" i="2" s="1" a="1"/>
  <c r="HX2" i="2" s="1"/>
  <c r="S156" i="2" a="1"/>
  <c r="S156" i="2" s="1"/>
  <c r="HW16" i="2" s="1" a="1"/>
  <c r="HW16" i="2" s="1"/>
  <c r="R156" i="2" a="1"/>
  <c r="R156" i="2" s="1"/>
  <c r="HW15" i="2" s="1" a="1"/>
  <c r="HW15" i="2" s="1"/>
  <c r="P156" i="2"/>
  <c r="HW13" i="2" s="1" a="1"/>
  <c r="HW13" i="2" s="1"/>
  <c r="O156" i="2"/>
  <c r="HW12" i="2" s="1" a="1"/>
  <c r="HW12" i="2" s="1"/>
  <c r="N156" i="2"/>
  <c r="HW11" i="2" s="1" a="1"/>
  <c r="HW11" i="2" s="1"/>
  <c r="M156" i="2"/>
  <c r="HW10" i="2" s="1" a="1"/>
  <c r="HW10" i="2" s="1"/>
  <c r="L156" i="2"/>
  <c r="HW9" i="2" s="1" a="1"/>
  <c r="HW9" i="2" s="1"/>
  <c r="K156" i="2"/>
  <c r="HW8" i="2" s="1" a="1"/>
  <c r="HW8" i="2" s="1"/>
  <c r="J156" i="2"/>
  <c r="HW7" i="2" s="1" a="1"/>
  <c r="HW7" i="2" s="1"/>
  <c r="I156" i="2"/>
  <c r="HW6" i="2" s="1" a="1"/>
  <c r="HW6" i="2" s="1"/>
  <c r="H156" i="2"/>
  <c r="G156" i="2"/>
  <c r="HW4" i="2" s="1" a="1"/>
  <c r="HW4" i="2" s="1"/>
  <c r="F156" i="2"/>
  <c r="HW3" i="2" s="1" a="1"/>
  <c r="HW3" i="2" s="1"/>
  <c r="E156" i="2"/>
  <c r="HW2" i="2" s="1" a="1"/>
  <c r="HW2" i="2" s="1"/>
  <c r="S155" i="2" a="1"/>
  <c r="S155" i="2" s="1"/>
  <c r="HV16" i="2" s="1" a="1"/>
  <c r="HV16" i="2" s="1"/>
  <c r="R155" i="2" a="1"/>
  <c r="R155" i="2" s="1"/>
  <c r="HV15" i="2" s="1" a="1"/>
  <c r="HV15" i="2" s="1"/>
  <c r="P155" i="2"/>
  <c r="HV13" i="2" s="1" a="1"/>
  <c r="HV13" i="2" s="1"/>
  <c r="O155" i="2"/>
  <c r="HV12" i="2" s="1" a="1"/>
  <c r="HV12" i="2" s="1"/>
  <c r="N155" i="2"/>
  <c r="HV11" i="2" s="1" a="1"/>
  <c r="HV11" i="2" s="1"/>
  <c r="M155" i="2"/>
  <c r="HV10" i="2" s="1" a="1"/>
  <c r="HV10" i="2" s="1"/>
  <c r="L155" i="2"/>
  <c r="HV9" i="2" s="1" a="1"/>
  <c r="HV9" i="2" s="1"/>
  <c r="K155" i="2"/>
  <c r="HV8" i="2" s="1" a="1"/>
  <c r="HV8" i="2" s="1"/>
  <c r="J155" i="2"/>
  <c r="HV7" i="2" s="1" a="1"/>
  <c r="HV7" i="2" s="1"/>
  <c r="I155" i="2"/>
  <c r="HV6" i="2" s="1" a="1"/>
  <c r="HV6" i="2" s="1"/>
  <c r="H155" i="2"/>
  <c r="G155" i="2"/>
  <c r="HV4" i="2" s="1" a="1"/>
  <c r="HV4" i="2" s="1"/>
  <c r="F155" i="2"/>
  <c r="HV3" i="2" s="1" a="1"/>
  <c r="HV3" i="2" s="1"/>
  <c r="E155" i="2"/>
  <c r="HV2" i="2" s="1" a="1"/>
  <c r="HV2" i="2" s="1"/>
  <c r="S154" i="2" a="1"/>
  <c r="S154" i="2" s="1"/>
  <c r="HU16" i="2" s="1" a="1"/>
  <c r="HU16" i="2" s="1"/>
  <c r="R154" i="2" a="1"/>
  <c r="R154" i="2" s="1"/>
  <c r="HU15" i="2" s="1" a="1"/>
  <c r="HU15" i="2" s="1"/>
  <c r="P154" i="2"/>
  <c r="HU13" i="2" s="1" a="1"/>
  <c r="HU13" i="2" s="1"/>
  <c r="O154" i="2"/>
  <c r="HU12" i="2" s="1" a="1"/>
  <c r="HU12" i="2" s="1"/>
  <c r="N154" i="2"/>
  <c r="HU11" i="2" s="1" a="1"/>
  <c r="HU11" i="2" s="1"/>
  <c r="M154" i="2"/>
  <c r="HU10" i="2" s="1" a="1"/>
  <c r="HU10" i="2" s="1"/>
  <c r="L154" i="2"/>
  <c r="HU9" i="2" s="1" a="1"/>
  <c r="HU9" i="2" s="1"/>
  <c r="K154" i="2"/>
  <c r="HU8" i="2" s="1" a="1"/>
  <c r="HU8" i="2" s="1"/>
  <c r="J154" i="2"/>
  <c r="HU7" i="2" s="1" a="1"/>
  <c r="HU7" i="2" s="1"/>
  <c r="I154" i="2"/>
  <c r="HU6" i="2" s="1" a="1"/>
  <c r="HU6" i="2" s="1"/>
  <c r="H154" i="2"/>
  <c r="G154" i="2"/>
  <c r="HU4" i="2" s="1" a="1"/>
  <c r="HU4" i="2" s="1"/>
  <c r="F154" i="2"/>
  <c r="HU3" i="2" s="1" a="1"/>
  <c r="HU3" i="2" s="1"/>
  <c r="E154" i="2"/>
  <c r="HU2" i="2" s="1" a="1"/>
  <c r="HU2" i="2" s="1"/>
  <c r="S153" i="2" a="1"/>
  <c r="S153" i="2" s="1"/>
  <c r="HT16" i="2" s="1" a="1"/>
  <c r="HT16" i="2" s="1"/>
  <c r="R153" i="2" a="1"/>
  <c r="R153" i="2" s="1"/>
  <c r="HT15" i="2" s="1" a="1"/>
  <c r="HT15" i="2" s="1"/>
  <c r="P153" i="2"/>
  <c r="HT13" i="2" s="1" a="1"/>
  <c r="HT13" i="2" s="1"/>
  <c r="O153" i="2"/>
  <c r="HT12" i="2" s="1" a="1"/>
  <c r="HT12" i="2" s="1"/>
  <c r="N153" i="2"/>
  <c r="HT11" i="2" s="1" a="1"/>
  <c r="HT11" i="2" s="1"/>
  <c r="M153" i="2"/>
  <c r="HT10" i="2" s="1" a="1"/>
  <c r="HT10" i="2" s="1"/>
  <c r="L153" i="2"/>
  <c r="HT9" i="2" s="1" a="1"/>
  <c r="HT9" i="2" s="1"/>
  <c r="K153" i="2"/>
  <c r="HT8" i="2" s="1" a="1"/>
  <c r="HT8" i="2" s="1"/>
  <c r="J153" i="2"/>
  <c r="HT7" i="2" s="1" a="1"/>
  <c r="HT7" i="2" s="1"/>
  <c r="I153" i="2"/>
  <c r="HT6" i="2" s="1" a="1"/>
  <c r="HT6" i="2" s="1"/>
  <c r="H153" i="2"/>
  <c r="G153" i="2"/>
  <c r="HT4" i="2" s="1" a="1"/>
  <c r="HT4" i="2" s="1"/>
  <c r="F153" i="2"/>
  <c r="HT3" i="2" s="1" a="1"/>
  <c r="HT3" i="2" s="1"/>
  <c r="E153" i="2"/>
  <c r="HT2" i="2" s="1" a="1"/>
  <c r="HT2" i="2" s="1"/>
  <c r="S152" i="2" a="1"/>
  <c r="S152" i="2" s="1"/>
  <c r="HS16" i="2" s="1" a="1"/>
  <c r="HS16" i="2" s="1"/>
  <c r="R152" i="2" a="1"/>
  <c r="R152" i="2" s="1"/>
  <c r="HS15" i="2" s="1" a="1"/>
  <c r="HS15" i="2" s="1"/>
  <c r="P152" i="2"/>
  <c r="HS13" i="2" s="1" a="1"/>
  <c r="HS13" i="2" s="1"/>
  <c r="O152" i="2"/>
  <c r="HS12" i="2" s="1" a="1"/>
  <c r="HS12" i="2" s="1"/>
  <c r="N152" i="2"/>
  <c r="HS11" i="2" s="1" a="1"/>
  <c r="HS11" i="2" s="1"/>
  <c r="M152" i="2"/>
  <c r="HS10" i="2" s="1" a="1"/>
  <c r="HS10" i="2" s="1"/>
  <c r="L152" i="2"/>
  <c r="HS9" i="2" s="1" a="1"/>
  <c r="HS9" i="2" s="1"/>
  <c r="K152" i="2"/>
  <c r="HS8" i="2" s="1" a="1"/>
  <c r="HS8" i="2" s="1"/>
  <c r="J152" i="2"/>
  <c r="HS7" i="2" s="1" a="1"/>
  <c r="HS7" i="2" s="1"/>
  <c r="I152" i="2"/>
  <c r="HS6" i="2" s="1" a="1"/>
  <c r="HS6" i="2" s="1"/>
  <c r="H152" i="2"/>
  <c r="G152" i="2"/>
  <c r="HS4" i="2" s="1" a="1"/>
  <c r="HS4" i="2" s="1"/>
  <c r="F152" i="2"/>
  <c r="HS3" i="2" s="1" a="1"/>
  <c r="HS3" i="2" s="1"/>
  <c r="E152" i="2"/>
  <c r="HS2" i="2" s="1" a="1"/>
  <c r="HS2" i="2" s="1"/>
  <c r="S151" i="2" a="1"/>
  <c r="S151" i="2" s="1"/>
  <c r="HR16" i="2" s="1" a="1"/>
  <c r="HR16" i="2" s="1"/>
  <c r="R151" i="2" a="1"/>
  <c r="R151" i="2" s="1"/>
  <c r="HR15" i="2" s="1" a="1"/>
  <c r="HR15" i="2" s="1"/>
  <c r="P151" i="2"/>
  <c r="HR13" i="2" s="1" a="1"/>
  <c r="HR13" i="2" s="1"/>
  <c r="O151" i="2"/>
  <c r="HR12" i="2" s="1" a="1"/>
  <c r="HR12" i="2" s="1"/>
  <c r="N151" i="2"/>
  <c r="HR11" i="2" s="1" a="1"/>
  <c r="HR11" i="2" s="1"/>
  <c r="M151" i="2"/>
  <c r="HR10" i="2" s="1" a="1"/>
  <c r="HR10" i="2" s="1"/>
  <c r="L151" i="2"/>
  <c r="HR9" i="2" s="1" a="1"/>
  <c r="HR9" i="2" s="1"/>
  <c r="K151" i="2"/>
  <c r="HR8" i="2" s="1" a="1"/>
  <c r="HR8" i="2" s="1"/>
  <c r="J151" i="2"/>
  <c r="HR7" i="2" s="1" a="1"/>
  <c r="HR7" i="2" s="1"/>
  <c r="I151" i="2"/>
  <c r="HR6" i="2" s="1" a="1"/>
  <c r="HR6" i="2" s="1"/>
  <c r="H151" i="2"/>
  <c r="G151" i="2"/>
  <c r="HR4" i="2" s="1" a="1"/>
  <c r="HR4" i="2" s="1"/>
  <c r="F151" i="2"/>
  <c r="HR3" i="2" s="1" a="1"/>
  <c r="HR3" i="2" s="1"/>
  <c r="E151" i="2"/>
  <c r="HR2" i="2" s="1" a="1"/>
  <c r="HR2" i="2" s="1"/>
  <c r="S150" i="2" a="1"/>
  <c r="S150" i="2" s="1"/>
  <c r="HQ16" i="2" s="1" a="1"/>
  <c r="HQ16" i="2" s="1"/>
  <c r="R150" i="2" a="1"/>
  <c r="R150" i="2" s="1"/>
  <c r="HQ15" i="2" s="1" a="1"/>
  <c r="HQ15" i="2" s="1"/>
  <c r="P150" i="2"/>
  <c r="HQ13" i="2" s="1" a="1"/>
  <c r="HQ13" i="2" s="1"/>
  <c r="O150" i="2"/>
  <c r="HQ12" i="2" s="1" a="1"/>
  <c r="HQ12" i="2" s="1"/>
  <c r="N150" i="2"/>
  <c r="HQ11" i="2" s="1" a="1"/>
  <c r="HQ11" i="2" s="1"/>
  <c r="M150" i="2"/>
  <c r="HQ10" i="2" s="1" a="1"/>
  <c r="HQ10" i="2" s="1"/>
  <c r="L150" i="2"/>
  <c r="HQ9" i="2" s="1" a="1"/>
  <c r="HQ9" i="2" s="1"/>
  <c r="K150" i="2"/>
  <c r="HQ8" i="2" s="1" a="1"/>
  <c r="HQ8" i="2" s="1"/>
  <c r="J150" i="2"/>
  <c r="HQ7" i="2" s="1" a="1"/>
  <c r="HQ7" i="2" s="1"/>
  <c r="I150" i="2"/>
  <c r="HQ6" i="2" s="1" a="1"/>
  <c r="HQ6" i="2" s="1"/>
  <c r="H150" i="2"/>
  <c r="G150" i="2"/>
  <c r="HQ4" i="2" s="1" a="1"/>
  <c r="HQ4" i="2" s="1"/>
  <c r="F150" i="2"/>
  <c r="HQ3" i="2" s="1" a="1"/>
  <c r="HQ3" i="2" s="1"/>
  <c r="E150" i="2"/>
  <c r="HQ2" i="2" s="1" a="1"/>
  <c r="HQ2" i="2" s="1"/>
  <c r="S149" i="2" a="1"/>
  <c r="S149" i="2" s="1"/>
  <c r="HP16" i="2" s="1" a="1"/>
  <c r="HP16" i="2" s="1"/>
  <c r="R149" i="2" a="1"/>
  <c r="R149" i="2" s="1"/>
  <c r="HP15" i="2" s="1" a="1"/>
  <c r="HP15" i="2" s="1"/>
  <c r="P149" i="2"/>
  <c r="HP13" i="2" s="1" a="1"/>
  <c r="HP13" i="2" s="1"/>
  <c r="O149" i="2"/>
  <c r="HP12" i="2" s="1" a="1"/>
  <c r="HP12" i="2" s="1"/>
  <c r="N149" i="2"/>
  <c r="HP11" i="2" s="1" a="1"/>
  <c r="HP11" i="2" s="1"/>
  <c r="M149" i="2"/>
  <c r="HP10" i="2" s="1" a="1"/>
  <c r="HP10" i="2" s="1"/>
  <c r="L149" i="2"/>
  <c r="HP9" i="2" s="1" a="1"/>
  <c r="HP9" i="2" s="1"/>
  <c r="K149" i="2"/>
  <c r="HP8" i="2" s="1" a="1"/>
  <c r="HP8" i="2" s="1"/>
  <c r="J149" i="2"/>
  <c r="HP7" i="2" s="1" a="1"/>
  <c r="HP7" i="2" s="1"/>
  <c r="I149" i="2"/>
  <c r="HP6" i="2" s="1" a="1"/>
  <c r="HP6" i="2" s="1"/>
  <c r="H149" i="2"/>
  <c r="G149" i="2"/>
  <c r="HP4" i="2" s="1" a="1"/>
  <c r="HP4" i="2" s="1"/>
  <c r="F149" i="2"/>
  <c r="HP3" i="2" s="1" a="1"/>
  <c r="HP3" i="2" s="1"/>
  <c r="E149" i="2"/>
  <c r="HP2" i="2" s="1" a="1"/>
  <c r="HP2" i="2" s="1"/>
  <c r="S148" i="2" a="1"/>
  <c r="S148" i="2" s="1"/>
  <c r="HO16" i="2" s="1" a="1"/>
  <c r="HO16" i="2" s="1"/>
  <c r="R148" i="2" a="1"/>
  <c r="R148" i="2" s="1"/>
  <c r="HO15" i="2" s="1" a="1"/>
  <c r="HO15" i="2" s="1"/>
  <c r="P148" i="2"/>
  <c r="HO13" i="2" s="1" a="1"/>
  <c r="HO13" i="2" s="1"/>
  <c r="O148" i="2"/>
  <c r="HO12" i="2" s="1" a="1"/>
  <c r="HO12" i="2" s="1"/>
  <c r="N148" i="2"/>
  <c r="HO11" i="2" s="1" a="1"/>
  <c r="HO11" i="2" s="1"/>
  <c r="M148" i="2"/>
  <c r="HO10" i="2" s="1" a="1"/>
  <c r="HO10" i="2" s="1"/>
  <c r="L148" i="2"/>
  <c r="HO9" i="2" s="1" a="1"/>
  <c r="HO9" i="2" s="1"/>
  <c r="K148" i="2"/>
  <c r="HO8" i="2" s="1" a="1"/>
  <c r="HO8" i="2" s="1"/>
  <c r="J148" i="2"/>
  <c r="HO7" i="2" s="1" a="1"/>
  <c r="HO7" i="2" s="1"/>
  <c r="I148" i="2"/>
  <c r="HO6" i="2" s="1" a="1"/>
  <c r="HO6" i="2" s="1"/>
  <c r="H148" i="2"/>
  <c r="G148" i="2"/>
  <c r="HO4" i="2" s="1" a="1"/>
  <c r="HO4" i="2" s="1"/>
  <c r="F148" i="2"/>
  <c r="HO3" i="2" s="1" a="1"/>
  <c r="HO3" i="2" s="1"/>
  <c r="E148" i="2"/>
  <c r="HO2" i="2" s="1" a="1"/>
  <c r="HO2" i="2" s="1"/>
  <c r="S147" i="2" a="1"/>
  <c r="S147" i="2" s="1"/>
  <c r="HN16" i="2" s="1" a="1"/>
  <c r="HN16" i="2" s="1"/>
  <c r="R147" i="2" a="1"/>
  <c r="R147" i="2" s="1"/>
  <c r="HN15" i="2" s="1" a="1"/>
  <c r="HN15" i="2" s="1"/>
  <c r="P147" i="2"/>
  <c r="HN13" i="2" s="1" a="1"/>
  <c r="HN13" i="2" s="1"/>
  <c r="O147" i="2"/>
  <c r="HN12" i="2" s="1" a="1"/>
  <c r="HN12" i="2" s="1"/>
  <c r="N147" i="2"/>
  <c r="HN11" i="2" s="1" a="1"/>
  <c r="HN11" i="2" s="1"/>
  <c r="M147" i="2"/>
  <c r="HN10" i="2" s="1" a="1"/>
  <c r="HN10" i="2" s="1"/>
  <c r="L147" i="2"/>
  <c r="HN9" i="2" s="1" a="1"/>
  <c r="HN9" i="2" s="1"/>
  <c r="K147" i="2"/>
  <c r="HN8" i="2" s="1" a="1"/>
  <c r="HN8" i="2" s="1"/>
  <c r="J147" i="2"/>
  <c r="HN7" i="2" s="1" a="1"/>
  <c r="HN7" i="2" s="1"/>
  <c r="I147" i="2"/>
  <c r="HN6" i="2" s="1" a="1"/>
  <c r="HN6" i="2" s="1"/>
  <c r="H147" i="2"/>
  <c r="G147" i="2"/>
  <c r="HN4" i="2" s="1" a="1"/>
  <c r="HN4" i="2" s="1"/>
  <c r="F147" i="2"/>
  <c r="HN3" i="2" s="1" a="1"/>
  <c r="HN3" i="2" s="1"/>
  <c r="E147" i="2"/>
  <c r="HN2" i="2" s="1" a="1"/>
  <c r="HN2" i="2" s="1"/>
  <c r="S146" i="2" a="1"/>
  <c r="S146" i="2" s="1"/>
  <c r="HM16" i="2" s="1" a="1"/>
  <c r="HM16" i="2" s="1"/>
  <c r="R146" i="2" a="1"/>
  <c r="R146" i="2" s="1"/>
  <c r="HM15" i="2" s="1" a="1"/>
  <c r="HM15" i="2" s="1"/>
  <c r="P146" i="2"/>
  <c r="HM13" i="2" s="1" a="1"/>
  <c r="HM13" i="2" s="1"/>
  <c r="O146" i="2"/>
  <c r="HM12" i="2" s="1" a="1"/>
  <c r="HM12" i="2" s="1"/>
  <c r="N146" i="2"/>
  <c r="HM11" i="2" s="1" a="1"/>
  <c r="HM11" i="2" s="1"/>
  <c r="M146" i="2"/>
  <c r="HM10" i="2" s="1" a="1"/>
  <c r="HM10" i="2" s="1"/>
  <c r="L146" i="2"/>
  <c r="HM9" i="2" s="1" a="1"/>
  <c r="HM9" i="2" s="1"/>
  <c r="K146" i="2"/>
  <c r="HM8" i="2" s="1" a="1"/>
  <c r="HM8" i="2" s="1"/>
  <c r="J146" i="2"/>
  <c r="HM7" i="2" s="1" a="1"/>
  <c r="HM7" i="2" s="1"/>
  <c r="I146" i="2"/>
  <c r="HM6" i="2" s="1" a="1"/>
  <c r="HM6" i="2" s="1"/>
  <c r="H146" i="2"/>
  <c r="G146" i="2"/>
  <c r="HM4" i="2" s="1" a="1"/>
  <c r="HM4" i="2" s="1"/>
  <c r="F146" i="2"/>
  <c r="HM3" i="2" s="1" a="1"/>
  <c r="HM3" i="2" s="1"/>
  <c r="E146" i="2"/>
  <c r="HM2" i="2" s="1" a="1"/>
  <c r="HM2" i="2" s="1"/>
  <c r="S145" i="2" a="1"/>
  <c r="S145" i="2" s="1"/>
  <c r="HL16" i="2" s="1" a="1"/>
  <c r="HL16" i="2" s="1"/>
  <c r="R145" i="2" a="1"/>
  <c r="R145" i="2" s="1"/>
  <c r="HL15" i="2" s="1" a="1"/>
  <c r="HL15" i="2" s="1"/>
  <c r="P145" i="2"/>
  <c r="HL13" i="2" s="1" a="1"/>
  <c r="HL13" i="2" s="1"/>
  <c r="O145" i="2"/>
  <c r="HL12" i="2" s="1" a="1"/>
  <c r="HL12" i="2" s="1"/>
  <c r="N145" i="2"/>
  <c r="HL11" i="2" s="1" a="1"/>
  <c r="HL11" i="2" s="1"/>
  <c r="M145" i="2"/>
  <c r="HL10" i="2" s="1" a="1"/>
  <c r="HL10" i="2" s="1"/>
  <c r="L145" i="2"/>
  <c r="HL9" i="2" s="1" a="1"/>
  <c r="HL9" i="2" s="1"/>
  <c r="K145" i="2"/>
  <c r="HL8" i="2" s="1" a="1"/>
  <c r="HL8" i="2" s="1"/>
  <c r="J145" i="2"/>
  <c r="HL7" i="2" s="1" a="1"/>
  <c r="HL7" i="2" s="1"/>
  <c r="I145" i="2"/>
  <c r="HL6" i="2" s="1" a="1"/>
  <c r="HL6" i="2" s="1"/>
  <c r="H145" i="2"/>
  <c r="G145" i="2"/>
  <c r="HL4" i="2" s="1" a="1"/>
  <c r="HL4" i="2" s="1"/>
  <c r="F145" i="2"/>
  <c r="HL3" i="2" s="1" a="1"/>
  <c r="HL3" i="2" s="1"/>
  <c r="E145" i="2"/>
  <c r="HL2" i="2" s="1" a="1"/>
  <c r="HL2" i="2" s="1"/>
  <c r="S144" i="2" a="1"/>
  <c r="S144" i="2" s="1"/>
  <c r="HK16" i="2" s="1" a="1"/>
  <c r="HK16" i="2" s="1"/>
  <c r="R144" i="2" a="1"/>
  <c r="R144" i="2" s="1"/>
  <c r="HK15" i="2" s="1" a="1"/>
  <c r="HK15" i="2" s="1"/>
  <c r="P144" i="2"/>
  <c r="HK13" i="2" s="1" a="1"/>
  <c r="HK13" i="2" s="1"/>
  <c r="O144" i="2"/>
  <c r="HK12" i="2" s="1" a="1"/>
  <c r="HK12" i="2" s="1"/>
  <c r="N144" i="2"/>
  <c r="HK11" i="2" s="1" a="1"/>
  <c r="HK11" i="2" s="1"/>
  <c r="M144" i="2"/>
  <c r="HK10" i="2" s="1" a="1"/>
  <c r="HK10" i="2" s="1"/>
  <c r="L144" i="2"/>
  <c r="HK9" i="2" s="1" a="1"/>
  <c r="HK9" i="2" s="1"/>
  <c r="K144" i="2"/>
  <c r="HK8" i="2" s="1" a="1"/>
  <c r="HK8" i="2" s="1"/>
  <c r="J144" i="2"/>
  <c r="HK7" i="2" s="1" a="1"/>
  <c r="HK7" i="2" s="1"/>
  <c r="I144" i="2"/>
  <c r="HK6" i="2" s="1" a="1"/>
  <c r="HK6" i="2" s="1"/>
  <c r="H144" i="2"/>
  <c r="G144" i="2"/>
  <c r="HK4" i="2" s="1" a="1"/>
  <c r="HK4" i="2" s="1"/>
  <c r="F144" i="2"/>
  <c r="HK3" i="2" s="1" a="1"/>
  <c r="HK3" i="2" s="1"/>
  <c r="E144" i="2"/>
  <c r="HK2" i="2" s="1" a="1"/>
  <c r="HK2" i="2" s="1"/>
  <c r="S143" i="2" a="1"/>
  <c r="S143" i="2" s="1"/>
  <c r="HJ16" i="2" s="1" a="1"/>
  <c r="HJ16" i="2" s="1"/>
  <c r="R143" i="2" a="1"/>
  <c r="R143" i="2" s="1"/>
  <c r="HJ15" i="2" s="1" a="1"/>
  <c r="HJ15" i="2" s="1"/>
  <c r="P143" i="2"/>
  <c r="HJ13" i="2" s="1" a="1"/>
  <c r="HJ13" i="2" s="1"/>
  <c r="O143" i="2"/>
  <c r="HJ12" i="2" s="1" a="1"/>
  <c r="HJ12" i="2" s="1"/>
  <c r="N143" i="2"/>
  <c r="HJ11" i="2" s="1" a="1"/>
  <c r="HJ11" i="2" s="1"/>
  <c r="M143" i="2"/>
  <c r="HJ10" i="2" s="1" a="1"/>
  <c r="HJ10" i="2" s="1"/>
  <c r="L143" i="2"/>
  <c r="HJ9" i="2" s="1" a="1"/>
  <c r="HJ9" i="2" s="1"/>
  <c r="K143" i="2"/>
  <c r="HJ8" i="2" s="1" a="1"/>
  <c r="HJ8" i="2" s="1"/>
  <c r="J143" i="2"/>
  <c r="HJ7" i="2" s="1" a="1"/>
  <c r="HJ7" i="2" s="1"/>
  <c r="I143" i="2"/>
  <c r="HJ6" i="2" s="1" a="1"/>
  <c r="HJ6" i="2" s="1"/>
  <c r="H143" i="2"/>
  <c r="G143" i="2"/>
  <c r="HJ4" i="2" s="1" a="1"/>
  <c r="HJ4" i="2" s="1"/>
  <c r="F143" i="2"/>
  <c r="HJ3" i="2" s="1" a="1"/>
  <c r="HJ3" i="2" s="1"/>
  <c r="E143" i="2"/>
  <c r="HJ2" i="2" s="1" a="1"/>
  <c r="HJ2" i="2" s="1"/>
  <c r="S142" i="2" a="1"/>
  <c r="S142" i="2" s="1"/>
  <c r="HI16" i="2" s="1" a="1"/>
  <c r="HI16" i="2" s="1"/>
  <c r="R142" i="2" a="1"/>
  <c r="R142" i="2" s="1"/>
  <c r="HI15" i="2" s="1" a="1"/>
  <c r="HI15" i="2" s="1"/>
  <c r="P142" i="2"/>
  <c r="HI13" i="2" s="1" a="1"/>
  <c r="HI13" i="2" s="1"/>
  <c r="O142" i="2"/>
  <c r="HI12" i="2" s="1" a="1"/>
  <c r="HI12" i="2" s="1"/>
  <c r="N142" i="2"/>
  <c r="HI11" i="2" s="1" a="1"/>
  <c r="HI11" i="2" s="1"/>
  <c r="M142" i="2"/>
  <c r="HI10" i="2" s="1" a="1"/>
  <c r="HI10" i="2" s="1"/>
  <c r="L142" i="2"/>
  <c r="HI9" i="2" s="1" a="1"/>
  <c r="HI9" i="2" s="1"/>
  <c r="K142" i="2"/>
  <c r="HI8" i="2" s="1" a="1"/>
  <c r="HI8" i="2" s="1"/>
  <c r="J142" i="2"/>
  <c r="HI7" i="2" s="1" a="1"/>
  <c r="HI7" i="2" s="1"/>
  <c r="I142" i="2"/>
  <c r="HI6" i="2" s="1" a="1"/>
  <c r="HI6" i="2" s="1"/>
  <c r="H142" i="2"/>
  <c r="G142" i="2"/>
  <c r="HI4" i="2" s="1" a="1"/>
  <c r="HI4" i="2" s="1"/>
  <c r="F142" i="2"/>
  <c r="HI3" i="2" s="1" a="1"/>
  <c r="HI3" i="2" s="1"/>
  <c r="E142" i="2"/>
  <c r="HI2" i="2" s="1" a="1"/>
  <c r="HI2" i="2" s="1"/>
  <c r="S141" i="2" a="1"/>
  <c r="S141" i="2" s="1"/>
  <c r="HH16" i="2" s="1" a="1"/>
  <c r="HH16" i="2" s="1"/>
  <c r="R141" i="2" a="1"/>
  <c r="R141" i="2" s="1"/>
  <c r="HH15" i="2" s="1" a="1"/>
  <c r="HH15" i="2" s="1"/>
  <c r="P141" i="2"/>
  <c r="HH13" i="2" s="1" a="1"/>
  <c r="HH13" i="2" s="1"/>
  <c r="O141" i="2"/>
  <c r="HH12" i="2" s="1" a="1"/>
  <c r="HH12" i="2" s="1"/>
  <c r="N141" i="2"/>
  <c r="HH11" i="2" s="1" a="1"/>
  <c r="HH11" i="2" s="1"/>
  <c r="M141" i="2"/>
  <c r="HH10" i="2" s="1" a="1"/>
  <c r="HH10" i="2" s="1"/>
  <c r="L141" i="2"/>
  <c r="HH9" i="2" s="1" a="1"/>
  <c r="HH9" i="2" s="1"/>
  <c r="K141" i="2"/>
  <c r="HH8" i="2" s="1" a="1"/>
  <c r="HH8" i="2" s="1"/>
  <c r="J141" i="2"/>
  <c r="HH7" i="2" s="1" a="1"/>
  <c r="HH7" i="2" s="1"/>
  <c r="I141" i="2"/>
  <c r="HH6" i="2" s="1" a="1"/>
  <c r="HH6" i="2" s="1"/>
  <c r="H141" i="2"/>
  <c r="G141" i="2"/>
  <c r="HH4" i="2" s="1" a="1"/>
  <c r="HH4" i="2" s="1"/>
  <c r="F141" i="2"/>
  <c r="HH3" i="2" s="1" a="1"/>
  <c r="HH3" i="2" s="1"/>
  <c r="E141" i="2"/>
  <c r="HH2" i="2" s="1" a="1"/>
  <c r="HH2" i="2" s="1"/>
  <c r="S140" i="2" a="1"/>
  <c r="S140" i="2" s="1"/>
  <c r="HG16" i="2" s="1" a="1"/>
  <c r="HG16" i="2" s="1"/>
  <c r="R140" i="2" a="1"/>
  <c r="R140" i="2" s="1"/>
  <c r="HG15" i="2" s="1" a="1"/>
  <c r="HG15" i="2" s="1"/>
  <c r="P140" i="2"/>
  <c r="HG13" i="2" s="1" a="1"/>
  <c r="HG13" i="2" s="1"/>
  <c r="O140" i="2"/>
  <c r="HG12" i="2" s="1" a="1"/>
  <c r="HG12" i="2" s="1"/>
  <c r="N140" i="2"/>
  <c r="HG11" i="2" s="1" a="1"/>
  <c r="HG11" i="2" s="1"/>
  <c r="M140" i="2"/>
  <c r="HG10" i="2" s="1" a="1"/>
  <c r="HG10" i="2" s="1"/>
  <c r="L140" i="2"/>
  <c r="HG9" i="2" s="1" a="1"/>
  <c r="HG9" i="2" s="1"/>
  <c r="K140" i="2"/>
  <c r="HG8" i="2" s="1" a="1"/>
  <c r="HG8" i="2" s="1"/>
  <c r="J140" i="2"/>
  <c r="HG7" i="2" s="1" a="1"/>
  <c r="HG7" i="2" s="1"/>
  <c r="I140" i="2"/>
  <c r="HG6" i="2" s="1" a="1"/>
  <c r="HG6" i="2" s="1"/>
  <c r="H140" i="2"/>
  <c r="G140" i="2"/>
  <c r="HG4" i="2" s="1" a="1"/>
  <c r="HG4" i="2" s="1"/>
  <c r="F140" i="2"/>
  <c r="HG3" i="2" s="1" a="1"/>
  <c r="HG3" i="2" s="1"/>
  <c r="E140" i="2"/>
  <c r="HG2" i="2" s="1" a="1"/>
  <c r="HG2" i="2" s="1"/>
  <c r="S139" i="2" a="1"/>
  <c r="S139" i="2" s="1"/>
  <c r="HF16" i="2" s="1" a="1"/>
  <c r="HF16" i="2" s="1"/>
  <c r="R139" i="2" a="1"/>
  <c r="R139" i="2" s="1"/>
  <c r="HF15" i="2" s="1" a="1"/>
  <c r="HF15" i="2" s="1"/>
  <c r="P139" i="2"/>
  <c r="HF13" i="2" s="1" a="1"/>
  <c r="HF13" i="2" s="1"/>
  <c r="O139" i="2"/>
  <c r="HF12" i="2" s="1" a="1"/>
  <c r="HF12" i="2" s="1"/>
  <c r="N139" i="2"/>
  <c r="HF11" i="2" s="1" a="1"/>
  <c r="HF11" i="2" s="1"/>
  <c r="M139" i="2"/>
  <c r="HF10" i="2" s="1" a="1"/>
  <c r="HF10" i="2" s="1"/>
  <c r="L139" i="2"/>
  <c r="HF9" i="2" s="1" a="1"/>
  <c r="HF9" i="2" s="1"/>
  <c r="K139" i="2"/>
  <c r="HF8" i="2" s="1" a="1"/>
  <c r="HF8" i="2" s="1"/>
  <c r="J139" i="2"/>
  <c r="HF7" i="2" s="1" a="1"/>
  <c r="HF7" i="2" s="1"/>
  <c r="I139" i="2"/>
  <c r="HF6" i="2" s="1" a="1"/>
  <c r="HF6" i="2" s="1"/>
  <c r="H139" i="2"/>
  <c r="G139" i="2"/>
  <c r="HF4" i="2" s="1" a="1"/>
  <c r="HF4" i="2" s="1"/>
  <c r="F139" i="2"/>
  <c r="HF3" i="2" s="1" a="1"/>
  <c r="HF3" i="2" s="1"/>
  <c r="E139" i="2"/>
  <c r="HF2" i="2" s="1" a="1"/>
  <c r="HF2" i="2" s="1"/>
  <c r="S138" i="2" a="1"/>
  <c r="S138" i="2" s="1"/>
  <c r="HE16" i="2" s="1" a="1"/>
  <c r="HE16" i="2" s="1"/>
  <c r="R138" i="2" a="1"/>
  <c r="R138" i="2" s="1"/>
  <c r="HE15" i="2" s="1" a="1"/>
  <c r="HE15" i="2" s="1"/>
  <c r="P138" i="2"/>
  <c r="HE13" i="2" s="1" a="1"/>
  <c r="HE13" i="2" s="1"/>
  <c r="O138" i="2"/>
  <c r="HE12" i="2" s="1" a="1"/>
  <c r="HE12" i="2" s="1"/>
  <c r="N138" i="2"/>
  <c r="HE11" i="2" s="1" a="1"/>
  <c r="HE11" i="2" s="1"/>
  <c r="M138" i="2"/>
  <c r="HE10" i="2" s="1" a="1"/>
  <c r="HE10" i="2" s="1"/>
  <c r="L138" i="2"/>
  <c r="HE9" i="2" s="1" a="1"/>
  <c r="HE9" i="2" s="1"/>
  <c r="K138" i="2"/>
  <c r="HE8" i="2" s="1" a="1"/>
  <c r="HE8" i="2" s="1"/>
  <c r="J138" i="2"/>
  <c r="HE7" i="2" s="1" a="1"/>
  <c r="HE7" i="2" s="1"/>
  <c r="I138" i="2"/>
  <c r="HE6" i="2" s="1" a="1"/>
  <c r="HE6" i="2" s="1"/>
  <c r="H138" i="2"/>
  <c r="G138" i="2"/>
  <c r="HE4" i="2" s="1" a="1"/>
  <c r="HE4" i="2" s="1"/>
  <c r="F138" i="2"/>
  <c r="HE3" i="2" s="1" a="1"/>
  <c r="HE3" i="2" s="1"/>
  <c r="E138" i="2"/>
  <c r="HE2" i="2" s="1" a="1"/>
  <c r="HE2" i="2" s="1"/>
  <c r="S137" i="2" a="1"/>
  <c r="S137" i="2" s="1"/>
  <c r="HD16" i="2" s="1" a="1"/>
  <c r="HD16" i="2" s="1"/>
  <c r="R137" i="2" a="1"/>
  <c r="R137" i="2" s="1"/>
  <c r="HD15" i="2" s="1" a="1"/>
  <c r="HD15" i="2" s="1"/>
  <c r="P137" i="2"/>
  <c r="HD13" i="2" s="1" a="1"/>
  <c r="HD13" i="2" s="1"/>
  <c r="O137" i="2"/>
  <c r="HD12" i="2" s="1" a="1"/>
  <c r="HD12" i="2" s="1"/>
  <c r="N137" i="2"/>
  <c r="HD11" i="2" s="1" a="1"/>
  <c r="HD11" i="2" s="1"/>
  <c r="M137" i="2"/>
  <c r="HD10" i="2" s="1" a="1"/>
  <c r="HD10" i="2" s="1"/>
  <c r="L137" i="2"/>
  <c r="HD9" i="2" s="1" a="1"/>
  <c r="HD9" i="2" s="1"/>
  <c r="K137" i="2"/>
  <c r="HD8" i="2" s="1" a="1"/>
  <c r="HD8" i="2" s="1"/>
  <c r="J137" i="2"/>
  <c r="HD7" i="2" s="1" a="1"/>
  <c r="HD7" i="2" s="1"/>
  <c r="I137" i="2"/>
  <c r="HD6" i="2" s="1" a="1"/>
  <c r="HD6" i="2" s="1"/>
  <c r="H137" i="2"/>
  <c r="G137" i="2"/>
  <c r="HD4" i="2" s="1" a="1"/>
  <c r="HD4" i="2" s="1"/>
  <c r="F137" i="2"/>
  <c r="HD3" i="2" s="1" a="1"/>
  <c r="HD3" i="2" s="1"/>
  <c r="E137" i="2"/>
  <c r="HD2" i="2" s="1" a="1"/>
  <c r="HD2" i="2" s="1"/>
  <c r="S136" i="2" a="1"/>
  <c r="S136" i="2" s="1"/>
  <c r="HC16" i="2" s="1" a="1"/>
  <c r="HC16" i="2" s="1"/>
  <c r="R136" i="2" a="1"/>
  <c r="R136" i="2" s="1"/>
  <c r="HC15" i="2" s="1" a="1"/>
  <c r="HC15" i="2" s="1"/>
  <c r="P136" i="2"/>
  <c r="HC13" i="2" s="1" a="1"/>
  <c r="HC13" i="2" s="1"/>
  <c r="O136" i="2"/>
  <c r="HC12" i="2" s="1" a="1"/>
  <c r="HC12" i="2" s="1"/>
  <c r="N136" i="2"/>
  <c r="HC11" i="2" s="1" a="1"/>
  <c r="HC11" i="2" s="1"/>
  <c r="M136" i="2"/>
  <c r="HC10" i="2" s="1" a="1"/>
  <c r="HC10" i="2" s="1"/>
  <c r="L136" i="2"/>
  <c r="HC9" i="2" s="1" a="1"/>
  <c r="HC9" i="2" s="1"/>
  <c r="K136" i="2"/>
  <c r="HC8" i="2" s="1" a="1"/>
  <c r="HC8" i="2" s="1"/>
  <c r="J136" i="2"/>
  <c r="HC7" i="2" s="1" a="1"/>
  <c r="HC7" i="2" s="1"/>
  <c r="I136" i="2"/>
  <c r="HC6" i="2" s="1" a="1"/>
  <c r="HC6" i="2" s="1"/>
  <c r="H136" i="2"/>
  <c r="G136" i="2"/>
  <c r="HC4" i="2" s="1" a="1"/>
  <c r="HC4" i="2" s="1"/>
  <c r="F136" i="2"/>
  <c r="HC3" i="2" s="1" a="1"/>
  <c r="HC3" i="2" s="1"/>
  <c r="E136" i="2"/>
  <c r="HC2" i="2" s="1" a="1"/>
  <c r="HC2" i="2" s="1"/>
  <c r="S135" i="2" a="1"/>
  <c r="S135" i="2" s="1"/>
  <c r="HB16" i="2" s="1" a="1"/>
  <c r="HB16" i="2" s="1"/>
  <c r="R135" i="2" a="1"/>
  <c r="R135" i="2" s="1"/>
  <c r="HB15" i="2" s="1" a="1"/>
  <c r="HB15" i="2" s="1"/>
  <c r="P135" i="2"/>
  <c r="HB13" i="2" s="1" a="1"/>
  <c r="HB13" i="2" s="1"/>
  <c r="O135" i="2"/>
  <c r="HB12" i="2" s="1" a="1"/>
  <c r="HB12" i="2" s="1"/>
  <c r="N135" i="2"/>
  <c r="HB11" i="2" s="1" a="1"/>
  <c r="HB11" i="2" s="1"/>
  <c r="M135" i="2"/>
  <c r="HB10" i="2" s="1" a="1"/>
  <c r="HB10" i="2" s="1"/>
  <c r="L135" i="2"/>
  <c r="HB9" i="2" s="1" a="1"/>
  <c r="HB9" i="2" s="1"/>
  <c r="K135" i="2"/>
  <c r="HB8" i="2" s="1" a="1"/>
  <c r="HB8" i="2" s="1"/>
  <c r="J135" i="2"/>
  <c r="HB7" i="2" s="1" a="1"/>
  <c r="HB7" i="2" s="1"/>
  <c r="I135" i="2"/>
  <c r="HB6" i="2" s="1" a="1"/>
  <c r="HB6" i="2" s="1"/>
  <c r="H135" i="2"/>
  <c r="G135" i="2"/>
  <c r="HB4" i="2" s="1" a="1"/>
  <c r="HB4" i="2" s="1"/>
  <c r="F135" i="2"/>
  <c r="HB3" i="2" s="1" a="1"/>
  <c r="HB3" i="2" s="1"/>
  <c r="E135" i="2"/>
  <c r="HB2" i="2" s="1" a="1"/>
  <c r="HB2" i="2" s="1"/>
  <c r="S134" i="2" a="1"/>
  <c r="S134" i="2" s="1"/>
  <c r="HA16" i="2" s="1" a="1"/>
  <c r="HA16" i="2" s="1"/>
  <c r="R134" i="2" a="1"/>
  <c r="R134" i="2" s="1"/>
  <c r="HA15" i="2" s="1" a="1"/>
  <c r="HA15" i="2" s="1"/>
  <c r="P134" i="2"/>
  <c r="HA13" i="2" s="1" a="1"/>
  <c r="HA13" i="2" s="1"/>
  <c r="O134" i="2"/>
  <c r="HA12" i="2" s="1" a="1"/>
  <c r="HA12" i="2" s="1"/>
  <c r="N134" i="2"/>
  <c r="HA11" i="2" s="1" a="1"/>
  <c r="HA11" i="2" s="1"/>
  <c r="M134" i="2"/>
  <c r="HA10" i="2" s="1" a="1"/>
  <c r="HA10" i="2" s="1"/>
  <c r="L134" i="2"/>
  <c r="HA9" i="2" s="1" a="1"/>
  <c r="HA9" i="2" s="1"/>
  <c r="K134" i="2"/>
  <c r="HA8" i="2" s="1" a="1"/>
  <c r="HA8" i="2" s="1"/>
  <c r="J134" i="2"/>
  <c r="HA7" i="2" s="1" a="1"/>
  <c r="HA7" i="2" s="1"/>
  <c r="I134" i="2"/>
  <c r="HA6" i="2" s="1" a="1"/>
  <c r="HA6" i="2" s="1"/>
  <c r="H134" i="2"/>
  <c r="G134" i="2"/>
  <c r="HA4" i="2" s="1" a="1"/>
  <c r="HA4" i="2" s="1"/>
  <c r="F134" i="2"/>
  <c r="HA3" i="2" s="1" a="1"/>
  <c r="HA3" i="2" s="1"/>
  <c r="E134" i="2"/>
  <c r="HA2" i="2" s="1" a="1"/>
  <c r="HA2" i="2" s="1"/>
  <c r="S133" i="2" a="1"/>
  <c r="S133" i="2" s="1"/>
  <c r="GZ16" i="2" s="1" a="1"/>
  <c r="GZ16" i="2" s="1"/>
  <c r="R133" i="2" a="1"/>
  <c r="R133" i="2" s="1"/>
  <c r="GZ15" i="2" s="1" a="1"/>
  <c r="GZ15" i="2" s="1"/>
  <c r="P133" i="2"/>
  <c r="GZ13" i="2" s="1" a="1"/>
  <c r="GZ13" i="2" s="1"/>
  <c r="O133" i="2"/>
  <c r="GZ12" i="2" s="1" a="1"/>
  <c r="GZ12" i="2" s="1"/>
  <c r="N133" i="2"/>
  <c r="GZ11" i="2" s="1" a="1"/>
  <c r="GZ11" i="2" s="1"/>
  <c r="M133" i="2"/>
  <c r="GZ10" i="2" s="1" a="1"/>
  <c r="GZ10" i="2" s="1"/>
  <c r="L133" i="2"/>
  <c r="GZ9" i="2" s="1" a="1"/>
  <c r="GZ9" i="2" s="1"/>
  <c r="K133" i="2"/>
  <c r="GZ8" i="2" s="1" a="1"/>
  <c r="GZ8" i="2" s="1"/>
  <c r="J133" i="2"/>
  <c r="GZ7" i="2" s="1" a="1"/>
  <c r="GZ7" i="2" s="1"/>
  <c r="I133" i="2"/>
  <c r="GZ6" i="2" s="1" a="1"/>
  <c r="GZ6" i="2" s="1"/>
  <c r="H133" i="2"/>
  <c r="G133" i="2"/>
  <c r="GZ4" i="2" s="1" a="1"/>
  <c r="GZ4" i="2" s="1"/>
  <c r="F133" i="2"/>
  <c r="GZ3" i="2" s="1" a="1"/>
  <c r="GZ3" i="2" s="1"/>
  <c r="E133" i="2"/>
  <c r="GZ2" i="2" s="1" a="1"/>
  <c r="GZ2" i="2" s="1"/>
  <c r="S132" i="2" a="1"/>
  <c r="S132" i="2" s="1"/>
  <c r="GY16" i="2" s="1" a="1"/>
  <c r="GY16" i="2" s="1"/>
  <c r="R132" i="2" a="1"/>
  <c r="R132" i="2" s="1"/>
  <c r="GY15" i="2" s="1" a="1"/>
  <c r="GY15" i="2" s="1"/>
  <c r="P132" i="2"/>
  <c r="GY13" i="2" s="1" a="1"/>
  <c r="GY13" i="2" s="1"/>
  <c r="O132" i="2"/>
  <c r="GY12" i="2" s="1" a="1"/>
  <c r="GY12" i="2" s="1"/>
  <c r="N132" i="2"/>
  <c r="GY11" i="2" s="1" a="1"/>
  <c r="GY11" i="2" s="1"/>
  <c r="M132" i="2"/>
  <c r="GY10" i="2" s="1" a="1"/>
  <c r="GY10" i="2" s="1"/>
  <c r="L132" i="2"/>
  <c r="GY9" i="2" s="1" a="1"/>
  <c r="GY9" i="2" s="1"/>
  <c r="K132" i="2"/>
  <c r="GY8" i="2" s="1" a="1"/>
  <c r="GY8" i="2" s="1"/>
  <c r="J132" i="2"/>
  <c r="GY7" i="2" s="1" a="1"/>
  <c r="GY7" i="2" s="1"/>
  <c r="I132" i="2"/>
  <c r="GY6" i="2" s="1" a="1"/>
  <c r="GY6" i="2" s="1"/>
  <c r="H132" i="2"/>
  <c r="G132" i="2"/>
  <c r="GY4" i="2" s="1" a="1"/>
  <c r="GY4" i="2" s="1"/>
  <c r="F132" i="2"/>
  <c r="GY3" i="2" s="1" a="1"/>
  <c r="GY3" i="2" s="1"/>
  <c r="E132" i="2"/>
  <c r="GY2" i="2" s="1" a="1"/>
  <c r="GY2" i="2" s="1"/>
  <c r="S131" i="2" a="1"/>
  <c r="S131" i="2" s="1"/>
  <c r="GX16" i="2" s="1" a="1"/>
  <c r="GX16" i="2" s="1"/>
  <c r="R131" i="2" a="1"/>
  <c r="R131" i="2" s="1"/>
  <c r="GX15" i="2" s="1" a="1"/>
  <c r="GX15" i="2" s="1"/>
  <c r="P131" i="2"/>
  <c r="GX13" i="2" s="1" a="1"/>
  <c r="GX13" i="2" s="1"/>
  <c r="O131" i="2"/>
  <c r="GX12" i="2" s="1" a="1"/>
  <c r="GX12" i="2" s="1"/>
  <c r="N131" i="2"/>
  <c r="GX11" i="2" s="1" a="1"/>
  <c r="GX11" i="2" s="1"/>
  <c r="M131" i="2"/>
  <c r="GX10" i="2" s="1" a="1"/>
  <c r="GX10" i="2" s="1"/>
  <c r="L131" i="2"/>
  <c r="GX9" i="2" s="1" a="1"/>
  <c r="GX9" i="2" s="1"/>
  <c r="K131" i="2"/>
  <c r="GX8" i="2" s="1" a="1"/>
  <c r="GX8" i="2" s="1"/>
  <c r="J131" i="2"/>
  <c r="GX7" i="2" s="1" a="1"/>
  <c r="GX7" i="2" s="1"/>
  <c r="I131" i="2"/>
  <c r="GX6" i="2" s="1" a="1"/>
  <c r="GX6" i="2" s="1"/>
  <c r="H131" i="2"/>
  <c r="G131" i="2"/>
  <c r="GX4" i="2" s="1" a="1"/>
  <c r="GX4" i="2" s="1"/>
  <c r="F131" i="2"/>
  <c r="GX3" i="2" s="1" a="1"/>
  <c r="GX3" i="2" s="1"/>
  <c r="E131" i="2"/>
  <c r="GX2" i="2" s="1" a="1"/>
  <c r="GX2" i="2" s="1"/>
  <c r="S130" i="2" a="1"/>
  <c r="S130" i="2" s="1"/>
  <c r="GW16" i="2" s="1" a="1"/>
  <c r="GW16" i="2" s="1"/>
  <c r="R130" i="2" a="1"/>
  <c r="R130" i="2" s="1"/>
  <c r="GW15" i="2" s="1" a="1"/>
  <c r="GW15" i="2" s="1"/>
  <c r="P130" i="2"/>
  <c r="GW13" i="2" s="1" a="1"/>
  <c r="GW13" i="2" s="1"/>
  <c r="O130" i="2"/>
  <c r="GW12" i="2" s="1" a="1"/>
  <c r="GW12" i="2" s="1"/>
  <c r="N130" i="2"/>
  <c r="GW11" i="2" s="1" a="1"/>
  <c r="GW11" i="2" s="1"/>
  <c r="M130" i="2"/>
  <c r="GW10" i="2" s="1" a="1"/>
  <c r="GW10" i="2" s="1"/>
  <c r="L130" i="2"/>
  <c r="GW9" i="2" s="1" a="1"/>
  <c r="GW9" i="2" s="1"/>
  <c r="K130" i="2"/>
  <c r="GW8" i="2" s="1" a="1"/>
  <c r="GW8" i="2" s="1"/>
  <c r="J130" i="2"/>
  <c r="GW7" i="2" s="1" a="1"/>
  <c r="GW7" i="2" s="1"/>
  <c r="I130" i="2"/>
  <c r="GW6" i="2" s="1" a="1"/>
  <c r="GW6" i="2" s="1"/>
  <c r="H130" i="2"/>
  <c r="G130" i="2"/>
  <c r="GW4" i="2" s="1" a="1"/>
  <c r="GW4" i="2" s="1"/>
  <c r="F130" i="2"/>
  <c r="GW3" i="2" s="1" a="1"/>
  <c r="GW3" i="2" s="1"/>
  <c r="E130" i="2"/>
  <c r="GW2" i="2" s="1" a="1"/>
  <c r="GW2" i="2" s="1"/>
  <c r="S129" i="2" a="1"/>
  <c r="S129" i="2" s="1"/>
  <c r="GV16" i="2" s="1" a="1"/>
  <c r="GV16" i="2" s="1"/>
  <c r="R129" i="2" a="1"/>
  <c r="R129" i="2" s="1"/>
  <c r="GV15" i="2" s="1" a="1"/>
  <c r="GV15" i="2" s="1"/>
  <c r="P129" i="2"/>
  <c r="GV13" i="2" s="1" a="1"/>
  <c r="GV13" i="2" s="1"/>
  <c r="O129" i="2"/>
  <c r="GV12" i="2" s="1" a="1"/>
  <c r="GV12" i="2" s="1"/>
  <c r="N129" i="2"/>
  <c r="GV11" i="2" s="1" a="1"/>
  <c r="GV11" i="2" s="1"/>
  <c r="M129" i="2"/>
  <c r="GV10" i="2" s="1" a="1"/>
  <c r="GV10" i="2" s="1"/>
  <c r="L129" i="2"/>
  <c r="GV9" i="2" s="1" a="1"/>
  <c r="GV9" i="2" s="1"/>
  <c r="K129" i="2"/>
  <c r="GV8" i="2" s="1" a="1"/>
  <c r="GV8" i="2" s="1"/>
  <c r="J129" i="2"/>
  <c r="GV7" i="2" s="1" a="1"/>
  <c r="GV7" i="2" s="1"/>
  <c r="I129" i="2"/>
  <c r="GV6" i="2" s="1" a="1"/>
  <c r="GV6" i="2" s="1"/>
  <c r="H129" i="2"/>
  <c r="G129" i="2"/>
  <c r="GV4" i="2" s="1" a="1"/>
  <c r="GV4" i="2" s="1"/>
  <c r="F129" i="2"/>
  <c r="GV3" i="2" s="1" a="1"/>
  <c r="GV3" i="2" s="1"/>
  <c r="E129" i="2"/>
  <c r="GV2" i="2" s="1" a="1"/>
  <c r="GV2" i="2" s="1"/>
  <c r="S128" i="2" a="1"/>
  <c r="S128" i="2" s="1"/>
  <c r="GU16" i="2" s="1" a="1"/>
  <c r="GU16" i="2" s="1"/>
  <c r="R128" i="2" a="1"/>
  <c r="R128" i="2" s="1"/>
  <c r="GU15" i="2" s="1" a="1"/>
  <c r="GU15" i="2" s="1"/>
  <c r="P128" i="2"/>
  <c r="GU13" i="2" s="1" a="1"/>
  <c r="GU13" i="2" s="1"/>
  <c r="O128" i="2"/>
  <c r="GU12" i="2" s="1" a="1"/>
  <c r="GU12" i="2" s="1"/>
  <c r="N128" i="2"/>
  <c r="GU11" i="2" s="1" a="1"/>
  <c r="GU11" i="2" s="1"/>
  <c r="M128" i="2"/>
  <c r="GU10" i="2" s="1" a="1"/>
  <c r="GU10" i="2" s="1"/>
  <c r="L128" i="2"/>
  <c r="GU9" i="2" s="1" a="1"/>
  <c r="GU9" i="2" s="1"/>
  <c r="K128" i="2"/>
  <c r="GU8" i="2" s="1" a="1"/>
  <c r="GU8" i="2" s="1"/>
  <c r="J128" i="2"/>
  <c r="GU7" i="2" s="1" a="1"/>
  <c r="GU7" i="2" s="1"/>
  <c r="I128" i="2"/>
  <c r="GU6" i="2" s="1" a="1"/>
  <c r="GU6" i="2" s="1"/>
  <c r="H128" i="2"/>
  <c r="G128" i="2"/>
  <c r="GU4" i="2" s="1" a="1"/>
  <c r="GU4" i="2" s="1"/>
  <c r="F128" i="2"/>
  <c r="GU3" i="2" s="1" a="1"/>
  <c r="GU3" i="2" s="1"/>
  <c r="E128" i="2"/>
  <c r="GU2" i="2" s="1" a="1"/>
  <c r="GU2" i="2" s="1"/>
  <c r="S127" i="2" a="1"/>
  <c r="S127" i="2" s="1"/>
  <c r="GT16" i="2" s="1" a="1"/>
  <c r="GT16" i="2" s="1"/>
  <c r="R127" i="2" a="1"/>
  <c r="R127" i="2" s="1"/>
  <c r="GT15" i="2" s="1" a="1"/>
  <c r="GT15" i="2" s="1"/>
  <c r="P127" i="2"/>
  <c r="GT13" i="2" s="1" a="1"/>
  <c r="GT13" i="2" s="1"/>
  <c r="O127" i="2"/>
  <c r="GT12" i="2" s="1" a="1"/>
  <c r="GT12" i="2" s="1"/>
  <c r="N127" i="2"/>
  <c r="GT11" i="2" s="1" a="1"/>
  <c r="GT11" i="2" s="1"/>
  <c r="M127" i="2"/>
  <c r="GT10" i="2" s="1" a="1"/>
  <c r="GT10" i="2" s="1"/>
  <c r="L127" i="2"/>
  <c r="GT9" i="2" s="1" a="1"/>
  <c r="GT9" i="2" s="1"/>
  <c r="K127" i="2"/>
  <c r="GT8" i="2" s="1" a="1"/>
  <c r="GT8" i="2" s="1"/>
  <c r="J127" i="2"/>
  <c r="GT7" i="2" s="1" a="1"/>
  <c r="GT7" i="2" s="1"/>
  <c r="I127" i="2"/>
  <c r="GT6" i="2" s="1" a="1"/>
  <c r="GT6" i="2" s="1"/>
  <c r="H127" i="2"/>
  <c r="G127" i="2"/>
  <c r="GT4" i="2" s="1" a="1"/>
  <c r="GT4" i="2" s="1"/>
  <c r="F127" i="2"/>
  <c r="GT3" i="2" s="1" a="1"/>
  <c r="GT3" i="2" s="1"/>
  <c r="E127" i="2"/>
  <c r="GT2" i="2" s="1" a="1"/>
  <c r="GT2" i="2" s="1"/>
  <c r="S126" i="2" a="1"/>
  <c r="S126" i="2" s="1"/>
  <c r="GS16" i="2" s="1" a="1"/>
  <c r="GS16" i="2" s="1"/>
  <c r="R126" i="2" a="1"/>
  <c r="R126" i="2" s="1"/>
  <c r="GS15" i="2" s="1" a="1"/>
  <c r="GS15" i="2" s="1"/>
  <c r="P126" i="2"/>
  <c r="GS13" i="2" s="1" a="1"/>
  <c r="GS13" i="2" s="1"/>
  <c r="O126" i="2"/>
  <c r="GS12" i="2" s="1" a="1"/>
  <c r="GS12" i="2" s="1"/>
  <c r="N126" i="2"/>
  <c r="GS11" i="2" s="1" a="1"/>
  <c r="GS11" i="2" s="1"/>
  <c r="M126" i="2"/>
  <c r="GS10" i="2" s="1" a="1"/>
  <c r="GS10" i="2" s="1"/>
  <c r="L126" i="2"/>
  <c r="GS9" i="2" s="1" a="1"/>
  <c r="GS9" i="2" s="1"/>
  <c r="K126" i="2"/>
  <c r="GS8" i="2" s="1" a="1"/>
  <c r="GS8" i="2" s="1"/>
  <c r="J126" i="2"/>
  <c r="GS7" i="2" s="1" a="1"/>
  <c r="GS7" i="2" s="1"/>
  <c r="I126" i="2"/>
  <c r="GS6" i="2" s="1" a="1"/>
  <c r="GS6" i="2" s="1"/>
  <c r="H126" i="2"/>
  <c r="G126" i="2"/>
  <c r="GS4" i="2" s="1" a="1"/>
  <c r="GS4" i="2" s="1"/>
  <c r="F126" i="2"/>
  <c r="GS3" i="2" s="1" a="1"/>
  <c r="GS3" i="2" s="1"/>
  <c r="E126" i="2"/>
  <c r="GS2" i="2" s="1" a="1"/>
  <c r="GS2" i="2" s="1"/>
  <c r="S125" i="2" a="1"/>
  <c r="S125" i="2" s="1"/>
  <c r="GR16" i="2" s="1" a="1"/>
  <c r="GR16" i="2" s="1"/>
  <c r="R125" i="2" a="1"/>
  <c r="R125" i="2" s="1"/>
  <c r="GR15" i="2" s="1" a="1"/>
  <c r="GR15" i="2" s="1"/>
  <c r="P125" i="2"/>
  <c r="GR13" i="2" s="1" a="1"/>
  <c r="GR13" i="2" s="1"/>
  <c r="O125" i="2"/>
  <c r="GR12" i="2" s="1" a="1"/>
  <c r="GR12" i="2" s="1"/>
  <c r="N125" i="2"/>
  <c r="GR11" i="2" s="1" a="1"/>
  <c r="GR11" i="2" s="1"/>
  <c r="M125" i="2"/>
  <c r="GR10" i="2" s="1" a="1"/>
  <c r="GR10" i="2" s="1"/>
  <c r="L125" i="2"/>
  <c r="GR9" i="2" s="1" a="1"/>
  <c r="GR9" i="2" s="1"/>
  <c r="K125" i="2"/>
  <c r="GR8" i="2" s="1" a="1"/>
  <c r="GR8" i="2" s="1"/>
  <c r="J125" i="2"/>
  <c r="GR7" i="2" s="1" a="1"/>
  <c r="GR7" i="2" s="1"/>
  <c r="I125" i="2"/>
  <c r="GR6" i="2" s="1" a="1"/>
  <c r="GR6" i="2" s="1"/>
  <c r="H125" i="2"/>
  <c r="G125" i="2"/>
  <c r="GR4" i="2" s="1" a="1"/>
  <c r="GR4" i="2" s="1"/>
  <c r="F125" i="2"/>
  <c r="GR3" i="2" s="1" a="1"/>
  <c r="GR3" i="2" s="1"/>
  <c r="E125" i="2"/>
  <c r="GR2" i="2" s="1" a="1"/>
  <c r="GR2" i="2" s="1"/>
  <c r="S124" i="2" a="1"/>
  <c r="S124" i="2" s="1"/>
  <c r="GQ16" i="2" s="1" a="1"/>
  <c r="GQ16" i="2" s="1"/>
  <c r="R124" i="2" a="1"/>
  <c r="R124" i="2" s="1"/>
  <c r="GQ15" i="2" s="1" a="1"/>
  <c r="GQ15" i="2" s="1"/>
  <c r="P124" i="2"/>
  <c r="GQ13" i="2" s="1" a="1"/>
  <c r="GQ13" i="2" s="1"/>
  <c r="O124" i="2"/>
  <c r="GQ12" i="2" s="1" a="1"/>
  <c r="GQ12" i="2" s="1"/>
  <c r="N124" i="2"/>
  <c r="GQ11" i="2" s="1" a="1"/>
  <c r="GQ11" i="2" s="1"/>
  <c r="M124" i="2"/>
  <c r="GQ10" i="2" s="1" a="1"/>
  <c r="GQ10" i="2" s="1"/>
  <c r="L124" i="2"/>
  <c r="GQ9" i="2" s="1" a="1"/>
  <c r="GQ9" i="2" s="1"/>
  <c r="K124" i="2"/>
  <c r="GQ8" i="2" s="1" a="1"/>
  <c r="GQ8" i="2" s="1"/>
  <c r="J124" i="2"/>
  <c r="GQ7" i="2" s="1" a="1"/>
  <c r="GQ7" i="2" s="1"/>
  <c r="I124" i="2"/>
  <c r="GQ6" i="2" s="1" a="1"/>
  <c r="GQ6" i="2" s="1"/>
  <c r="H124" i="2"/>
  <c r="G124" i="2"/>
  <c r="GQ4" i="2" s="1" a="1"/>
  <c r="GQ4" i="2" s="1"/>
  <c r="F124" i="2"/>
  <c r="GQ3" i="2" s="1" a="1"/>
  <c r="GQ3" i="2" s="1"/>
  <c r="E124" i="2"/>
  <c r="GQ2" i="2" s="1" a="1"/>
  <c r="GQ2" i="2" s="1"/>
  <c r="S123" i="2" a="1"/>
  <c r="S123" i="2" s="1"/>
  <c r="GP16" i="2" s="1" a="1"/>
  <c r="GP16" i="2" s="1"/>
  <c r="R123" i="2" a="1"/>
  <c r="R123" i="2" s="1"/>
  <c r="GP15" i="2" s="1" a="1"/>
  <c r="GP15" i="2" s="1"/>
  <c r="P123" i="2"/>
  <c r="GP13" i="2" s="1" a="1"/>
  <c r="GP13" i="2" s="1"/>
  <c r="O123" i="2"/>
  <c r="GP12" i="2" s="1" a="1"/>
  <c r="GP12" i="2" s="1"/>
  <c r="N123" i="2"/>
  <c r="GP11" i="2" s="1" a="1"/>
  <c r="GP11" i="2" s="1"/>
  <c r="M123" i="2"/>
  <c r="GP10" i="2" s="1" a="1"/>
  <c r="GP10" i="2" s="1"/>
  <c r="L123" i="2"/>
  <c r="GP9" i="2" s="1" a="1"/>
  <c r="GP9" i="2" s="1"/>
  <c r="K123" i="2"/>
  <c r="GP8" i="2" s="1" a="1"/>
  <c r="GP8" i="2" s="1"/>
  <c r="J123" i="2"/>
  <c r="GP7" i="2" s="1" a="1"/>
  <c r="GP7" i="2" s="1"/>
  <c r="I123" i="2"/>
  <c r="GP6" i="2" s="1" a="1"/>
  <c r="GP6" i="2" s="1"/>
  <c r="H123" i="2"/>
  <c r="G123" i="2"/>
  <c r="GP4" i="2" s="1" a="1"/>
  <c r="GP4" i="2" s="1"/>
  <c r="F123" i="2"/>
  <c r="GP3" i="2" s="1" a="1"/>
  <c r="GP3" i="2" s="1"/>
  <c r="E123" i="2"/>
  <c r="GP2" i="2" s="1" a="1"/>
  <c r="GP2" i="2" s="1"/>
  <c r="S122" i="2" a="1"/>
  <c r="S122" i="2" s="1"/>
  <c r="GO16" i="2" s="1" a="1"/>
  <c r="GO16" i="2" s="1"/>
  <c r="R122" i="2" a="1"/>
  <c r="R122" i="2" s="1"/>
  <c r="GO15" i="2" s="1" a="1"/>
  <c r="GO15" i="2" s="1"/>
  <c r="P122" i="2"/>
  <c r="GO13" i="2" s="1" a="1"/>
  <c r="GO13" i="2" s="1"/>
  <c r="O122" i="2"/>
  <c r="GO12" i="2" s="1" a="1"/>
  <c r="GO12" i="2" s="1"/>
  <c r="N122" i="2"/>
  <c r="GO11" i="2" s="1" a="1"/>
  <c r="GO11" i="2" s="1"/>
  <c r="M122" i="2"/>
  <c r="GO10" i="2" s="1" a="1"/>
  <c r="GO10" i="2" s="1"/>
  <c r="L122" i="2"/>
  <c r="GO9" i="2" s="1" a="1"/>
  <c r="GO9" i="2" s="1"/>
  <c r="K122" i="2"/>
  <c r="GO8" i="2" s="1" a="1"/>
  <c r="GO8" i="2" s="1"/>
  <c r="J122" i="2"/>
  <c r="GO7" i="2" s="1" a="1"/>
  <c r="GO7" i="2" s="1"/>
  <c r="I122" i="2"/>
  <c r="GO6" i="2" s="1" a="1"/>
  <c r="GO6" i="2" s="1"/>
  <c r="H122" i="2"/>
  <c r="G122" i="2"/>
  <c r="GO4" i="2" s="1" a="1"/>
  <c r="GO4" i="2" s="1"/>
  <c r="F122" i="2"/>
  <c r="GO3" i="2" s="1" a="1"/>
  <c r="GO3" i="2" s="1"/>
  <c r="E122" i="2"/>
  <c r="GO2" i="2" s="1" a="1"/>
  <c r="GO2" i="2" s="1"/>
  <c r="S121" i="2" a="1"/>
  <c r="S121" i="2" s="1"/>
  <c r="GN16" i="2" s="1" a="1"/>
  <c r="GN16" i="2" s="1"/>
  <c r="R121" i="2" a="1"/>
  <c r="R121" i="2" s="1"/>
  <c r="GN15" i="2" s="1" a="1"/>
  <c r="GN15" i="2" s="1"/>
  <c r="P121" i="2"/>
  <c r="GN13" i="2" s="1" a="1"/>
  <c r="GN13" i="2" s="1"/>
  <c r="O121" i="2"/>
  <c r="GN12" i="2" s="1" a="1"/>
  <c r="GN12" i="2" s="1"/>
  <c r="N121" i="2"/>
  <c r="GN11" i="2" s="1" a="1"/>
  <c r="GN11" i="2" s="1"/>
  <c r="M121" i="2"/>
  <c r="GN10" i="2" s="1" a="1"/>
  <c r="GN10" i="2" s="1"/>
  <c r="L121" i="2"/>
  <c r="GN9" i="2" s="1" a="1"/>
  <c r="GN9" i="2" s="1"/>
  <c r="K121" i="2"/>
  <c r="GN8" i="2" s="1" a="1"/>
  <c r="GN8" i="2" s="1"/>
  <c r="J121" i="2"/>
  <c r="GN7" i="2" s="1" a="1"/>
  <c r="GN7" i="2" s="1"/>
  <c r="I121" i="2"/>
  <c r="GN6" i="2" s="1" a="1"/>
  <c r="GN6" i="2" s="1"/>
  <c r="H121" i="2"/>
  <c r="G121" i="2"/>
  <c r="GN4" i="2" s="1" a="1"/>
  <c r="GN4" i="2" s="1"/>
  <c r="F121" i="2"/>
  <c r="GN3" i="2" s="1" a="1"/>
  <c r="GN3" i="2" s="1"/>
  <c r="E121" i="2"/>
  <c r="GN2" i="2" s="1" a="1"/>
  <c r="GN2" i="2" s="1"/>
  <c r="GM16" i="2" a="1"/>
  <c r="GM16" i="2" s="1"/>
  <c r="GM15" i="2" a="1"/>
  <c r="GM15" i="2" s="1"/>
  <c r="GM13" i="2" a="1"/>
  <c r="GM13" i="2" s="1"/>
  <c r="GM12" i="2" a="1"/>
  <c r="GM12" i="2" s="1"/>
  <c r="GM11" i="2" a="1"/>
  <c r="GM11" i="2" s="1"/>
  <c r="GM10" i="2" a="1"/>
  <c r="GM10" i="2" s="1"/>
  <c r="GM9" i="2" a="1"/>
  <c r="GM9" i="2" s="1"/>
  <c r="GM8" i="2" a="1"/>
  <c r="GM8" i="2" s="1"/>
  <c r="GM7" i="2" a="1"/>
  <c r="GM7" i="2" s="1"/>
  <c r="GM6" i="2" a="1"/>
  <c r="GM6" i="2" s="1"/>
  <c r="GM4" i="2" a="1"/>
  <c r="GM4" i="2" s="1"/>
  <c r="GM3" i="2" a="1"/>
  <c r="GM3" i="2" s="1"/>
  <c r="GM2" i="2" a="1"/>
  <c r="GM2" i="2" s="1"/>
  <c r="GL16" i="2" a="1"/>
  <c r="GL16" i="2" s="1"/>
  <c r="GL15" i="2" a="1"/>
  <c r="GL15" i="2" s="1"/>
  <c r="GL13" i="2" a="1"/>
  <c r="GL13" i="2" s="1"/>
  <c r="GL12" i="2" a="1"/>
  <c r="GL12" i="2" s="1"/>
  <c r="GL11" i="2" a="1"/>
  <c r="GL11" i="2" s="1"/>
  <c r="GL10" i="2" a="1"/>
  <c r="GL10" i="2" s="1"/>
  <c r="GL9" i="2" a="1"/>
  <c r="GL9" i="2" s="1"/>
  <c r="GL8" i="2" a="1"/>
  <c r="GL8" i="2" s="1"/>
  <c r="GL7" i="2" a="1"/>
  <c r="GL7" i="2" s="1"/>
  <c r="GL6" i="2" a="1"/>
  <c r="GL6" i="2" s="1"/>
  <c r="GL4" i="2" a="1"/>
  <c r="GL4" i="2" s="1"/>
  <c r="GL3" i="2" a="1"/>
  <c r="GL3" i="2" s="1"/>
  <c r="GL2" i="2" a="1"/>
  <c r="GL2" i="2" s="1"/>
  <c r="GK16" i="2" a="1"/>
  <c r="GK16" i="2" s="1"/>
  <c r="GK15" i="2" a="1"/>
  <c r="GK15" i="2" s="1"/>
  <c r="GK13" i="2" a="1"/>
  <c r="GK13" i="2" s="1"/>
  <c r="GK12" i="2" a="1"/>
  <c r="GK12" i="2" s="1"/>
  <c r="GK11" i="2" a="1"/>
  <c r="GK11" i="2" s="1"/>
  <c r="GK10" i="2" a="1"/>
  <c r="GK10" i="2" s="1"/>
  <c r="GK9" i="2" a="1"/>
  <c r="GK9" i="2" s="1"/>
  <c r="GK8" i="2" a="1"/>
  <c r="GK8" i="2" s="1"/>
  <c r="GK7" i="2" a="1"/>
  <c r="GK7" i="2" s="1"/>
  <c r="GK6" i="2" a="1"/>
  <c r="GK6" i="2" s="1"/>
  <c r="GK4" i="2" a="1"/>
  <c r="GK4" i="2" s="1"/>
  <c r="GK3" i="2" a="1"/>
  <c r="GK3" i="2" s="1"/>
  <c r="GK2" i="2" a="1"/>
  <c r="GK2" i="2" s="1"/>
  <c r="S120" i="2" a="1"/>
  <c r="S120" i="2" s="1"/>
  <c r="GJ16" i="2" s="1" a="1"/>
  <c r="GJ16" i="2" s="1"/>
  <c r="R120" i="2" a="1"/>
  <c r="R120" i="2" s="1"/>
  <c r="GJ15" i="2" s="1" a="1"/>
  <c r="GJ15" i="2" s="1"/>
  <c r="P120" i="2"/>
  <c r="GJ13" i="2" s="1" a="1"/>
  <c r="GJ13" i="2" s="1"/>
  <c r="O120" i="2"/>
  <c r="GJ12" i="2" s="1" a="1"/>
  <c r="GJ12" i="2" s="1"/>
  <c r="N120" i="2"/>
  <c r="GJ11" i="2" s="1" a="1"/>
  <c r="GJ11" i="2" s="1"/>
  <c r="M120" i="2"/>
  <c r="GJ10" i="2" s="1" a="1"/>
  <c r="GJ10" i="2" s="1"/>
  <c r="L120" i="2"/>
  <c r="GJ9" i="2" s="1" a="1"/>
  <c r="GJ9" i="2" s="1"/>
  <c r="K120" i="2"/>
  <c r="GJ8" i="2" s="1" a="1"/>
  <c r="GJ8" i="2" s="1"/>
  <c r="J120" i="2"/>
  <c r="GJ7" i="2" s="1" a="1"/>
  <c r="GJ7" i="2" s="1"/>
  <c r="I120" i="2"/>
  <c r="GJ6" i="2" s="1" a="1"/>
  <c r="GJ6" i="2" s="1"/>
  <c r="H120" i="2"/>
  <c r="G120" i="2"/>
  <c r="GJ4" i="2" s="1" a="1"/>
  <c r="GJ4" i="2" s="1"/>
  <c r="F120" i="2"/>
  <c r="GJ3" i="2" s="1" a="1"/>
  <c r="GJ3" i="2" s="1"/>
  <c r="E120" i="2"/>
  <c r="GJ2" i="2" s="1" a="1"/>
  <c r="GJ2" i="2" s="1"/>
  <c r="GI16" i="2" a="1"/>
  <c r="GI16" i="2" s="1"/>
  <c r="GI15" i="2" a="1"/>
  <c r="GI15" i="2" s="1"/>
  <c r="GI13" i="2" a="1"/>
  <c r="GI13" i="2" s="1"/>
  <c r="GI12" i="2" a="1"/>
  <c r="GI12" i="2" s="1"/>
  <c r="GI11" i="2" a="1"/>
  <c r="GI11" i="2" s="1"/>
  <c r="GI10" i="2" a="1"/>
  <c r="GI10" i="2" s="1"/>
  <c r="GI9" i="2" a="1"/>
  <c r="GI9" i="2" s="1"/>
  <c r="GI8" i="2" a="1"/>
  <c r="GI8" i="2" s="1"/>
  <c r="GI7" i="2" a="1"/>
  <c r="GI7" i="2" s="1"/>
  <c r="GI6" i="2" a="1"/>
  <c r="GI6" i="2" s="1"/>
  <c r="GI4" i="2" a="1"/>
  <c r="GI4" i="2" s="1"/>
  <c r="GI3" i="2" a="1"/>
  <c r="GI3" i="2" s="1"/>
  <c r="GI2" i="2" a="1"/>
  <c r="GI2" i="2" s="1"/>
  <c r="S119" i="2" a="1"/>
  <c r="S119" i="2" s="1"/>
  <c r="GH16" i="2" s="1" a="1"/>
  <c r="GH16" i="2" s="1"/>
  <c r="R119" i="2" a="1"/>
  <c r="R119" i="2" s="1"/>
  <c r="GH15" i="2" s="1" a="1"/>
  <c r="GH15" i="2" s="1"/>
  <c r="P119" i="2"/>
  <c r="GH13" i="2" s="1" a="1"/>
  <c r="GH13" i="2" s="1"/>
  <c r="O119" i="2"/>
  <c r="GH12" i="2" s="1" a="1"/>
  <c r="GH12" i="2" s="1"/>
  <c r="N119" i="2"/>
  <c r="GH11" i="2" s="1" a="1"/>
  <c r="GH11" i="2" s="1"/>
  <c r="M119" i="2"/>
  <c r="GH10" i="2" s="1" a="1"/>
  <c r="GH10" i="2" s="1"/>
  <c r="L119" i="2"/>
  <c r="GH9" i="2" s="1" a="1"/>
  <c r="GH9" i="2" s="1"/>
  <c r="K119" i="2"/>
  <c r="GH8" i="2" s="1" a="1"/>
  <c r="GH8" i="2" s="1"/>
  <c r="J119" i="2"/>
  <c r="GH7" i="2" s="1" a="1"/>
  <c r="GH7" i="2" s="1"/>
  <c r="I119" i="2"/>
  <c r="GH6" i="2" s="1" a="1"/>
  <c r="GH6" i="2" s="1"/>
  <c r="H119" i="2"/>
  <c r="G119" i="2"/>
  <c r="GH4" i="2" s="1" a="1"/>
  <c r="GH4" i="2" s="1"/>
  <c r="F119" i="2"/>
  <c r="GH3" i="2" s="1" a="1"/>
  <c r="GH3" i="2" s="1"/>
  <c r="E119" i="2"/>
  <c r="GH2" i="2" s="1" a="1"/>
  <c r="GH2" i="2" s="1"/>
  <c r="S118" i="2" a="1"/>
  <c r="S118" i="2" s="1"/>
  <c r="GG16" i="2" s="1" a="1"/>
  <c r="GG16" i="2" s="1"/>
  <c r="R118" i="2" a="1"/>
  <c r="R118" i="2" s="1"/>
  <c r="GG15" i="2" s="1" a="1"/>
  <c r="GG15" i="2" s="1"/>
  <c r="P118" i="2"/>
  <c r="GG13" i="2" s="1" a="1"/>
  <c r="GG13" i="2" s="1"/>
  <c r="O118" i="2"/>
  <c r="GG12" i="2" s="1" a="1"/>
  <c r="GG12" i="2" s="1"/>
  <c r="N118" i="2"/>
  <c r="GG11" i="2" s="1" a="1"/>
  <c r="GG11" i="2" s="1"/>
  <c r="M118" i="2"/>
  <c r="GG10" i="2" s="1" a="1"/>
  <c r="GG10" i="2" s="1"/>
  <c r="L118" i="2"/>
  <c r="GG9" i="2" s="1" a="1"/>
  <c r="GG9" i="2" s="1"/>
  <c r="K118" i="2"/>
  <c r="GG8" i="2" s="1" a="1"/>
  <c r="GG8" i="2" s="1"/>
  <c r="J118" i="2"/>
  <c r="GG7" i="2" s="1" a="1"/>
  <c r="GG7" i="2" s="1"/>
  <c r="I118" i="2"/>
  <c r="GG6" i="2" s="1" a="1"/>
  <c r="GG6" i="2" s="1"/>
  <c r="H118" i="2"/>
  <c r="G118" i="2"/>
  <c r="GG4" i="2" s="1" a="1"/>
  <c r="GG4" i="2" s="1"/>
  <c r="F118" i="2"/>
  <c r="GG3" i="2" s="1" a="1"/>
  <c r="GG3" i="2" s="1"/>
  <c r="E118" i="2"/>
  <c r="GG2" i="2" s="1" a="1"/>
  <c r="GG2" i="2" s="1"/>
  <c r="S117" i="2" a="1"/>
  <c r="S117" i="2" s="1"/>
  <c r="GF16" i="2" s="1" a="1"/>
  <c r="GF16" i="2" s="1"/>
  <c r="R117" i="2" a="1"/>
  <c r="R117" i="2" s="1"/>
  <c r="GF15" i="2" s="1" a="1"/>
  <c r="GF15" i="2" s="1"/>
  <c r="P117" i="2"/>
  <c r="GF13" i="2" s="1" a="1"/>
  <c r="GF13" i="2" s="1"/>
  <c r="O117" i="2"/>
  <c r="GF12" i="2" s="1" a="1"/>
  <c r="GF12" i="2" s="1"/>
  <c r="N117" i="2"/>
  <c r="GF11" i="2" s="1" a="1"/>
  <c r="GF11" i="2" s="1"/>
  <c r="M117" i="2"/>
  <c r="GF10" i="2" s="1" a="1"/>
  <c r="GF10" i="2" s="1"/>
  <c r="L117" i="2"/>
  <c r="GF9" i="2" s="1" a="1"/>
  <c r="GF9" i="2" s="1"/>
  <c r="K117" i="2"/>
  <c r="GF8" i="2" s="1" a="1"/>
  <c r="GF8" i="2" s="1"/>
  <c r="J117" i="2"/>
  <c r="GF7" i="2" s="1" a="1"/>
  <c r="GF7" i="2" s="1"/>
  <c r="I117" i="2"/>
  <c r="GF6" i="2" s="1" a="1"/>
  <c r="GF6" i="2" s="1"/>
  <c r="H117" i="2"/>
  <c r="G117" i="2"/>
  <c r="GF4" i="2" s="1" a="1"/>
  <c r="GF4" i="2" s="1"/>
  <c r="F117" i="2"/>
  <c r="GF3" i="2" s="1" a="1"/>
  <c r="GF3" i="2" s="1"/>
  <c r="E117" i="2"/>
  <c r="GF2" i="2" s="1" a="1"/>
  <c r="GF2" i="2" s="1"/>
  <c r="GE16" i="2" a="1"/>
  <c r="GE16" i="2" s="1"/>
  <c r="GE15" i="2" a="1"/>
  <c r="GE15" i="2" s="1"/>
  <c r="GE13" i="2" a="1"/>
  <c r="GE13" i="2" s="1"/>
  <c r="GE12" i="2" a="1"/>
  <c r="GE12" i="2" s="1"/>
  <c r="GE11" i="2" a="1"/>
  <c r="GE11" i="2" s="1"/>
  <c r="GE10" i="2" a="1"/>
  <c r="GE10" i="2" s="1"/>
  <c r="GE9" i="2" a="1"/>
  <c r="GE9" i="2" s="1"/>
  <c r="GE8" i="2" a="1"/>
  <c r="GE8" i="2" s="1"/>
  <c r="GE7" i="2" a="1"/>
  <c r="GE7" i="2" s="1"/>
  <c r="GE6" i="2" a="1"/>
  <c r="GE6" i="2" s="1"/>
  <c r="GE4" i="2" a="1"/>
  <c r="GE4" i="2" s="1"/>
  <c r="GE3" i="2" a="1"/>
  <c r="GE3" i="2" s="1"/>
  <c r="GE2" i="2" a="1"/>
  <c r="GE2" i="2" s="1"/>
  <c r="S116" i="2" a="1"/>
  <c r="S116" i="2" s="1"/>
  <c r="GD16" i="2" s="1" a="1"/>
  <c r="GD16" i="2" s="1"/>
  <c r="R116" i="2" a="1"/>
  <c r="R116" i="2" s="1"/>
  <c r="GD15" i="2" s="1" a="1"/>
  <c r="GD15" i="2" s="1"/>
  <c r="P116" i="2"/>
  <c r="GD13" i="2" s="1" a="1"/>
  <c r="GD13" i="2" s="1"/>
  <c r="O116" i="2"/>
  <c r="GD12" i="2" s="1" a="1"/>
  <c r="GD12" i="2" s="1"/>
  <c r="N116" i="2"/>
  <c r="GD11" i="2" s="1" a="1"/>
  <c r="GD11" i="2" s="1"/>
  <c r="M116" i="2"/>
  <c r="GD10" i="2" s="1" a="1"/>
  <c r="GD10" i="2" s="1"/>
  <c r="L116" i="2"/>
  <c r="GD9" i="2" s="1" a="1"/>
  <c r="GD9" i="2" s="1"/>
  <c r="K116" i="2"/>
  <c r="GD8" i="2" s="1" a="1"/>
  <c r="GD8" i="2" s="1"/>
  <c r="J116" i="2"/>
  <c r="GD7" i="2" s="1" a="1"/>
  <c r="GD7" i="2" s="1"/>
  <c r="I116" i="2"/>
  <c r="GD6" i="2" s="1" a="1"/>
  <c r="GD6" i="2" s="1"/>
  <c r="H116" i="2"/>
  <c r="G116" i="2"/>
  <c r="GD4" i="2" s="1" a="1"/>
  <c r="GD4" i="2" s="1"/>
  <c r="F116" i="2"/>
  <c r="GD3" i="2" s="1" a="1"/>
  <c r="GD3" i="2" s="1"/>
  <c r="E116" i="2"/>
  <c r="GD2" i="2" s="1" a="1"/>
  <c r="GD2" i="2" s="1"/>
  <c r="GC16" i="2" a="1"/>
  <c r="GC16" i="2" s="1"/>
  <c r="GC15" i="2" a="1"/>
  <c r="GC15" i="2" s="1"/>
  <c r="GC13" i="2" a="1"/>
  <c r="GC13" i="2" s="1"/>
  <c r="GC12" i="2" a="1"/>
  <c r="GC12" i="2" s="1"/>
  <c r="GC11" i="2" a="1"/>
  <c r="GC11" i="2" s="1"/>
  <c r="GC10" i="2" a="1"/>
  <c r="GC10" i="2" s="1"/>
  <c r="GC9" i="2" a="1"/>
  <c r="GC9" i="2" s="1"/>
  <c r="GC8" i="2" a="1"/>
  <c r="GC8" i="2" s="1"/>
  <c r="GC7" i="2" a="1"/>
  <c r="GC7" i="2" s="1"/>
  <c r="GC6" i="2" a="1"/>
  <c r="GC6" i="2" s="1"/>
  <c r="GC4" i="2" a="1"/>
  <c r="GC4" i="2" s="1"/>
  <c r="GC3" i="2" a="1"/>
  <c r="GC3" i="2" s="1"/>
  <c r="GC2" i="2" a="1"/>
  <c r="GC2" i="2" s="1"/>
  <c r="S115" i="2" a="1"/>
  <c r="S115" i="2" s="1"/>
  <c r="GB16" i="2" s="1" a="1"/>
  <c r="GB16" i="2" s="1"/>
  <c r="R115" i="2" a="1"/>
  <c r="R115" i="2" s="1"/>
  <c r="GB15" i="2" s="1" a="1"/>
  <c r="GB15" i="2" s="1"/>
  <c r="P115" i="2"/>
  <c r="GB13" i="2" s="1" a="1"/>
  <c r="GB13" i="2" s="1"/>
  <c r="O115" i="2"/>
  <c r="GB12" i="2" s="1" a="1"/>
  <c r="GB12" i="2" s="1"/>
  <c r="N115" i="2"/>
  <c r="GB11" i="2" s="1" a="1"/>
  <c r="GB11" i="2" s="1"/>
  <c r="M115" i="2"/>
  <c r="GB10" i="2" s="1" a="1"/>
  <c r="GB10" i="2" s="1"/>
  <c r="L115" i="2"/>
  <c r="GB9" i="2" s="1" a="1"/>
  <c r="GB9" i="2" s="1"/>
  <c r="K115" i="2"/>
  <c r="GB8" i="2" s="1" a="1"/>
  <c r="GB8" i="2" s="1"/>
  <c r="J115" i="2"/>
  <c r="GB7" i="2" s="1" a="1"/>
  <c r="GB7" i="2" s="1"/>
  <c r="I115" i="2"/>
  <c r="GB6" i="2" s="1" a="1"/>
  <c r="GB6" i="2" s="1"/>
  <c r="H115" i="2"/>
  <c r="G115" i="2"/>
  <c r="GB4" i="2" s="1" a="1"/>
  <c r="GB4" i="2" s="1"/>
  <c r="F115" i="2"/>
  <c r="GB3" i="2" s="1" a="1"/>
  <c r="GB3" i="2" s="1"/>
  <c r="E115" i="2"/>
  <c r="GB2" i="2" s="1" a="1"/>
  <c r="GB2" i="2" s="1"/>
  <c r="S114" i="2" a="1"/>
  <c r="S114" i="2" s="1"/>
  <c r="GA16" i="2" s="1" a="1"/>
  <c r="GA16" i="2" s="1"/>
  <c r="R114" i="2" a="1"/>
  <c r="R114" i="2" s="1"/>
  <c r="GA15" i="2" s="1" a="1"/>
  <c r="GA15" i="2" s="1"/>
  <c r="P114" i="2"/>
  <c r="GA13" i="2" s="1" a="1"/>
  <c r="GA13" i="2" s="1"/>
  <c r="O114" i="2"/>
  <c r="GA12" i="2" s="1" a="1"/>
  <c r="GA12" i="2" s="1"/>
  <c r="N114" i="2"/>
  <c r="GA11" i="2" s="1" a="1"/>
  <c r="GA11" i="2" s="1"/>
  <c r="M114" i="2"/>
  <c r="GA10" i="2" s="1" a="1"/>
  <c r="GA10" i="2" s="1"/>
  <c r="L114" i="2"/>
  <c r="GA9" i="2" s="1" a="1"/>
  <c r="GA9" i="2" s="1"/>
  <c r="K114" i="2"/>
  <c r="GA8" i="2" s="1" a="1"/>
  <c r="GA8" i="2" s="1"/>
  <c r="J114" i="2"/>
  <c r="GA7" i="2" s="1" a="1"/>
  <c r="GA7" i="2" s="1"/>
  <c r="I114" i="2"/>
  <c r="GA6" i="2" s="1" a="1"/>
  <c r="GA6" i="2" s="1"/>
  <c r="H114" i="2"/>
  <c r="G114" i="2"/>
  <c r="GA4" i="2" s="1" a="1"/>
  <c r="GA4" i="2" s="1"/>
  <c r="F114" i="2"/>
  <c r="GA3" i="2" s="1" a="1"/>
  <c r="GA3" i="2" s="1"/>
  <c r="E114" i="2"/>
  <c r="GA2" i="2" s="1" a="1"/>
  <c r="GA2" i="2" s="1"/>
  <c r="S113" i="2" a="1"/>
  <c r="S113" i="2" s="1"/>
  <c r="FZ16" i="2" s="1" a="1"/>
  <c r="FZ16" i="2" s="1"/>
  <c r="R113" i="2" a="1"/>
  <c r="R113" i="2" s="1"/>
  <c r="FZ15" i="2" s="1" a="1"/>
  <c r="FZ15" i="2" s="1"/>
  <c r="P113" i="2"/>
  <c r="FZ13" i="2" s="1" a="1"/>
  <c r="FZ13" i="2" s="1"/>
  <c r="O113" i="2"/>
  <c r="FZ12" i="2" s="1" a="1"/>
  <c r="FZ12" i="2" s="1"/>
  <c r="N113" i="2"/>
  <c r="FZ11" i="2" s="1" a="1"/>
  <c r="FZ11" i="2" s="1"/>
  <c r="M113" i="2"/>
  <c r="FZ10" i="2" s="1" a="1"/>
  <c r="FZ10" i="2" s="1"/>
  <c r="L113" i="2"/>
  <c r="FZ9" i="2" s="1" a="1"/>
  <c r="FZ9" i="2" s="1"/>
  <c r="K113" i="2"/>
  <c r="FZ8" i="2" s="1" a="1"/>
  <c r="FZ8" i="2" s="1"/>
  <c r="J113" i="2"/>
  <c r="FZ7" i="2" s="1" a="1"/>
  <c r="FZ7" i="2" s="1"/>
  <c r="I113" i="2"/>
  <c r="FZ6" i="2" s="1" a="1"/>
  <c r="FZ6" i="2" s="1"/>
  <c r="H113" i="2"/>
  <c r="G113" i="2"/>
  <c r="FZ4" i="2" s="1" a="1"/>
  <c r="FZ4" i="2" s="1"/>
  <c r="F113" i="2"/>
  <c r="FZ3" i="2" s="1" a="1"/>
  <c r="FZ3" i="2" s="1"/>
  <c r="E113" i="2"/>
  <c r="FZ2" i="2" s="1" a="1"/>
  <c r="FZ2" i="2" s="1"/>
  <c r="S112" i="2" a="1"/>
  <c r="S112" i="2" s="1"/>
  <c r="FY16" i="2" s="1" a="1"/>
  <c r="FY16" i="2" s="1"/>
  <c r="R112" i="2" a="1"/>
  <c r="R112" i="2" s="1"/>
  <c r="FY15" i="2" s="1" a="1"/>
  <c r="FY15" i="2" s="1"/>
  <c r="P112" i="2"/>
  <c r="FY13" i="2" s="1" a="1"/>
  <c r="FY13" i="2" s="1"/>
  <c r="O112" i="2"/>
  <c r="FY12" i="2" s="1" a="1"/>
  <c r="FY12" i="2" s="1"/>
  <c r="N112" i="2"/>
  <c r="FY11" i="2" s="1" a="1"/>
  <c r="FY11" i="2" s="1"/>
  <c r="M112" i="2"/>
  <c r="FY10" i="2" s="1" a="1"/>
  <c r="FY10" i="2" s="1"/>
  <c r="L112" i="2"/>
  <c r="FY9" i="2" s="1" a="1"/>
  <c r="FY9" i="2" s="1"/>
  <c r="K112" i="2"/>
  <c r="FY8" i="2" s="1" a="1"/>
  <c r="FY8" i="2" s="1"/>
  <c r="J112" i="2"/>
  <c r="FY7" i="2" s="1" a="1"/>
  <c r="FY7" i="2" s="1"/>
  <c r="I112" i="2"/>
  <c r="FY6" i="2" s="1" a="1"/>
  <c r="FY6" i="2" s="1"/>
  <c r="H112" i="2"/>
  <c r="G112" i="2"/>
  <c r="FY4" i="2" s="1" a="1"/>
  <c r="FY4" i="2" s="1"/>
  <c r="F112" i="2"/>
  <c r="FY3" i="2" s="1" a="1"/>
  <c r="FY3" i="2" s="1"/>
  <c r="E112" i="2"/>
  <c r="FY2" i="2" s="1" a="1"/>
  <c r="FY2" i="2" s="1"/>
  <c r="FX16" i="2" a="1"/>
  <c r="FX16" i="2" s="1"/>
  <c r="FX15" i="2" a="1"/>
  <c r="FX15" i="2" s="1"/>
  <c r="FX13" i="2" a="1"/>
  <c r="FX13" i="2" s="1"/>
  <c r="FX12" i="2" a="1"/>
  <c r="FX12" i="2" s="1"/>
  <c r="FX11" i="2" a="1"/>
  <c r="FX11" i="2" s="1"/>
  <c r="FX10" i="2" a="1"/>
  <c r="FX10" i="2" s="1"/>
  <c r="FX9" i="2" a="1"/>
  <c r="FX9" i="2" s="1"/>
  <c r="FX8" i="2" a="1"/>
  <c r="FX8" i="2" s="1"/>
  <c r="FX7" i="2" a="1"/>
  <c r="FX7" i="2" s="1"/>
  <c r="FX6" i="2" a="1"/>
  <c r="FX6" i="2" s="1"/>
  <c r="FX4" i="2" a="1"/>
  <c r="FX4" i="2" s="1"/>
  <c r="FX3" i="2" a="1"/>
  <c r="FX3" i="2" s="1"/>
  <c r="FX2" i="2" a="1"/>
  <c r="FX2" i="2" s="1"/>
  <c r="S111" i="2" a="1"/>
  <c r="S111" i="2" s="1"/>
  <c r="FW16" i="2" s="1" a="1"/>
  <c r="FW16" i="2" s="1"/>
  <c r="R111" i="2" a="1"/>
  <c r="R111" i="2" s="1"/>
  <c r="FW15" i="2" s="1" a="1"/>
  <c r="FW15" i="2" s="1"/>
  <c r="P111" i="2"/>
  <c r="FW13" i="2" s="1" a="1"/>
  <c r="FW13" i="2" s="1"/>
  <c r="O111" i="2"/>
  <c r="FW12" i="2" s="1" a="1"/>
  <c r="FW12" i="2" s="1"/>
  <c r="N111" i="2"/>
  <c r="FW11" i="2" s="1" a="1"/>
  <c r="FW11" i="2" s="1"/>
  <c r="M111" i="2"/>
  <c r="FW10" i="2" s="1" a="1"/>
  <c r="FW10" i="2" s="1"/>
  <c r="L111" i="2"/>
  <c r="FW9" i="2" s="1" a="1"/>
  <c r="FW9" i="2" s="1"/>
  <c r="K111" i="2"/>
  <c r="FW8" i="2" s="1" a="1"/>
  <c r="FW8" i="2" s="1"/>
  <c r="J111" i="2"/>
  <c r="FW7" i="2" s="1" a="1"/>
  <c r="FW7" i="2" s="1"/>
  <c r="I111" i="2"/>
  <c r="FW6" i="2" s="1" a="1"/>
  <c r="FW6" i="2" s="1"/>
  <c r="H111" i="2"/>
  <c r="G111" i="2"/>
  <c r="FW4" i="2" s="1" a="1"/>
  <c r="FW4" i="2" s="1"/>
  <c r="F111" i="2"/>
  <c r="FW3" i="2" s="1" a="1"/>
  <c r="FW3" i="2" s="1"/>
  <c r="E111" i="2"/>
  <c r="FW2" i="2" s="1" a="1"/>
  <c r="FW2" i="2" s="1"/>
  <c r="S110" i="2" a="1"/>
  <c r="S110" i="2" s="1"/>
  <c r="FV16" i="2" s="1" a="1"/>
  <c r="FV16" i="2" s="1"/>
  <c r="R110" i="2" a="1"/>
  <c r="R110" i="2" s="1"/>
  <c r="FV15" i="2" s="1" a="1"/>
  <c r="FV15" i="2" s="1"/>
  <c r="P110" i="2"/>
  <c r="FV13" i="2" s="1" a="1"/>
  <c r="FV13" i="2" s="1"/>
  <c r="O110" i="2"/>
  <c r="FV12" i="2" s="1" a="1"/>
  <c r="FV12" i="2" s="1"/>
  <c r="N110" i="2"/>
  <c r="FV11" i="2" s="1" a="1"/>
  <c r="FV11" i="2" s="1"/>
  <c r="M110" i="2"/>
  <c r="FV10" i="2" s="1" a="1"/>
  <c r="FV10" i="2" s="1"/>
  <c r="L110" i="2"/>
  <c r="FV9" i="2" s="1" a="1"/>
  <c r="FV9" i="2" s="1"/>
  <c r="K110" i="2"/>
  <c r="FV8" i="2" s="1" a="1"/>
  <c r="FV8" i="2" s="1"/>
  <c r="J110" i="2"/>
  <c r="FV7" i="2" s="1" a="1"/>
  <c r="FV7" i="2" s="1"/>
  <c r="I110" i="2"/>
  <c r="FV6" i="2" s="1" a="1"/>
  <c r="FV6" i="2" s="1"/>
  <c r="H110" i="2"/>
  <c r="G110" i="2"/>
  <c r="FV4" i="2" s="1" a="1"/>
  <c r="FV4" i="2" s="1"/>
  <c r="F110" i="2"/>
  <c r="FV3" i="2" s="1" a="1"/>
  <c r="FV3" i="2" s="1"/>
  <c r="E110" i="2"/>
  <c r="FV2" i="2" s="1" a="1"/>
  <c r="FV2" i="2" s="1"/>
  <c r="S109" i="2" a="1"/>
  <c r="S109" i="2" s="1"/>
  <c r="FU16" i="2" s="1" a="1"/>
  <c r="FU16" i="2" s="1"/>
  <c r="R109" i="2" a="1"/>
  <c r="R109" i="2" s="1"/>
  <c r="FU15" i="2" s="1" a="1"/>
  <c r="FU15" i="2" s="1"/>
  <c r="P109" i="2"/>
  <c r="FU13" i="2" s="1" a="1"/>
  <c r="FU13" i="2" s="1"/>
  <c r="O109" i="2"/>
  <c r="FU12" i="2" s="1" a="1"/>
  <c r="FU12" i="2" s="1"/>
  <c r="N109" i="2"/>
  <c r="FU11" i="2" s="1" a="1"/>
  <c r="FU11" i="2" s="1"/>
  <c r="M109" i="2"/>
  <c r="FU10" i="2" s="1" a="1"/>
  <c r="FU10" i="2" s="1"/>
  <c r="L109" i="2"/>
  <c r="FU9" i="2" s="1" a="1"/>
  <c r="FU9" i="2" s="1"/>
  <c r="K109" i="2"/>
  <c r="FU8" i="2" s="1" a="1"/>
  <c r="FU8" i="2" s="1"/>
  <c r="J109" i="2"/>
  <c r="FU7" i="2" s="1" a="1"/>
  <c r="FU7" i="2" s="1"/>
  <c r="I109" i="2"/>
  <c r="FU6" i="2" s="1" a="1"/>
  <c r="FU6" i="2" s="1"/>
  <c r="H109" i="2"/>
  <c r="G109" i="2"/>
  <c r="FU4" i="2" s="1" a="1"/>
  <c r="FU4" i="2" s="1"/>
  <c r="F109" i="2"/>
  <c r="FU3" i="2" s="1" a="1"/>
  <c r="FU3" i="2" s="1"/>
  <c r="E109" i="2"/>
  <c r="FU2" i="2" s="1" a="1"/>
  <c r="FU2" i="2" s="1"/>
  <c r="S108" i="2" a="1"/>
  <c r="S108" i="2" s="1"/>
  <c r="FT16" i="2" s="1" a="1"/>
  <c r="FT16" i="2" s="1"/>
  <c r="R108" i="2" a="1"/>
  <c r="R108" i="2" s="1"/>
  <c r="FT15" i="2" s="1" a="1"/>
  <c r="FT15" i="2" s="1"/>
  <c r="P108" i="2"/>
  <c r="FT13" i="2" s="1" a="1"/>
  <c r="FT13" i="2" s="1"/>
  <c r="O108" i="2"/>
  <c r="FT12" i="2" s="1" a="1"/>
  <c r="FT12" i="2" s="1"/>
  <c r="N108" i="2"/>
  <c r="FT11" i="2" s="1" a="1"/>
  <c r="FT11" i="2" s="1"/>
  <c r="M108" i="2"/>
  <c r="FT10" i="2" s="1" a="1"/>
  <c r="FT10" i="2" s="1"/>
  <c r="L108" i="2"/>
  <c r="FT9" i="2" s="1" a="1"/>
  <c r="FT9" i="2" s="1"/>
  <c r="K108" i="2"/>
  <c r="FT8" i="2" s="1" a="1"/>
  <c r="FT8" i="2" s="1"/>
  <c r="J108" i="2"/>
  <c r="FT7" i="2" s="1" a="1"/>
  <c r="FT7" i="2" s="1"/>
  <c r="I108" i="2"/>
  <c r="FT6" i="2" s="1" a="1"/>
  <c r="FT6" i="2" s="1"/>
  <c r="H108" i="2"/>
  <c r="G108" i="2"/>
  <c r="FT4" i="2" s="1" a="1"/>
  <c r="FT4" i="2" s="1"/>
  <c r="F108" i="2"/>
  <c r="FT3" i="2" s="1" a="1"/>
  <c r="FT3" i="2" s="1"/>
  <c r="E108" i="2"/>
  <c r="FT2" i="2" s="1" a="1"/>
  <c r="FT2" i="2" s="1"/>
  <c r="S107" i="2" a="1"/>
  <c r="S107" i="2" s="1"/>
  <c r="FS16" i="2" s="1" a="1"/>
  <c r="FS16" i="2" s="1"/>
  <c r="R107" i="2" a="1"/>
  <c r="R107" i="2" s="1"/>
  <c r="FS15" i="2" s="1" a="1"/>
  <c r="FS15" i="2" s="1"/>
  <c r="P107" i="2"/>
  <c r="FS13" i="2" s="1" a="1"/>
  <c r="FS13" i="2" s="1"/>
  <c r="O107" i="2"/>
  <c r="FS12" i="2" s="1" a="1"/>
  <c r="FS12" i="2" s="1"/>
  <c r="N107" i="2"/>
  <c r="FS11" i="2" s="1" a="1"/>
  <c r="FS11" i="2" s="1"/>
  <c r="M107" i="2"/>
  <c r="FS10" i="2" s="1" a="1"/>
  <c r="FS10" i="2" s="1"/>
  <c r="L107" i="2"/>
  <c r="FS9" i="2" s="1" a="1"/>
  <c r="FS9" i="2" s="1"/>
  <c r="K107" i="2"/>
  <c r="FS8" i="2" s="1" a="1"/>
  <c r="FS8" i="2" s="1"/>
  <c r="J107" i="2"/>
  <c r="FS7" i="2" s="1" a="1"/>
  <c r="FS7" i="2" s="1"/>
  <c r="I107" i="2"/>
  <c r="FS6" i="2" s="1" a="1"/>
  <c r="FS6" i="2" s="1"/>
  <c r="H107" i="2"/>
  <c r="G107" i="2"/>
  <c r="FS4" i="2" s="1" a="1"/>
  <c r="FS4" i="2" s="1"/>
  <c r="F107" i="2"/>
  <c r="FS3" i="2" s="1" a="1"/>
  <c r="FS3" i="2" s="1"/>
  <c r="E107" i="2"/>
  <c r="FS2" i="2" s="1" a="1"/>
  <c r="FS2" i="2" s="1"/>
  <c r="S106" i="2" a="1"/>
  <c r="S106" i="2" s="1"/>
  <c r="FR16" i="2" s="1" a="1"/>
  <c r="FR16" i="2" s="1"/>
  <c r="R106" i="2" a="1"/>
  <c r="R106" i="2" s="1"/>
  <c r="FR15" i="2" s="1" a="1"/>
  <c r="FR15" i="2" s="1"/>
  <c r="P106" i="2"/>
  <c r="FR13" i="2" s="1" a="1"/>
  <c r="FR13" i="2" s="1"/>
  <c r="O106" i="2"/>
  <c r="FR12" i="2" s="1" a="1"/>
  <c r="FR12" i="2" s="1"/>
  <c r="N106" i="2"/>
  <c r="FR11" i="2" s="1" a="1"/>
  <c r="FR11" i="2" s="1"/>
  <c r="M106" i="2"/>
  <c r="FR10" i="2" s="1" a="1"/>
  <c r="FR10" i="2" s="1"/>
  <c r="L106" i="2"/>
  <c r="FR9" i="2" s="1" a="1"/>
  <c r="FR9" i="2" s="1"/>
  <c r="K106" i="2"/>
  <c r="FR8" i="2" s="1" a="1"/>
  <c r="FR8" i="2" s="1"/>
  <c r="J106" i="2"/>
  <c r="FR7" i="2" s="1" a="1"/>
  <c r="FR7" i="2" s="1"/>
  <c r="I106" i="2"/>
  <c r="FR6" i="2" s="1" a="1"/>
  <c r="FR6" i="2" s="1"/>
  <c r="H106" i="2"/>
  <c r="G106" i="2"/>
  <c r="FR4" i="2" s="1" a="1"/>
  <c r="FR4" i="2" s="1"/>
  <c r="F106" i="2"/>
  <c r="FR3" i="2" s="1" a="1"/>
  <c r="FR3" i="2" s="1"/>
  <c r="E106" i="2"/>
  <c r="FR2" i="2" s="1" a="1"/>
  <c r="FR2" i="2" s="1"/>
  <c r="FQ16" i="2" a="1"/>
  <c r="FQ16" i="2" s="1"/>
  <c r="FQ15" i="2" a="1"/>
  <c r="FQ15" i="2" s="1"/>
  <c r="FQ13" i="2" a="1"/>
  <c r="FQ13" i="2" s="1"/>
  <c r="FQ12" i="2" a="1"/>
  <c r="FQ12" i="2" s="1"/>
  <c r="FQ11" i="2" a="1"/>
  <c r="FQ11" i="2" s="1"/>
  <c r="FQ10" i="2" a="1"/>
  <c r="FQ10" i="2" s="1"/>
  <c r="FQ9" i="2" a="1"/>
  <c r="FQ9" i="2" s="1"/>
  <c r="FQ8" i="2" a="1"/>
  <c r="FQ8" i="2" s="1"/>
  <c r="FQ7" i="2" a="1"/>
  <c r="FQ7" i="2" s="1"/>
  <c r="FQ6" i="2" a="1"/>
  <c r="FQ6" i="2" s="1"/>
  <c r="FQ4" i="2" a="1"/>
  <c r="FQ4" i="2" s="1"/>
  <c r="FQ3" i="2" a="1"/>
  <c r="FQ3" i="2" s="1"/>
  <c r="FQ2" i="2" a="1"/>
  <c r="FQ2" i="2" s="1"/>
  <c r="S105" i="2" a="1"/>
  <c r="S105" i="2" s="1"/>
  <c r="FP16" i="2" s="1" a="1"/>
  <c r="FP16" i="2" s="1"/>
  <c r="AD3024" i="2" s="1"/>
  <c r="R105" i="2" a="1"/>
  <c r="R105" i="2" s="1"/>
  <c r="FP15" i="2" s="1" a="1"/>
  <c r="FP15" i="2" s="1"/>
  <c r="AD3023" i="2" s="1"/>
  <c r="P105" i="2"/>
  <c r="FP13" i="2" s="1" a="1"/>
  <c r="FP13" i="2" s="1"/>
  <c r="O105" i="2"/>
  <c r="FP12" i="2" s="1" a="1"/>
  <c r="FP12" i="2" s="1"/>
  <c r="N105" i="2"/>
  <c r="FP11" i="2" s="1" a="1"/>
  <c r="FP11" i="2" s="1"/>
  <c r="M105" i="2"/>
  <c r="FP10" i="2" s="1" a="1"/>
  <c r="FP10" i="2" s="1"/>
  <c r="L105" i="2"/>
  <c r="FP9" i="2" s="1" a="1"/>
  <c r="FP9" i="2" s="1"/>
  <c r="K105" i="2"/>
  <c r="FP8" i="2" s="1" a="1"/>
  <c r="FP8" i="2" s="1"/>
  <c r="J105" i="2"/>
  <c r="FP7" i="2" s="1" a="1"/>
  <c r="FP7" i="2" s="1"/>
  <c r="I105" i="2"/>
  <c r="FP6" i="2" s="1" a="1"/>
  <c r="FP6" i="2" s="1"/>
  <c r="H105" i="2"/>
  <c r="G105" i="2"/>
  <c r="FP4" i="2" s="1" a="1"/>
  <c r="FP4" i="2" s="1"/>
  <c r="F105" i="2"/>
  <c r="FP3" i="2" s="1" a="1"/>
  <c r="FP3" i="2" s="1"/>
  <c r="E105" i="2"/>
  <c r="FP2" i="2" s="1" a="1"/>
  <c r="FP2" i="2" s="1"/>
  <c r="S104" i="2" a="1"/>
  <c r="S104" i="2" s="1"/>
  <c r="FO16" i="2" s="1" a="1"/>
  <c r="FO16" i="2" s="1"/>
  <c r="AD3003" i="2" s="1"/>
  <c r="R104" i="2" a="1"/>
  <c r="R104" i="2" s="1"/>
  <c r="FO15" i="2" s="1" a="1"/>
  <c r="FO15" i="2" s="1"/>
  <c r="AD3002" i="2" s="1"/>
  <c r="P104" i="2"/>
  <c r="FO13" i="2" s="1" a="1"/>
  <c r="FO13" i="2" s="1"/>
  <c r="O104" i="2"/>
  <c r="FO12" i="2" s="1" a="1"/>
  <c r="FO12" i="2" s="1"/>
  <c r="N104" i="2"/>
  <c r="FO11" i="2" s="1" a="1"/>
  <c r="FO11" i="2" s="1"/>
  <c r="M104" i="2"/>
  <c r="FO10" i="2" s="1" a="1"/>
  <c r="FO10" i="2" s="1"/>
  <c r="L104" i="2"/>
  <c r="FO9" i="2" s="1" a="1"/>
  <c r="FO9" i="2" s="1"/>
  <c r="K104" i="2"/>
  <c r="FO8" i="2" s="1" a="1"/>
  <c r="FO8" i="2" s="1"/>
  <c r="J104" i="2"/>
  <c r="FO7" i="2" s="1" a="1"/>
  <c r="FO7" i="2" s="1"/>
  <c r="I104" i="2"/>
  <c r="FO6" i="2" s="1" a="1"/>
  <c r="FO6" i="2" s="1"/>
  <c r="H104" i="2"/>
  <c r="G104" i="2"/>
  <c r="FO4" i="2" s="1" a="1"/>
  <c r="FO4" i="2" s="1"/>
  <c r="F104" i="2"/>
  <c r="FO3" i="2" s="1" a="1"/>
  <c r="FO3" i="2" s="1"/>
  <c r="E104" i="2"/>
  <c r="FO2" i="2" s="1" a="1"/>
  <c r="FO2" i="2" s="1"/>
  <c r="S103" i="2" a="1"/>
  <c r="S103" i="2" s="1"/>
  <c r="FN16" i="2" s="1" a="1"/>
  <c r="FN16" i="2" s="1"/>
  <c r="AD2982" i="2" s="1"/>
  <c r="R103" i="2" a="1"/>
  <c r="R103" i="2" s="1"/>
  <c r="FN15" i="2" s="1" a="1"/>
  <c r="FN15" i="2" s="1"/>
  <c r="AD2981" i="2" s="1"/>
  <c r="P103" i="2"/>
  <c r="FN13" i="2" s="1" a="1"/>
  <c r="FN13" i="2" s="1"/>
  <c r="O103" i="2"/>
  <c r="FN12" i="2" s="1" a="1"/>
  <c r="FN12" i="2" s="1"/>
  <c r="N103" i="2"/>
  <c r="FN11" i="2" s="1" a="1"/>
  <c r="FN11" i="2" s="1"/>
  <c r="M103" i="2"/>
  <c r="FN10" i="2" s="1" a="1"/>
  <c r="FN10" i="2" s="1"/>
  <c r="L103" i="2"/>
  <c r="FN9" i="2" s="1" a="1"/>
  <c r="FN9" i="2" s="1"/>
  <c r="K103" i="2"/>
  <c r="FN8" i="2" s="1" a="1"/>
  <c r="FN8" i="2" s="1"/>
  <c r="J103" i="2"/>
  <c r="FN7" i="2" s="1" a="1"/>
  <c r="FN7" i="2" s="1"/>
  <c r="I103" i="2"/>
  <c r="FN6" i="2" s="1" a="1"/>
  <c r="FN6" i="2" s="1"/>
  <c r="H103" i="2"/>
  <c r="G103" i="2"/>
  <c r="FN4" i="2" s="1" a="1"/>
  <c r="FN4" i="2" s="1"/>
  <c r="F103" i="2"/>
  <c r="FN3" i="2" s="1" a="1"/>
  <c r="FN3" i="2" s="1"/>
  <c r="E103" i="2"/>
  <c r="FN2" i="2" s="1" a="1"/>
  <c r="FN2" i="2" s="1"/>
  <c r="S102" i="2" a="1"/>
  <c r="S102" i="2" s="1"/>
  <c r="FM16" i="2" s="1" a="1"/>
  <c r="FM16" i="2" s="1"/>
  <c r="AD2961" i="2" s="1"/>
  <c r="R102" i="2" a="1"/>
  <c r="R102" i="2" s="1"/>
  <c r="FM15" i="2" s="1" a="1"/>
  <c r="FM15" i="2" s="1"/>
  <c r="AD2960" i="2" s="1"/>
  <c r="P102" i="2"/>
  <c r="FM13" i="2" s="1" a="1"/>
  <c r="FM13" i="2" s="1"/>
  <c r="O102" i="2"/>
  <c r="FM12" i="2" s="1" a="1"/>
  <c r="FM12" i="2" s="1"/>
  <c r="N102" i="2"/>
  <c r="FM11" i="2" s="1" a="1"/>
  <c r="FM11" i="2" s="1"/>
  <c r="M102" i="2"/>
  <c r="FM10" i="2" s="1" a="1"/>
  <c r="FM10" i="2" s="1"/>
  <c r="L102" i="2"/>
  <c r="FM9" i="2" s="1" a="1"/>
  <c r="FM9" i="2" s="1"/>
  <c r="K102" i="2"/>
  <c r="FM8" i="2" s="1" a="1"/>
  <c r="FM8" i="2" s="1"/>
  <c r="J102" i="2"/>
  <c r="FM7" i="2" s="1" a="1"/>
  <c r="FM7" i="2" s="1"/>
  <c r="I102" i="2"/>
  <c r="FM6" i="2" s="1" a="1"/>
  <c r="FM6" i="2" s="1"/>
  <c r="H102" i="2"/>
  <c r="G102" i="2"/>
  <c r="FM4" i="2" s="1" a="1"/>
  <c r="FM4" i="2" s="1"/>
  <c r="F102" i="2"/>
  <c r="FM3" i="2" s="1" a="1"/>
  <c r="FM3" i="2" s="1"/>
  <c r="E102" i="2"/>
  <c r="FM2" i="2" s="1" a="1"/>
  <c r="FM2" i="2" s="1"/>
  <c r="S101" i="2" a="1"/>
  <c r="S101" i="2" s="1"/>
  <c r="FL16" i="2" s="1" a="1"/>
  <c r="FL16" i="2" s="1"/>
  <c r="AD2940" i="2" s="1"/>
  <c r="R101" i="2" a="1"/>
  <c r="R101" i="2" s="1"/>
  <c r="FL15" i="2" s="1" a="1"/>
  <c r="FL15" i="2" s="1"/>
  <c r="AD2939" i="2" s="1"/>
  <c r="P101" i="2"/>
  <c r="FL13" i="2" s="1" a="1"/>
  <c r="FL13" i="2" s="1"/>
  <c r="O101" i="2"/>
  <c r="FL12" i="2" s="1" a="1"/>
  <c r="FL12" i="2" s="1"/>
  <c r="N101" i="2"/>
  <c r="FL11" i="2" s="1" a="1"/>
  <c r="FL11" i="2" s="1"/>
  <c r="M101" i="2"/>
  <c r="FL10" i="2" s="1" a="1"/>
  <c r="FL10" i="2" s="1"/>
  <c r="L101" i="2"/>
  <c r="FL9" i="2" s="1" a="1"/>
  <c r="FL9" i="2" s="1"/>
  <c r="K101" i="2"/>
  <c r="FL8" i="2" s="1" a="1"/>
  <c r="FL8" i="2" s="1"/>
  <c r="J101" i="2"/>
  <c r="FL7" i="2" s="1" a="1"/>
  <c r="FL7" i="2" s="1"/>
  <c r="I101" i="2"/>
  <c r="FL6" i="2" s="1" a="1"/>
  <c r="FL6" i="2" s="1"/>
  <c r="H101" i="2"/>
  <c r="G101" i="2"/>
  <c r="FL4" i="2" s="1" a="1"/>
  <c r="FL4" i="2" s="1"/>
  <c r="F101" i="2"/>
  <c r="FL3" i="2" s="1" a="1"/>
  <c r="FL3" i="2" s="1"/>
  <c r="E101" i="2"/>
  <c r="FL2" i="2" s="1" a="1"/>
  <c r="FL2" i="2" s="1"/>
  <c r="S100" i="2" a="1"/>
  <c r="S100" i="2" s="1"/>
  <c r="FK16" i="2" s="1" a="1"/>
  <c r="FK16" i="2" s="1"/>
  <c r="AD2919" i="2" s="1"/>
  <c r="R100" i="2" a="1"/>
  <c r="R100" i="2" s="1"/>
  <c r="FK15" i="2" s="1" a="1"/>
  <c r="FK15" i="2" s="1"/>
  <c r="AD2918" i="2" s="1"/>
  <c r="P100" i="2"/>
  <c r="FK13" i="2" s="1" a="1"/>
  <c r="FK13" i="2" s="1"/>
  <c r="O100" i="2"/>
  <c r="FK12" i="2" s="1" a="1"/>
  <c r="FK12" i="2" s="1"/>
  <c r="N100" i="2"/>
  <c r="FK11" i="2" s="1" a="1"/>
  <c r="FK11" i="2" s="1"/>
  <c r="M100" i="2"/>
  <c r="FK10" i="2" s="1" a="1"/>
  <c r="FK10" i="2" s="1"/>
  <c r="L100" i="2"/>
  <c r="FK9" i="2" s="1" a="1"/>
  <c r="FK9" i="2" s="1"/>
  <c r="K100" i="2"/>
  <c r="FK8" i="2" s="1" a="1"/>
  <c r="FK8" i="2" s="1"/>
  <c r="J100" i="2"/>
  <c r="FK7" i="2" s="1" a="1"/>
  <c r="FK7" i="2" s="1"/>
  <c r="I100" i="2"/>
  <c r="FK6" i="2" s="1" a="1"/>
  <c r="FK6" i="2" s="1"/>
  <c r="H100" i="2"/>
  <c r="G100" i="2"/>
  <c r="FK4" i="2" s="1" a="1"/>
  <c r="FK4" i="2" s="1"/>
  <c r="F100" i="2"/>
  <c r="FK3" i="2" s="1" a="1"/>
  <c r="FK3" i="2" s="1"/>
  <c r="E100" i="2"/>
  <c r="FK2" i="2" s="1" a="1"/>
  <c r="FK2" i="2" s="1"/>
  <c r="S99" i="2" a="1"/>
  <c r="S99" i="2" s="1"/>
  <c r="FJ16" i="2" s="1" a="1"/>
  <c r="FJ16" i="2" s="1"/>
  <c r="AD2898" i="2" s="1"/>
  <c r="R99" i="2" a="1"/>
  <c r="R99" i="2" s="1"/>
  <c r="FJ15" i="2" s="1" a="1"/>
  <c r="FJ15" i="2" s="1"/>
  <c r="AD2897" i="2" s="1"/>
  <c r="P99" i="2"/>
  <c r="FJ13" i="2" s="1" a="1"/>
  <c r="FJ13" i="2" s="1"/>
  <c r="O99" i="2"/>
  <c r="FJ12" i="2" s="1" a="1"/>
  <c r="FJ12" i="2" s="1"/>
  <c r="N99" i="2"/>
  <c r="FJ11" i="2" s="1" a="1"/>
  <c r="FJ11" i="2" s="1"/>
  <c r="M99" i="2"/>
  <c r="FJ10" i="2" s="1" a="1"/>
  <c r="FJ10" i="2" s="1"/>
  <c r="L99" i="2"/>
  <c r="FJ9" i="2" s="1" a="1"/>
  <c r="FJ9" i="2" s="1"/>
  <c r="K99" i="2"/>
  <c r="FJ8" i="2" s="1" a="1"/>
  <c r="FJ8" i="2" s="1"/>
  <c r="J99" i="2"/>
  <c r="FJ7" i="2" s="1" a="1"/>
  <c r="FJ7" i="2" s="1"/>
  <c r="I99" i="2"/>
  <c r="FJ6" i="2" s="1" a="1"/>
  <c r="FJ6" i="2" s="1"/>
  <c r="H99" i="2"/>
  <c r="G99" i="2"/>
  <c r="FJ4" i="2" s="1" a="1"/>
  <c r="FJ4" i="2" s="1"/>
  <c r="F99" i="2"/>
  <c r="FJ3" i="2" s="1" a="1"/>
  <c r="FJ3" i="2" s="1"/>
  <c r="E99" i="2"/>
  <c r="FJ2" i="2" s="1" a="1"/>
  <c r="FJ2" i="2" s="1"/>
  <c r="S98" i="2" a="1"/>
  <c r="S98" i="2" s="1"/>
  <c r="FI16" i="2" s="1" a="1"/>
  <c r="FI16" i="2" s="1"/>
  <c r="AD2877" i="2" s="1"/>
  <c r="R98" i="2" a="1"/>
  <c r="R98" i="2" s="1"/>
  <c r="FI15" i="2" s="1" a="1"/>
  <c r="FI15" i="2" s="1"/>
  <c r="AD2876" i="2" s="1"/>
  <c r="P98" i="2"/>
  <c r="FI13" i="2" s="1" a="1"/>
  <c r="FI13" i="2" s="1"/>
  <c r="O98" i="2"/>
  <c r="FI12" i="2" s="1" a="1"/>
  <c r="FI12" i="2" s="1"/>
  <c r="N98" i="2"/>
  <c r="FI11" i="2" s="1" a="1"/>
  <c r="FI11" i="2" s="1"/>
  <c r="M98" i="2"/>
  <c r="FI10" i="2" s="1" a="1"/>
  <c r="FI10" i="2" s="1"/>
  <c r="L98" i="2"/>
  <c r="FI9" i="2" s="1" a="1"/>
  <c r="FI9" i="2" s="1"/>
  <c r="K98" i="2"/>
  <c r="FI8" i="2" s="1" a="1"/>
  <c r="FI8" i="2" s="1"/>
  <c r="J98" i="2"/>
  <c r="FI7" i="2" s="1" a="1"/>
  <c r="FI7" i="2" s="1"/>
  <c r="I98" i="2"/>
  <c r="FI6" i="2" s="1" a="1"/>
  <c r="FI6" i="2" s="1"/>
  <c r="H98" i="2"/>
  <c r="G98" i="2"/>
  <c r="FI4" i="2" s="1" a="1"/>
  <c r="FI4" i="2" s="1"/>
  <c r="F98" i="2"/>
  <c r="FI3" i="2" s="1" a="1"/>
  <c r="FI3" i="2" s="1"/>
  <c r="E98" i="2"/>
  <c r="FI2" i="2" s="1" a="1"/>
  <c r="FI2" i="2" s="1"/>
  <c r="FH16" i="2" a="1"/>
  <c r="FH16" i="2" s="1"/>
  <c r="AD2856" i="2" s="1"/>
  <c r="FH15" i="2" a="1"/>
  <c r="FH15" i="2" s="1"/>
  <c r="AD2855" i="2" s="1"/>
  <c r="FH13" i="2" a="1"/>
  <c r="FH13" i="2" s="1"/>
  <c r="FH12" i="2" a="1"/>
  <c r="FH12" i="2" s="1"/>
  <c r="FH11" i="2" a="1"/>
  <c r="FH11" i="2" s="1"/>
  <c r="FH10" i="2" a="1"/>
  <c r="FH10" i="2" s="1"/>
  <c r="FH9" i="2" a="1"/>
  <c r="FH9" i="2" s="1"/>
  <c r="FH8" i="2" a="1"/>
  <c r="FH8" i="2" s="1"/>
  <c r="FH7" i="2" a="1"/>
  <c r="FH7" i="2" s="1"/>
  <c r="FH6" i="2" a="1"/>
  <c r="FH6" i="2" s="1"/>
  <c r="FH4" i="2" a="1"/>
  <c r="FH4" i="2" s="1"/>
  <c r="FH3" i="2" a="1"/>
  <c r="FH3" i="2" s="1"/>
  <c r="FH2" i="2" a="1"/>
  <c r="FH2" i="2" s="1"/>
  <c r="S97" i="2" a="1"/>
  <c r="S97" i="2" s="1"/>
  <c r="FG16" i="2" s="1" a="1"/>
  <c r="FG16" i="2" s="1"/>
  <c r="AD2835" i="2" s="1"/>
  <c r="R97" i="2" a="1"/>
  <c r="R97" i="2" s="1"/>
  <c r="FG15" i="2" s="1" a="1"/>
  <c r="FG15" i="2" s="1"/>
  <c r="AD2834" i="2" s="1"/>
  <c r="P97" i="2"/>
  <c r="FG13" i="2" s="1" a="1"/>
  <c r="FG13" i="2" s="1"/>
  <c r="O97" i="2"/>
  <c r="FG12" i="2" s="1" a="1"/>
  <c r="FG12" i="2" s="1"/>
  <c r="N97" i="2"/>
  <c r="FG11" i="2" s="1" a="1"/>
  <c r="FG11" i="2" s="1"/>
  <c r="M97" i="2"/>
  <c r="FG10" i="2" s="1" a="1"/>
  <c r="FG10" i="2" s="1"/>
  <c r="L97" i="2"/>
  <c r="FG9" i="2" s="1" a="1"/>
  <c r="FG9" i="2" s="1"/>
  <c r="K97" i="2"/>
  <c r="FG8" i="2" s="1" a="1"/>
  <c r="FG8" i="2" s="1"/>
  <c r="J97" i="2"/>
  <c r="FG7" i="2" s="1" a="1"/>
  <c r="FG7" i="2" s="1"/>
  <c r="I97" i="2"/>
  <c r="FG6" i="2" s="1" a="1"/>
  <c r="FG6" i="2" s="1"/>
  <c r="H97" i="2"/>
  <c r="G97" i="2"/>
  <c r="FG4" i="2" s="1" a="1"/>
  <c r="FG4" i="2" s="1"/>
  <c r="F97" i="2"/>
  <c r="FG3" i="2" s="1" a="1"/>
  <c r="FG3" i="2" s="1"/>
  <c r="E97" i="2"/>
  <c r="FG2" i="2" s="1" a="1"/>
  <c r="FG2" i="2" s="1"/>
  <c r="S96" i="2" a="1"/>
  <c r="S96" i="2" s="1"/>
  <c r="FF16" i="2" s="1" a="1"/>
  <c r="FF16" i="2" s="1"/>
  <c r="AD2814" i="2" s="1"/>
  <c r="R96" i="2" a="1"/>
  <c r="R96" i="2" s="1"/>
  <c r="FF15" i="2" s="1" a="1"/>
  <c r="FF15" i="2" s="1"/>
  <c r="AD2813" i="2" s="1"/>
  <c r="P96" i="2"/>
  <c r="FF13" i="2" s="1" a="1"/>
  <c r="FF13" i="2" s="1"/>
  <c r="O96" i="2"/>
  <c r="FF12" i="2" s="1" a="1"/>
  <c r="FF12" i="2" s="1"/>
  <c r="N96" i="2"/>
  <c r="FF11" i="2" s="1" a="1"/>
  <c r="FF11" i="2" s="1"/>
  <c r="M96" i="2"/>
  <c r="FF10" i="2" s="1" a="1"/>
  <c r="FF10" i="2" s="1"/>
  <c r="L96" i="2"/>
  <c r="FF9" i="2" s="1" a="1"/>
  <c r="FF9" i="2" s="1"/>
  <c r="K96" i="2"/>
  <c r="FF8" i="2" s="1" a="1"/>
  <c r="FF8" i="2" s="1"/>
  <c r="J96" i="2"/>
  <c r="FF7" i="2" s="1" a="1"/>
  <c r="FF7" i="2" s="1"/>
  <c r="I96" i="2"/>
  <c r="FF6" i="2" s="1" a="1"/>
  <c r="FF6" i="2" s="1"/>
  <c r="H96" i="2"/>
  <c r="G96" i="2"/>
  <c r="FF4" i="2" s="1" a="1"/>
  <c r="FF4" i="2" s="1"/>
  <c r="F96" i="2"/>
  <c r="FF3" i="2" s="1" a="1"/>
  <c r="FF3" i="2" s="1"/>
  <c r="E96" i="2"/>
  <c r="FF2" i="2" s="1" a="1"/>
  <c r="FF2" i="2" s="1"/>
  <c r="S95" i="2" a="1"/>
  <c r="S95" i="2" s="1"/>
  <c r="FE16" i="2" s="1" a="1"/>
  <c r="FE16" i="2" s="1"/>
  <c r="AD2793" i="2" s="1"/>
  <c r="R95" i="2" a="1"/>
  <c r="R95" i="2" s="1"/>
  <c r="FE15" i="2" s="1" a="1"/>
  <c r="FE15" i="2" s="1"/>
  <c r="AD2792" i="2" s="1"/>
  <c r="P95" i="2"/>
  <c r="FE13" i="2" s="1" a="1"/>
  <c r="FE13" i="2" s="1"/>
  <c r="O95" i="2"/>
  <c r="FE12" i="2" s="1" a="1"/>
  <c r="FE12" i="2" s="1"/>
  <c r="N95" i="2"/>
  <c r="FE11" i="2" s="1" a="1"/>
  <c r="FE11" i="2" s="1"/>
  <c r="M95" i="2"/>
  <c r="FE10" i="2" s="1" a="1"/>
  <c r="FE10" i="2" s="1"/>
  <c r="L95" i="2"/>
  <c r="FE9" i="2" s="1" a="1"/>
  <c r="FE9" i="2" s="1"/>
  <c r="K95" i="2"/>
  <c r="FE8" i="2" s="1" a="1"/>
  <c r="FE8" i="2" s="1"/>
  <c r="J95" i="2"/>
  <c r="FE7" i="2" s="1" a="1"/>
  <c r="FE7" i="2" s="1"/>
  <c r="I95" i="2"/>
  <c r="FE6" i="2" s="1" a="1"/>
  <c r="FE6" i="2" s="1"/>
  <c r="H95" i="2"/>
  <c r="G95" i="2"/>
  <c r="FE4" i="2" s="1" a="1"/>
  <c r="FE4" i="2" s="1"/>
  <c r="F95" i="2"/>
  <c r="FE3" i="2" s="1" a="1"/>
  <c r="FE3" i="2" s="1"/>
  <c r="E95" i="2"/>
  <c r="FE2" i="2" s="1" a="1"/>
  <c r="FE2" i="2" s="1"/>
  <c r="S94" i="2" a="1"/>
  <c r="S94" i="2" s="1"/>
  <c r="FD16" i="2" s="1" a="1"/>
  <c r="FD16" i="2" s="1"/>
  <c r="AD2772" i="2" s="1"/>
  <c r="R94" i="2" a="1"/>
  <c r="R94" i="2" s="1"/>
  <c r="FD15" i="2" s="1" a="1"/>
  <c r="FD15" i="2" s="1"/>
  <c r="AD2771" i="2" s="1"/>
  <c r="P94" i="2"/>
  <c r="FD13" i="2" s="1" a="1"/>
  <c r="FD13" i="2" s="1"/>
  <c r="O94" i="2"/>
  <c r="FD12" i="2" s="1" a="1"/>
  <c r="FD12" i="2" s="1"/>
  <c r="N94" i="2"/>
  <c r="FD11" i="2" s="1" a="1"/>
  <c r="FD11" i="2" s="1"/>
  <c r="M94" i="2"/>
  <c r="FD10" i="2" s="1" a="1"/>
  <c r="FD10" i="2" s="1"/>
  <c r="L94" i="2"/>
  <c r="FD9" i="2" s="1" a="1"/>
  <c r="FD9" i="2" s="1"/>
  <c r="K94" i="2"/>
  <c r="FD8" i="2" s="1" a="1"/>
  <c r="FD8" i="2" s="1"/>
  <c r="J94" i="2"/>
  <c r="FD7" i="2" s="1" a="1"/>
  <c r="FD7" i="2" s="1"/>
  <c r="I94" i="2"/>
  <c r="FD6" i="2" s="1" a="1"/>
  <c r="FD6" i="2" s="1"/>
  <c r="H94" i="2"/>
  <c r="G94" i="2"/>
  <c r="FD4" i="2" s="1" a="1"/>
  <c r="FD4" i="2" s="1"/>
  <c r="F94" i="2"/>
  <c r="FD3" i="2" s="1" a="1"/>
  <c r="FD3" i="2" s="1"/>
  <c r="E94" i="2"/>
  <c r="FD2" i="2" s="1" a="1"/>
  <c r="FD2" i="2" s="1"/>
  <c r="S93" i="2" a="1"/>
  <c r="S93" i="2" s="1"/>
  <c r="FC16" i="2" s="1" a="1"/>
  <c r="FC16" i="2" s="1"/>
  <c r="AD2751" i="2" s="1"/>
  <c r="R93" i="2" a="1"/>
  <c r="R93" i="2" s="1"/>
  <c r="FC15" i="2" s="1" a="1"/>
  <c r="FC15" i="2" s="1"/>
  <c r="AD2750" i="2" s="1"/>
  <c r="P93" i="2"/>
  <c r="FC13" i="2" s="1" a="1"/>
  <c r="FC13" i="2" s="1"/>
  <c r="O93" i="2"/>
  <c r="FC12" i="2" s="1" a="1"/>
  <c r="FC12" i="2" s="1"/>
  <c r="N93" i="2"/>
  <c r="FC11" i="2" s="1" a="1"/>
  <c r="FC11" i="2" s="1"/>
  <c r="M93" i="2"/>
  <c r="FC10" i="2" s="1" a="1"/>
  <c r="FC10" i="2" s="1"/>
  <c r="L93" i="2"/>
  <c r="FC9" i="2" s="1" a="1"/>
  <c r="FC9" i="2" s="1"/>
  <c r="K93" i="2"/>
  <c r="FC8" i="2" s="1" a="1"/>
  <c r="FC8" i="2" s="1"/>
  <c r="J93" i="2"/>
  <c r="FC7" i="2" s="1" a="1"/>
  <c r="FC7" i="2" s="1"/>
  <c r="I93" i="2"/>
  <c r="FC6" i="2" s="1" a="1"/>
  <c r="FC6" i="2" s="1"/>
  <c r="H93" i="2"/>
  <c r="G93" i="2"/>
  <c r="FC4" i="2" s="1" a="1"/>
  <c r="FC4" i="2" s="1"/>
  <c r="F93" i="2"/>
  <c r="FC3" i="2" s="1" a="1"/>
  <c r="FC3" i="2" s="1"/>
  <c r="E93" i="2"/>
  <c r="FC2" i="2" s="1" a="1"/>
  <c r="FC2" i="2" s="1"/>
  <c r="FB16" i="2" a="1"/>
  <c r="FB16" i="2" s="1"/>
  <c r="AD2730" i="2" s="1"/>
  <c r="FB15" i="2" a="1"/>
  <c r="FB15" i="2" s="1"/>
  <c r="AD2729" i="2" s="1"/>
  <c r="FB13" i="2" a="1"/>
  <c r="FB13" i="2" s="1"/>
  <c r="FB12" i="2" a="1"/>
  <c r="FB12" i="2" s="1"/>
  <c r="FB11" i="2" a="1"/>
  <c r="FB11" i="2" s="1"/>
  <c r="FB10" i="2" a="1"/>
  <c r="FB10" i="2" s="1"/>
  <c r="FB9" i="2" a="1"/>
  <c r="FB9" i="2" s="1"/>
  <c r="FB8" i="2" a="1"/>
  <c r="FB8" i="2" s="1"/>
  <c r="FB7" i="2" a="1"/>
  <c r="FB7" i="2" s="1"/>
  <c r="FB6" i="2" a="1"/>
  <c r="FB6" i="2" s="1"/>
  <c r="FB4" i="2" a="1"/>
  <c r="FB4" i="2" s="1"/>
  <c r="FB3" i="2" a="1"/>
  <c r="FB3" i="2" s="1"/>
  <c r="FB2" i="2" a="1"/>
  <c r="FB2" i="2" s="1"/>
  <c r="S92" i="2" a="1"/>
  <c r="S92" i="2" s="1"/>
  <c r="FA16" i="2" s="1" a="1"/>
  <c r="FA16" i="2" s="1"/>
  <c r="AD2709" i="2" s="1"/>
  <c r="R92" i="2" a="1"/>
  <c r="R92" i="2" s="1"/>
  <c r="FA15" i="2" s="1" a="1"/>
  <c r="FA15" i="2" s="1"/>
  <c r="AD2708" i="2" s="1"/>
  <c r="P92" i="2"/>
  <c r="FA13" i="2" s="1" a="1"/>
  <c r="FA13" i="2" s="1"/>
  <c r="O92" i="2"/>
  <c r="FA12" i="2" s="1" a="1"/>
  <c r="FA12" i="2" s="1"/>
  <c r="N92" i="2"/>
  <c r="FA11" i="2" s="1" a="1"/>
  <c r="FA11" i="2" s="1"/>
  <c r="M92" i="2"/>
  <c r="FA10" i="2" s="1" a="1"/>
  <c r="FA10" i="2" s="1"/>
  <c r="L92" i="2"/>
  <c r="FA9" i="2" s="1" a="1"/>
  <c r="FA9" i="2" s="1"/>
  <c r="K92" i="2"/>
  <c r="FA8" i="2" s="1" a="1"/>
  <c r="FA8" i="2" s="1"/>
  <c r="J92" i="2"/>
  <c r="FA7" i="2" s="1" a="1"/>
  <c r="FA7" i="2" s="1"/>
  <c r="I92" i="2"/>
  <c r="FA6" i="2" s="1" a="1"/>
  <c r="FA6" i="2" s="1"/>
  <c r="H92" i="2"/>
  <c r="G92" i="2"/>
  <c r="FA4" i="2" s="1" a="1"/>
  <c r="FA4" i="2" s="1"/>
  <c r="F92" i="2"/>
  <c r="FA3" i="2" s="1" a="1"/>
  <c r="FA3" i="2" s="1"/>
  <c r="E92" i="2"/>
  <c r="FA2" i="2" s="1" a="1"/>
  <c r="FA2" i="2" s="1"/>
  <c r="S91" i="2" a="1"/>
  <c r="S91" i="2" s="1"/>
  <c r="EZ16" i="2" s="1" a="1"/>
  <c r="EZ16" i="2" s="1"/>
  <c r="AD2688" i="2" s="1"/>
  <c r="R91" i="2" a="1"/>
  <c r="R91" i="2" s="1"/>
  <c r="EZ15" i="2" s="1" a="1"/>
  <c r="EZ15" i="2" s="1"/>
  <c r="AD2687" i="2" s="1"/>
  <c r="P91" i="2"/>
  <c r="EZ13" i="2" s="1" a="1"/>
  <c r="EZ13" i="2" s="1"/>
  <c r="O91" i="2"/>
  <c r="EZ12" i="2" s="1" a="1"/>
  <c r="EZ12" i="2" s="1"/>
  <c r="N91" i="2"/>
  <c r="EZ11" i="2" s="1" a="1"/>
  <c r="EZ11" i="2" s="1"/>
  <c r="M91" i="2"/>
  <c r="EZ10" i="2" s="1" a="1"/>
  <c r="EZ10" i="2" s="1"/>
  <c r="L91" i="2"/>
  <c r="EZ9" i="2" s="1" a="1"/>
  <c r="EZ9" i="2" s="1"/>
  <c r="K91" i="2"/>
  <c r="EZ8" i="2" s="1" a="1"/>
  <c r="EZ8" i="2" s="1"/>
  <c r="J91" i="2"/>
  <c r="EZ7" i="2" s="1" a="1"/>
  <c r="EZ7" i="2" s="1"/>
  <c r="I91" i="2"/>
  <c r="EZ6" i="2" s="1" a="1"/>
  <c r="EZ6" i="2" s="1"/>
  <c r="H91" i="2"/>
  <c r="G91" i="2"/>
  <c r="EZ4" i="2" s="1" a="1"/>
  <c r="EZ4" i="2" s="1"/>
  <c r="F91" i="2"/>
  <c r="EZ3" i="2" s="1" a="1"/>
  <c r="EZ3" i="2" s="1"/>
  <c r="E91" i="2"/>
  <c r="EZ2" i="2" s="1" a="1"/>
  <c r="EZ2" i="2" s="1"/>
  <c r="EY16" i="2" a="1"/>
  <c r="EY16" i="2" s="1"/>
  <c r="AD2667" i="2" s="1"/>
  <c r="EY15" i="2" a="1"/>
  <c r="EY15" i="2" s="1"/>
  <c r="AD2666" i="2" s="1"/>
  <c r="EY13" i="2" a="1"/>
  <c r="EY13" i="2" s="1"/>
  <c r="EY12" i="2" a="1"/>
  <c r="EY12" i="2" s="1"/>
  <c r="EY11" i="2" a="1"/>
  <c r="EY11" i="2" s="1"/>
  <c r="EY10" i="2" a="1"/>
  <c r="EY10" i="2" s="1"/>
  <c r="EY9" i="2" a="1"/>
  <c r="EY9" i="2" s="1"/>
  <c r="EY8" i="2" a="1"/>
  <c r="EY8" i="2" s="1"/>
  <c r="EY7" i="2" a="1"/>
  <c r="EY7" i="2" s="1"/>
  <c r="EY6" i="2" a="1"/>
  <c r="EY6" i="2" s="1"/>
  <c r="EY4" i="2" a="1"/>
  <c r="EY4" i="2" s="1"/>
  <c r="EY3" i="2" a="1"/>
  <c r="EY3" i="2" s="1"/>
  <c r="EY2" i="2" a="1"/>
  <c r="EY2" i="2" s="1"/>
  <c r="S90" i="2" a="1"/>
  <c r="S90" i="2" s="1"/>
  <c r="EX16" i="2" s="1" a="1"/>
  <c r="EX16" i="2" s="1"/>
  <c r="AD2646" i="2" s="1"/>
  <c r="R90" i="2" a="1"/>
  <c r="R90" i="2" s="1"/>
  <c r="EX15" i="2" s="1" a="1"/>
  <c r="EX15" i="2" s="1"/>
  <c r="AD2645" i="2" s="1"/>
  <c r="P90" i="2"/>
  <c r="EX13" i="2" s="1" a="1"/>
  <c r="EX13" i="2" s="1"/>
  <c r="O90" i="2"/>
  <c r="EX12" i="2" s="1" a="1"/>
  <c r="EX12" i="2" s="1"/>
  <c r="N90" i="2"/>
  <c r="EX11" i="2" s="1" a="1"/>
  <c r="EX11" i="2" s="1"/>
  <c r="M90" i="2"/>
  <c r="EX10" i="2" s="1" a="1"/>
  <c r="EX10" i="2" s="1"/>
  <c r="L90" i="2"/>
  <c r="EX9" i="2" s="1" a="1"/>
  <c r="EX9" i="2" s="1"/>
  <c r="K90" i="2"/>
  <c r="EX8" i="2" s="1" a="1"/>
  <c r="EX8" i="2" s="1"/>
  <c r="J90" i="2"/>
  <c r="EX7" i="2" s="1" a="1"/>
  <c r="EX7" i="2" s="1"/>
  <c r="I90" i="2"/>
  <c r="EX6" i="2" s="1" a="1"/>
  <c r="EX6" i="2" s="1"/>
  <c r="H90" i="2"/>
  <c r="G90" i="2"/>
  <c r="EX4" i="2" s="1" a="1"/>
  <c r="EX4" i="2" s="1"/>
  <c r="F90" i="2"/>
  <c r="EX3" i="2" s="1" a="1"/>
  <c r="EX3" i="2" s="1"/>
  <c r="E90" i="2"/>
  <c r="EX2" i="2" s="1" a="1"/>
  <c r="EX2" i="2" s="1"/>
  <c r="EW16" i="2" a="1"/>
  <c r="EW16" i="2" s="1"/>
  <c r="AD2625" i="2" s="1"/>
  <c r="EW15" i="2" a="1"/>
  <c r="EW15" i="2" s="1"/>
  <c r="AD2624" i="2" s="1"/>
  <c r="EW13" i="2" a="1"/>
  <c r="EW13" i="2" s="1"/>
  <c r="EW12" i="2" a="1"/>
  <c r="EW12" i="2" s="1"/>
  <c r="EW11" i="2" a="1"/>
  <c r="EW11" i="2" s="1"/>
  <c r="EW10" i="2" a="1"/>
  <c r="EW10" i="2" s="1"/>
  <c r="EW9" i="2" a="1"/>
  <c r="EW9" i="2" s="1"/>
  <c r="EW8" i="2" a="1"/>
  <c r="EW8" i="2" s="1"/>
  <c r="EW7" i="2" a="1"/>
  <c r="EW7" i="2" s="1"/>
  <c r="EW6" i="2" a="1"/>
  <c r="EW6" i="2" s="1"/>
  <c r="EW4" i="2" a="1"/>
  <c r="EW4" i="2" s="1"/>
  <c r="EW3" i="2" a="1"/>
  <c r="EW3" i="2" s="1"/>
  <c r="EW2" i="2" a="1"/>
  <c r="EW2" i="2" s="1"/>
  <c r="S89" i="2" a="1"/>
  <c r="S89" i="2" s="1"/>
  <c r="EV16" i="2" s="1" a="1"/>
  <c r="EV16" i="2" s="1"/>
  <c r="AD2604" i="2" s="1"/>
  <c r="R89" i="2" a="1"/>
  <c r="R89" i="2" s="1"/>
  <c r="EV15" i="2" s="1" a="1"/>
  <c r="EV15" i="2" s="1"/>
  <c r="AD2603" i="2" s="1"/>
  <c r="P89" i="2"/>
  <c r="EV13" i="2" s="1" a="1"/>
  <c r="EV13" i="2" s="1"/>
  <c r="O89" i="2"/>
  <c r="EV12" i="2" s="1" a="1"/>
  <c r="EV12" i="2" s="1"/>
  <c r="N89" i="2"/>
  <c r="EV11" i="2" s="1" a="1"/>
  <c r="EV11" i="2" s="1"/>
  <c r="M89" i="2"/>
  <c r="EV10" i="2" s="1" a="1"/>
  <c r="EV10" i="2" s="1"/>
  <c r="L89" i="2"/>
  <c r="EV9" i="2" s="1" a="1"/>
  <c r="EV9" i="2" s="1"/>
  <c r="K89" i="2"/>
  <c r="EV8" i="2" s="1" a="1"/>
  <c r="EV8" i="2" s="1"/>
  <c r="J89" i="2"/>
  <c r="EV7" i="2" s="1" a="1"/>
  <c r="EV7" i="2" s="1"/>
  <c r="I89" i="2"/>
  <c r="EV6" i="2" s="1" a="1"/>
  <c r="EV6" i="2" s="1"/>
  <c r="H89" i="2"/>
  <c r="G89" i="2"/>
  <c r="EV4" i="2" s="1" a="1"/>
  <c r="EV4" i="2" s="1"/>
  <c r="F89" i="2"/>
  <c r="EV3" i="2" s="1" a="1"/>
  <c r="EV3" i="2" s="1"/>
  <c r="E89" i="2"/>
  <c r="EV2" i="2" s="1" a="1"/>
  <c r="EV2" i="2" s="1"/>
  <c r="EU16" i="2" a="1"/>
  <c r="EU16" i="2" s="1"/>
  <c r="AD2583" i="2" s="1"/>
  <c r="EU15" i="2" a="1"/>
  <c r="EU15" i="2" s="1"/>
  <c r="AD2582" i="2" s="1"/>
  <c r="EU13" i="2" a="1"/>
  <c r="EU13" i="2" s="1"/>
  <c r="EU12" i="2" a="1"/>
  <c r="EU12" i="2" s="1"/>
  <c r="EU11" i="2" a="1"/>
  <c r="EU11" i="2" s="1"/>
  <c r="EU10" i="2" a="1"/>
  <c r="EU10" i="2" s="1"/>
  <c r="EU9" i="2" a="1"/>
  <c r="EU9" i="2" s="1"/>
  <c r="EU8" i="2" a="1"/>
  <c r="EU8" i="2" s="1"/>
  <c r="EU7" i="2" a="1"/>
  <c r="EU7" i="2" s="1"/>
  <c r="EU6" i="2" a="1"/>
  <c r="EU6" i="2" s="1"/>
  <c r="EU4" i="2" a="1"/>
  <c r="EU4" i="2" s="1"/>
  <c r="EU3" i="2" a="1"/>
  <c r="EU3" i="2" s="1"/>
  <c r="EU2" i="2" a="1"/>
  <c r="EU2" i="2" s="1"/>
  <c r="S88" i="2" a="1"/>
  <c r="S88" i="2" s="1"/>
  <c r="ET16" i="2" s="1" a="1"/>
  <c r="ET16" i="2" s="1"/>
  <c r="AD2562" i="2" s="1"/>
  <c r="R88" i="2" a="1"/>
  <c r="R88" i="2" s="1"/>
  <c r="ET15" i="2" s="1" a="1"/>
  <c r="ET15" i="2" s="1"/>
  <c r="AD2561" i="2" s="1"/>
  <c r="P88" i="2"/>
  <c r="ET13" i="2" s="1" a="1"/>
  <c r="ET13" i="2" s="1"/>
  <c r="O88" i="2"/>
  <c r="ET12" i="2" s="1" a="1"/>
  <c r="ET12" i="2" s="1"/>
  <c r="N88" i="2"/>
  <c r="ET11" i="2" s="1" a="1"/>
  <c r="ET11" i="2" s="1"/>
  <c r="M88" i="2"/>
  <c r="ET10" i="2" s="1" a="1"/>
  <c r="ET10" i="2" s="1"/>
  <c r="L88" i="2"/>
  <c r="ET9" i="2" s="1" a="1"/>
  <c r="ET9" i="2" s="1"/>
  <c r="K88" i="2"/>
  <c r="ET8" i="2" s="1" a="1"/>
  <c r="ET8" i="2" s="1"/>
  <c r="J88" i="2"/>
  <c r="ET7" i="2" s="1" a="1"/>
  <c r="ET7" i="2" s="1"/>
  <c r="I88" i="2"/>
  <c r="ET6" i="2" s="1" a="1"/>
  <c r="ET6" i="2" s="1"/>
  <c r="H88" i="2"/>
  <c r="G88" i="2"/>
  <c r="ET4" i="2" s="1" a="1"/>
  <c r="ET4" i="2" s="1"/>
  <c r="F88" i="2"/>
  <c r="ET3" i="2" s="1" a="1"/>
  <c r="ET3" i="2" s="1"/>
  <c r="E88" i="2"/>
  <c r="ET2" i="2" s="1" a="1"/>
  <c r="ET2" i="2" s="1"/>
  <c r="S87" i="2" a="1"/>
  <c r="S87" i="2" s="1"/>
  <c r="ES16" i="2" s="1" a="1"/>
  <c r="ES16" i="2" s="1"/>
  <c r="AD2541" i="2" s="1"/>
  <c r="R87" i="2" a="1"/>
  <c r="R87" i="2" s="1"/>
  <c r="ES15" i="2" s="1" a="1"/>
  <c r="ES15" i="2" s="1"/>
  <c r="AD2540" i="2" s="1"/>
  <c r="P87" i="2"/>
  <c r="ES13" i="2" s="1" a="1"/>
  <c r="ES13" i="2" s="1"/>
  <c r="O87" i="2"/>
  <c r="ES12" i="2" s="1" a="1"/>
  <c r="ES12" i="2" s="1"/>
  <c r="N87" i="2"/>
  <c r="ES11" i="2" s="1" a="1"/>
  <c r="ES11" i="2" s="1"/>
  <c r="M87" i="2"/>
  <c r="ES10" i="2" s="1" a="1"/>
  <c r="ES10" i="2" s="1"/>
  <c r="L87" i="2"/>
  <c r="ES9" i="2" s="1" a="1"/>
  <c r="ES9" i="2" s="1"/>
  <c r="K87" i="2"/>
  <c r="ES8" i="2" s="1" a="1"/>
  <c r="ES8" i="2" s="1"/>
  <c r="J87" i="2"/>
  <c r="ES7" i="2" s="1" a="1"/>
  <c r="ES7" i="2" s="1"/>
  <c r="I87" i="2"/>
  <c r="ES6" i="2" s="1" a="1"/>
  <c r="ES6" i="2" s="1"/>
  <c r="H87" i="2"/>
  <c r="G87" i="2"/>
  <c r="ES4" i="2" s="1" a="1"/>
  <c r="ES4" i="2" s="1"/>
  <c r="F87" i="2"/>
  <c r="ES3" i="2" s="1" a="1"/>
  <c r="ES3" i="2" s="1"/>
  <c r="E87" i="2"/>
  <c r="ES2" i="2" s="1" a="1"/>
  <c r="ES2" i="2" s="1"/>
  <c r="S86" i="2" a="1"/>
  <c r="S86" i="2" s="1"/>
  <c r="ER16" i="2" s="1" a="1"/>
  <c r="ER16" i="2" s="1"/>
  <c r="AD2520" i="2" s="1"/>
  <c r="R86" i="2" a="1"/>
  <c r="R86" i="2" s="1"/>
  <c r="ER15" i="2" s="1" a="1"/>
  <c r="ER15" i="2" s="1"/>
  <c r="AD2519" i="2" s="1"/>
  <c r="P86" i="2"/>
  <c r="ER13" i="2" s="1" a="1"/>
  <c r="ER13" i="2" s="1"/>
  <c r="O86" i="2"/>
  <c r="ER12" i="2" s="1" a="1"/>
  <c r="ER12" i="2" s="1"/>
  <c r="N86" i="2"/>
  <c r="ER11" i="2" s="1" a="1"/>
  <c r="ER11" i="2" s="1"/>
  <c r="M86" i="2"/>
  <c r="ER10" i="2" s="1" a="1"/>
  <c r="ER10" i="2" s="1"/>
  <c r="L86" i="2"/>
  <c r="ER9" i="2" s="1" a="1"/>
  <c r="ER9" i="2" s="1"/>
  <c r="K86" i="2"/>
  <c r="ER8" i="2" s="1" a="1"/>
  <c r="ER8" i="2" s="1"/>
  <c r="J86" i="2"/>
  <c r="ER7" i="2" s="1" a="1"/>
  <c r="ER7" i="2" s="1"/>
  <c r="I86" i="2"/>
  <c r="ER6" i="2" s="1" a="1"/>
  <c r="ER6" i="2" s="1"/>
  <c r="H86" i="2"/>
  <c r="G86" i="2"/>
  <c r="ER4" i="2" s="1" a="1"/>
  <c r="ER4" i="2" s="1"/>
  <c r="F86" i="2"/>
  <c r="ER3" i="2" s="1" a="1"/>
  <c r="ER3" i="2" s="1"/>
  <c r="E86" i="2"/>
  <c r="ER2" i="2" s="1" a="1"/>
  <c r="ER2" i="2" s="1"/>
  <c r="S85" i="2" a="1"/>
  <c r="S85" i="2" s="1"/>
  <c r="EQ16" i="2" s="1" a="1"/>
  <c r="EQ16" i="2" s="1"/>
  <c r="AD2499" i="2" s="1"/>
  <c r="R85" i="2" a="1"/>
  <c r="R85" i="2" s="1"/>
  <c r="EQ15" i="2" s="1" a="1"/>
  <c r="EQ15" i="2" s="1"/>
  <c r="AD2498" i="2" s="1"/>
  <c r="P85" i="2"/>
  <c r="EQ13" i="2" s="1" a="1"/>
  <c r="EQ13" i="2" s="1"/>
  <c r="O85" i="2"/>
  <c r="EQ12" i="2" s="1" a="1"/>
  <c r="EQ12" i="2" s="1"/>
  <c r="N85" i="2"/>
  <c r="EQ11" i="2" s="1" a="1"/>
  <c r="EQ11" i="2" s="1"/>
  <c r="M85" i="2"/>
  <c r="EQ10" i="2" s="1" a="1"/>
  <c r="EQ10" i="2" s="1"/>
  <c r="L85" i="2"/>
  <c r="EQ9" i="2" s="1" a="1"/>
  <c r="EQ9" i="2" s="1"/>
  <c r="K85" i="2"/>
  <c r="EQ8" i="2" s="1" a="1"/>
  <c r="EQ8" i="2" s="1"/>
  <c r="J85" i="2"/>
  <c r="EQ7" i="2" s="1" a="1"/>
  <c r="EQ7" i="2" s="1"/>
  <c r="I85" i="2"/>
  <c r="EQ6" i="2" s="1" a="1"/>
  <c r="EQ6" i="2" s="1"/>
  <c r="H85" i="2"/>
  <c r="G85" i="2"/>
  <c r="EQ4" i="2" s="1" a="1"/>
  <c r="EQ4" i="2" s="1"/>
  <c r="F85" i="2"/>
  <c r="EQ3" i="2" s="1" a="1"/>
  <c r="EQ3" i="2" s="1"/>
  <c r="E85" i="2"/>
  <c r="EQ2" i="2" s="1" a="1"/>
  <c r="EQ2" i="2" s="1"/>
  <c r="S84" i="2" a="1"/>
  <c r="S84" i="2" s="1"/>
  <c r="EP16" i="2" s="1" a="1"/>
  <c r="EP16" i="2" s="1"/>
  <c r="AD2478" i="2" s="1"/>
  <c r="R84" i="2" a="1"/>
  <c r="R84" i="2" s="1"/>
  <c r="EP15" i="2" s="1" a="1"/>
  <c r="EP15" i="2" s="1"/>
  <c r="AD2477" i="2" s="1"/>
  <c r="P84" i="2"/>
  <c r="EP13" i="2" s="1" a="1"/>
  <c r="EP13" i="2" s="1"/>
  <c r="O84" i="2"/>
  <c r="EP12" i="2" s="1" a="1"/>
  <c r="EP12" i="2" s="1"/>
  <c r="N84" i="2"/>
  <c r="EP11" i="2" s="1" a="1"/>
  <c r="EP11" i="2" s="1"/>
  <c r="M84" i="2"/>
  <c r="EP10" i="2" s="1" a="1"/>
  <c r="EP10" i="2" s="1"/>
  <c r="L84" i="2"/>
  <c r="EP9" i="2" s="1" a="1"/>
  <c r="EP9" i="2" s="1"/>
  <c r="K84" i="2"/>
  <c r="EP8" i="2" s="1" a="1"/>
  <c r="EP8" i="2" s="1"/>
  <c r="J84" i="2"/>
  <c r="EP7" i="2" s="1" a="1"/>
  <c r="EP7" i="2" s="1"/>
  <c r="I84" i="2"/>
  <c r="EP6" i="2" s="1" a="1"/>
  <c r="EP6" i="2" s="1"/>
  <c r="H84" i="2"/>
  <c r="G84" i="2"/>
  <c r="EP4" i="2" s="1" a="1"/>
  <c r="EP4" i="2" s="1"/>
  <c r="F84" i="2"/>
  <c r="EP3" i="2" s="1" a="1"/>
  <c r="EP3" i="2" s="1"/>
  <c r="E84" i="2"/>
  <c r="EP2" i="2" s="1" a="1"/>
  <c r="EP2" i="2" s="1"/>
  <c r="S83" i="2" a="1"/>
  <c r="S83" i="2" s="1"/>
  <c r="EO16" i="2" s="1" a="1"/>
  <c r="EO16" i="2" s="1"/>
  <c r="AD2457" i="2" s="1"/>
  <c r="R83" i="2" a="1"/>
  <c r="R83" i="2" s="1"/>
  <c r="EO15" i="2" s="1" a="1"/>
  <c r="EO15" i="2" s="1"/>
  <c r="AD2456" i="2" s="1"/>
  <c r="P83" i="2"/>
  <c r="EO13" i="2" s="1" a="1"/>
  <c r="EO13" i="2" s="1"/>
  <c r="O83" i="2"/>
  <c r="EO12" i="2" s="1" a="1"/>
  <c r="EO12" i="2" s="1"/>
  <c r="N83" i="2"/>
  <c r="EO11" i="2" s="1" a="1"/>
  <c r="EO11" i="2" s="1"/>
  <c r="M83" i="2"/>
  <c r="EO10" i="2" s="1" a="1"/>
  <c r="EO10" i="2" s="1"/>
  <c r="L83" i="2"/>
  <c r="EO9" i="2" s="1" a="1"/>
  <c r="EO9" i="2" s="1"/>
  <c r="K83" i="2"/>
  <c r="EO8" i="2" s="1" a="1"/>
  <c r="EO8" i="2" s="1"/>
  <c r="J83" i="2"/>
  <c r="EO7" i="2" s="1" a="1"/>
  <c r="EO7" i="2" s="1"/>
  <c r="I83" i="2"/>
  <c r="EO6" i="2" s="1" a="1"/>
  <c r="EO6" i="2" s="1"/>
  <c r="H83" i="2"/>
  <c r="G83" i="2"/>
  <c r="EO4" i="2" s="1" a="1"/>
  <c r="EO4" i="2" s="1"/>
  <c r="F83" i="2"/>
  <c r="EO3" i="2" s="1" a="1"/>
  <c r="EO3" i="2" s="1"/>
  <c r="E83" i="2"/>
  <c r="EO2" i="2" s="1" a="1"/>
  <c r="EO2" i="2" s="1"/>
  <c r="S82" i="2" a="1"/>
  <c r="S82" i="2" s="1"/>
  <c r="EN16" i="2" s="1" a="1"/>
  <c r="EN16" i="2" s="1"/>
  <c r="AD2436" i="2" s="1"/>
  <c r="R82" i="2" a="1"/>
  <c r="R82" i="2" s="1"/>
  <c r="EN15" i="2" s="1" a="1"/>
  <c r="EN15" i="2" s="1"/>
  <c r="AD2435" i="2" s="1"/>
  <c r="P82" i="2"/>
  <c r="EN13" i="2" s="1" a="1"/>
  <c r="EN13" i="2" s="1"/>
  <c r="O82" i="2"/>
  <c r="EN12" i="2" s="1" a="1"/>
  <c r="EN12" i="2" s="1"/>
  <c r="N82" i="2"/>
  <c r="EN11" i="2" s="1" a="1"/>
  <c r="EN11" i="2" s="1"/>
  <c r="M82" i="2"/>
  <c r="EN10" i="2" s="1" a="1"/>
  <c r="EN10" i="2" s="1"/>
  <c r="L82" i="2"/>
  <c r="EN9" i="2" s="1" a="1"/>
  <c r="EN9" i="2" s="1"/>
  <c r="K82" i="2"/>
  <c r="EN8" i="2" s="1" a="1"/>
  <c r="EN8" i="2" s="1"/>
  <c r="J82" i="2"/>
  <c r="EN7" i="2" s="1" a="1"/>
  <c r="EN7" i="2" s="1"/>
  <c r="I82" i="2"/>
  <c r="EN6" i="2" s="1" a="1"/>
  <c r="EN6" i="2" s="1"/>
  <c r="H82" i="2"/>
  <c r="G82" i="2"/>
  <c r="EN4" i="2" s="1" a="1"/>
  <c r="EN4" i="2" s="1"/>
  <c r="F82" i="2"/>
  <c r="EN3" i="2" s="1" a="1"/>
  <c r="EN3" i="2" s="1"/>
  <c r="E82" i="2"/>
  <c r="EN2" i="2" s="1" a="1"/>
  <c r="EN2" i="2" s="1"/>
  <c r="EM16" i="2" a="1"/>
  <c r="EM16" i="2" s="1"/>
  <c r="AD2415" i="2" s="1"/>
  <c r="EM15" i="2" a="1"/>
  <c r="EM15" i="2" s="1"/>
  <c r="AD2414" i="2" s="1"/>
  <c r="EM13" i="2" a="1"/>
  <c r="EM13" i="2" s="1"/>
  <c r="EM12" i="2" a="1"/>
  <c r="EM12" i="2" s="1"/>
  <c r="EM11" i="2" a="1"/>
  <c r="EM11" i="2" s="1"/>
  <c r="EM10" i="2" a="1"/>
  <c r="EM10" i="2" s="1"/>
  <c r="EM9" i="2" a="1"/>
  <c r="EM9" i="2" s="1"/>
  <c r="EM8" i="2" a="1"/>
  <c r="EM8" i="2" s="1"/>
  <c r="EM7" i="2" a="1"/>
  <c r="EM7" i="2" s="1"/>
  <c r="EM6" i="2" a="1"/>
  <c r="EM6" i="2" s="1"/>
  <c r="EM4" i="2" a="1"/>
  <c r="EM4" i="2" s="1"/>
  <c r="EM3" i="2" a="1"/>
  <c r="EM3" i="2" s="1"/>
  <c r="EM2" i="2" a="1"/>
  <c r="EM2" i="2" s="1"/>
  <c r="S81" i="2" a="1"/>
  <c r="S81" i="2" s="1"/>
  <c r="EL16" i="2" s="1" a="1"/>
  <c r="EL16" i="2" s="1"/>
  <c r="AD2394" i="2" s="1"/>
  <c r="R81" i="2" a="1"/>
  <c r="R81" i="2" s="1"/>
  <c r="EL15" i="2" s="1" a="1"/>
  <c r="EL15" i="2" s="1"/>
  <c r="AD2393" i="2" s="1"/>
  <c r="P81" i="2"/>
  <c r="EL13" i="2" s="1" a="1"/>
  <c r="EL13" i="2" s="1"/>
  <c r="O81" i="2"/>
  <c r="EL12" i="2" s="1" a="1"/>
  <c r="EL12" i="2" s="1"/>
  <c r="N81" i="2"/>
  <c r="EL11" i="2" s="1" a="1"/>
  <c r="EL11" i="2" s="1"/>
  <c r="M81" i="2"/>
  <c r="EL10" i="2" s="1" a="1"/>
  <c r="EL10" i="2" s="1"/>
  <c r="L81" i="2"/>
  <c r="EL9" i="2" s="1" a="1"/>
  <c r="EL9" i="2" s="1"/>
  <c r="K81" i="2"/>
  <c r="EL8" i="2" s="1" a="1"/>
  <c r="EL8" i="2" s="1"/>
  <c r="J81" i="2"/>
  <c r="EL7" i="2" s="1" a="1"/>
  <c r="EL7" i="2" s="1"/>
  <c r="I81" i="2"/>
  <c r="EL6" i="2" s="1" a="1"/>
  <c r="EL6" i="2" s="1"/>
  <c r="H81" i="2"/>
  <c r="G81" i="2"/>
  <c r="EL4" i="2" s="1" a="1"/>
  <c r="EL4" i="2" s="1"/>
  <c r="F81" i="2"/>
  <c r="EL3" i="2" s="1" a="1"/>
  <c r="EL3" i="2" s="1"/>
  <c r="E81" i="2"/>
  <c r="EL2" i="2" s="1" a="1"/>
  <c r="EL2" i="2" s="1"/>
  <c r="EK16" i="2" a="1"/>
  <c r="EK16" i="2" s="1"/>
  <c r="AD2373" i="2" s="1"/>
  <c r="EK15" i="2" a="1"/>
  <c r="EK15" i="2" s="1"/>
  <c r="AD2372" i="2" s="1"/>
  <c r="EK13" i="2" a="1"/>
  <c r="EK13" i="2" s="1"/>
  <c r="EK12" i="2" a="1"/>
  <c r="EK12" i="2" s="1"/>
  <c r="EK11" i="2" a="1"/>
  <c r="EK11" i="2" s="1"/>
  <c r="EK10" i="2" a="1"/>
  <c r="EK10" i="2" s="1"/>
  <c r="EK9" i="2" a="1"/>
  <c r="EK9" i="2" s="1"/>
  <c r="EK8" i="2" a="1"/>
  <c r="EK8" i="2" s="1"/>
  <c r="EK7" i="2" a="1"/>
  <c r="EK7" i="2" s="1"/>
  <c r="EK6" i="2" a="1"/>
  <c r="EK6" i="2" s="1"/>
  <c r="EK4" i="2" a="1"/>
  <c r="EK4" i="2" s="1"/>
  <c r="EK3" i="2" a="1"/>
  <c r="EK3" i="2" s="1"/>
  <c r="EK2" i="2" a="1"/>
  <c r="EK2" i="2" s="1"/>
  <c r="S80" i="2" a="1"/>
  <c r="S80" i="2" s="1"/>
  <c r="EJ16" i="2" s="1" a="1"/>
  <c r="EJ16" i="2" s="1"/>
  <c r="AD2352" i="2" s="1"/>
  <c r="R80" i="2" a="1"/>
  <c r="R80" i="2" s="1"/>
  <c r="EJ15" i="2" s="1" a="1"/>
  <c r="EJ15" i="2" s="1"/>
  <c r="AD2351" i="2" s="1"/>
  <c r="P80" i="2"/>
  <c r="EJ13" i="2" s="1" a="1"/>
  <c r="EJ13" i="2" s="1"/>
  <c r="O80" i="2"/>
  <c r="EJ12" i="2" s="1" a="1"/>
  <c r="EJ12" i="2" s="1"/>
  <c r="N80" i="2"/>
  <c r="EJ11" i="2" s="1" a="1"/>
  <c r="EJ11" i="2" s="1"/>
  <c r="M80" i="2"/>
  <c r="EJ10" i="2" s="1" a="1"/>
  <c r="EJ10" i="2" s="1"/>
  <c r="L80" i="2"/>
  <c r="EJ9" i="2" s="1" a="1"/>
  <c r="EJ9" i="2" s="1"/>
  <c r="K80" i="2"/>
  <c r="EJ8" i="2" s="1" a="1"/>
  <c r="EJ8" i="2" s="1"/>
  <c r="J80" i="2"/>
  <c r="EJ7" i="2" s="1" a="1"/>
  <c r="EJ7" i="2" s="1"/>
  <c r="I80" i="2"/>
  <c r="EJ6" i="2" s="1" a="1"/>
  <c r="EJ6" i="2" s="1"/>
  <c r="H80" i="2"/>
  <c r="G80" i="2"/>
  <c r="EJ4" i="2" s="1" a="1"/>
  <c r="EJ4" i="2" s="1"/>
  <c r="F80" i="2"/>
  <c r="EJ3" i="2" s="1" a="1"/>
  <c r="EJ3" i="2" s="1"/>
  <c r="E80" i="2"/>
  <c r="EJ2" i="2" s="1" a="1"/>
  <c r="EJ2" i="2" s="1"/>
  <c r="EI16" i="2" a="1"/>
  <c r="EI16" i="2" s="1"/>
  <c r="AD2331" i="2" s="1"/>
  <c r="EI15" i="2" a="1"/>
  <c r="EI15" i="2" s="1"/>
  <c r="AD2330" i="2" s="1"/>
  <c r="EI13" i="2" a="1"/>
  <c r="EI13" i="2" s="1"/>
  <c r="EI12" i="2" a="1"/>
  <c r="EI12" i="2" s="1"/>
  <c r="EI11" i="2" a="1"/>
  <c r="EI11" i="2" s="1"/>
  <c r="EI10" i="2" a="1"/>
  <c r="EI10" i="2" s="1"/>
  <c r="EI9" i="2" a="1"/>
  <c r="EI9" i="2" s="1"/>
  <c r="EI8" i="2" a="1"/>
  <c r="EI8" i="2" s="1"/>
  <c r="EI7" i="2" a="1"/>
  <c r="EI7" i="2" s="1"/>
  <c r="EI6" i="2" a="1"/>
  <c r="EI6" i="2" s="1"/>
  <c r="EI4" i="2" a="1"/>
  <c r="EI4" i="2" s="1"/>
  <c r="EI3" i="2" a="1"/>
  <c r="EI3" i="2" s="1"/>
  <c r="EI2" i="2" a="1"/>
  <c r="EI2" i="2" s="1"/>
  <c r="EH16" i="2" a="1"/>
  <c r="EH16" i="2" s="1"/>
  <c r="AD2310" i="2" s="1"/>
  <c r="EH15" i="2" a="1"/>
  <c r="EH15" i="2" s="1"/>
  <c r="AD2309" i="2" s="1"/>
  <c r="EH13" i="2" a="1"/>
  <c r="EH13" i="2" s="1"/>
  <c r="EH12" i="2" a="1"/>
  <c r="EH12" i="2" s="1"/>
  <c r="EH11" i="2" a="1"/>
  <c r="EH11" i="2" s="1"/>
  <c r="EH10" i="2" a="1"/>
  <c r="EH10" i="2" s="1"/>
  <c r="EH9" i="2" a="1"/>
  <c r="EH9" i="2" s="1"/>
  <c r="EH8" i="2" a="1"/>
  <c r="EH8" i="2" s="1"/>
  <c r="EH7" i="2" a="1"/>
  <c r="EH7" i="2" s="1"/>
  <c r="EH6" i="2" a="1"/>
  <c r="EH6" i="2" s="1"/>
  <c r="EH4" i="2" a="1"/>
  <c r="EH4" i="2" s="1"/>
  <c r="EH3" i="2" a="1"/>
  <c r="EH3" i="2" s="1"/>
  <c r="EH2" i="2" a="1"/>
  <c r="EH2" i="2" s="1"/>
  <c r="S79" i="2" a="1"/>
  <c r="S79" i="2" s="1"/>
  <c r="EG16" i="2" s="1" a="1"/>
  <c r="EG16" i="2" s="1"/>
  <c r="AD2289" i="2" s="1"/>
  <c r="R79" i="2" a="1"/>
  <c r="R79" i="2" s="1"/>
  <c r="EG15" i="2" s="1" a="1"/>
  <c r="EG15" i="2" s="1"/>
  <c r="AD2288" i="2" s="1"/>
  <c r="P79" i="2"/>
  <c r="EG13" i="2" s="1" a="1"/>
  <c r="EG13" i="2" s="1"/>
  <c r="O79" i="2"/>
  <c r="EG12" i="2" s="1" a="1"/>
  <c r="EG12" i="2" s="1"/>
  <c r="N79" i="2"/>
  <c r="EG11" i="2" s="1" a="1"/>
  <c r="EG11" i="2" s="1"/>
  <c r="M79" i="2"/>
  <c r="EG10" i="2" s="1" a="1"/>
  <c r="EG10" i="2" s="1"/>
  <c r="L79" i="2"/>
  <c r="EG9" i="2" s="1" a="1"/>
  <c r="EG9" i="2" s="1"/>
  <c r="K79" i="2"/>
  <c r="EG8" i="2" s="1" a="1"/>
  <c r="EG8" i="2" s="1"/>
  <c r="J79" i="2"/>
  <c r="EG7" i="2" s="1" a="1"/>
  <c r="EG7" i="2" s="1"/>
  <c r="I79" i="2"/>
  <c r="EG6" i="2" s="1" a="1"/>
  <c r="EG6" i="2" s="1"/>
  <c r="H79" i="2"/>
  <c r="G79" i="2"/>
  <c r="EG4" i="2" s="1" a="1"/>
  <c r="EG4" i="2" s="1"/>
  <c r="F79" i="2"/>
  <c r="EG3" i="2" s="1" a="1"/>
  <c r="EG3" i="2" s="1"/>
  <c r="E79" i="2"/>
  <c r="EG2" i="2" s="1" a="1"/>
  <c r="EG2" i="2" s="1"/>
  <c r="EF16" i="2" a="1"/>
  <c r="EF16" i="2" s="1"/>
  <c r="AD2268" i="2" s="1"/>
  <c r="EF15" i="2" a="1"/>
  <c r="EF15" i="2" s="1"/>
  <c r="AD2267" i="2" s="1"/>
  <c r="EF13" i="2" a="1"/>
  <c r="EF13" i="2" s="1"/>
  <c r="EF12" i="2" a="1"/>
  <c r="EF12" i="2" s="1"/>
  <c r="EF11" i="2" a="1"/>
  <c r="EF11" i="2" s="1"/>
  <c r="EF10" i="2" a="1"/>
  <c r="EF10" i="2" s="1"/>
  <c r="EF9" i="2" a="1"/>
  <c r="EF9" i="2" s="1"/>
  <c r="EF8" i="2" a="1"/>
  <c r="EF8" i="2" s="1"/>
  <c r="EF7" i="2" a="1"/>
  <c r="EF7" i="2" s="1"/>
  <c r="EF6" i="2" a="1"/>
  <c r="EF6" i="2" s="1"/>
  <c r="EF4" i="2" a="1"/>
  <c r="EF4" i="2" s="1"/>
  <c r="EF3" i="2" a="1"/>
  <c r="EF3" i="2" s="1"/>
  <c r="EF2" i="2" a="1"/>
  <c r="EF2" i="2" s="1"/>
  <c r="S78" i="2" a="1"/>
  <c r="S78" i="2" s="1"/>
  <c r="EE16" i="2" s="1" a="1"/>
  <c r="EE16" i="2" s="1"/>
  <c r="AD2247" i="2" s="1"/>
  <c r="R78" i="2" a="1"/>
  <c r="R78" i="2" s="1"/>
  <c r="EE15" i="2" s="1" a="1"/>
  <c r="EE15" i="2" s="1"/>
  <c r="AD2246" i="2" s="1"/>
  <c r="P78" i="2"/>
  <c r="EE13" i="2" s="1" a="1"/>
  <c r="EE13" i="2" s="1"/>
  <c r="O78" i="2"/>
  <c r="EE12" i="2" s="1" a="1"/>
  <c r="EE12" i="2" s="1"/>
  <c r="N78" i="2"/>
  <c r="EE11" i="2" s="1" a="1"/>
  <c r="EE11" i="2" s="1"/>
  <c r="M78" i="2"/>
  <c r="EE10" i="2" s="1" a="1"/>
  <c r="EE10" i="2" s="1"/>
  <c r="L78" i="2"/>
  <c r="EE9" i="2" s="1" a="1"/>
  <c r="EE9" i="2" s="1"/>
  <c r="K78" i="2"/>
  <c r="EE8" i="2" s="1" a="1"/>
  <c r="EE8" i="2" s="1"/>
  <c r="J78" i="2"/>
  <c r="EE7" i="2" s="1" a="1"/>
  <c r="EE7" i="2" s="1"/>
  <c r="I78" i="2"/>
  <c r="EE6" i="2" s="1" a="1"/>
  <c r="EE6" i="2" s="1"/>
  <c r="H78" i="2"/>
  <c r="G78" i="2"/>
  <c r="EE4" i="2" s="1" a="1"/>
  <c r="EE4" i="2" s="1"/>
  <c r="F78" i="2"/>
  <c r="EE3" i="2" s="1" a="1"/>
  <c r="EE3" i="2" s="1"/>
  <c r="E78" i="2"/>
  <c r="EE2" i="2" s="1" a="1"/>
  <c r="EE2" i="2" s="1"/>
  <c r="S77" i="2" a="1"/>
  <c r="S77" i="2" s="1"/>
  <c r="ED16" i="2" s="1" a="1"/>
  <c r="ED16" i="2" s="1"/>
  <c r="AD2226" i="2" s="1"/>
  <c r="R77" i="2" a="1"/>
  <c r="R77" i="2" s="1"/>
  <c r="ED15" i="2" s="1" a="1"/>
  <c r="ED15" i="2" s="1"/>
  <c r="AD2225" i="2" s="1"/>
  <c r="P77" i="2"/>
  <c r="ED13" i="2" s="1" a="1"/>
  <c r="ED13" i="2" s="1"/>
  <c r="O77" i="2"/>
  <c r="ED12" i="2" s="1" a="1"/>
  <c r="ED12" i="2" s="1"/>
  <c r="N77" i="2"/>
  <c r="ED11" i="2" s="1" a="1"/>
  <c r="ED11" i="2" s="1"/>
  <c r="M77" i="2"/>
  <c r="ED10" i="2" s="1" a="1"/>
  <c r="ED10" i="2" s="1"/>
  <c r="L77" i="2"/>
  <c r="ED9" i="2" s="1" a="1"/>
  <c r="ED9" i="2" s="1"/>
  <c r="K77" i="2"/>
  <c r="ED8" i="2" s="1" a="1"/>
  <c r="ED8" i="2" s="1"/>
  <c r="J77" i="2"/>
  <c r="ED7" i="2" s="1" a="1"/>
  <c r="ED7" i="2" s="1"/>
  <c r="I77" i="2"/>
  <c r="ED6" i="2" s="1" a="1"/>
  <c r="ED6" i="2" s="1"/>
  <c r="H77" i="2"/>
  <c r="G77" i="2"/>
  <c r="ED4" i="2" s="1" a="1"/>
  <c r="ED4" i="2" s="1"/>
  <c r="F77" i="2"/>
  <c r="ED3" i="2" s="1" a="1"/>
  <c r="ED3" i="2" s="1"/>
  <c r="E77" i="2"/>
  <c r="ED2" i="2" s="1" a="1"/>
  <c r="ED2" i="2" s="1"/>
  <c r="EC16" i="2" a="1"/>
  <c r="EC16" i="2" s="1"/>
  <c r="AD2205" i="2" s="1"/>
  <c r="EC15" i="2" a="1"/>
  <c r="EC15" i="2" s="1"/>
  <c r="AD2204" i="2" s="1"/>
  <c r="EC13" i="2" a="1"/>
  <c r="EC13" i="2" s="1"/>
  <c r="EC12" i="2" a="1"/>
  <c r="EC12" i="2" s="1"/>
  <c r="EC11" i="2" a="1"/>
  <c r="EC11" i="2" s="1"/>
  <c r="EC10" i="2" a="1"/>
  <c r="EC10" i="2" s="1"/>
  <c r="EC9" i="2" a="1"/>
  <c r="EC9" i="2" s="1"/>
  <c r="EC8" i="2" a="1"/>
  <c r="EC8" i="2" s="1"/>
  <c r="EC7" i="2" a="1"/>
  <c r="EC7" i="2" s="1"/>
  <c r="EC6" i="2" a="1"/>
  <c r="EC6" i="2" s="1"/>
  <c r="EC4" i="2" a="1"/>
  <c r="EC4" i="2" s="1"/>
  <c r="EC3" i="2" a="1"/>
  <c r="EC3" i="2" s="1"/>
  <c r="EC2" i="2" a="1"/>
  <c r="EC2" i="2" s="1"/>
  <c r="S76" i="2" a="1"/>
  <c r="S76" i="2" s="1"/>
  <c r="EB16" i="2" s="1" a="1"/>
  <c r="EB16" i="2" s="1"/>
  <c r="AD2184" i="2" s="1"/>
  <c r="R76" i="2" a="1"/>
  <c r="R76" i="2" s="1"/>
  <c r="EB15" i="2" s="1" a="1"/>
  <c r="EB15" i="2" s="1"/>
  <c r="AD2183" i="2" s="1"/>
  <c r="P76" i="2"/>
  <c r="EB13" i="2" s="1" a="1"/>
  <c r="EB13" i="2" s="1"/>
  <c r="O76" i="2"/>
  <c r="EB12" i="2" s="1" a="1"/>
  <c r="EB12" i="2" s="1"/>
  <c r="N76" i="2"/>
  <c r="EB11" i="2" s="1" a="1"/>
  <c r="EB11" i="2" s="1"/>
  <c r="M76" i="2"/>
  <c r="EB10" i="2" s="1" a="1"/>
  <c r="EB10" i="2" s="1"/>
  <c r="L76" i="2"/>
  <c r="EB9" i="2" s="1" a="1"/>
  <c r="EB9" i="2" s="1"/>
  <c r="K76" i="2"/>
  <c r="EB8" i="2" s="1" a="1"/>
  <c r="EB8" i="2" s="1"/>
  <c r="J76" i="2"/>
  <c r="EB7" i="2" s="1" a="1"/>
  <c r="EB7" i="2" s="1"/>
  <c r="I76" i="2"/>
  <c r="EB6" i="2" s="1" a="1"/>
  <c r="EB6" i="2" s="1"/>
  <c r="H76" i="2"/>
  <c r="G76" i="2"/>
  <c r="EB4" i="2" s="1" a="1"/>
  <c r="EB4" i="2" s="1"/>
  <c r="F76" i="2"/>
  <c r="EB3" i="2" s="1" a="1"/>
  <c r="EB3" i="2" s="1"/>
  <c r="E76" i="2"/>
  <c r="EB2" i="2" s="1" a="1"/>
  <c r="EB2" i="2" s="1"/>
  <c r="EA16" i="2" a="1"/>
  <c r="EA16" i="2" s="1"/>
  <c r="AD2163" i="2" s="1"/>
  <c r="EA15" i="2" a="1"/>
  <c r="EA15" i="2" s="1"/>
  <c r="AD2162" i="2" s="1"/>
  <c r="EA13" i="2" a="1"/>
  <c r="EA13" i="2" s="1"/>
  <c r="EA12" i="2" a="1"/>
  <c r="EA12" i="2" s="1"/>
  <c r="EA11" i="2" a="1"/>
  <c r="EA11" i="2" s="1"/>
  <c r="EA10" i="2" a="1"/>
  <c r="EA10" i="2" s="1"/>
  <c r="EA9" i="2" a="1"/>
  <c r="EA9" i="2" s="1"/>
  <c r="EA8" i="2" a="1"/>
  <c r="EA8" i="2" s="1"/>
  <c r="EA7" i="2" a="1"/>
  <c r="EA7" i="2" s="1"/>
  <c r="EA6" i="2" a="1"/>
  <c r="EA6" i="2" s="1"/>
  <c r="EA4" i="2" a="1"/>
  <c r="EA4" i="2" s="1"/>
  <c r="EA3" i="2" a="1"/>
  <c r="EA3" i="2" s="1"/>
  <c r="EA2" i="2" a="1"/>
  <c r="EA2" i="2" s="1"/>
  <c r="S75" i="2" a="1"/>
  <c r="S75" i="2" s="1"/>
  <c r="DZ16" i="2" s="1" a="1"/>
  <c r="DZ16" i="2" s="1"/>
  <c r="AD2142" i="2" s="1"/>
  <c r="R75" i="2" a="1"/>
  <c r="R75" i="2" s="1"/>
  <c r="DZ15" i="2" s="1" a="1"/>
  <c r="DZ15" i="2" s="1"/>
  <c r="AD2141" i="2" s="1"/>
  <c r="P75" i="2"/>
  <c r="DZ13" i="2" s="1" a="1"/>
  <c r="DZ13" i="2" s="1"/>
  <c r="O75" i="2"/>
  <c r="DZ12" i="2" s="1" a="1"/>
  <c r="DZ12" i="2" s="1"/>
  <c r="N75" i="2"/>
  <c r="DZ11" i="2" s="1" a="1"/>
  <c r="DZ11" i="2" s="1"/>
  <c r="M75" i="2"/>
  <c r="DZ10" i="2" s="1" a="1"/>
  <c r="DZ10" i="2" s="1"/>
  <c r="L75" i="2"/>
  <c r="DZ9" i="2" s="1" a="1"/>
  <c r="DZ9" i="2" s="1"/>
  <c r="K75" i="2"/>
  <c r="DZ8" i="2" s="1" a="1"/>
  <c r="DZ8" i="2" s="1"/>
  <c r="J75" i="2"/>
  <c r="DZ7" i="2" s="1" a="1"/>
  <c r="DZ7" i="2" s="1"/>
  <c r="I75" i="2"/>
  <c r="DZ6" i="2" s="1" a="1"/>
  <c r="DZ6" i="2" s="1"/>
  <c r="H75" i="2"/>
  <c r="G75" i="2"/>
  <c r="DZ4" i="2" s="1" a="1"/>
  <c r="DZ4" i="2" s="1"/>
  <c r="F75" i="2"/>
  <c r="DZ3" i="2" s="1" a="1"/>
  <c r="DZ3" i="2" s="1"/>
  <c r="E75" i="2"/>
  <c r="DZ2" i="2" s="1" a="1"/>
  <c r="DZ2" i="2" s="1"/>
  <c r="DY16" i="2" a="1"/>
  <c r="DY16" i="2" s="1"/>
  <c r="AD2121" i="2" s="1"/>
  <c r="DY15" i="2" a="1"/>
  <c r="DY15" i="2" s="1"/>
  <c r="AD2120" i="2" s="1"/>
  <c r="DY13" i="2" a="1"/>
  <c r="DY13" i="2" s="1"/>
  <c r="DY12" i="2" a="1"/>
  <c r="DY12" i="2" s="1"/>
  <c r="DY11" i="2" a="1"/>
  <c r="DY11" i="2" s="1"/>
  <c r="DY10" i="2" a="1"/>
  <c r="DY10" i="2" s="1"/>
  <c r="DY9" i="2" a="1"/>
  <c r="DY9" i="2" s="1"/>
  <c r="DY8" i="2" a="1"/>
  <c r="DY8" i="2" s="1"/>
  <c r="DY7" i="2" a="1"/>
  <c r="DY7" i="2" s="1"/>
  <c r="DY6" i="2" a="1"/>
  <c r="DY6" i="2" s="1"/>
  <c r="DY4" i="2" a="1"/>
  <c r="DY4" i="2" s="1"/>
  <c r="DY3" i="2" a="1"/>
  <c r="DY3" i="2" s="1"/>
  <c r="DY2" i="2" a="1"/>
  <c r="DY2" i="2" s="1"/>
  <c r="DX16" i="2" a="1"/>
  <c r="DX16" i="2" s="1"/>
  <c r="AD2100" i="2" s="1"/>
  <c r="DX15" i="2" a="1"/>
  <c r="DX15" i="2" s="1"/>
  <c r="AD2099" i="2" s="1"/>
  <c r="DX13" i="2" a="1"/>
  <c r="DX13" i="2" s="1"/>
  <c r="DX12" i="2" a="1"/>
  <c r="DX12" i="2" s="1"/>
  <c r="DX11" i="2" a="1"/>
  <c r="DX11" i="2" s="1"/>
  <c r="DX10" i="2" a="1"/>
  <c r="DX10" i="2" s="1"/>
  <c r="DX9" i="2" a="1"/>
  <c r="DX9" i="2" s="1"/>
  <c r="DX8" i="2" a="1"/>
  <c r="DX8" i="2" s="1"/>
  <c r="DX7" i="2" a="1"/>
  <c r="DX7" i="2" s="1"/>
  <c r="DX6" i="2" a="1"/>
  <c r="DX6" i="2" s="1"/>
  <c r="DX4" i="2" a="1"/>
  <c r="DX4" i="2" s="1"/>
  <c r="DX3" i="2" a="1"/>
  <c r="DX3" i="2" s="1"/>
  <c r="DX2" i="2" a="1"/>
  <c r="DX2" i="2" s="1"/>
  <c r="S74" i="2" a="1"/>
  <c r="S74" i="2" s="1"/>
  <c r="DW16" i="2" s="1" a="1"/>
  <c r="DW16" i="2" s="1"/>
  <c r="AD2079" i="2" s="1"/>
  <c r="R74" i="2" a="1"/>
  <c r="R74" i="2" s="1"/>
  <c r="DW15" i="2" s="1" a="1"/>
  <c r="DW15" i="2" s="1"/>
  <c r="AD2078" i="2" s="1"/>
  <c r="P74" i="2"/>
  <c r="DW13" i="2" s="1" a="1"/>
  <c r="DW13" i="2" s="1"/>
  <c r="O74" i="2"/>
  <c r="DW12" i="2" s="1" a="1"/>
  <c r="DW12" i="2" s="1"/>
  <c r="N74" i="2"/>
  <c r="DW11" i="2" s="1" a="1"/>
  <c r="DW11" i="2" s="1"/>
  <c r="M74" i="2"/>
  <c r="DW10" i="2" s="1" a="1"/>
  <c r="DW10" i="2" s="1"/>
  <c r="L74" i="2"/>
  <c r="DW9" i="2" s="1" a="1"/>
  <c r="DW9" i="2" s="1"/>
  <c r="K74" i="2"/>
  <c r="DW8" i="2" s="1" a="1"/>
  <c r="DW8" i="2" s="1"/>
  <c r="J74" i="2"/>
  <c r="DW7" i="2" s="1" a="1"/>
  <c r="DW7" i="2" s="1"/>
  <c r="I74" i="2"/>
  <c r="DW6" i="2" s="1" a="1"/>
  <c r="DW6" i="2" s="1"/>
  <c r="H74" i="2"/>
  <c r="G74" i="2"/>
  <c r="DW4" i="2" s="1" a="1"/>
  <c r="DW4" i="2" s="1"/>
  <c r="F74" i="2"/>
  <c r="DW3" i="2" s="1" a="1"/>
  <c r="DW3" i="2" s="1"/>
  <c r="E74" i="2"/>
  <c r="DW2" i="2" s="1" a="1"/>
  <c r="DW2" i="2" s="1"/>
  <c r="DV16" i="2" a="1"/>
  <c r="DV16" i="2" s="1"/>
  <c r="AD2058" i="2" s="1"/>
  <c r="DV15" i="2" a="1"/>
  <c r="DV15" i="2" s="1"/>
  <c r="AD2057" i="2" s="1"/>
  <c r="DV13" i="2" a="1"/>
  <c r="DV13" i="2" s="1"/>
  <c r="DV12" i="2" a="1"/>
  <c r="DV12" i="2" s="1"/>
  <c r="DV11" i="2" a="1"/>
  <c r="DV11" i="2" s="1"/>
  <c r="DV10" i="2" a="1"/>
  <c r="DV10" i="2" s="1"/>
  <c r="DV9" i="2" a="1"/>
  <c r="DV9" i="2" s="1"/>
  <c r="DV8" i="2" a="1"/>
  <c r="DV8" i="2" s="1"/>
  <c r="DV7" i="2" a="1"/>
  <c r="DV7" i="2" s="1"/>
  <c r="DV6" i="2" a="1"/>
  <c r="DV6" i="2" s="1"/>
  <c r="DV4" i="2" a="1"/>
  <c r="DV4" i="2" s="1"/>
  <c r="DV3" i="2" a="1"/>
  <c r="DV3" i="2" s="1"/>
  <c r="DV2" i="2" a="1"/>
  <c r="DV2" i="2" s="1"/>
  <c r="S73" i="2" a="1"/>
  <c r="S73" i="2" s="1"/>
  <c r="DU16" i="2" s="1" a="1"/>
  <c r="DU16" i="2" s="1"/>
  <c r="AD2037" i="2" s="1"/>
  <c r="R73" i="2" a="1"/>
  <c r="R73" i="2" s="1"/>
  <c r="DU15" i="2" s="1" a="1"/>
  <c r="DU15" i="2" s="1"/>
  <c r="AD2036" i="2" s="1"/>
  <c r="P73" i="2"/>
  <c r="DU13" i="2" s="1" a="1"/>
  <c r="DU13" i="2" s="1"/>
  <c r="O73" i="2"/>
  <c r="DU12" i="2" s="1" a="1"/>
  <c r="DU12" i="2" s="1"/>
  <c r="N73" i="2"/>
  <c r="DU11" i="2" s="1" a="1"/>
  <c r="DU11" i="2" s="1"/>
  <c r="M73" i="2"/>
  <c r="DU10" i="2" s="1" a="1"/>
  <c r="DU10" i="2" s="1"/>
  <c r="L73" i="2"/>
  <c r="DU9" i="2" s="1" a="1"/>
  <c r="DU9" i="2" s="1"/>
  <c r="K73" i="2"/>
  <c r="DU8" i="2" s="1" a="1"/>
  <c r="DU8" i="2" s="1"/>
  <c r="J73" i="2"/>
  <c r="DU7" i="2" s="1" a="1"/>
  <c r="DU7" i="2" s="1"/>
  <c r="I73" i="2"/>
  <c r="DU6" i="2" s="1" a="1"/>
  <c r="DU6" i="2" s="1"/>
  <c r="H73" i="2"/>
  <c r="G73" i="2"/>
  <c r="DU4" i="2" s="1" a="1"/>
  <c r="DU4" i="2" s="1"/>
  <c r="F73" i="2"/>
  <c r="DU3" i="2" s="1" a="1"/>
  <c r="DU3" i="2" s="1"/>
  <c r="E73" i="2"/>
  <c r="DU2" i="2" s="1" a="1"/>
  <c r="DU2" i="2" s="1"/>
  <c r="DT16" i="2" a="1"/>
  <c r="DT16" i="2" s="1"/>
  <c r="AD2016" i="2" s="1"/>
  <c r="DT15" i="2" a="1"/>
  <c r="DT15" i="2" s="1"/>
  <c r="AD2015" i="2" s="1"/>
  <c r="DT13" i="2" a="1"/>
  <c r="DT13" i="2" s="1"/>
  <c r="DT12" i="2" a="1"/>
  <c r="DT12" i="2" s="1"/>
  <c r="DT11" i="2" a="1"/>
  <c r="DT11" i="2" s="1"/>
  <c r="DT10" i="2" a="1"/>
  <c r="DT10" i="2" s="1"/>
  <c r="DT9" i="2" a="1"/>
  <c r="DT9" i="2" s="1"/>
  <c r="DT8" i="2" a="1"/>
  <c r="DT8" i="2" s="1"/>
  <c r="DT7" i="2" a="1"/>
  <c r="DT7" i="2" s="1"/>
  <c r="DT6" i="2" a="1"/>
  <c r="DT6" i="2" s="1"/>
  <c r="DT4" i="2" a="1"/>
  <c r="DT4" i="2" s="1"/>
  <c r="DT3" i="2" a="1"/>
  <c r="DT3" i="2" s="1"/>
  <c r="DT2" i="2" a="1"/>
  <c r="DT2" i="2" s="1"/>
  <c r="S72" i="2" a="1"/>
  <c r="S72" i="2" s="1"/>
  <c r="DS16" i="2" s="1" a="1"/>
  <c r="DS16" i="2" s="1"/>
  <c r="AD1995" i="2" s="1"/>
  <c r="R72" i="2" a="1"/>
  <c r="R72" i="2" s="1"/>
  <c r="DS15" i="2" s="1" a="1"/>
  <c r="DS15" i="2" s="1"/>
  <c r="AD1994" i="2" s="1"/>
  <c r="P72" i="2"/>
  <c r="DS13" i="2" s="1" a="1"/>
  <c r="DS13" i="2" s="1"/>
  <c r="O72" i="2"/>
  <c r="DS12" i="2" s="1" a="1"/>
  <c r="DS12" i="2" s="1"/>
  <c r="N72" i="2"/>
  <c r="DS11" i="2" s="1" a="1"/>
  <c r="DS11" i="2" s="1"/>
  <c r="M72" i="2"/>
  <c r="DS10" i="2" s="1" a="1"/>
  <c r="DS10" i="2" s="1"/>
  <c r="L72" i="2"/>
  <c r="DS9" i="2" s="1" a="1"/>
  <c r="DS9" i="2" s="1"/>
  <c r="K72" i="2"/>
  <c r="DS8" i="2" s="1" a="1"/>
  <c r="DS8" i="2" s="1"/>
  <c r="J72" i="2"/>
  <c r="DS7" i="2" s="1" a="1"/>
  <c r="DS7" i="2" s="1"/>
  <c r="I72" i="2"/>
  <c r="DS6" i="2" s="1" a="1"/>
  <c r="DS6" i="2" s="1"/>
  <c r="H72" i="2"/>
  <c r="G72" i="2"/>
  <c r="DS4" i="2" s="1" a="1"/>
  <c r="DS4" i="2" s="1"/>
  <c r="F72" i="2"/>
  <c r="DS3" i="2" s="1" a="1"/>
  <c r="DS3" i="2" s="1"/>
  <c r="E72" i="2"/>
  <c r="DS2" i="2" s="1" a="1"/>
  <c r="DS2" i="2" s="1"/>
  <c r="DR16" i="2" a="1"/>
  <c r="DR16" i="2" s="1"/>
  <c r="AD1974" i="2" s="1"/>
  <c r="DR15" i="2" a="1"/>
  <c r="DR15" i="2" s="1"/>
  <c r="AD1973" i="2" s="1"/>
  <c r="DR13" i="2" a="1"/>
  <c r="DR13" i="2" s="1"/>
  <c r="DR12" i="2" a="1"/>
  <c r="DR12" i="2" s="1"/>
  <c r="DR11" i="2" a="1"/>
  <c r="DR11" i="2" s="1"/>
  <c r="DR10" i="2" a="1"/>
  <c r="DR10" i="2" s="1"/>
  <c r="DR9" i="2" a="1"/>
  <c r="DR9" i="2" s="1"/>
  <c r="DR8" i="2" a="1"/>
  <c r="DR8" i="2" s="1"/>
  <c r="DR7" i="2" a="1"/>
  <c r="DR7" i="2" s="1"/>
  <c r="DR6" i="2" a="1"/>
  <c r="DR6" i="2" s="1"/>
  <c r="DR4" i="2" a="1"/>
  <c r="DR4" i="2" s="1"/>
  <c r="DR3" i="2" a="1"/>
  <c r="DR3" i="2" s="1"/>
  <c r="DR2" i="2" a="1"/>
  <c r="DR2" i="2" s="1"/>
  <c r="S71" i="2" a="1"/>
  <c r="S71" i="2" s="1"/>
  <c r="DQ16" i="2" s="1" a="1"/>
  <c r="DQ16" i="2" s="1"/>
  <c r="AD1953" i="2" s="1"/>
  <c r="R71" i="2" a="1"/>
  <c r="R71" i="2" s="1"/>
  <c r="DQ15" i="2" s="1" a="1"/>
  <c r="DQ15" i="2" s="1"/>
  <c r="AD1952" i="2" s="1"/>
  <c r="P71" i="2"/>
  <c r="DQ13" i="2" s="1" a="1"/>
  <c r="DQ13" i="2" s="1"/>
  <c r="O71" i="2"/>
  <c r="DQ12" i="2" s="1" a="1"/>
  <c r="DQ12" i="2" s="1"/>
  <c r="N71" i="2"/>
  <c r="DQ11" i="2" s="1" a="1"/>
  <c r="DQ11" i="2" s="1"/>
  <c r="M71" i="2"/>
  <c r="DQ10" i="2" s="1" a="1"/>
  <c r="DQ10" i="2" s="1"/>
  <c r="L71" i="2"/>
  <c r="DQ9" i="2" s="1" a="1"/>
  <c r="DQ9" i="2" s="1"/>
  <c r="K71" i="2"/>
  <c r="DQ8" i="2" s="1" a="1"/>
  <c r="DQ8" i="2" s="1"/>
  <c r="J71" i="2"/>
  <c r="DQ7" i="2" s="1" a="1"/>
  <c r="DQ7" i="2" s="1"/>
  <c r="I71" i="2"/>
  <c r="DQ6" i="2" s="1" a="1"/>
  <c r="DQ6" i="2" s="1"/>
  <c r="H71" i="2"/>
  <c r="G71" i="2"/>
  <c r="DQ4" i="2" s="1" a="1"/>
  <c r="DQ4" i="2" s="1"/>
  <c r="F71" i="2"/>
  <c r="DQ3" i="2" s="1" a="1"/>
  <c r="DQ3" i="2" s="1"/>
  <c r="E71" i="2"/>
  <c r="DQ2" i="2" s="1" a="1"/>
  <c r="DQ2" i="2" s="1"/>
  <c r="DP16" i="2" a="1"/>
  <c r="DP16" i="2" s="1"/>
  <c r="AD1932" i="2" s="1"/>
  <c r="DP15" i="2" a="1"/>
  <c r="DP15" i="2" s="1"/>
  <c r="AD1931" i="2" s="1"/>
  <c r="DP13" i="2" a="1"/>
  <c r="DP13" i="2" s="1"/>
  <c r="DP12" i="2" a="1"/>
  <c r="DP12" i="2" s="1"/>
  <c r="DP11" i="2" a="1"/>
  <c r="DP11" i="2" s="1"/>
  <c r="DP10" i="2" a="1"/>
  <c r="DP10" i="2" s="1"/>
  <c r="DP9" i="2" a="1"/>
  <c r="DP9" i="2" s="1"/>
  <c r="DP8" i="2" a="1"/>
  <c r="DP8" i="2" s="1"/>
  <c r="DP7" i="2" a="1"/>
  <c r="DP7" i="2" s="1"/>
  <c r="DP6" i="2" a="1"/>
  <c r="DP6" i="2" s="1"/>
  <c r="DP4" i="2" a="1"/>
  <c r="DP4" i="2" s="1"/>
  <c r="DP3" i="2" a="1"/>
  <c r="DP3" i="2" s="1"/>
  <c r="DP2" i="2" a="1"/>
  <c r="DP2" i="2" s="1"/>
  <c r="DO16" i="2" a="1"/>
  <c r="DO16" i="2" s="1"/>
  <c r="AD1911" i="2" s="1"/>
  <c r="DO15" i="2" a="1"/>
  <c r="DO15" i="2" s="1"/>
  <c r="AD1910" i="2" s="1"/>
  <c r="DO13" i="2" a="1"/>
  <c r="DO13" i="2" s="1"/>
  <c r="DO12" i="2" a="1"/>
  <c r="DO12" i="2" s="1"/>
  <c r="DO11" i="2" a="1"/>
  <c r="DO11" i="2" s="1"/>
  <c r="DO10" i="2" a="1"/>
  <c r="DO10" i="2" s="1"/>
  <c r="DO9" i="2" a="1"/>
  <c r="DO9" i="2" s="1"/>
  <c r="DO8" i="2" a="1"/>
  <c r="DO8" i="2" s="1"/>
  <c r="DO7" i="2" a="1"/>
  <c r="DO7" i="2" s="1"/>
  <c r="DO6" i="2" a="1"/>
  <c r="DO6" i="2" s="1"/>
  <c r="DO4" i="2" a="1"/>
  <c r="DO4" i="2" s="1"/>
  <c r="DO3" i="2" a="1"/>
  <c r="DO3" i="2" s="1"/>
  <c r="DO2" i="2" a="1"/>
  <c r="DO2" i="2" s="1"/>
  <c r="S70" i="2" a="1"/>
  <c r="S70" i="2" s="1"/>
  <c r="DN16" i="2" s="1" a="1"/>
  <c r="DN16" i="2" s="1"/>
  <c r="AD1890" i="2" s="1"/>
  <c r="R70" i="2" a="1"/>
  <c r="R70" i="2" s="1"/>
  <c r="DN15" i="2" s="1" a="1"/>
  <c r="DN15" i="2" s="1"/>
  <c r="AD1889" i="2" s="1"/>
  <c r="P70" i="2"/>
  <c r="DN13" i="2" s="1" a="1"/>
  <c r="DN13" i="2" s="1"/>
  <c r="O70" i="2"/>
  <c r="DN12" i="2" s="1" a="1"/>
  <c r="DN12" i="2" s="1"/>
  <c r="N70" i="2"/>
  <c r="DN11" i="2" s="1" a="1"/>
  <c r="DN11" i="2" s="1"/>
  <c r="M70" i="2"/>
  <c r="DN10" i="2" s="1" a="1"/>
  <c r="DN10" i="2" s="1"/>
  <c r="L70" i="2"/>
  <c r="DN9" i="2" s="1" a="1"/>
  <c r="DN9" i="2" s="1"/>
  <c r="K70" i="2"/>
  <c r="DN8" i="2" s="1" a="1"/>
  <c r="DN8" i="2" s="1"/>
  <c r="J70" i="2"/>
  <c r="DN7" i="2" s="1" a="1"/>
  <c r="DN7" i="2" s="1"/>
  <c r="I70" i="2"/>
  <c r="DN6" i="2" s="1" a="1"/>
  <c r="DN6" i="2" s="1"/>
  <c r="H70" i="2"/>
  <c r="G70" i="2"/>
  <c r="DN4" i="2" s="1" a="1"/>
  <c r="DN4" i="2" s="1"/>
  <c r="F70" i="2"/>
  <c r="DN3" i="2" s="1" a="1"/>
  <c r="DN3" i="2" s="1"/>
  <c r="E70" i="2"/>
  <c r="DN2" i="2" s="1" a="1"/>
  <c r="DN2" i="2" s="1"/>
  <c r="DM16" i="2" a="1"/>
  <c r="DM16" i="2" s="1"/>
  <c r="AD1869" i="2" s="1"/>
  <c r="DM15" i="2" a="1"/>
  <c r="DM15" i="2" s="1"/>
  <c r="AD1868" i="2" s="1"/>
  <c r="DM13" i="2" a="1"/>
  <c r="DM13" i="2" s="1"/>
  <c r="DM12" i="2" a="1"/>
  <c r="DM12" i="2" s="1"/>
  <c r="DM11" i="2" a="1"/>
  <c r="DM11" i="2" s="1"/>
  <c r="DM10" i="2" a="1"/>
  <c r="DM10" i="2" s="1"/>
  <c r="DM9" i="2" a="1"/>
  <c r="DM9" i="2" s="1"/>
  <c r="DM8" i="2" a="1"/>
  <c r="DM8" i="2" s="1"/>
  <c r="DM7" i="2" a="1"/>
  <c r="DM7" i="2" s="1"/>
  <c r="DM6" i="2" a="1"/>
  <c r="DM6" i="2" s="1"/>
  <c r="DM4" i="2" a="1"/>
  <c r="DM4" i="2" s="1"/>
  <c r="DM3" i="2" a="1"/>
  <c r="DM3" i="2" s="1"/>
  <c r="DM2" i="2" a="1"/>
  <c r="DM2" i="2" s="1"/>
  <c r="S69" i="2" a="1"/>
  <c r="S69" i="2" s="1"/>
  <c r="DL16" i="2" s="1" a="1"/>
  <c r="DL16" i="2" s="1"/>
  <c r="AD1848" i="2" s="1"/>
  <c r="R69" i="2" a="1"/>
  <c r="R69" i="2" s="1"/>
  <c r="DL15" i="2" s="1" a="1"/>
  <c r="DL15" i="2" s="1"/>
  <c r="AD1847" i="2" s="1"/>
  <c r="P69" i="2"/>
  <c r="DL13" i="2" s="1" a="1"/>
  <c r="DL13" i="2" s="1"/>
  <c r="O69" i="2"/>
  <c r="DL12" i="2" s="1" a="1"/>
  <c r="DL12" i="2" s="1"/>
  <c r="N69" i="2"/>
  <c r="DL11" i="2" s="1" a="1"/>
  <c r="DL11" i="2" s="1"/>
  <c r="M69" i="2"/>
  <c r="DL10" i="2" s="1" a="1"/>
  <c r="DL10" i="2" s="1"/>
  <c r="L69" i="2"/>
  <c r="DL9" i="2" s="1" a="1"/>
  <c r="DL9" i="2" s="1"/>
  <c r="K69" i="2"/>
  <c r="DL8" i="2" s="1" a="1"/>
  <c r="DL8" i="2" s="1"/>
  <c r="J69" i="2"/>
  <c r="DL7" i="2" s="1" a="1"/>
  <c r="DL7" i="2" s="1"/>
  <c r="I69" i="2"/>
  <c r="DL6" i="2" s="1" a="1"/>
  <c r="DL6" i="2" s="1"/>
  <c r="H69" i="2"/>
  <c r="G69" i="2"/>
  <c r="DL4" i="2" s="1" a="1"/>
  <c r="DL4" i="2" s="1"/>
  <c r="F69" i="2"/>
  <c r="DL3" i="2" s="1" a="1"/>
  <c r="DL3" i="2" s="1"/>
  <c r="E69" i="2"/>
  <c r="DL2" i="2" s="1" a="1"/>
  <c r="DL2" i="2" s="1"/>
  <c r="S68" i="2" a="1"/>
  <c r="S68" i="2" s="1"/>
  <c r="DK16" i="2" s="1" a="1"/>
  <c r="DK16" i="2" s="1"/>
  <c r="AD1827" i="2" s="1"/>
  <c r="R68" i="2" a="1"/>
  <c r="R68" i="2" s="1"/>
  <c r="DK15" i="2" s="1" a="1"/>
  <c r="DK15" i="2" s="1"/>
  <c r="AD1826" i="2" s="1"/>
  <c r="P68" i="2"/>
  <c r="DK13" i="2" s="1" a="1"/>
  <c r="DK13" i="2" s="1"/>
  <c r="O68" i="2"/>
  <c r="DK12" i="2" s="1" a="1"/>
  <c r="DK12" i="2" s="1"/>
  <c r="N68" i="2"/>
  <c r="DK11" i="2" s="1" a="1"/>
  <c r="DK11" i="2" s="1"/>
  <c r="M68" i="2"/>
  <c r="DK10" i="2" s="1" a="1"/>
  <c r="DK10" i="2" s="1"/>
  <c r="L68" i="2"/>
  <c r="DK9" i="2" s="1" a="1"/>
  <c r="DK9" i="2" s="1"/>
  <c r="K68" i="2"/>
  <c r="DK8" i="2" s="1" a="1"/>
  <c r="DK8" i="2" s="1"/>
  <c r="J68" i="2"/>
  <c r="DK7" i="2" s="1" a="1"/>
  <c r="DK7" i="2" s="1"/>
  <c r="I68" i="2"/>
  <c r="DK6" i="2" s="1" a="1"/>
  <c r="DK6" i="2" s="1"/>
  <c r="H68" i="2"/>
  <c r="G68" i="2"/>
  <c r="DK4" i="2" s="1" a="1"/>
  <c r="DK4" i="2" s="1"/>
  <c r="F68" i="2"/>
  <c r="DK3" i="2" s="1" a="1"/>
  <c r="DK3" i="2" s="1"/>
  <c r="E68" i="2"/>
  <c r="DK2" i="2" s="1" a="1"/>
  <c r="DK2" i="2" s="1"/>
  <c r="S67" i="2" a="1"/>
  <c r="S67" i="2" s="1"/>
  <c r="DJ16" i="2" s="1" a="1"/>
  <c r="DJ16" i="2" s="1"/>
  <c r="AD1806" i="2" s="1"/>
  <c r="R67" i="2" a="1"/>
  <c r="R67" i="2" s="1"/>
  <c r="DJ15" i="2" s="1" a="1"/>
  <c r="DJ15" i="2" s="1"/>
  <c r="AD1805" i="2" s="1"/>
  <c r="P67" i="2"/>
  <c r="DJ13" i="2" s="1" a="1"/>
  <c r="DJ13" i="2" s="1"/>
  <c r="O67" i="2"/>
  <c r="DJ12" i="2" s="1" a="1"/>
  <c r="DJ12" i="2" s="1"/>
  <c r="N67" i="2"/>
  <c r="DJ11" i="2" s="1" a="1"/>
  <c r="DJ11" i="2" s="1"/>
  <c r="M67" i="2"/>
  <c r="DJ10" i="2" s="1" a="1"/>
  <c r="DJ10" i="2" s="1"/>
  <c r="L67" i="2"/>
  <c r="DJ9" i="2" s="1" a="1"/>
  <c r="DJ9" i="2" s="1"/>
  <c r="K67" i="2"/>
  <c r="DJ8" i="2" s="1" a="1"/>
  <c r="DJ8" i="2" s="1"/>
  <c r="J67" i="2"/>
  <c r="DJ7" i="2" s="1" a="1"/>
  <c r="DJ7" i="2" s="1"/>
  <c r="I67" i="2"/>
  <c r="DJ6" i="2" s="1" a="1"/>
  <c r="DJ6" i="2" s="1"/>
  <c r="H67" i="2"/>
  <c r="G67" i="2"/>
  <c r="DJ4" i="2" s="1" a="1"/>
  <c r="DJ4" i="2" s="1"/>
  <c r="F67" i="2"/>
  <c r="DJ3" i="2" s="1" a="1"/>
  <c r="DJ3" i="2" s="1"/>
  <c r="E67" i="2"/>
  <c r="DJ2" i="2" s="1" a="1"/>
  <c r="DJ2" i="2" s="1"/>
  <c r="S66" i="2" a="1"/>
  <c r="S66" i="2" s="1"/>
  <c r="DI16" i="2" s="1" a="1"/>
  <c r="DI16" i="2" s="1"/>
  <c r="AD1785" i="2" s="1"/>
  <c r="R66" i="2" a="1"/>
  <c r="R66" i="2" s="1"/>
  <c r="DI15" i="2" s="1" a="1"/>
  <c r="DI15" i="2" s="1"/>
  <c r="AD1784" i="2" s="1"/>
  <c r="P66" i="2"/>
  <c r="DI13" i="2" s="1" a="1"/>
  <c r="DI13" i="2" s="1"/>
  <c r="O66" i="2"/>
  <c r="DI12" i="2" s="1" a="1"/>
  <c r="DI12" i="2" s="1"/>
  <c r="N66" i="2"/>
  <c r="DI11" i="2" s="1" a="1"/>
  <c r="DI11" i="2" s="1"/>
  <c r="M66" i="2"/>
  <c r="DI10" i="2" s="1" a="1"/>
  <c r="DI10" i="2" s="1"/>
  <c r="L66" i="2"/>
  <c r="DI9" i="2" s="1" a="1"/>
  <c r="DI9" i="2" s="1"/>
  <c r="K66" i="2"/>
  <c r="DI8" i="2" s="1" a="1"/>
  <c r="DI8" i="2" s="1"/>
  <c r="J66" i="2"/>
  <c r="DI7" i="2" s="1" a="1"/>
  <c r="DI7" i="2" s="1"/>
  <c r="I66" i="2"/>
  <c r="DI6" i="2" s="1" a="1"/>
  <c r="DI6" i="2" s="1"/>
  <c r="H66" i="2"/>
  <c r="G66" i="2"/>
  <c r="DI4" i="2" s="1" a="1"/>
  <c r="DI4" i="2" s="1"/>
  <c r="F66" i="2"/>
  <c r="DI3" i="2" s="1" a="1"/>
  <c r="DI3" i="2" s="1"/>
  <c r="E66" i="2"/>
  <c r="DI2" i="2" s="1" a="1"/>
  <c r="DI2" i="2" s="1"/>
  <c r="DH16" i="2" a="1"/>
  <c r="DH16" i="2" s="1"/>
  <c r="AD1764" i="2" s="1"/>
  <c r="DH15" i="2" a="1"/>
  <c r="DH15" i="2" s="1"/>
  <c r="AD1763" i="2" s="1"/>
  <c r="DH13" i="2" a="1"/>
  <c r="DH13" i="2" s="1"/>
  <c r="DH12" i="2" a="1"/>
  <c r="DH12" i="2" s="1"/>
  <c r="DH11" i="2" a="1"/>
  <c r="DH11" i="2" s="1"/>
  <c r="DH10" i="2" a="1"/>
  <c r="DH10" i="2" s="1"/>
  <c r="DH9" i="2" a="1"/>
  <c r="DH9" i="2" s="1"/>
  <c r="DH8" i="2" a="1"/>
  <c r="DH8" i="2" s="1"/>
  <c r="DH7" i="2" a="1"/>
  <c r="DH7" i="2" s="1"/>
  <c r="DH6" i="2" a="1"/>
  <c r="DH6" i="2" s="1"/>
  <c r="DH4" i="2" a="1"/>
  <c r="DH4" i="2" s="1"/>
  <c r="DH3" i="2" a="1"/>
  <c r="DH3" i="2" s="1"/>
  <c r="DH2" i="2" a="1"/>
  <c r="DH2" i="2" s="1"/>
  <c r="S65" i="2" a="1"/>
  <c r="S65" i="2" s="1"/>
  <c r="DG16" i="2" s="1" a="1"/>
  <c r="DG16" i="2" s="1"/>
  <c r="AD1743" i="2" s="1"/>
  <c r="R65" i="2" a="1"/>
  <c r="R65" i="2" s="1"/>
  <c r="DG15" i="2" s="1" a="1"/>
  <c r="DG15" i="2" s="1"/>
  <c r="AD1742" i="2" s="1"/>
  <c r="P65" i="2"/>
  <c r="DG13" i="2" s="1" a="1"/>
  <c r="DG13" i="2" s="1"/>
  <c r="O65" i="2"/>
  <c r="DG12" i="2" s="1" a="1"/>
  <c r="DG12" i="2" s="1"/>
  <c r="N65" i="2"/>
  <c r="DG11" i="2" s="1" a="1"/>
  <c r="DG11" i="2" s="1"/>
  <c r="M65" i="2"/>
  <c r="DG10" i="2" s="1" a="1"/>
  <c r="DG10" i="2" s="1"/>
  <c r="L65" i="2"/>
  <c r="DG9" i="2" s="1" a="1"/>
  <c r="DG9" i="2" s="1"/>
  <c r="K65" i="2"/>
  <c r="DG8" i="2" s="1" a="1"/>
  <c r="DG8" i="2" s="1"/>
  <c r="J65" i="2"/>
  <c r="DG7" i="2" s="1" a="1"/>
  <c r="DG7" i="2" s="1"/>
  <c r="I65" i="2"/>
  <c r="DG6" i="2" s="1" a="1"/>
  <c r="DG6" i="2" s="1"/>
  <c r="H65" i="2"/>
  <c r="G65" i="2"/>
  <c r="DG4" i="2" s="1" a="1"/>
  <c r="DG4" i="2" s="1"/>
  <c r="F65" i="2"/>
  <c r="DG3" i="2" s="1" a="1"/>
  <c r="DG3" i="2" s="1"/>
  <c r="E65" i="2"/>
  <c r="DG2" i="2" s="1" a="1"/>
  <c r="DG2" i="2" s="1"/>
  <c r="S64" i="2" a="1"/>
  <c r="S64" i="2" s="1"/>
  <c r="DF16" i="2" s="1" a="1"/>
  <c r="DF16" i="2" s="1"/>
  <c r="AD1722" i="2" s="1"/>
  <c r="R64" i="2" a="1"/>
  <c r="R64" i="2" s="1"/>
  <c r="DF15" i="2" s="1" a="1"/>
  <c r="DF15" i="2" s="1"/>
  <c r="AD1721" i="2" s="1"/>
  <c r="P64" i="2"/>
  <c r="DF13" i="2" s="1" a="1"/>
  <c r="DF13" i="2" s="1"/>
  <c r="O64" i="2"/>
  <c r="DF12" i="2" s="1" a="1"/>
  <c r="DF12" i="2" s="1"/>
  <c r="N64" i="2"/>
  <c r="DF11" i="2" s="1" a="1"/>
  <c r="DF11" i="2" s="1"/>
  <c r="M64" i="2"/>
  <c r="DF10" i="2" s="1" a="1"/>
  <c r="DF10" i="2" s="1"/>
  <c r="L64" i="2"/>
  <c r="DF9" i="2" s="1" a="1"/>
  <c r="DF9" i="2" s="1"/>
  <c r="K64" i="2"/>
  <c r="DF8" i="2" s="1" a="1"/>
  <c r="DF8" i="2" s="1"/>
  <c r="J64" i="2"/>
  <c r="DF7" i="2" s="1" a="1"/>
  <c r="DF7" i="2" s="1"/>
  <c r="I64" i="2"/>
  <c r="DF6" i="2" s="1" a="1"/>
  <c r="DF6" i="2" s="1"/>
  <c r="H64" i="2"/>
  <c r="G64" i="2"/>
  <c r="DF4" i="2" s="1" a="1"/>
  <c r="DF4" i="2" s="1"/>
  <c r="F64" i="2"/>
  <c r="DF3" i="2" s="1" a="1"/>
  <c r="DF3" i="2" s="1"/>
  <c r="E64" i="2"/>
  <c r="DF2" i="2" s="1" a="1"/>
  <c r="DF2" i="2" s="1"/>
  <c r="S63" i="2" a="1"/>
  <c r="S63" i="2" s="1"/>
  <c r="DE16" i="2" s="1" a="1"/>
  <c r="DE16" i="2" s="1"/>
  <c r="AD1701" i="2" s="1"/>
  <c r="R63" i="2" a="1"/>
  <c r="R63" i="2" s="1"/>
  <c r="DE15" i="2" s="1" a="1"/>
  <c r="DE15" i="2" s="1"/>
  <c r="AD1700" i="2" s="1"/>
  <c r="P63" i="2"/>
  <c r="DE13" i="2" s="1" a="1"/>
  <c r="DE13" i="2" s="1"/>
  <c r="O63" i="2"/>
  <c r="DE12" i="2" s="1" a="1"/>
  <c r="DE12" i="2" s="1"/>
  <c r="N63" i="2"/>
  <c r="DE11" i="2" s="1" a="1"/>
  <c r="DE11" i="2" s="1"/>
  <c r="M63" i="2"/>
  <c r="DE10" i="2" s="1" a="1"/>
  <c r="DE10" i="2" s="1"/>
  <c r="L63" i="2"/>
  <c r="DE9" i="2" s="1" a="1"/>
  <c r="DE9" i="2" s="1"/>
  <c r="K63" i="2"/>
  <c r="DE8" i="2" s="1" a="1"/>
  <c r="DE8" i="2" s="1"/>
  <c r="J63" i="2"/>
  <c r="DE7" i="2" s="1" a="1"/>
  <c r="DE7" i="2" s="1"/>
  <c r="I63" i="2"/>
  <c r="DE6" i="2" s="1" a="1"/>
  <c r="DE6" i="2" s="1"/>
  <c r="H63" i="2"/>
  <c r="G63" i="2"/>
  <c r="DE4" i="2" s="1" a="1"/>
  <c r="DE4" i="2" s="1"/>
  <c r="F63" i="2"/>
  <c r="DE3" i="2" s="1" a="1"/>
  <c r="DE3" i="2" s="1"/>
  <c r="E63" i="2"/>
  <c r="DE2" i="2" s="1" a="1"/>
  <c r="DE2" i="2" s="1"/>
  <c r="S62" i="2" a="1"/>
  <c r="S62" i="2" s="1"/>
  <c r="DD16" i="2" s="1" a="1"/>
  <c r="DD16" i="2" s="1"/>
  <c r="AD1680" i="2" s="1"/>
  <c r="R62" i="2" a="1"/>
  <c r="R62" i="2" s="1"/>
  <c r="DD15" i="2" s="1" a="1"/>
  <c r="DD15" i="2" s="1"/>
  <c r="AD1679" i="2" s="1"/>
  <c r="P62" i="2"/>
  <c r="DD13" i="2" s="1" a="1"/>
  <c r="DD13" i="2" s="1"/>
  <c r="O62" i="2"/>
  <c r="DD12" i="2" s="1" a="1"/>
  <c r="DD12" i="2" s="1"/>
  <c r="N62" i="2"/>
  <c r="DD11" i="2" s="1" a="1"/>
  <c r="DD11" i="2" s="1"/>
  <c r="M62" i="2"/>
  <c r="DD10" i="2" s="1" a="1"/>
  <c r="DD10" i="2" s="1"/>
  <c r="L62" i="2"/>
  <c r="DD9" i="2" s="1" a="1"/>
  <c r="DD9" i="2" s="1"/>
  <c r="K62" i="2"/>
  <c r="DD8" i="2" s="1" a="1"/>
  <c r="DD8" i="2" s="1"/>
  <c r="J62" i="2"/>
  <c r="DD7" i="2" s="1" a="1"/>
  <c r="DD7" i="2" s="1"/>
  <c r="I62" i="2"/>
  <c r="DD6" i="2" s="1" a="1"/>
  <c r="DD6" i="2" s="1"/>
  <c r="H62" i="2"/>
  <c r="G62" i="2"/>
  <c r="DD4" i="2" s="1" a="1"/>
  <c r="DD4" i="2" s="1"/>
  <c r="F62" i="2"/>
  <c r="DD3" i="2" s="1" a="1"/>
  <c r="DD3" i="2" s="1"/>
  <c r="E62" i="2"/>
  <c r="DD2" i="2" s="1" a="1"/>
  <c r="DD2" i="2" s="1"/>
  <c r="DC16" i="2" a="1"/>
  <c r="DC16" i="2" s="1"/>
  <c r="AD1659" i="2" s="1"/>
  <c r="DC15" i="2" a="1"/>
  <c r="DC15" i="2" s="1"/>
  <c r="AD1658" i="2" s="1"/>
  <c r="DC13" i="2" a="1"/>
  <c r="DC13" i="2" s="1"/>
  <c r="DC12" i="2" a="1"/>
  <c r="DC12" i="2" s="1"/>
  <c r="DC11" i="2" a="1"/>
  <c r="DC11" i="2" s="1"/>
  <c r="DC10" i="2" a="1"/>
  <c r="DC10" i="2" s="1"/>
  <c r="DC9" i="2" a="1"/>
  <c r="DC9" i="2" s="1"/>
  <c r="DC8" i="2" a="1"/>
  <c r="DC8" i="2" s="1"/>
  <c r="DC7" i="2" a="1"/>
  <c r="DC7" i="2" s="1"/>
  <c r="DC6" i="2" a="1"/>
  <c r="DC6" i="2" s="1"/>
  <c r="DC4" i="2" a="1"/>
  <c r="DC4" i="2" s="1"/>
  <c r="DC3" i="2" a="1"/>
  <c r="DC3" i="2" s="1"/>
  <c r="DC2" i="2" a="1"/>
  <c r="DC2" i="2" s="1"/>
  <c r="S61" i="2" a="1"/>
  <c r="S61" i="2" s="1"/>
  <c r="DB16" i="2" s="1" a="1"/>
  <c r="DB16" i="2" s="1"/>
  <c r="AD1638" i="2" s="1"/>
  <c r="R61" i="2" a="1"/>
  <c r="R61" i="2" s="1"/>
  <c r="DB15" i="2" s="1" a="1"/>
  <c r="DB15" i="2" s="1"/>
  <c r="AD1637" i="2" s="1"/>
  <c r="P61" i="2"/>
  <c r="DB13" i="2" s="1" a="1"/>
  <c r="DB13" i="2" s="1"/>
  <c r="O61" i="2"/>
  <c r="DB12" i="2" s="1" a="1"/>
  <c r="DB12" i="2" s="1"/>
  <c r="N61" i="2"/>
  <c r="DB11" i="2" s="1" a="1"/>
  <c r="DB11" i="2" s="1"/>
  <c r="M61" i="2"/>
  <c r="DB10" i="2" s="1" a="1"/>
  <c r="DB10" i="2" s="1"/>
  <c r="L61" i="2"/>
  <c r="DB9" i="2" s="1" a="1"/>
  <c r="DB9" i="2" s="1"/>
  <c r="K61" i="2"/>
  <c r="DB8" i="2" s="1" a="1"/>
  <c r="DB8" i="2" s="1"/>
  <c r="J61" i="2"/>
  <c r="DB7" i="2" s="1" a="1"/>
  <c r="DB7" i="2" s="1"/>
  <c r="I61" i="2"/>
  <c r="DB6" i="2" s="1" a="1"/>
  <c r="DB6" i="2" s="1"/>
  <c r="H61" i="2"/>
  <c r="G61" i="2"/>
  <c r="DB4" i="2" s="1" a="1"/>
  <c r="DB4" i="2" s="1"/>
  <c r="F61" i="2"/>
  <c r="DB3" i="2" s="1" a="1"/>
  <c r="DB3" i="2" s="1"/>
  <c r="E61" i="2"/>
  <c r="DB2" i="2" s="1" a="1"/>
  <c r="DB2" i="2" s="1"/>
  <c r="DA16" i="2" a="1"/>
  <c r="DA16" i="2" s="1"/>
  <c r="AD1617" i="2" s="1"/>
  <c r="DA15" i="2" a="1"/>
  <c r="DA15" i="2" s="1"/>
  <c r="AD1616" i="2" s="1"/>
  <c r="DA13" i="2" a="1"/>
  <c r="DA13" i="2" s="1"/>
  <c r="DA12" i="2" a="1"/>
  <c r="DA12" i="2" s="1"/>
  <c r="DA11" i="2" a="1"/>
  <c r="DA11" i="2" s="1"/>
  <c r="DA10" i="2" a="1"/>
  <c r="DA10" i="2" s="1"/>
  <c r="DA9" i="2" a="1"/>
  <c r="DA9" i="2" s="1"/>
  <c r="DA8" i="2" a="1"/>
  <c r="DA8" i="2" s="1"/>
  <c r="DA7" i="2" a="1"/>
  <c r="DA7" i="2" s="1"/>
  <c r="DA6" i="2" a="1"/>
  <c r="DA6" i="2" s="1"/>
  <c r="DA4" i="2" a="1"/>
  <c r="DA4" i="2" s="1"/>
  <c r="DA3" i="2" a="1"/>
  <c r="DA3" i="2" s="1"/>
  <c r="DA2" i="2" a="1"/>
  <c r="DA2" i="2" s="1"/>
  <c r="S60" i="2" a="1"/>
  <c r="S60" i="2" s="1"/>
  <c r="CZ16" i="2" s="1" a="1"/>
  <c r="CZ16" i="2" s="1"/>
  <c r="AD1596" i="2" s="1"/>
  <c r="R60" i="2" a="1"/>
  <c r="R60" i="2" s="1"/>
  <c r="CZ15" i="2" s="1" a="1"/>
  <c r="CZ15" i="2" s="1"/>
  <c r="AD1595" i="2" s="1"/>
  <c r="P60" i="2"/>
  <c r="CZ13" i="2" s="1" a="1"/>
  <c r="CZ13" i="2" s="1"/>
  <c r="O60" i="2"/>
  <c r="CZ12" i="2" s="1" a="1"/>
  <c r="CZ12" i="2" s="1"/>
  <c r="N60" i="2"/>
  <c r="CZ11" i="2" s="1" a="1"/>
  <c r="CZ11" i="2" s="1"/>
  <c r="M60" i="2"/>
  <c r="CZ10" i="2" s="1" a="1"/>
  <c r="CZ10" i="2" s="1"/>
  <c r="L60" i="2"/>
  <c r="CZ9" i="2" s="1" a="1"/>
  <c r="CZ9" i="2" s="1"/>
  <c r="K60" i="2"/>
  <c r="CZ8" i="2" s="1" a="1"/>
  <c r="CZ8" i="2" s="1"/>
  <c r="J60" i="2"/>
  <c r="CZ7" i="2" s="1" a="1"/>
  <c r="CZ7" i="2" s="1"/>
  <c r="I60" i="2"/>
  <c r="CZ6" i="2" s="1" a="1"/>
  <c r="CZ6" i="2" s="1"/>
  <c r="H60" i="2"/>
  <c r="G60" i="2"/>
  <c r="CZ4" i="2" s="1" a="1"/>
  <c r="CZ4" i="2" s="1"/>
  <c r="F60" i="2"/>
  <c r="CZ3" i="2" s="1" a="1"/>
  <c r="CZ3" i="2" s="1"/>
  <c r="E60" i="2"/>
  <c r="CZ2" i="2" s="1" a="1"/>
  <c r="CZ2" i="2" s="1"/>
  <c r="S59" i="2" a="1"/>
  <c r="S59" i="2" s="1"/>
  <c r="CY16" i="2" s="1" a="1"/>
  <c r="CY16" i="2" s="1"/>
  <c r="AD1575" i="2" s="1"/>
  <c r="R59" i="2" a="1"/>
  <c r="R59" i="2" s="1"/>
  <c r="CY15" i="2" s="1" a="1"/>
  <c r="CY15" i="2" s="1"/>
  <c r="AD1574" i="2" s="1"/>
  <c r="P59" i="2"/>
  <c r="CY13" i="2" s="1" a="1"/>
  <c r="CY13" i="2" s="1"/>
  <c r="O59" i="2"/>
  <c r="CY12" i="2" s="1" a="1"/>
  <c r="CY12" i="2" s="1"/>
  <c r="N59" i="2"/>
  <c r="CY11" i="2" s="1" a="1"/>
  <c r="CY11" i="2" s="1"/>
  <c r="M59" i="2"/>
  <c r="CY10" i="2" s="1" a="1"/>
  <c r="CY10" i="2" s="1"/>
  <c r="L59" i="2"/>
  <c r="CY9" i="2" s="1" a="1"/>
  <c r="CY9" i="2" s="1"/>
  <c r="K59" i="2"/>
  <c r="CY8" i="2" s="1" a="1"/>
  <c r="CY8" i="2" s="1"/>
  <c r="J59" i="2"/>
  <c r="CY7" i="2" s="1" a="1"/>
  <c r="CY7" i="2" s="1"/>
  <c r="I59" i="2"/>
  <c r="CY6" i="2" s="1" a="1"/>
  <c r="CY6" i="2" s="1"/>
  <c r="H59" i="2"/>
  <c r="G59" i="2"/>
  <c r="CY4" i="2" s="1" a="1"/>
  <c r="CY4" i="2" s="1"/>
  <c r="F59" i="2"/>
  <c r="CY3" i="2" s="1" a="1"/>
  <c r="CY3" i="2" s="1"/>
  <c r="E59" i="2"/>
  <c r="CY2" i="2" s="1" a="1"/>
  <c r="CY2" i="2" s="1"/>
  <c r="S58" i="2" a="1"/>
  <c r="S58" i="2" s="1"/>
  <c r="CX16" i="2" s="1" a="1"/>
  <c r="CX16" i="2" s="1"/>
  <c r="AD1554" i="2" s="1"/>
  <c r="R58" i="2" a="1"/>
  <c r="R58" i="2" s="1"/>
  <c r="CX15" i="2" s="1" a="1"/>
  <c r="CX15" i="2" s="1"/>
  <c r="AD1553" i="2" s="1"/>
  <c r="P58" i="2"/>
  <c r="CX13" i="2" s="1" a="1"/>
  <c r="CX13" i="2" s="1"/>
  <c r="O58" i="2"/>
  <c r="CX12" i="2" s="1" a="1"/>
  <c r="CX12" i="2" s="1"/>
  <c r="N58" i="2"/>
  <c r="CX11" i="2" s="1" a="1"/>
  <c r="CX11" i="2" s="1"/>
  <c r="M58" i="2"/>
  <c r="CX10" i="2" s="1" a="1"/>
  <c r="CX10" i="2" s="1"/>
  <c r="L58" i="2"/>
  <c r="CX9" i="2" s="1" a="1"/>
  <c r="CX9" i="2" s="1"/>
  <c r="K58" i="2"/>
  <c r="CX8" i="2" s="1" a="1"/>
  <c r="CX8" i="2" s="1"/>
  <c r="J58" i="2"/>
  <c r="CX7" i="2" s="1" a="1"/>
  <c r="CX7" i="2" s="1"/>
  <c r="I58" i="2"/>
  <c r="CX6" i="2" s="1" a="1"/>
  <c r="CX6" i="2" s="1"/>
  <c r="H58" i="2"/>
  <c r="G58" i="2"/>
  <c r="CX4" i="2" s="1" a="1"/>
  <c r="CX4" i="2" s="1"/>
  <c r="F58" i="2"/>
  <c r="CX3" i="2" s="1" a="1"/>
  <c r="CX3" i="2" s="1"/>
  <c r="E58" i="2"/>
  <c r="CX2" i="2" s="1" a="1"/>
  <c r="CX2" i="2" s="1"/>
  <c r="S57" i="2" a="1"/>
  <c r="S57" i="2" s="1"/>
  <c r="CW16" i="2" s="1" a="1"/>
  <c r="CW16" i="2" s="1"/>
  <c r="AD1533" i="2" s="1"/>
  <c r="R57" i="2" a="1"/>
  <c r="R57" i="2" s="1"/>
  <c r="CW15" i="2" s="1" a="1"/>
  <c r="CW15" i="2" s="1"/>
  <c r="AD1532" i="2" s="1"/>
  <c r="P57" i="2"/>
  <c r="CW13" i="2" s="1" a="1"/>
  <c r="CW13" i="2" s="1"/>
  <c r="O57" i="2"/>
  <c r="CW12" i="2" s="1" a="1"/>
  <c r="CW12" i="2" s="1"/>
  <c r="N57" i="2"/>
  <c r="CW11" i="2" s="1" a="1"/>
  <c r="CW11" i="2" s="1"/>
  <c r="M57" i="2"/>
  <c r="CW10" i="2" s="1" a="1"/>
  <c r="CW10" i="2" s="1"/>
  <c r="L57" i="2"/>
  <c r="CW9" i="2" s="1" a="1"/>
  <c r="CW9" i="2" s="1"/>
  <c r="K57" i="2"/>
  <c r="CW8" i="2" s="1" a="1"/>
  <c r="CW8" i="2" s="1"/>
  <c r="J57" i="2"/>
  <c r="CW7" i="2" s="1" a="1"/>
  <c r="CW7" i="2" s="1"/>
  <c r="I57" i="2"/>
  <c r="CW6" i="2" s="1" a="1"/>
  <c r="CW6" i="2" s="1"/>
  <c r="H57" i="2"/>
  <c r="G57" i="2"/>
  <c r="CW4" i="2" s="1" a="1"/>
  <c r="CW4" i="2" s="1"/>
  <c r="F57" i="2"/>
  <c r="CW3" i="2" s="1" a="1"/>
  <c r="CW3" i="2" s="1"/>
  <c r="E57" i="2"/>
  <c r="CW2" i="2" s="1" a="1"/>
  <c r="CW2" i="2" s="1"/>
  <c r="S56" i="2" a="1"/>
  <c r="S56" i="2" s="1"/>
  <c r="CV16" i="2" s="1" a="1"/>
  <c r="CV16" i="2" s="1"/>
  <c r="AD1512" i="2" s="1"/>
  <c r="R56" i="2" a="1"/>
  <c r="R56" i="2" s="1"/>
  <c r="CV15" i="2" s="1" a="1"/>
  <c r="CV15" i="2" s="1"/>
  <c r="AD1511" i="2" s="1"/>
  <c r="P56" i="2"/>
  <c r="CV13" i="2" s="1" a="1"/>
  <c r="CV13" i="2" s="1"/>
  <c r="O56" i="2"/>
  <c r="CV12" i="2" s="1" a="1"/>
  <c r="CV12" i="2" s="1"/>
  <c r="N56" i="2"/>
  <c r="CV11" i="2" s="1" a="1"/>
  <c r="CV11" i="2" s="1"/>
  <c r="M56" i="2"/>
  <c r="CV10" i="2" s="1" a="1"/>
  <c r="CV10" i="2" s="1"/>
  <c r="L56" i="2"/>
  <c r="CV9" i="2" s="1" a="1"/>
  <c r="CV9" i="2" s="1"/>
  <c r="K56" i="2"/>
  <c r="CV8" i="2" s="1" a="1"/>
  <c r="CV8" i="2" s="1"/>
  <c r="J56" i="2"/>
  <c r="CV7" i="2" s="1" a="1"/>
  <c r="CV7" i="2" s="1"/>
  <c r="I56" i="2"/>
  <c r="CV6" i="2" s="1" a="1"/>
  <c r="CV6" i="2" s="1"/>
  <c r="H56" i="2"/>
  <c r="G56" i="2"/>
  <c r="CV4" i="2" s="1" a="1"/>
  <c r="CV4" i="2" s="1"/>
  <c r="F56" i="2"/>
  <c r="CV3" i="2" s="1" a="1"/>
  <c r="CV3" i="2" s="1"/>
  <c r="E56" i="2"/>
  <c r="CV2" i="2" s="1" a="1"/>
  <c r="CV2" i="2" s="1"/>
  <c r="S55" i="2" a="1"/>
  <c r="S55" i="2" s="1"/>
  <c r="CU16" i="2" s="1" a="1"/>
  <c r="CU16" i="2" s="1"/>
  <c r="AD1491" i="2" s="1"/>
  <c r="R55" i="2" a="1"/>
  <c r="R55" i="2" s="1"/>
  <c r="CU15" i="2" s="1" a="1"/>
  <c r="CU15" i="2" s="1"/>
  <c r="AD1490" i="2" s="1"/>
  <c r="P55" i="2"/>
  <c r="CU13" i="2" s="1" a="1"/>
  <c r="CU13" i="2" s="1"/>
  <c r="O55" i="2"/>
  <c r="CU12" i="2" s="1" a="1"/>
  <c r="CU12" i="2" s="1"/>
  <c r="N55" i="2"/>
  <c r="CU11" i="2" s="1" a="1"/>
  <c r="CU11" i="2" s="1"/>
  <c r="M55" i="2"/>
  <c r="CU10" i="2" s="1" a="1"/>
  <c r="CU10" i="2" s="1"/>
  <c r="L55" i="2"/>
  <c r="CU9" i="2" s="1" a="1"/>
  <c r="CU9" i="2" s="1"/>
  <c r="K55" i="2"/>
  <c r="CU8" i="2" s="1" a="1"/>
  <c r="CU8" i="2" s="1"/>
  <c r="J55" i="2"/>
  <c r="CU7" i="2" s="1" a="1"/>
  <c r="CU7" i="2" s="1"/>
  <c r="I55" i="2"/>
  <c r="CU6" i="2" s="1" a="1"/>
  <c r="CU6" i="2" s="1"/>
  <c r="H55" i="2"/>
  <c r="G55" i="2"/>
  <c r="CU4" i="2" s="1" a="1"/>
  <c r="CU4" i="2" s="1"/>
  <c r="F55" i="2"/>
  <c r="CU3" i="2" s="1" a="1"/>
  <c r="CU3" i="2" s="1"/>
  <c r="E55" i="2"/>
  <c r="CU2" i="2" s="1" a="1"/>
  <c r="CU2" i="2" s="1"/>
  <c r="S54" i="2" a="1"/>
  <c r="S54" i="2" s="1"/>
  <c r="CT16" i="2" s="1" a="1"/>
  <c r="CT16" i="2" s="1"/>
  <c r="AD1470" i="2" s="1"/>
  <c r="R54" i="2" a="1"/>
  <c r="R54" i="2" s="1"/>
  <c r="CT15" i="2" s="1" a="1"/>
  <c r="CT15" i="2" s="1"/>
  <c r="AD1469" i="2" s="1"/>
  <c r="P54" i="2"/>
  <c r="CT13" i="2" s="1" a="1"/>
  <c r="CT13" i="2" s="1"/>
  <c r="O54" i="2"/>
  <c r="CT12" i="2" s="1" a="1"/>
  <c r="CT12" i="2" s="1"/>
  <c r="N54" i="2"/>
  <c r="CT11" i="2" s="1" a="1"/>
  <c r="CT11" i="2" s="1"/>
  <c r="M54" i="2"/>
  <c r="CT10" i="2" s="1" a="1"/>
  <c r="CT10" i="2" s="1"/>
  <c r="L54" i="2"/>
  <c r="CT9" i="2" s="1" a="1"/>
  <c r="CT9" i="2" s="1"/>
  <c r="K54" i="2"/>
  <c r="CT8" i="2" s="1" a="1"/>
  <c r="CT8" i="2" s="1"/>
  <c r="J54" i="2"/>
  <c r="CT7" i="2" s="1" a="1"/>
  <c r="CT7" i="2" s="1"/>
  <c r="I54" i="2"/>
  <c r="CT6" i="2" s="1" a="1"/>
  <c r="CT6" i="2" s="1"/>
  <c r="H54" i="2"/>
  <c r="G54" i="2"/>
  <c r="CT4" i="2" s="1" a="1"/>
  <c r="CT4" i="2" s="1"/>
  <c r="F54" i="2"/>
  <c r="CT3" i="2" s="1" a="1"/>
  <c r="CT3" i="2" s="1"/>
  <c r="E54" i="2"/>
  <c r="CT2" i="2" s="1" a="1"/>
  <c r="CT2" i="2" s="1"/>
  <c r="S53" i="2" a="1"/>
  <c r="S53" i="2" s="1"/>
  <c r="CS16" i="2" s="1" a="1"/>
  <c r="CS16" i="2" s="1"/>
  <c r="AD1449" i="2" s="1"/>
  <c r="R53" i="2" a="1"/>
  <c r="R53" i="2" s="1"/>
  <c r="CS15" i="2" s="1" a="1"/>
  <c r="CS15" i="2" s="1"/>
  <c r="AD1448" i="2" s="1"/>
  <c r="P53" i="2"/>
  <c r="CS13" i="2" s="1" a="1"/>
  <c r="CS13" i="2" s="1"/>
  <c r="O53" i="2"/>
  <c r="CS12" i="2" s="1" a="1"/>
  <c r="CS12" i="2" s="1"/>
  <c r="N53" i="2"/>
  <c r="CS11" i="2" s="1" a="1"/>
  <c r="CS11" i="2" s="1"/>
  <c r="M53" i="2"/>
  <c r="CS10" i="2" s="1" a="1"/>
  <c r="CS10" i="2" s="1"/>
  <c r="L53" i="2"/>
  <c r="CS9" i="2" s="1" a="1"/>
  <c r="CS9" i="2" s="1"/>
  <c r="K53" i="2"/>
  <c r="CS8" i="2" s="1" a="1"/>
  <c r="CS8" i="2" s="1"/>
  <c r="J53" i="2"/>
  <c r="CS7" i="2" s="1" a="1"/>
  <c r="CS7" i="2" s="1"/>
  <c r="I53" i="2"/>
  <c r="CS6" i="2" s="1" a="1"/>
  <c r="CS6" i="2" s="1"/>
  <c r="H53" i="2"/>
  <c r="G53" i="2"/>
  <c r="CS4" i="2" s="1" a="1"/>
  <c r="CS4" i="2" s="1"/>
  <c r="F53" i="2"/>
  <c r="CS3" i="2" s="1" a="1"/>
  <c r="CS3" i="2" s="1"/>
  <c r="E53" i="2"/>
  <c r="CS2" i="2" s="1" a="1"/>
  <c r="CS2" i="2" s="1"/>
  <c r="S52" i="2" a="1"/>
  <c r="S52" i="2" s="1"/>
  <c r="CR16" i="2" s="1" a="1"/>
  <c r="CR16" i="2" s="1"/>
  <c r="AD1428" i="2" s="1"/>
  <c r="R52" i="2" a="1"/>
  <c r="R52" i="2" s="1"/>
  <c r="CR15" i="2" s="1" a="1"/>
  <c r="CR15" i="2" s="1"/>
  <c r="AD1427" i="2" s="1"/>
  <c r="P52" i="2"/>
  <c r="CR13" i="2" s="1" a="1"/>
  <c r="CR13" i="2" s="1"/>
  <c r="O52" i="2"/>
  <c r="CR12" i="2" s="1" a="1"/>
  <c r="CR12" i="2" s="1"/>
  <c r="N52" i="2"/>
  <c r="CR11" i="2" s="1" a="1"/>
  <c r="CR11" i="2" s="1"/>
  <c r="M52" i="2"/>
  <c r="CR10" i="2" s="1" a="1"/>
  <c r="CR10" i="2" s="1"/>
  <c r="L52" i="2"/>
  <c r="CR9" i="2" s="1" a="1"/>
  <c r="CR9" i="2" s="1"/>
  <c r="K52" i="2"/>
  <c r="CR8" i="2" s="1" a="1"/>
  <c r="CR8" i="2" s="1"/>
  <c r="J52" i="2"/>
  <c r="CR7" i="2" s="1" a="1"/>
  <c r="CR7" i="2" s="1"/>
  <c r="I52" i="2"/>
  <c r="CR6" i="2" s="1" a="1"/>
  <c r="CR6" i="2" s="1"/>
  <c r="H52" i="2"/>
  <c r="G52" i="2"/>
  <c r="CR4" i="2" s="1" a="1"/>
  <c r="CR4" i="2" s="1"/>
  <c r="F52" i="2"/>
  <c r="CR3" i="2" s="1" a="1"/>
  <c r="CR3" i="2" s="1"/>
  <c r="E52" i="2"/>
  <c r="CR2" i="2" s="1" a="1"/>
  <c r="CR2" i="2" s="1"/>
  <c r="S51" i="2" a="1"/>
  <c r="S51" i="2" s="1"/>
  <c r="CQ16" i="2" s="1" a="1"/>
  <c r="CQ16" i="2" s="1"/>
  <c r="AD1407" i="2" s="1"/>
  <c r="R51" i="2" a="1"/>
  <c r="R51" i="2" s="1"/>
  <c r="CQ15" i="2" s="1" a="1"/>
  <c r="CQ15" i="2" s="1"/>
  <c r="AD1406" i="2" s="1"/>
  <c r="P51" i="2"/>
  <c r="CQ13" i="2" s="1" a="1"/>
  <c r="CQ13" i="2" s="1"/>
  <c r="O51" i="2"/>
  <c r="CQ12" i="2" s="1" a="1"/>
  <c r="CQ12" i="2" s="1"/>
  <c r="N51" i="2"/>
  <c r="CQ11" i="2" s="1" a="1"/>
  <c r="CQ11" i="2" s="1"/>
  <c r="M51" i="2"/>
  <c r="CQ10" i="2" s="1" a="1"/>
  <c r="CQ10" i="2" s="1"/>
  <c r="L51" i="2"/>
  <c r="CQ9" i="2" s="1" a="1"/>
  <c r="CQ9" i="2" s="1"/>
  <c r="K51" i="2"/>
  <c r="CQ8" i="2" s="1" a="1"/>
  <c r="CQ8" i="2" s="1"/>
  <c r="J51" i="2"/>
  <c r="CQ7" i="2" s="1" a="1"/>
  <c r="CQ7" i="2" s="1"/>
  <c r="I51" i="2"/>
  <c r="CQ6" i="2" s="1" a="1"/>
  <c r="CQ6" i="2" s="1"/>
  <c r="H51" i="2"/>
  <c r="G51" i="2"/>
  <c r="CQ4" i="2" s="1" a="1"/>
  <c r="CQ4" i="2" s="1"/>
  <c r="F51" i="2"/>
  <c r="CQ3" i="2" s="1" a="1"/>
  <c r="CQ3" i="2" s="1"/>
  <c r="E51" i="2"/>
  <c r="CQ2" i="2" s="1" a="1"/>
  <c r="CQ2" i="2" s="1"/>
  <c r="S50" i="2" a="1"/>
  <c r="S50" i="2" s="1"/>
  <c r="CP16" i="2" s="1" a="1"/>
  <c r="CP16" i="2" s="1"/>
  <c r="AD1386" i="2" s="1"/>
  <c r="R50" i="2" a="1"/>
  <c r="R50" i="2" s="1"/>
  <c r="CP15" i="2" s="1" a="1"/>
  <c r="CP15" i="2" s="1"/>
  <c r="AD1385" i="2" s="1"/>
  <c r="P50" i="2"/>
  <c r="CP13" i="2" s="1" a="1"/>
  <c r="CP13" i="2" s="1"/>
  <c r="O50" i="2"/>
  <c r="CP12" i="2" s="1" a="1"/>
  <c r="CP12" i="2" s="1"/>
  <c r="N50" i="2"/>
  <c r="CP11" i="2" s="1" a="1"/>
  <c r="CP11" i="2" s="1"/>
  <c r="M50" i="2"/>
  <c r="CP10" i="2" s="1" a="1"/>
  <c r="CP10" i="2" s="1"/>
  <c r="L50" i="2"/>
  <c r="CP9" i="2" s="1" a="1"/>
  <c r="CP9" i="2" s="1"/>
  <c r="K50" i="2"/>
  <c r="CP8" i="2" s="1" a="1"/>
  <c r="CP8" i="2" s="1"/>
  <c r="J50" i="2"/>
  <c r="CP7" i="2" s="1" a="1"/>
  <c r="CP7" i="2" s="1"/>
  <c r="I50" i="2"/>
  <c r="CP6" i="2" s="1" a="1"/>
  <c r="CP6" i="2" s="1"/>
  <c r="H50" i="2"/>
  <c r="G50" i="2"/>
  <c r="CP4" i="2" s="1" a="1"/>
  <c r="CP4" i="2" s="1"/>
  <c r="F50" i="2"/>
  <c r="CP3" i="2" s="1" a="1"/>
  <c r="CP3" i="2" s="1"/>
  <c r="E50" i="2"/>
  <c r="CP2" i="2" s="1" a="1"/>
  <c r="CP2" i="2" s="1"/>
  <c r="S49" i="2" a="1"/>
  <c r="S49" i="2" s="1"/>
  <c r="CO16" i="2" s="1" a="1"/>
  <c r="CO16" i="2" s="1"/>
  <c r="AD1365" i="2" s="1"/>
  <c r="R49" i="2" a="1"/>
  <c r="R49" i="2" s="1"/>
  <c r="CO15" i="2" s="1" a="1"/>
  <c r="CO15" i="2" s="1"/>
  <c r="AD1364" i="2" s="1"/>
  <c r="P49" i="2"/>
  <c r="CO13" i="2" s="1" a="1"/>
  <c r="CO13" i="2" s="1"/>
  <c r="O49" i="2"/>
  <c r="CO12" i="2" s="1" a="1"/>
  <c r="CO12" i="2" s="1"/>
  <c r="N49" i="2"/>
  <c r="CO11" i="2" s="1" a="1"/>
  <c r="CO11" i="2" s="1"/>
  <c r="M49" i="2"/>
  <c r="CO10" i="2" s="1" a="1"/>
  <c r="CO10" i="2" s="1"/>
  <c r="L49" i="2"/>
  <c r="CO9" i="2" s="1" a="1"/>
  <c r="CO9" i="2" s="1"/>
  <c r="K49" i="2"/>
  <c r="CO8" i="2" s="1" a="1"/>
  <c r="CO8" i="2" s="1"/>
  <c r="J49" i="2"/>
  <c r="CO7" i="2" s="1" a="1"/>
  <c r="CO7" i="2" s="1"/>
  <c r="I49" i="2"/>
  <c r="CO6" i="2" s="1" a="1"/>
  <c r="CO6" i="2" s="1"/>
  <c r="H49" i="2"/>
  <c r="G49" i="2"/>
  <c r="CO4" i="2" s="1" a="1"/>
  <c r="CO4" i="2" s="1"/>
  <c r="F49" i="2"/>
  <c r="CO3" i="2" s="1" a="1"/>
  <c r="CO3" i="2" s="1"/>
  <c r="E49" i="2"/>
  <c r="CO2" i="2" s="1" a="1"/>
  <c r="CO2" i="2" s="1"/>
  <c r="S48" i="2" a="1"/>
  <c r="S48" i="2" s="1"/>
  <c r="CN16" i="2" s="1" a="1"/>
  <c r="CN16" i="2" s="1"/>
  <c r="AD1344" i="2" s="1"/>
  <c r="R48" i="2" a="1"/>
  <c r="R48" i="2" s="1"/>
  <c r="CN15" i="2" s="1" a="1"/>
  <c r="CN15" i="2" s="1"/>
  <c r="AD1343" i="2" s="1"/>
  <c r="P48" i="2"/>
  <c r="CN13" i="2" s="1" a="1"/>
  <c r="CN13" i="2" s="1"/>
  <c r="O48" i="2"/>
  <c r="CN12" i="2" s="1" a="1"/>
  <c r="CN12" i="2" s="1"/>
  <c r="N48" i="2"/>
  <c r="CN11" i="2" s="1" a="1"/>
  <c r="CN11" i="2" s="1"/>
  <c r="M48" i="2"/>
  <c r="CN10" i="2" s="1" a="1"/>
  <c r="CN10" i="2" s="1"/>
  <c r="L48" i="2"/>
  <c r="CN9" i="2" s="1" a="1"/>
  <c r="CN9" i="2" s="1"/>
  <c r="K48" i="2"/>
  <c r="CN8" i="2" s="1" a="1"/>
  <c r="CN8" i="2" s="1"/>
  <c r="J48" i="2"/>
  <c r="CN7" i="2" s="1" a="1"/>
  <c r="CN7" i="2" s="1"/>
  <c r="I48" i="2"/>
  <c r="CN6" i="2" s="1" a="1"/>
  <c r="CN6" i="2" s="1"/>
  <c r="H48" i="2"/>
  <c r="G48" i="2"/>
  <c r="CN4" i="2" s="1" a="1"/>
  <c r="CN4" i="2" s="1"/>
  <c r="F48" i="2"/>
  <c r="CN3" i="2" s="1" a="1"/>
  <c r="CN3" i="2" s="1"/>
  <c r="E48" i="2"/>
  <c r="CN2" i="2" s="1" a="1"/>
  <c r="CN2" i="2" s="1"/>
  <c r="S47" i="2" a="1"/>
  <c r="S47" i="2" s="1"/>
  <c r="CM16" i="2" s="1" a="1"/>
  <c r="CM16" i="2" s="1"/>
  <c r="AD1323" i="2" s="1"/>
  <c r="R47" i="2" a="1"/>
  <c r="R47" i="2" s="1"/>
  <c r="CM15" i="2" s="1" a="1"/>
  <c r="CM15" i="2" s="1"/>
  <c r="AD1322" i="2" s="1"/>
  <c r="P47" i="2"/>
  <c r="CM13" i="2" s="1" a="1"/>
  <c r="CM13" i="2" s="1"/>
  <c r="O47" i="2"/>
  <c r="CM12" i="2" s="1" a="1"/>
  <c r="CM12" i="2" s="1"/>
  <c r="N47" i="2"/>
  <c r="CM11" i="2" s="1" a="1"/>
  <c r="CM11" i="2" s="1"/>
  <c r="M47" i="2"/>
  <c r="CM10" i="2" s="1" a="1"/>
  <c r="CM10" i="2" s="1"/>
  <c r="L47" i="2"/>
  <c r="CM9" i="2" s="1" a="1"/>
  <c r="CM9" i="2" s="1"/>
  <c r="K47" i="2"/>
  <c r="CM8" i="2" s="1" a="1"/>
  <c r="CM8" i="2" s="1"/>
  <c r="J47" i="2"/>
  <c r="CM7" i="2" s="1" a="1"/>
  <c r="CM7" i="2" s="1"/>
  <c r="I47" i="2"/>
  <c r="CM6" i="2" s="1" a="1"/>
  <c r="CM6" i="2" s="1"/>
  <c r="H47" i="2"/>
  <c r="G47" i="2"/>
  <c r="CM4" i="2" s="1" a="1"/>
  <c r="CM4" i="2" s="1"/>
  <c r="F47" i="2"/>
  <c r="CM3" i="2" s="1" a="1"/>
  <c r="CM3" i="2" s="1"/>
  <c r="E47" i="2"/>
  <c r="CM2" i="2" s="1" a="1"/>
  <c r="CM2" i="2" s="1"/>
  <c r="S46" i="2" a="1"/>
  <c r="S46" i="2" s="1"/>
  <c r="CL16" i="2" s="1" a="1"/>
  <c r="CL16" i="2" s="1"/>
  <c r="AD1302" i="2" s="1"/>
  <c r="R46" i="2" a="1"/>
  <c r="R46" i="2" s="1"/>
  <c r="CL15" i="2" s="1" a="1"/>
  <c r="CL15" i="2" s="1"/>
  <c r="AD1301" i="2" s="1"/>
  <c r="P46" i="2"/>
  <c r="CL13" i="2" s="1" a="1"/>
  <c r="CL13" i="2" s="1"/>
  <c r="O46" i="2"/>
  <c r="CL12" i="2" s="1" a="1"/>
  <c r="CL12" i="2" s="1"/>
  <c r="N46" i="2"/>
  <c r="CL11" i="2" s="1" a="1"/>
  <c r="CL11" i="2" s="1"/>
  <c r="M46" i="2"/>
  <c r="CL10" i="2" s="1" a="1"/>
  <c r="CL10" i="2" s="1"/>
  <c r="L46" i="2"/>
  <c r="CL9" i="2" s="1" a="1"/>
  <c r="CL9" i="2" s="1"/>
  <c r="K46" i="2"/>
  <c r="CL8" i="2" s="1" a="1"/>
  <c r="CL8" i="2" s="1"/>
  <c r="J46" i="2"/>
  <c r="CL7" i="2" s="1" a="1"/>
  <c r="CL7" i="2" s="1"/>
  <c r="I46" i="2"/>
  <c r="CL6" i="2" s="1" a="1"/>
  <c r="CL6" i="2" s="1"/>
  <c r="H46" i="2"/>
  <c r="G46" i="2"/>
  <c r="CL4" i="2" s="1" a="1"/>
  <c r="CL4" i="2" s="1"/>
  <c r="F46" i="2"/>
  <c r="CL3" i="2" s="1" a="1"/>
  <c r="CL3" i="2" s="1"/>
  <c r="E46" i="2"/>
  <c r="CL2" i="2" s="1" a="1"/>
  <c r="CL2" i="2" s="1"/>
  <c r="S45" i="2" a="1"/>
  <c r="S45" i="2" s="1"/>
  <c r="CK16" i="2" s="1" a="1"/>
  <c r="CK16" i="2" s="1"/>
  <c r="AD1281" i="2" s="1"/>
  <c r="R45" i="2" a="1"/>
  <c r="R45" i="2" s="1"/>
  <c r="CK15" i="2" s="1" a="1"/>
  <c r="CK15" i="2" s="1"/>
  <c r="AD1280" i="2" s="1"/>
  <c r="P45" i="2"/>
  <c r="CK13" i="2" s="1" a="1"/>
  <c r="CK13" i="2" s="1"/>
  <c r="O45" i="2"/>
  <c r="CK12" i="2" s="1" a="1"/>
  <c r="CK12" i="2" s="1"/>
  <c r="N45" i="2"/>
  <c r="CK11" i="2" s="1" a="1"/>
  <c r="CK11" i="2" s="1"/>
  <c r="M45" i="2"/>
  <c r="CK10" i="2" s="1" a="1"/>
  <c r="CK10" i="2" s="1"/>
  <c r="L45" i="2"/>
  <c r="CK9" i="2" s="1" a="1"/>
  <c r="CK9" i="2" s="1"/>
  <c r="K45" i="2"/>
  <c r="CK8" i="2" s="1" a="1"/>
  <c r="CK8" i="2" s="1"/>
  <c r="J45" i="2"/>
  <c r="CK7" i="2" s="1" a="1"/>
  <c r="CK7" i="2" s="1"/>
  <c r="I45" i="2"/>
  <c r="CK6" i="2" s="1" a="1"/>
  <c r="CK6" i="2" s="1"/>
  <c r="H45" i="2"/>
  <c r="G45" i="2"/>
  <c r="CK4" i="2" s="1" a="1"/>
  <c r="CK4" i="2" s="1"/>
  <c r="F45" i="2"/>
  <c r="CK3" i="2" s="1" a="1"/>
  <c r="CK3" i="2" s="1"/>
  <c r="E45" i="2"/>
  <c r="CK2" i="2" s="1" a="1"/>
  <c r="CK2" i="2" s="1"/>
  <c r="S44" i="2" a="1"/>
  <c r="S44" i="2" s="1"/>
  <c r="CJ16" i="2" s="1" a="1"/>
  <c r="CJ16" i="2" s="1"/>
  <c r="AD1260" i="2" s="1"/>
  <c r="R44" i="2" a="1"/>
  <c r="R44" i="2" s="1"/>
  <c r="CJ15" i="2" s="1" a="1"/>
  <c r="CJ15" i="2" s="1"/>
  <c r="AD1259" i="2" s="1"/>
  <c r="P44" i="2"/>
  <c r="CJ13" i="2" s="1" a="1"/>
  <c r="CJ13" i="2" s="1"/>
  <c r="O44" i="2"/>
  <c r="CJ12" i="2" s="1" a="1"/>
  <c r="CJ12" i="2" s="1"/>
  <c r="N44" i="2"/>
  <c r="CJ11" i="2" s="1" a="1"/>
  <c r="CJ11" i="2" s="1"/>
  <c r="M44" i="2"/>
  <c r="CJ10" i="2" s="1" a="1"/>
  <c r="CJ10" i="2" s="1"/>
  <c r="L44" i="2"/>
  <c r="CJ9" i="2" s="1" a="1"/>
  <c r="CJ9" i="2" s="1"/>
  <c r="K44" i="2"/>
  <c r="CJ8" i="2" s="1" a="1"/>
  <c r="CJ8" i="2" s="1"/>
  <c r="J44" i="2"/>
  <c r="CJ7" i="2" s="1" a="1"/>
  <c r="CJ7" i="2" s="1"/>
  <c r="I44" i="2"/>
  <c r="CJ6" i="2" s="1" a="1"/>
  <c r="CJ6" i="2" s="1"/>
  <c r="H44" i="2"/>
  <c r="G44" i="2"/>
  <c r="CJ4" i="2" s="1" a="1"/>
  <c r="CJ4" i="2" s="1"/>
  <c r="F44" i="2"/>
  <c r="CJ3" i="2" s="1" a="1"/>
  <c r="CJ3" i="2" s="1"/>
  <c r="E44" i="2"/>
  <c r="CJ2" i="2" s="1" a="1"/>
  <c r="CJ2" i="2" s="1"/>
  <c r="CI16" i="2" a="1"/>
  <c r="CI16" i="2" s="1"/>
  <c r="AD1239" i="2" s="1"/>
  <c r="CI15" i="2" a="1"/>
  <c r="CI15" i="2" s="1"/>
  <c r="AD1238" i="2" s="1"/>
  <c r="CI13" i="2" a="1"/>
  <c r="CI13" i="2" s="1"/>
  <c r="CI12" i="2" a="1"/>
  <c r="CI12" i="2" s="1"/>
  <c r="CI11" i="2" a="1"/>
  <c r="CI11" i="2" s="1"/>
  <c r="CI10" i="2" a="1"/>
  <c r="CI10" i="2" s="1"/>
  <c r="CI9" i="2" a="1"/>
  <c r="CI9" i="2" s="1"/>
  <c r="CI8" i="2" a="1"/>
  <c r="CI8" i="2" s="1"/>
  <c r="CI7" i="2" a="1"/>
  <c r="CI7" i="2" s="1"/>
  <c r="CI6" i="2" a="1"/>
  <c r="CI6" i="2" s="1"/>
  <c r="CI4" i="2" a="1"/>
  <c r="CI4" i="2" s="1"/>
  <c r="CI3" i="2" a="1"/>
  <c r="CI3" i="2" s="1"/>
  <c r="CI2" i="2" a="1"/>
  <c r="CI2" i="2" s="1"/>
  <c r="S43" i="2" a="1"/>
  <c r="S43" i="2" s="1"/>
  <c r="CH16" i="2" s="1" a="1"/>
  <c r="CH16" i="2" s="1"/>
  <c r="AD1218" i="2" s="1"/>
  <c r="R43" i="2" a="1"/>
  <c r="R43" i="2" s="1"/>
  <c r="CH15" i="2" s="1" a="1"/>
  <c r="CH15" i="2" s="1"/>
  <c r="AD1217" i="2" s="1"/>
  <c r="P43" i="2"/>
  <c r="CH13" i="2" s="1" a="1"/>
  <c r="CH13" i="2" s="1"/>
  <c r="O43" i="2"/>
  <c r="CH12" i="2" s="1" a="1"/>
  <c r="CH12" i="2" s="1"/>
  <c r="N43" i="2"/>
  <c r="CH11" i="2" s="1" a="1"/>
  <c r="CH11" i="2" s="1"/>
  <c r="M43" i="2"/>
  <c r="CH10" i="2" s="1" a="1"/>
  <c r="CH10" i="2" s="1"/>
  <c r="L43" i="2"/>
  <c r="CH9" i="2" s="1" a="1"/>
  <c r="CH9" i="2" s="1"/>
  <c r="K43" i="2"/>
  <c r="CH8" i="2" s="1" a="1"/>
  <c r="CH8" i="2" s="1"/>
  <c r="J43" i="2"/>
  <c r="CH7" i="2" s="1" a="1"/>
  <c r="CH7" i="2" s="1"/>
  <c r="I43" i="2"/>
  <c r="CH6" i="2" s="1" a="1"/>
  <c r="CH6" i="2" s="1"/>
  <c r="H43" i="2"/>
  <c r="G43" i="2"/>
  <c r="CH4" i="2" s="1" a="1"/>
  <c r="CH4" i="2" s="1"/>
  <c r="F43" i="2"/>
  <c r="CH3" i="2" s="1" a="1"/>
  <c r="CH3" i="2" s="1"/>
  <c r="E43" i="2"/>
  <c r="CH2" i="2" s="1" a="1"/>
  <c r="CH2" i="2" s="1"/>
  <c r="S42" i="2" a="1"/>
  <c r="S42" i="2" s="1"/>
  <c r="CG16" i="2" s="1" a="1"/>
  <c r="CG16" i="2" s="1"/>
  <c r="AD1197" i="2" s="1"/>
  <c r="R42" i="2" a="1"/>
  <c r="R42" i="2" s="1"/>
  <c r="CG15" i="2" s="1" a="1"/>
  <c r="CG15" i="2" s="1"/>
  <c r="AD1196" i="2" s="1"/>
  <c r="P42" i="2"/>
  <c r="CG13" i="2" s="1" a="1"/>
  <c r="CG13" i="2" s="1"/>
  <c r="O42" i="2"/>
  <c r="CG12" i="2" s="1" a="1"/>
  <c r="CG12" i="2" s="1"/>
  <c r="N42" i="2"/>
  <c r="CG11" i="2" s="1" a="1"/>
  <c r="CG11" i="2" s="1"/>
  <c r="M42" i="2"/>
  <c r="CG10" i="2" s="1" a="1"/>
  <c r="CG10" i="2" s="1"/>
  <c r="L42" i="2"/>
  <c r="CG9" i="2" s="1" a="1"/>
  <c r="CG9" i="2" s="1"/>
  <c r="K42" i="2"/>
  <c r="CG8" i="2" s="1" a="1"/>
  <c r="CG8" i="2" s="1"/>
  <c r="J42" i="2"/>
  <c r="CG7" i="2" s="1" a="1"/>
  <c r="CG7" i="2" s="1"/>
  <c r="I42" i="2"/>
  <c r="CG6" i="2" s="1" a="1"/>
  <c r="CG6" i="2" s="1"/>
  <c r="H42" i="2"/>
  <c r="G42" i="2"/>
  <c r="CG4" i="2" s="1" a="1"/>
  <c r="CG4" i="2" s="1"/>
  <c r="F42" i="2"/>
  <c r="CG3" i="2" s="1" a="1"/>
  <c r="CG3" i="2" s="1"/>
  <c r="E42" i="2"/>
  <c r="CG2" i="2" s="1" a="1"/>
  <c r="CG2" i="2" s="1"/>
  <c r="S41" i="2" a="1"/>
  <c r="S41" i="2" s="1"/>
  <c r="CF16" i="2" s="1" a="1"/>
  <c r="CF16" i="2" s="1"/>
  <c r="AD1176" i="2" s="1"/>
  <c r="R41" i="2" a="1"/>
  <c r="R41" i="2" s="1"/>
  <c r="CF15" i="2" s="1" a="1"/>
  <c r="CF15" i="2" s="1"/>
  <c r="AD1175" i="2" s="1"/>
  <c r="P41" i="2"/>
  <c r="CF13" i="2" s="1" a="1"/>
  <c r="CF13" i="2" s="1"/>
  <c r="O41" i="2"/>
  <c r="CF12" i="2" s="1" a="1"/>
  <c r="CF12" i="2" s="1"/>
  <c r="N41" i="2"/>
  <c r="CF11" i="2" s="1" a="1"/>
  <c r="CF11" i="2" s="1"/>
  <c r="M41" i="2"/>
  <c r="CF10" i="2" s="1" a="1"/>
  <c r="CF10" i="2" s="1"/>
  <c r="L41" i="2"/>
  <c r="CF9" i="2" s="1" a="1"/>
  <c r="CF9" i="2" s="1"/>
  <c r="K41" i="2"/>
  <c r="CF8" i="2" s="1" a="1"/>
  <c r="CF8" i="2" s="1"/>
  <c r="J41" i="2"/>
  <c r="CF7" i="2" s="1" a="1"/>
  <c r="CF7" i="2" s="1"/>
  <c r="I41" i="2"/>
  <c r="CF6" i="2" s="1" a="1"/>
  <c r="CF6" i="2" s="1"/>
  <c r="H41" i="2"/>
  <c r="G41" i="2"/>
  <c r="CF4" i="2" s="1" a="1"/>
  <c r="CF4" i="2" s="1"/>
  <c r="F41" i="2"/>
  <c r="CF3" i="2" s="1" a="1"/>
  <c r="CF3" i="2" s="1"/>
  <c r="E41" i="2"/>
  <c r="CF2" i="2" s="1" a="1"/>
  <c r="CF2" i="2" s="1"/>
  <c r="S40" i="2" a="1"/>
  <c r="S40" i="2" s="1"/>
  <c r="CE16" i="2" s="1" a="1"/>
  <c r="CE16" i="2" s="1"/>
  <c r="AD1155" i="2" s="1"/>
  <c r="R40" i="2" a="1"/>
  <c r="R40" i="2" s="1"/>
  <c r="CE15" i="2" s="1" a="1"/>
  <c r="CE15" i="2" s="1"/>
  <c r="AD1154" i="2" s="1"/>
  <c r="P40" i="2"/>
  <c r="CE13" i="2" s="1" a="1"/>
  <c r="CE13" i="2" s="1"/>
  <c r="O40" i="2"/>
  <c r="CE12" i="2" s="1" a="1"/>
  <c r="CE12" i="2" s="1"/>
  <c r="N40" i="2"/>
  <c r="CE11" i="2" s="1" a="1"/>
  <c r="CE11" i="2" s="1"/>
  <c r="M40" i="2"/>
  <c r="CE10" i="2" s="1" a="1"/>
  <c r="CE10" i="2" s="1"/>
  <c r="L40" i="2"/>
  <c r="CE9" i="2" s="1" a="1"/>
  <c r="CE9" i="2" s="1"/>
  <c r="K40" i="2"/>
  <c r="CE8" i="2" s="1" a="1"/>
  <c r="CE8" i="2" s="1"/>
  <c r="J40" i="2"/>
  <c r="CE7" i="2" s="1" a="1"/>
  <c r="CE7" i="2" s="1"/>
  <c r="I40" i="2"/>
  <c r="CE6" i="2" s="1" a="1"/>
  <c r="CE6" i="2" s="1"/>
  <c r="H40" i="2"/>
  <c r="G40" i="2"/>
  <c r="CE4" i="2" s="1" a="1"/>
  <c r="CE4" i="2" s="1"/>
  <c r="F40" i="2"/>
  <c r="CE3" i="2" s="1" a="1"/>
  <c r="CE3" i="2" s="1"/>
  <c r="E40" i="2"/>
  <c r="CE2" i="2" s="1" a="1"/>
  <c r="CE2" i="2" s="1"/>
  <c r="S39" i="2" a="1"/>
  <c r="S39" i="2" s="1"/>
  <c r="CD16" i="2" s="1" a="1"/>
  <c r="CD16" i="2" s="1"/>
  <c r="AD1134" i="2" s="1"/>
  <c r="R39" i="2" a="1"/>
  <c r="R39" i="2" s="1"/>
  <c r="CD15" i="2" s="1" a="1"/>
  <c r="CD15" i="2" s="1"/>
  <c r="AD1133" i="2" s="1"/>
  <c r="P39" i="2"/>
  <c r="CD13" i="2" s="1" a="1"/>
  <c r="CD13" i="2" s="1"/>
  <c r="O39" i="2"/>
  <c r="CD12" i="2" s="1" a="1"/>
  <c r="CD12" i="2" s="1"/>
  <c r="N39" i="2"/>
  <c r="CD11" i="2" s="1" a="1"/>
  <c r="CD11" i="2" s="1"/>
  <c r="M39" i="2"/>
  <c r="CD10" i="2" s="1" a="1"/>
  <c r="CD10" i="2" s="1"/>
  <c r="L39" i="2"/>
  <c r="CD9" i="2" s="1" a="1"/>
  <c r="CD9" i="2" s="1"/>
  <c r="K39" i="2"/>
  <c r="CD8" i="2" s="1" a="1"/>
  <c r="CD8" i="2" s="1"/>
  <c r="J39" i="2"/>
  <c r="CD7" i="2" s="1" a="1"/>
  <c r="CD7" i="2" s="1"/>
  <c r="I39" i="2"/>
  <c r="CD6" i="2" s="1" a="1"/>
  <c r="CD6" i="2" s="1"/>
  <c r="H39" i="2"/>
  <c r="G39" i="2"/>
  <c r="CD4" i="2" s="1" a="1"/>
  <c r="CD4" i="2" s="1"/>
  <c r="F39" i="2"/>
  <c r="CD3" i="2" s="1" a="1"/>
  <c r="CD3" i="2" s="1"/>
  <c r="E39" i="2"/>
  <c r="CD2" i="2" s="1" a="1"/>
  <c r="CD2" i="2" s="1"/>
  <c r="S38" i="2" a="1"/>
  <c r="S38" i="2" s="1"/>
  <c r="CC16" i="2" s="1" a="1"/>
  <c r="CC16" i="2" s="1"/>
  <c r="AD1113" i="2" s="1"/>
  <c r="R38" i="2" a="1"/>
  <c r="R38" i="2" s="1"/>
  <c r="CC15" i="2" s="1" a="1"/>
  <c r="CC15" i="2" s="1"/>
  <c r="AD1112" i="2" s="1"/>
  <c r="P38" i="2"/>
  <c r="CC13" i="2" s="1" a="1"/>
  <c r="CC13" i="2" s="1"/>
  <c r="O38" i="2"/>
  <c r="CC12" i="2" s="1" a="1"/>
  <c r="CC12" i="2" s="1"/>
  <c r="N38" i="2"/>
  <c r="CC11" i="2" s="1" a="1"/>
  <c r="CC11" i="2" s="1"/>
  <c r="M38" i="2"/>
  <c r="CC10" i="2" s="1" a="1"/>
  <c r="CC10" i="2" s="1"/>
  <c r="L38" i="2"/>
  <c r="CC9" i="2" s="1" a="1"/>
  <c r="CC9" i="2" s="1"/>
  <c r="K38" i="2"/>
  <c r="CC8" i="2" s="1" a="1"/>
  <c r="CC8" i="2" s="1"/>
  <c r="J38" i="2"/>
  <c r="CC7" i="2" s="1" a="1"/>
  <c r="CC7" i="2" s="1"/>
  <c r="I38" i="2"/>
  <c r="CC6" i="2" s="1" a="1"/>
  <c r="CC6" i="2" s="1"/>
  <c r="H38" i="2"/>
  <c r="G38" i="2"/>
  <c r="CC4" i="2" s="1" a="1"/>
  <c r="CC4" i="2" s="1"/>
  <c r="F38" i="2"/>
  <c r="CC3" i="2" s="1" a="1"/>
  <c r="CC3" i="2" s="1"/>
  <c r="E38" i="2"/>
  <c r="CC2" i="2" s="1" a="1"/>
  <c r="CC2" i="2" s="1"/>
  <c r="S37" i="2" a="1"/>
  <c r="S37" i="2" s="1"/>
  <c r="CB16" i="2" s="1" a="1"/>
  <c r="CB16" i="2" s="1"/>
  <c r="AD1092" i="2" s="1"/>
  <c r="R37" i="2" a="1"/>
  <c r="R37" i="2" s="1"/>
  <c r="CB15" i="2" s="1" a="1"/>
  <c r="CB15" i="2" s="1"/>
  <c r="AD1091" i="2" s="1"/>
  <c r="P37" i="2"/>
  <c r="CB13" i="2" s="1" a="1"/>
  <c r="CB13" i="2" s="1"/>
  <c r="O37" i="2"/>
  <c r="CB12" i="2" s="1" a="1"/>
  <c r="CB12" i="2" s="1"/>
  <c r="N37" i="2"/>
  <c r="CB11" i="2" s="1" a="1"/>
  <c r="CB11" i="2" s="1"/>
  <c r="M37" i="2"/>
  <c r="CB10" i="2" s="1" a="1"/>
  <c r="CB10" i="2" s="1"/>
  <c r="L37" i="2"/>
  <c r="CB9" i="2" s="1" a="1"/>
  <c r="CB9" i="2" s="1"/>
  <c r="K37" i="2"/>
  <c r="CB8" i="2" s="1" a="1"/>
  <c r="CB8" i="2" s="1"/>
  <c r="J37" i="2"/>
  <c r="CB7" i="2" s="1" a="1"/>
  <c r="CB7" i="2" s="1"/>
  <c r="I37" i="2"/>
  <c r="CB6" i="2" s="1" a="1"/>
  <c r="CB6" i="2" s="1"/>
  <c r="H37" i="2"/>
  <c r="G37" i="2"/>
  <c r="CB4" i="2" s="1" a="1"/>
  <c r="CB4" i="2" s="1"/>
  <c r="F37" i="2"/>
  <c r="CB3" i="2" s="1" a="1"/>
  <c r="CB3" i="2" s="1"/>
  <c r="E37" i="2"/>
  <c r="CB2" i="2" s="1" a="1"/>
  <c r="CB2" i="2" s="1"/>
  <c r="CA16" i="2" a="1"/>
  <c r="CA16" i="2" s="1"/>
  <c r="AD1071" i="2" s="1"/>
  <c r="CA15" i="2" a="1"/>
  <c r="CA15" i="2" s="1"/>
  <c r="AD1070" i="2" s="1"/>
  <c r="CA13" i="2" a="1"/>
  <c r="CA13" i="2" s="1"/>
  <c r="CA12" i="2" a="1"/>
  <c r="CA12" i="2" s="1"/>
  <c r="CA11" i="2" a="1"/>
  <c r="CA11" i="2" s="1"/>
  <c r="CA10" i="2" a="1"/>
  <c r="CA10" i="2" s="1"/>
  <c r="CA9" i="2" a="1"/>
  <c r="CA9" i="2" s="1"/>
  <c r="CA8" i="2" a="1"/>
  <c r="CA8" i="2" s="1"/>
  <c r="CA7" i="2" a="1"/>
  <c r="CA7" i="2" s="1"/>
  <c r="CA6" i="2" a="1"/>
  <c r="CA6" i="2" s="1"/>
  <c r="CA4" i="2" a="1"/>
  <c r="CA4" i="2" s="1"/>
  <c r="CA3" i="2" a="1"/>
  <c r="CA3" i="2" s="1"/>
  <c r="CA2" i="2" a="1"/>
  <c r="CA2" i="2" s="1"/>
  <c r="S36" i="2" a="1"/>
  <c r="S36" i="2" s="1"/>
  <c r="BZ16" i="2" s="1" a="1"/>
  <c r="BZ16" i="2" s="1"/>
  <c r="AD1050" i="2" s="1"/>
  <c r="R36" i="2" a="1"/>
  <c r="R36" i="2" s="1"/>
  <c r="BZ15" i="2" s="1" a="1"/>
  <c r="BZ15" i="2" s="1"/>
  <c r="AD1049" i="2" s="1"/>
  <c r="P36" i="2"/>
  <c r="BZ13" i="2" s="1" a="1"/>
  <c r="BZ13" i="2" s="1"/>
  <c r="O36" i="2"/>
  <c r="BZ12" i="2" s="1" a="1"/>
  <c r="BZ12" i="2" s="1"/>
  <c r="N36" i="2"/>
  <c r="BZ11" i="2" s="1" a="1"/>
  <c r="BZ11" i="2" s="1"/>
  <c r="M36" i="2"/>
  <c r="BZ10" i="2" s="1" a="1"/>
  <c r="BZ10" i="2" s="1"/>
  <c r="L36" i="2"/>
  <c r="BZ9" i="2" s="1" a="1"/>
  <c r="BZ9" i="2" s="1"/>
  <c r="K36" i="2"/>
  <c r="BZ8" i="2" s="1" a="1"/>
  <c r="BZ8" i="2" s="1"/>
  <c r="J36" i="2"/>
  <c r="BZ7" i="2" s="1" a="1"/>
  <c r="BZ7" i="2" s="1"/>
  <c r="I36" i="2"/>
  <c r="BZ6" i="2" s="1" a="1"/>
  <c r="BZ6" i="2" s="1"/>
  <c r="H36" i="2"/>
  <c r="G36" i="2"/>
  <c r="BZ4" i="2" s="1" a="1"/>
  <c r="BZ4" i="2" s="1"/>
  <c r="F36" i="2"/>
  <c r="BZ3" i="2" s="1" a="1"/>
  <c r="BZ3" i="2" s="1"/>
  <c r="E36" i="2"/>
  <c r="BZ2" i="2" s="1" a="1"/>
  <c r="BZ2" i="2" s="1"/>
  <c r="S35" i="2" a="1"/>
  <c r="S35" i="2" s="1"/>
  <c r="BY16" i="2" s="1" a="1"/>
  <c r="BY16" i="2" s="1"/>
  <c r="AD1029" i="2" s="1"/>
  <c r="R35" i="2" a="1"/>
  <c r="R35" i="2" s="1"/>
  <c r="BY15" i="2" s="1" a="1"/>
  <c r="BY15" i="2" s="1"/>
  <c r="AD1028" i="2" s="1"/>
  <c r="P35" i="2"/>
  <c r="BY13" i="2" s="1" a="1"/>
  <c r="BY13" i="2" s="1"/>
  <c r="O35" i="2"/>
  <c r="BY12" i="2" s="1" a="1"/>
  <c r="BY12" i="2" s="1"/>
  <c r="N35" i="2"/>
  <c r="BY11" i="2" s="1" a="1"/>
  <c r="BY11" i="2" s="1"/>
  <c r="M35" i="2"/>
  <c r="BY10" i="2" s="1" a="1"/>
  <c r="BY10" i="2" s="1"/>
  <c r="L35" i="2"/>
  <c r="BY9" i="2" s="1" a="1"/>
  <c r="BY9" i="2" s="1"/>
  <c r="K35" i="2"/>
  <c r="BY8" i="2" s="1" a="1"/>
  <c r="BY8" i="2" s="1"/>
  <c r="J35" i="2"/>
  <c r="BY7" i="2" s="1" a="1"/>
  <c r="BY7" i="2" s="1"/>
  <c r="I35" i="2"/>
  <c r="BY6" i="2" s="1" a="1"/>
  <c r="BY6" i="2" s="1"/>
  <c r="H35" i="2"/>
  <c r="G35" i="2"/>
  <c r="BY4" i="2" s="1" a="1"/>
  <c r="BY4" i="2" s="1"/>
  <c r="F35" i="2"/>
  <c r="BY3" i="2" s="1" a="1"/>
  <c r="BY3" i="2" s="1"/>
  <c r="E35" i="2"/>
  <c r="BY2" i="2" s="1" a="1"/>
  <c r="BY2" i="2" s="1"/>
  <c r="S34" i="2" a="1"/>
  <c r="S34" i="2" s="1"/>
  <c r="BX16" i="2" s="1" a="1"/>
  <c r="BX16" i="2" s="1"/>
  <c r="AD1008" i="2" s="1"/>
  <c r="R34" i="2" a="1"/>
  <c r="R34" i="2" s="1"/>
  <c r="BX15" i="2" s="1" a="1"/>
  <c r="BX15" i="2" s="1"/>
  <c r="AD1007" i="2" s="1"/>
  <c r="P34" i="2"/>
  <c r="BX13" i="2" s="1" a="1"/>
  <c r="BX13" i="2" s="1"/>
  <c r="O34" i="2"/>
  <c r="BX12" i="2" s="1" a="1"/>
  <c r="BX12" i="2" s="1"/>
  <c r="N34" i="2"/>
  <c r="BX11" i="2" s="1" a="1"/>
  <c r="BX11" i="2" s="1"/>
  <c r="M34" i="2"/>
  <c r="BX10" i="2" s="1" a="1"/>
  <c r="BX10" i="2" s="1"/>
  <c r="L34" i="2"/>
  <c r="BX9" i="2" s="1" a="1"/>
  <c r="BX9" i="2" s="1"/>
  <c r="K34" i="2"/>
  <c r="BX8" i="2" s="1" a="1"/>
  <c r="BX8" i="2" s="1"/>
  <c r="J34" i="2"/>
  <c r="BX7" i="2" s="1" a="1"/>
  <c r="BX7" i="2" s="1"/>
  <c r="I34" i="2"/>
  <c r="BX6" i="2" s="1" a="1"/>
  <c r="BX6" i="2" s="1"/>
  <c r="H34" i="2"/>
  <c r="G34" i="2"/>
  <c r="BX4" i="2" s="1" a="1"/>
  <c r="BX4" i="2" s="1"/>
  <c r="F34" i="2"/>
  <c r="BX3" i="2" s="1" a="1"/>
  <c r="BX3" i="2" s="1"/>
  <c r="E34" i="2"/>
  <c r="BX2" i="2" s="1" a="1"/>
  <c r="BX2" i="2" s="1"/>
  <c r="S33" i="2" a="1"/>
  <c r="S33" i="2" s="1"/>
  <c r="BW16" i="2" s="1" a="1"/>
  <c r="BW16" i="2" s="1"/>
  <c r="AD987" i="2" s="1"/>
  <c r="R33" i="2" a="1"/>
  <c r="R33" i="2" s="1"/>
  <c r="BW15" i="2" s="1" a="1"/>
  <c r="BW15" i="2" s="1"/>
  <c r="AD986" i="2" s="1"/>
  <c r="P33" i="2"/>
  <c r="BW13" i="2" s="1" a="1"/>
  <c r="BW13" i="2" s="1"/>
  <c r="O33" i="2"/>
  <c r="BW12" i="2" s="1" a="1"/>
  <c r="BW12" i="2" s="1"/>
  <c r="N33" i="2"/>
  <c r="BW11" i="2" s="1" a="1"/>
  <c r="BW11" i="2" s="1"/>
  <c r="M33" i="2"/>
  <c r="BW10" i="2" s="1" a="1"/>
  <c r="BW10" i="2" s="1"/>
  <c r="L33" i="2"/>
  <c r="BW9" i="2" s="1" a="1"/>
  <c r="BW9" i="2" s="1"/>
  <c r="K33" i="2"/>
  <c r="BW8" i="2" s="1" a="1"/>
  <c r="BW8" i="2" s="1"/>
  <c r="J33" i="2"/>
  <c r="BW7" i="2" s="1" a="1"/>
  <c r="BW7" i="2" s="1"/>
  <c r="I33" i="2"/>
  <c r="BW6" i="2" s="1" a="1"/>
  <c r="BW6" i="2" s="1"/>
  <c r="H33" i="2"/>
  <c r="G33" i="2"/>
  <c r="BW4" i="2" s="1" a="1"/>
  <c r="BW4" i="2" s="1"/>
  <c r="F33" i="2"/>
  <c r="BW3" i="2" s="1" a="1"/>
  <c r="BW3" i="2" s="1"/>
  <c r="E33" i="2"/>
  <c r="BW2" i="2" s="1" a="1"/>
  <c r="BW2" i="2" s="1"/>
  <c r="S32" i="2" a="1"/>
  <c r="S32" i="2" s="1"/>
  <c r="BV16" i="2" s="1" a="1"/>
  <c r="BV16" i="2" s="1"/>
  <c r="AD966" i="2" s="1"/>
  <c r="R32" i="2" a="1"/>
  <c r="R32" i="2" s="1"/>
  <c r="BV15" i="2" s="1" a="1"/>
  <c r="BV15" i="2" s="1"/>
  <c r="AD965" i="2" s="1"/>
  <c r="P32" i="2"/>
  <c r="BV13" i="2" s="1" a="1"/>
  <c r="BV13" i="2" s="1"/>
  <c r="O32" i="2"/>
  <c r="BV12" i="2" s="1" a="1"/>
  <c r="BV12" i="2" s="1"/>
  <c r="N32" i="2"/>
  <c r="BV11" i="2" s="1" a="1"/>
  <c r="BV11" i="2" s="1"/>
  <c r="M32" i="2"/>
  <c r="BV10" i="2" s="1" a="1"/>
  <c r="BV10" i="2" s="1"/>
  <c r="L32" i="2"/>
  <c r="BV9" i="2" s="1" a="1"/>
  <c r="BV9" i="2" s="1"/>
  <c r="K32" i="2"/>
  <c r="BV8" i="2" s="1" a="1"/>
  <c r="BV8" i="2" s="1"/>
  <c r="J32" i="2"/>
  <c r="BV7" i="2" s="1" a="1"/>
  <c r="BV7" i="2" s="1"/>
  <c r="I32" i="2"/>
  <c r="BV6" i="2" s="1" a="1"/>
  <c r="BV6" i="2" s="1"/>
  <c r="H32" i="2"/>
  <c r="G32" i="2"/>
  <c r="BV4" i="2" s="1" a="1"/>
  <c r="BV4" i="2" s="1"/>
  <c r="F32" i="2"/>
  <c r="BV3" i="2" s="1" a="1"/>
  <c r="BV3" i="2" s="1"/>
  <c r="E32" i="2"/>
  <c r="BV2" i="2" s="1" a="1"/>
  <c r="BV2" i="2" s="1"/>
  <c r="S31" i="2" a="1"/>
  <c r="S31" i="2" s="1"/>
  <c r="BU16" i="2" s="1" a="1"/>
  <c r="BU16" i="2" s="1"/>
  <c r="AD945" i="2" s="1"/>
  <c r="R31" i="2" a="1"/>
  <c r="R31" i="2" s="1"/>
  <c r="BU15" i="2" s="1" a="1"/>
  <c r="BU15" i="2" s="1"/>
  <c r="AD944" i="2" s="1"/>
  <c r="P31" i="2"/>
  <c r="BU13" i="2" s="1" a="1"/>
  <c r="BU13" i="2" s="1"/>
  <c r="O31" i="2"/>
  <c r="BU12" i="2" s="1" a="1"/>
  <c r="BU12" i="2" s="1"/>
  <c r="N31" i="2"/>
  <c r="BU11" i="2" s="1" a="1"/>
  <c r="BU11" i="2" s="1"/>
  <c r="M31" i="2"/>
  <c r="BU10" i="2" s="1" a="1"/>
  <c r="BU10" i="2" s="1"/>
  <c r="L31" i="2"/>
  <c r="BU9" i="2" s="1" a="1"/>
  <c r="BU9" i="2" s="1"/>
  <c r="K31" i="2"/>
  <c r="BU8" i="2" s="1" a="1"/>
  <c r="BU8" i="2" s="1"/>
  <c r="J31" i="2"/>
  <c r="BU7" i="2" s="1" a="1"/>
  <c r="BU7" i="2" s="1"/>
  <c r="I31" i="2"/>
  <c r="BU6" i="2" s="1" a="1"/>
  <c r="BU6" i="2" s="1"/>
  <c r="H31" i="2"/>
  <c r="G31" i="2"/>
  <c r="BU4" i="2" s="1" a="1"/>
  <c r="BU4" i="2" s="1"/>
  <c r="F31" i="2"/>
  <c r="BU3" i="2" s="1" a="1"/>
  <c r="BU3" i="2" s="1"/>
  <c r="E31" i="2"/>
  <c r="BU2" i="2" s="1" a="1"/>
  <c r="BU2" i="2" s="1"/>
  <c r="S30" i="2" a="1"/>
  <c r="S30" i="2" s="1"/>
  <c r="BT16" i="2" s="1" a="1"/>
  <c r="BT16" i="2" s="1"/>
  <c r="AD924" i="2" s="1"/>
  <c r="R30" i="2" a="1"/>
  <c r="R30" i="2" s="1"/>
  <c r="BT15" i="2" s="1" a="1"/>
  <c r="BT15" i="2" s="1"/>
  <c r="AD923" i="2" s="1"/>
  <c r="P30" i="2"/>
  <c r="BT13" i="2" s="1" a="1"/>
  <c r="BT13" i="2" s="1"/>
  <c r="O30" i="2"/>
  <c r="BT12" i="2" s="1" a="1"/>
  <c r="BT12" i="2" s="1"/>
  <c r="N30" i="2"/>
  <c r="BT11" i="2" s="1" a="1"/>
  <c r="BT11" i="2" s="1"/>
  <c r="M30" i="2"/>
  <c r="BT10" i="2" s="1" a="1"/>
  <c r="BT10" i="2" s="1"/>
  <c r="L30" i="2"/>
  <c r="BT9" i="2" s="1" a="1"/>
  <c r="BT9" i="2" s="1"/>
  <c r="K30" i="2"/>
  <c r="BT8" i="2" s="1" a="1"/>
  <c r="BT8" i="2" s="1"/>
  <c r="J30" i="2"/>
  <c r="BT7" i="2" s="1" a="1"/>
  <c r="BT7" i="2" s="1"/>
  <c r="I30" i="2"/>
  <c r="BT6" i="2" s="1" a="1"/>
  <c r="BT6" i="2" s="1"/>
  <c r="H30" i="2"/>
  <c r="G30" i="2"/>
  <c r="BT4" i="2" s="1" a="1"/>
  <c r="BT4" i="2" s="1"/>
  <c r="F30" i="2"/>
  <c r="BT3" i="2" s="1" a="1"/>
  <c r="BT3" i="2" s="1"/>
  <c r="E30" i="2"/>
  <c r="BT2" i="2" s="1" a="1"/>
  <c r="BT2" i="2" s="1"/>
  <c r="S29" i="2" a="1"/>
  <c r="S29" i="2" s="1"/>
  <c r="BS16" i="2" s="1" a="1"/>
  <c r="BS16" i="2" s="1"/>
  <c r="AD903" i="2" s="1"/>
  <c r="R29" i="2" a="1"/>
  <c r="R29" i="2" s="1"/>
  <c r="BS15" i="2" s="1" a="1"/>
  <c r="BS15" i="2" s="1"/>
  <c r="AD902" i="2" s="1"/>
  <c r="P29" i="2"/>
  <c r="BS13" i="2" s="1" a="1"/>
  <c r="BS13" i="2" s="1"/>
  <c r="O29" i="2"/>
  <c r="BS12" i="2" s="1" a="1"/>
  <c r="BS12" i="2" s="1"/>
  <c r="N29" i="2"/>
  <c r="BS11" i="2" s="1" a="1"/>
  <c r="BS11" i="2" s="1"/>
  <c r="M29" i="2"/>
  <c r="BS10" i="2" s="1" a="1"/>
  <c r="BS10" i="2" s="1"/>
  <c r="L29" i="2"/>
  <c r="BS9" i="2" s="1" a="1"/>
  <c r="BS9" i="2" s="1"/>
  <c r="K29" i="2"/>
  <c r="BS8" i="2" s="1" a="1"/>
  <c r="BS8" i="2" s="1"/>
  <c r="J29" i="2"/>
  <c r="BS7" i="2" s="1" a="1"/>
  <c r="BS7" i="2" s="1"/>
  <c r="I29" i="2"/>
  <c r="BS6" i="2" s="1" a="1"/>
  <c r="BS6" i="2" s="1"/>
  <c r="H29" i="2"/>
  <c r="G29" i="2"/>
  <c r="BS4" i="2" s="1" a="1"/>
  <c r="BS4" i="2" s="1"/>
  <c r="F29" i="2"/>
  <c r="BS3" i="2" s="1" a="1"/>
  <c r="BS3" i="2" s="1"/>
  <c r="E29" i="2"/>
  <c r="BS2" i="2" s="1" a="1"/>
  <c r="BS2" i="2" s="1"/>
  <c r="S28" i="2" a="1"/>
  <c r="S28" i="2" s="1"/>
  <c r="BR16" i="2" s="1" a="1"/>
  <c r="BR16" i="2" s="1"/>
  <c r="AD882" i="2" s="1"/>
  <c r="R28" i="2" a="1"/>
  <c r="R28" i="2" s="1"/>
  <c r="BR15" i="2" s="1" a="1"/>
  <c r="BR15" i="2" s="1"/>
  <c r="AD881" i="2" s="1"/>
  <c r="P28" i="2"/>
  <c r="BR13" i="2" s="1" a="1"/>
  <c r="BR13" i="2" s="1"/>
  <c r="O28" i="2"/>
  <c r="BR12" i="2" s="1" a="1"/>
  <c r="BR12" i="2" s="1"/>
  <c r="N28" i="2"/>
  <c r="BR11" i="2" s="1" a="1"/>
  <c r="BR11" i="2" s="1"/>
  <c r="M28" i="2"/>
  <c r="BR10" i="2" s="1" a="1"/>
  <c r="BR10" i="2" s="1"/>
  <c r="L28" i="2"/>
  <c r="BR9" i="2" s="1" a="1"/>
  <c r="BR9" i="2" s="1"/>
  <c r="K28" i="2"/>
  <c r="BR8" i="2" s="1" a="1"/>
  <c r="BR8" i="2" s="1"/>
  <c r="J28" i="2"/>
  <c r="BR7" i="2" s="1" a="1"/>
  <c r="BR7" i="2" s="1"/>
  <c r="I28" i="2"/>
  <c r="BR6" i="2" s="1" a="1"/>
  <c r="BR6" i="2" s="1"/>
  <c r="H28" i="2"/>
  <c r="G28" i="2"/>
  <c r="BR4" i="2" s="1" a="1"/>
  <c r="BR4" i="2" s="1"/>
  <c r="F28" i="2"/>
  <c r="BR3" i="2" s="1" a="1"/>
  <c r="BR3" i="2" s="1"/>
  <c r="E28" i="2"/>
  <c r="BR2" i="2" s="1" a="1"/>
  <c r="BR2" i="2" s="1"/>
  <c r="BQ16" i="2" a="1"/>
  <c r="BQ16" i="2" s="1"/>
  <c r="AD861" i="2" s="1"/>
  <c r="BQ15" i="2" a="1"/>
  <c r="BQ15" i="2" s="1"/>
  <c r="AD860" i="2" s="1"/>
  <c r="BQ13" i="2" a="1"/>
  <c r="BQ13" i="2" s="1"/>
  <c r="BQ12" i="2" a="1"/>
  <c r="BQ12" i="2" s="1"/>
  <c r="BQ11" i="2" a="1"/>
  <c r="BQ11" i="2" s="1"/>
  <c r="BQ10" i="2" a="1"/>
  <c r="BQ10" i="2" s="1"/>
  <c r="BQ9" i="2" a="1"/>
  <c r="BQ9" i="2" s="1"/>
  <c r="BQ8" i="2" a="1"/>
  <c r="BQ8" i="2" s="1"/>
  <c r="BQ7" i="2" a="1"/>
  <c r="BQ7" i="2" s="1"/>
  <c r="BQ6" i="2" a="1"/>
  <c r="BQ6" i="2" s="1"/>
  <c r="BQ4" i="2" a="1"/>
  <c r="BQ4" i="2" s="1"/>
  <c r="BQ3" i="2" a="1"/>
  <c r="BQ3" i="2" s="1"/>
  <c r="BQ2" i="2" a="1"/>
  <c r="BQ2" i="2" s="1"/>
  <c r="BP16" i="2" a="1"/>
  <c r="BP16" i="2" s="1"/>
  <c r="AD840" i="2" s="1"/>
  <c r="BP15" i="2" a="1"/>
  <c r="BP15" i="2" s="1"/>
  <c r="AD839" i="2" s="1"/>
  <c r="BP13" i="2" a="1"/>
  <c r="BP13" i="2" s="1"/>
  <c r="BP12" i="2" a="1"/>
  <c r="BP12" i="2" s="1"/>
  <c r="BP11" i="2" a="1"/>
  <c r="BP11" i="2" s="1"/>
  <c r="BP10" i="2" a="1"/>
  <c r="BP10" i="2" s="1"/>
  <c r="BP9" i="2" a="1"/>
  <c r="BP9" i="2" s="1"/>
  <c r="BP8" i="2" a="1"/>
  <c r="BP8" i="2" s="1"/>
  <c r="BP7" i="2" a="1"/>
  <c r="BP7" i="2" s="1"/>
  <c r="BP6" i="2" a="1"/>
  <c r="BP6" i="2" s="1"/>
  <c r="BP4" i="2" a="1"/>
  <c r="BP4" i="2" s="1"/>
  <c r="BP3" i="2" a="1"/>
  <c r="BP3" i="2" s="1"/>
  <c r="BP2" i="2" a="1"/>
  <c r="BP2" i="2" s="1"/>
  <c r="S27" i="2" a="1"/>
  <c r="S27" i="2" s="1"/>
  <c r="BO16" i="2" s="1" a="1"/>
  <c r="BO16" i="2" s="1"/>
  <c r="AD819" i="2" s="1"/>
  <c r="R27" i="2" a="1"/>
  <c r="R27" i="2" s="1"/>
  <c r="BO15" i="2" s="1" a="1"/>
  <c r="BO15" i="2" s="1"/>
  <c r="AD818" i="2" s="1"/>
  <c r="P27" i="2"/>
  <c r="BO13" i="2" s="1" a="1"/>
  <c r="BO13" i="2" s="1"/>
  <c r="O27" i="2"/>
  <c r="BO12" i="2" s="1" a="1"/>
  <c r="BO12" i="2" s="1"/>
  <c r="N27" i="2"/>
  <c r="BO11" i="2" s="1" a="1"/>
  <c r="BO11" i="2" s="1"/>
  <c r="M27" i="2"/>
  <c r="BO10" i="2" s="1" a="1"/>
  <c r="BO10" i="2" s="1"/>
  <c r="L27" i="2"/>
  <c r="BO9" i="2" s="1" a="1"/>
  <c r="BO9" i="2" s="1"/>
  <c r="K27" i="2"/>
  <c r="BO8" i="2" s="1" a="1"/>
  <c r="BO8" i="2" s="1"/>
  <c r="J27" i="2"/>
  <c r="BO7" i="2" s="1" a="1"/>
  <c r="BO7" i="2" s="1"/>
  <c r="I27" i="2"/>
  <c r="BO6" i="2" s="1" a="1"/>
  <c r="BO6" i="2" s="1"/>
  <c r="H27" i="2"/>
  <c r="G27" i="2"/>
  <c r="BO4" i="2" s="1" a="1"/>
  <c r="BO4" i="2" s="1"/>
  <c r="F27" i="2"/>
  <c r="BO3" i="2" s="1" a="1"/>
  <c r="BO3" i="2" s="1"/>
  <c r="E27" i="2"/>
  <c r="BO2" i="2" s="1" a="1"/>
  <c r="BO2" i="2" s="1"/>
  <c r="BN16" i="2" a="1"/>
  <c r="BN16" i="2" s="1"/>
  <c r="AD798" i="2" s="1"/>
  <c r="BN15" i="2" a="1"/>
  <c r="BN15" i="2" s="1"/>
  <c r="AD797" i="2" s="1"/>
  <c r="BN13" i="2" a="1"/>
  <c r="BN13" i="2" s="1"/>
  <c r="BN12" i="2" a="1"/>
  <c r="BN12" i="2" s="1"/>
  <c r="BN11" i="2" a="1"/>
  <c r="BN11" i="2" s="1"/>
  <c r="BN10" i="2" a="1"/>
  <c r="BN10" i="2" s="1"/>
  <c r="BN9" i="2" a="1"/>
  <c r="BN9" i="2" s="1"/>
  <c r="BN8" i="2" a="1"/>
  <c r="BN8" i="2" s="1"/>
  <c r="BN7" i="2" a="1"/>
  <c r="BN7" i="2" s="1"/>
  <c r="BN6" i="2" a="1"/>
  <c r="BN6" i="2" s="1"/>
  <c r="BN4" i="2" a="1"/>
  <c r="BN4" i="2" s="1"/>
  <c r="BN3" i="2" a="1"/>
  <c r="BN3" i="2" s="1"/>
  <c r="BN2" i="2" a="1"/>
  <c r="BN2" i="2" s="1"/>
  <c r="S26" i="2" a="1"/>
  <c r="S26" i="2" s="1"/>
  <c r="BM16" i="2" s="1" a="1"/>
  <c r="BM16" i="2" s="1"/>
  <c r="AD777" i="2" s="1"/>
  <c r="R26" i="2" a="1"/>
  <c r="R26" i="2" s="1"/>
  <c r="BM15" i="2" s="1" a="1"/>
  <c r="BM15" i="2" s="1"/>
  <c r="AD776" i="2" s="1"/>
  <c r="P26" i="2"/>
  <c r="BM13" i="2" s="1" a="1"/>
  <c r="BM13" i="2" s="1"/>
  <c r="O26" i="2"/>
  <c r="BM12" i="2" s="1" a="1"/>
  <c r="BM12" i="2" s="1"/>
  <c r="N26" i="2"/>
  <c r="BM11" i="2" s="1" a="1"/>
  <c r="BM11" i="2" s="1"/>
  <c r="M26" i="2"/>
  <c r="BM10" i="2" s="1" a="1"/>
  <c r="BM10" i="2" s="1"/>
  <c r="L26" i="2"/>
  <c r="BM9" i="2" s="1" a="1"/>
  <c r="BM9" i="2" s="1"/>
  <c r="K26" i="2"/>
  <c r="BM8" i="2" s="1" a="1"/>
  <c r="BM8" i="2" s="1"/>
  <c r="J26" i="2"/>
  <c r="BM7" i="2" s="1" a="1"/>
  <c r="BM7" i="2" s="1"/>
  <c r="I26" i="2"/>
  <c r="BM6" i="2" s="1" a="1"/>
  <c r="BM6" i="2" s="1"/>
  <c r="H26" i="2"/>
  <c r="G26" i="2"/>
  <c r="BM4" i="2" s="1" a="1"/>
  <c r="BM4" i="2" s="1"/>
  <c r="F26" i="2"/>
  <c r="BM3" i="2" s="1" a="1"/>
  <c r="BM3" i="2" s="1"/>
  <c r="E26" i="2"/>
  <c r="BM2" i="2" s="1" a="1"/>
  <c r="BM2" i="2" s="1"/>
  <c r="BL16" i="2" a="1"/>
  <c r="BL16" i="2" s="1"/>
  <c r="AD756" i="2" s="1"/>
  <c r="BL15" i="2" a="1"/>
  <c r="BL15" i="2" s="1"/>
  <c r="AD755" i="2" s="1"/>
  <c r="BL13" i="2" a="1"/>
  <c r="BL13" i="2" s="1"/>
  <c r="BL12" i="2" a="1"/>
  <c r="BL12" i="2" s="1"/>
  <c r="BL11" i="2" a="1"/>
  <c r="BL11" i="2" s="1"/>
  <c r="BL10" i="2" a="1"/>
  <c r="BL10" i="2" s="1"/>
  <c r="BL9" i="2" a="1"/>
  <c r="BL9" i="2" s="1"/>
  <c r="BL8" i="2" a="1"/>
  <c r="BL8" i="2" s="1"/>
  <c r="BL7" i="2" a="1"/>
  <c r="BL7" i="2" s="1"/>
  <c r="BL6" i="2" a="1"/>
  <c r="BL6" i="2" s="1"/>
  <c r="BL4" i="2" a="1"/>
  <c r="BL4" i="2" s="1"/>
  <c r="BL3" i="2" a="1"/>
  <c r="BL3" i="2" s="1"/>
  <c r="BL2" i="2" a="1"/>
  <c r="BL2" i="2" s="1"/>
  <c r="S25" i="2" a="1"/>
  <c r="S25" i="2" s="1"/>
  <c r="BK16" i="2" s="1" a="1"/>
  <c r="BK16" i="2" s="1"/>
  <c r="AD735" i="2" s="1"/>
  <c r="R25" i="2" a="1"/>
  <c r="R25" i="2" s="1"/>
  <c r="BK15" i="2" s="1" a="1"/>
  <c r="BK15" i="2" s="1"/>
  <c r="AD734" i="2" s="1"/>
  <c r="P25" i="2"/>
  <c r="BK13" i="2" s="1" a="1"/>
  <c r="BK13" i="2" s="1"/>
  <c r="O25" i="2"/>
  <c r="BK12" i="2" s="1" a="1"/>
  <c r="BK12" i="2" s="1"/>
  <c r="N25" i="2"/>
  <c r="BK11" i="2" s="1" a="1"/>
  <c r="BK11" i="2" s="1"/>
  <c r="M25" i="2"/>
  <c r="BK10" i="2" s="1" a="1"/>
  <c r="BK10" i="2" s="1"/>
  <c r="L25" i="2"/>
  <c r="BK9" i="2" s="1" a="1"/>
  <c r="BK9" i="2" s="1"/>
  <c r="K25" i="2"/>
  <c r="BK8" i="2" s="1" a="1"/>
  <c r="BK8" i="2" s="1"/>
  <c r="J25" i="2"/>
  <c r="BK7" i="2" s="1" a="1"/>
  <c r="BK7" i="2" s="1"/>
  <c r="I25" i="2"/>
  <c r="BK6" i="2" s="1" a="1"/>
  <c r="BK6" i="2" s="1"/>
  <c r="H25" i="2"/>
  <c r="G25" i="2"/>
  <c r="BK4" i="2" s="1" a="1"/>
  <c r="BK4" i="2" s="1"/>
  <c r="F25" i="2"/>
  <c r="BK3" i="2" s="1" a="1"/>
  <c r="BK3" i="2" s="1"/>
  <c r="E25" i="2"/>
  <c r="BK2" i="2" s="1" a="1"/>
  <c r="BK2" i="2" s="1"/>
  <c r="BJ16" i="2" a="1"/>
  <c r="BJ16" i="2" s="1"/>
  <c r="AD714" i="2" s="1"/>
  <c r="BJ15" i="2" a="1"/>
  <c r="BJ15" i="2" s="1"/>
  <c r="AD713" i="2" s="1"/>
  <c r="BJ13" i="2" a="1"/>
  <c r="BJ13" i="2" s="1"/>
  <c r="BJ12" i="2" a="1"/>
  <c r="BJ12" i="2" s="1"/>
  <c r="BJ11" i="2" a="1"/>
  <c r="BJ11" i="2" s="1"/>
  <c r="BJ10" i="2" a="1"/>
  <c r="BJ10" i="2" s="1"/>
  <c r="BJ9" i="2" a="1"/>
  <c r="BJ9" i="2" s="1"/>
  <c r="BJ8" i="2" a="1"/>
  <c r="BJ8" i="2" s="1"/>
  <c r="BJ7" i="2" a="1"/>
  <c r="BJ7" i="2" s="1"/>
  <c r="BJ6" i="2" a="1"/>
  <c r="BJ6" i="2" s="1"/>
  <c r="BJ4" i="2" a="1"/>
  <c r="BJ4" i="2" s="1"/>
  <c r="BJ3" i="2" a="1"/>
  <c r="BJ3" i="2" s="1"/>
  <c r="BJ2" i="2" a="1"/>
  <c r="BJ2" i="2" s="1"/>
  <c r="S24" i="2" a="1"/>
  <c r="S24" i="2" s="1"/>
  <c r="BI16" i="2" s="1" a="1"/>
  <c r="BI16" i="2" s="1"/>
  <c r="AD693" i="2" s="1"/>
  <c r="R24" i="2" a="1"/>
  <c r="R24" i="2" s="1"/>
  <c r="BI15" i="2" s="1" a="1"/>
  <c r="BI15" i="2" s="1"/>
  <c r="AD692" i="2" s="1"/>
  <c r="P24" i="2"/>
  <c r="BI13" i="2" s="1" a="1"/>
  <c r="BI13" i="2" s="1"/>
  <c r="O24" i="2"/>
  <c r="BI12" i="2" s="1" a="1"/>
  <c r="BI12" i="2" s="1"/>
  <c r="N24" i="2"/>
  <c r="BI11" i="2" s="1" a="1"/>
  <c r="BI11" i="2" s="1"/>
  <c r="M24" i="2"/>
  <c r="BI10" i="2" s="1" a="1"/>
  <c r="BI10" i="2" s="1"/>
  <c r="L24" i="2"/>
  <c r="BI9" i="2" s="1" a="1"/>
  <c r="BI9" i="2" s="1"/>
  <c r="K24" i="2"/>
  <c r="BI8" i="2" s="1" a="1"/>
  <c r="BI8" i="2" s="1"/>
  <c r="J24" i="2"/>
  <c r="BI7" i="2" s="1" a="1"/>
  <c r="BI7" i="2" s="1"/>
  <c r="I24" i="2"/>
  <c r="BI6" i="2" s="1" a="1"/>
  <c r="BI6" i="2" s="1"/>
  <c r="H24" i="2"/>
  <c r="G24" i="2"/>
  <c r="BI4" i="2" s="1" a="1"/>
  <c r="BI4" i="2" s="1"/>
  <c r="F24" i="2"/>
  <c r="BI3" i="2" s="1" a="1"/>
  <c r="BI3" i="2" s="1"/>
  <c r="E24" i="2"/>
  <c r="BI2" i="2" s="1" a="1"/>
  <c r="BI2" i="2" s="1"/>
  <c r="BH16" i="2" a="1"/>
  <c r="BH16" i="2" s="1"/>
  <c r="AD672" i="2" s="1"/>
  <c r="BH15" i="2" a="1"/>
  <c r="BH15" i="2" s="1"/>
  <c r="AD671" i="2" s="1"/>
  <c r="BH13" i="2" a="1"/>
  <c r="BH13" i="2" s="1"/>
  <c r="BH12" i="2" a="1"/>
  <c r="BH12" i="2" s="1"/>
  <c r="BH11" i="2" a="1"/>
  <c r="BH11" i="2" s="1"/>
  <c r="BH10" i="2" a="1"/>
  <c r="BH10" i="2" s="1"/>
  <c r="BH9" i="2" a="1"/>
  <c r="BH9" i="2" s="1"/>
  <c r="BH8" i="2" a="1"/>
  <c r="BH8" i="2" s="1"/>
  <c r="BH7" i="2" a="1"/>
  <c r="BH7" i="2" s="1"/>
  <c r="BH6" i="2" a="1"/>
  <c r="BH6" i="2" s="1"/>
  <c r="BH4" i="2" a="1"/>
  <c r="BH4" i="2" s="1"/>
  <c r="BH3" i="2" a="1"/>
  <c r="BH3" i="2" s="1"/>
  <c r="BH2" i="2" a="1"/>
  <c r="BH2" i="2" s="1"/>
  <c r="S23" i="2" a="1"/>
  <c r="S23" i="2" s="1"/>
  <c r="BG16" i="2" s="1" a="1"/>
  <c r="BG16" i="2" s="1"/>
  <c r="AD651" i="2" s="1"/>
  <c r="R23" i="2" a="1"/>
  <c r="R23" i="2" s="1"/>
  <c r="BG15" i="2" s="1" a="1"/>
  <c r="BG15" i="2" s="1"/>
  <c r="AD650" i="2" s="1"/>
  <c r="P23" i="2"/>
  <c r="BG13" i="2" s="1" a="1"/>
  <c r="BG13" i="2" s="1"/>
  <c r="O23" i="2"/>
  <c r="BG12" i="2" s="1" a="1"/>
  <c r="BG12" i="2" s="1"/>
  <c r="N23" i="2"/>
  <c r="BG11" i="2" s="1" a="1"/>
  <c r="BG11" i="2" s="1"/>
  <c r="M23" i="2"/>
  <c r="BG10" i="2" s="1" a="1"/>
  <c r="BG10" i="2" s="1"/>
  <c r="L23" i="2"/>
  <c r="BG9" i="2" s="1" a="1"/>
  <c r="BG9" i="2" s="1"/>
  <c r="K23" i="2"/>
  <c r="BG8" i="2" s="1" a="1"/>
  <c r="BG8" i="2" s="1"/>
  <c r="J23" i="2"/>
  <c r="BG7" i="2" s="1" a="1"/>
  <c r="BG7" i="2" s="1"/>
  <c r="I23" i="2"/>
  <c r="BG6" i="2" s="1" a="1"/>
  <c r="BG6" i="2" s="1"/>
  <c r="H23" i="2"/>
  <c r="G23" i="2"/>
  <c r="BG4" i="2" s="1" a="1"/>
  <c r="BG4" i="2" s="1"/>
  <c r="F23" i="2"/>
  <c r="BG3" i="2" s="1" a="1"/>
  <c r="BG3" i="2" s="1"/>
  <c r="E23" i="2"/>
  <c r="BG2" i="2" s="1" a="1"/>
  <c r="BG2" i="2" s="1"/>
  <c r="S22" i="2" a="1"/>
  <c r="S22" i="2" s="1"/>
  <c r="BF16" i="2" s="1" a="1"/>
  <c r="BF16" i="2" s="1"/>
  <c r="AD630" i="2" s="1"/>
  <c r="R22" i="2" a="1"/>
  <c r="R22" i="2" s="1"/>
  <c r="BF15" i="2" s="1" a="1"/>
  <c r="BF15" i="2" s="1"/>
  <c r="AD629" i="2" s="1"/>
  <c r="P22" i="2"/>
  <c r="BF13" i="2" s="1" a="1"/>
  <c r="BF13" i="2" s="1"/>
  <c r="O22" i="2"/>
  <c r="BF12" i="2" s="1" a="1"/>
  <c r="BF12" i="2" s="1"/>
  <c r="N22" i="2"/>
  <c r="BF11" i="2" s="1" a="1"/>
  <c r="BF11" i="2" s="1"/>
  <c r="M22" i="2"/>
  <c r="BF10" i="2" s="1" a="1"/>
  <c r="BF10" i="2" s="1"/>
  <c r="L22" i="2"/>
  <c r="BF9" i="2" s="1" a="1"/>
  <c r="BF9" i="2" s="1"/>
  <c r="K22" i="2"/>
  <c r="BF8" i="2" s="1" a="1"/>
  <c r="BF8" i="2" s="1"/>
  <c r="J22" i="2"/>
  <c r="BF7" i="2" s="1" a="1"/>
  <c r="BF7" i="2" s="1"/>
  <c r="I22" i="2"/>
  <c r="BF6" i="2" s="1" a="1"/>
  <c r="BF6" i="2" s="1"/>
  <c r="H22" i="2"/>
  <c r="G22" i="2"/>
  <c r="BF4" i="2" s="1" a="1"/>
  <c r="BF4" i="2" s="1"/>
  <c r="F22" i="2"/>
  <c r="BF3" i="2" s="1" a="1"/>
  <c r="BF3" i="2" s="1"/>
  <c r="E22" i="2"/>
  <c r="BF2" i="2" s="1" a="1"/>
  <c r="BF2" i="2" s="1"/>
  <c r="S21" i="2" a="1"/>
  <c r="S21" i="2" s="1"/>
  <c r="BE16" i="2" s="1" a="1"/>
  <c r="BE16" i="2" s="1"/>
  <c r="AD609" i="2" s="1"/>
  <c r="R21" i="2" a="1"/>
  <c r="R21" i="2" s="1"/>
  <c r="BE15" i="2" s="1" a="1"/>
  <c r="BE15" i="2" s="1"/>
  <c r="AD608" i="2" s="1"/>
  <c r="P21" i="2"/>
  <c r="BE13" i="2" s="1" a="1"/>
  <c r="BE13" i="2" s="1"/>
  <c r="O21" i="2"/>
  <c r="BE12" i="2" s="1" a="1"/>
  <c r="BE12" i="2" s="1"/>
  <c r="N21" i="2"/>
  <c r="BE11" i="2" s="1" a="1"/>
  <c r="BE11" i="2" s="1"/>
  <c r="M21" i="2"/>
  <c r="BE10" i="2" s="1" a="1"/>
  <c r="BE10" i="2" s="1"/>
  <c r="L21" i="2"/>
  <c r="BE9" i="2" s="1" a="1"/>
  <c r="BE9" i="2" s="1"/>
  <c r="K21" i="2"/>
  <c r="BE8" i="2" s="1" a="1"/>
  <c r="BE8" i="2" s="1"/>
  <c r="J21" i="2"/>
  <c r="BE7" i="2" s="1" a="1"/>
  <c r="BE7" i="2" s="1"/>
  <c r="I21" i="2"/>
  <c r="BE6" i="2" s="1" a="1"/>
  <c r="BE6" i="2" s="1"/>
  <c r="H21" i="2"/>
  <c r="G21" i="2"/>
  <c r="BE4" i="2" s="1" a="1"/>
  <c r="BE4" i="2" s="1"/>
  <c r="F21" i="2"/>
  <c r="BE3" i="2" s="1" a="1"/>
  <c r="BE3" i="2" s="1"/>
  <c r="E21" i="2"/>
  <c r="BE2" i="2" s="1" a="1"/>
  <c r="BE2" i="2" s="1"/>
  <c r="S20" i="2" a="1"/>
  <c r="S20" i="2" s="1"/>
  <c r="BD16" i="2" s="1" a="1"/>
  <c r="BD16" i="2" s="1"/>
  <c r="AD588" i="2" s="1"/>
  <c r="R20" i="2" a="1"/>
  <c r="R20" i="2" s="1"/>
  <c r="BD15" i="2" s="1" a="1"/>
  <c r="BD15" i="2" s="1"/>
  <c r="AD587" i="2" s="1"/>
  <c r="P20" i="2"/>
  <c r="BD13" i="2" s="1" a="1"/>
  <c r="BD13" i="2" s="1"/>
  <c r="O20" i="2"/>
  <c r="BD12" i="2" s="1" a="1"/>
  <c r="BD12" i="2" s="1"/>
  <c r="N20" i="2"/>
  <c r="BD11" i="2" s="1" a="1"/>
  <c r="BD11" i="2" s="1"/>
  <c r="M20" i="2"/>
  <c r="BD10" i="2" s="1" a="1"/>
  <c r="BD10" i="2" s="1"/>
  <c r="L20" i="2"/>
  <c r="BD9" i="2" s="1" a="1"/>
  <c r="BD9" i="2" s="1"/>
  <c r="K20" i="2"/>
  <c r="BD8" i="2" s="1" a="1"/>
  <c r="BD8" i="2" s="1"/>
  <c r="J20" i="2"/>
  <c r="BD7" i="2" s="1" a="1"/>
  <c r="BD7" i="2" s="1"/>
  <c r="I20" i="2"/>
  <c r="BD6" i="2" s="1" a="1"/>
  <c r="BD6" i="2" s="1"/>
  <c r="H20" i="2"/>
  <c r="G20" i="2"/>
  <c r="BD4" i="2" s="1" a="1"/>
  <c r="BD4" i="2" s="1"/>
  <c r="F20" i="2"/>
  <c r="BD3" i="2" s="1" a="1"/>
  <c r="BD3" i="2" s="1"/>
  <c r="E20" i="2"/>
  <c r="BD2" i="2" s="1" a="1"/>
  <c r="BD2" i="2" s="1"/>
  <c r="S19" i="2" a="1"/>
  <c r="S19" i="2" s="1"/>
  <c r="BC16" i="2" s="1" a="1"/>
  <c r="BC16" i="2" s="1"/>
  <c r="AD567" i="2" s="1"/>
  <c r="R19" i="2" a="1"/>
  <c r="R19" i="2" s="1"/>
  <c r="BC15" i="2" s="1" a="1"/>
  <c r="BC15" i="2" s="1"/>
  <c r="AD566" i="2" s="1"/>
  <c r="P19" i="2"/>
  <c r="BC13" i="2" s="1" a="1"/>
  <c r="BC13" i="2" s="1"/>
  <c r="O19" i="2"/>
  <c r="BC12" i="2" s="1" a="1"/>
  <c r="BC12" i="2" s="1"/>
  <c r="N19" i="2"/>
  <c r="BC11" i="2" s="1" a="1"/>
  <c r="BC11" i="2" s="1"/>
  <c r="M19" i="2"/>
  <c r="BC10" i="2" s="1" a="1"/>
  <c r="BC10" i="2" s="1"/>
  <c r="L19" i="2"/>
  <c r="BC9" i="2" s="1" a="1"/>
  <c r="BC9" i="2" s="1"/>
  <c r="K19" i="2"/>
  <c r="BC8" i="2" s="1" a="1"/>
  <c r="BC8" i="2" s="1"/>
  <c r="J19" i="2"/>
  <c r="BC7" i="2" s="1" a="1"/>
  <c r="BC7" i="2" s="1"/>
  <c r="I19" i="2"/>
  <c r="BC6" i="2" s="1" a="1"/>
  <c r="BC6" i="2" s="1"/>
  <c r="H19" i="2"/>
  <c r="G19" i="2"/>
  <c r="BC4" i="2" s="1" a="1"/>
  <c r="BC4" i="2" s="1"/>
  <c r="F19" i="2"/>
  <c r="BC3" i="2" s="1" a="1"/>
  <c r="BC3" i="2" s="1"/>
  <c r="E19" i="2"/>
  <c r="BC2" i="2" s="1" a="1"/>
  <c r="BC2" i="2" s="1"/>
  <c r="S18" i="2" a="1"/>
  <c r="S18" i="2" s="1"/>
  <c r="BB16" i="2" s="1" a="1"/>
  <c r="BB16" i="2" s="1"/>
  <c r="AD546" i="2" s="1"/>
  <c r="R18" i="2" a="1"/>
  <c r="R18" i="2" s="1"/>
  <c r="BB15" i="2" s="1" a="1"/>
  <c r="BB15" i="2" s="1"/>
  <c r="AD545" i="2" s="1"/>
  <c r="P18" i="2"/>
  <c r="BB13" i="2" s="1" a="1"/>
  <c r="BB13" i="2" s="1"/>
  <c r="O18" i="2"/>
  <c r="BB12" i="2" s="1" a="1"/>
  <c r="BB12" i="2" s="1"/>
  <c r="N18" i="2"/>
  <c r="BB11" i="2" s="1" a="1"/>
  <c r="BB11" i="2" s="1"/>
  <c r="M18" i="2"/>
  <c r="BB10" i="2" s="1" a="1"/>
  <c r="BB10" i="2" s="1"/>
  <c r="L18" i="2"/>
  <c r="BB9" i="2" s="1" a="1"/>
  <c r="BB9" i="2" s="1"/>
  <c r="K18" i="2"/>
  <c r="BB8" i="2" s="1" a="1"/>
  <c r="BB8" i="2" s="1"/>
  <c r="J18" i="2"/>
  <c r="BB7" i="2" s="1" a="1"/>
  <c r="BB7" i="2" s="1"/>
  <c r="I18" i="2"/>
  <c r="BB6" i="2" s="1" a="1"/>
  <c r="BB6" i="2" s="1"/>
  <c r="H18" i="2"/>
  <c r="G18" i="2"/>
  <c r="BB4" i="2" s="1" a="1"/>
  <c r="BB4" i="2" s="1"/>
  <c r="F18" i="2"/>
  <c r="BB3" i="2" s="1" a="1"/>
  <c r="BB3" i="2" s="1"/>
  <c r="E18" i="2"/>
  <c r="BB2" i="2" s="1" a="1"/>
  <c r="BB2" i="2" s="1"/>
  <c r="S17" i="2" a="1"/>
  <c r="S17" i="2" s="1"/>
  <c r="BA16" i="2" s="1" a="1"/>
  <c r="BA16" i="2" s="1"/>
  <c r="AD525" i="2" s="1"/>
  <c r="R17" i="2" a="1"/>
  <c r="R17" i="2" s="1"/>
  <c r="BA15" i="2" s="1" a="1"/>
  <c r="BA15" i="2" s="1"/>
  <c r="AD524" i="2" s="1"/>
  <c r="P17" i="2"/>
  <c r="BA13" i="2" s="1" a="1"/>
  <c r="BA13" i="2" s="1"/>
  <c r="O17" i="2"/>
  <c r="BA12" i="2" s="1" a="1"/>
  <c r="BA12" i="2" s="1"/>
  <c r="N17" i="2"/>
  <c r="BA11" i="2" s="1" a="1"/>
  <c r="BA11" i="2" s="1"/>
  <c r="M17" i="2"/>
  <c r="BA10" i="2" s="1" a="1"/>
  <c r="BA10" i="2" s="1"/>
  <c r="L17" i="2"/>
  <c r="BA9" i="2" s="1" a="1"/>
  <c r="BA9" i="2" s="1"/>
  <c r="K17" i="2"/>
  <c r="BA8" i="2" s="1" a="1"/>
  <c r="BA8" i="2" s="1"/>
  <c r="J17" i="2"/>
  <c r="BA7" i="2" s="1" a="1"/>
  <c r="BA7" i="2" s="1"/>
  <c r="I17" i="2"/>
  <c r="BA6" i="2" s="1" a="1"/>
  <c r="BA6" i="2" s="1"/>
  <c r="H17" i="2"/>
  <c r="G17" i="2"/>
  <c r="BA4" i="2" s="1" a="1"/>
  <c r="BA4" i="2" s="1"/>
  <c r="F17" i="2"/>
  <c r="BA3" i="2" s="1" a="1"/>
  <c r="BA3" i="2" s="1"/>
  <c r="E17" i="2"/>
  <c r="BA2" i="2" s="1" a="1"/>
  <c r="BA2" i="2" s="1"/>
  <c r="S16" i="2" a="1"/>
  <c r="S16" i="2" s="1"/>
  <c r="AZ16" i="2" s="1" a="1"/>
  <c r="AZ16" i="2" s="1"/>
  <c r="AD504" i="2" s="1"/>
  <c r="R16" i="2" a="1"/>
  <c r="R16" i="2" s="1"/>
  <c r="AZ15" i="2" s="1" a="1"/>
  <c r="AZ15" i="2" s="1"/>
  <c r="AD503" i="2" s="1"/>
  <c r="P16" i="2"/>
  <c r="AZ13" i="2" s="1" a="1"/>
  <c r="AZ13" i="2" s="1"/>
  <c r="O16" i="2"/>
  <c r="AZ12" i="2" s="1" a="1"/>
  <c r="AZ12" i="2" s="1"/>
  <c r="N16" i="2"/>
  <c r="AZ11" i="2" s="1" a="1"/>
  <c r="AZ11" i="2" s="1"/>
  <c r="M16" i="2"/>
  <c r="AZ10" i="2" s="1" a="1"/>
  <c r="AZ10" i="2" s="1"/>
  <c r="L16" i="2"/>
  <c r="AZ9" i="2" s="1" a="1"/>
  <c r="AZ9" i="2" s="1"/>
  <c r="K16" i="2"/>
  <c r="AZ8" i="2" s="1" a="1"/>
  <c r="AZ8" i="2" s="1"/>
  <c r="J16" i="2"/>
  <c r="AZ7" i="2" s="1" a="1"/>
  <c r="AZ7" i="2" s="1"/>
  <c r="I16" i="2"/>
  <c r="AZ6" i="2" s="1" a="1"/>
  <c r="AZ6" i="2" s="1"/>
  <c r="H16" i="2"/>
  <c r="G16" i="2"/>
  <c r="AZ4" i="2" s="1" a="1"/>
  <c r="AZ4" i="2" s="1"/>
  <c r="F16" i="2"/>
  <c r="AZ3" i="2" s="1" a="1"/>
  <c r="AZ3" i="2" s="1"/>
  <c r="E16" i="2"/>
  <c r="AZ2" i="2" s="1" a="1"/>
  <c r="AZ2" i="2" s="1"/>
  <c r="S15" i="2" a="1"/>
  <c r="S15" i="2" s="1"/>
  <c r="AY16" i="2" s="1" a="1"/>
  <c r="AY16" i="2" s="1"/>
  <c r="AD483" i="2" s="1"/>
  <c r="R15" i="2" a="1"/>
  <c r="R15" i="2" s="1"/>
  <c r="AY15" i="2" s="1" a="1"/>
  <c r="AY15" i="2" s="1"/>
  <c r="AD482" i="2" s="1"/>
  <c r="P15" i="2"/>
  <c r="AY13" i="2" s="1" a="1"/>
  <c r="AY13" i="2" s="1"/>
  <c r="O15" i="2"/>
  <c r="AY12" i="2" s="1" a="1"/>
  <c r="AY12" i="2" s="1"/>
  <c r="N15" i="2"/>
  <c r="AY11" i="2" s="1" a="1"/>
  <c r="AY11" i="2" s="1"/>
  <c r="M15" i="2"/>
  <c r="AY10" i="2" s="1" a="1"/>
  <c r="AY10" i="2" s="1"/>
  <c r="L15" i="2"/>
  <c r="AY9" i="2" s="1" a="1"/>
  <c r="AY9" i="2" s="1"/>
  <c r="K15" i="2"/>
  <c r="AY8" i="2" s="1" a="1"/>
  <c r="AY8" i="2" s="1"/>
  <c r="J15" i="2"/>
  <c r="AY7" i="2" s="1" a="1"/>
  <c r="AY7" i="2" s="1"/>
  <c r="I15" i="2"/>
  <c r="AY6" i="2" s="1" a="1"/>
  <c r="AY6" i="2" s="1"/>
  <c r="H15" i="2"/>
  <c r="G15" i="2"/>
  <c r="AY4" i="2" s="1" a="1"/>
  <c r="AY4" i="2" s="1"/>
  <c r="F15" i="2"/>
  <c r="AY3" i="2" s="1" a="1"/>
  <c r="AY3" i="2" s="1"/>
  <c r="E15" i="2"/>
  <c r="AY2" i="2" s="1" a="1"/>
  <c r="AY2" i="2" s="1"/>
  <c r="AX16" i="2" a="1"/>
  <c r="AX16" i="2" s="1"/>
  <c r="AD462" i="2" s="1"/>
  <c r="AX15" i="2" a="1"/>
  <c r="AX15" i="2" s="1"/>
  <c r="AD461" i="2" s="1"/>
  <c r="AX13" i="2" a="1"/>
  <c r="AX13" i="2" s="1"/>
  <c r="AX12" i="2" a="1"/>
  <c r="AX12" i="2" s="1"/>
  <c r="AX11" i="2" a="1"/>
  <c r="AX11" i="2" s="1"/>
  <c r="AX10" i="2" a="1"/>
  <c r="AX10" i="2" s="1"/>
  <c r="AX9" i="2" a="1"/>
  <c r="AX9" i="2" s="1"/>
  <c r="AX8" i="2" a="1"/>
  <c r="AX8" i="2" s="1"/>
  <c r="AX7" i="2" a="1"/>
  <c r="AX7" i="2" s="1"/>
  <c r="AX6" i="2" a="1"/>
  <c r="AX6" i="2" s="1"/>
  <c r="AX4" i="2" a="1"/>
  <c r="AX4" i="2" s="1"/>
  <c r="AX3" i="2" a="1"/>
  <c r="AX3" i="2" s="1"/>
  <c r="AX2" i="2" a="1"/>
  <c r="AX2" i="2" s="1"/>
  <c r="S14" i="2" a="1"/>
  <c r="S14" i="2" s="1"/>
  <c r="AW16" i="2" s="1" a="1"/>
  <c r="AW16" i="2" s="1"/>
  <c r="AD441" i="2" s="1"/>
  <c r="R14" i="2" a="1"/>
  <c r="R14" i="2" s="1"/>
  <c r="AW15" i="2" s="1" a="1"/>
  <c r="AW15" i="2" s="1"/>
  <c r="AD440" i="2" s="1"/>
  <c r="P14" i="2"/>
  <c r="AW13" i="2" s="1" a="1"/>
  <c r="AW13" i="2" s="1"/>
  <c r="O14" i="2"/>
  <c r="AW12" i="2" s="1" a="1"/>
  <c r="AW12" i="2" s="1"/>
  <c r="N14" i="2"/>
  <c r="AW11" i="2" s="1" a="1"/>
  <c r="AW11" i="2" s="1"/>
  <c r="M14" i="2"/>
  <c r="AW10" i="2" s="1" a="1"/>
  <c r="AW10" i="2" s="1"/>
  <c r="L14" i="2"/>
  <c r="AW9" i="2" s="1" a="1"/>
  <c r="AW9" i="2" s="1"/>
  <c r="K14" i="2"/>
  <c r="AW8" i="2" s="1" a="1"/>
  <c r="AW8" i="2" s="1"/>
  <c r="J14" i="2"/>
  <c r="AW7" i="2" s="1" a="1"/>
  <c r="AW7" i="2" s="1"/>
  <c r="I14" i="2"/>
  <c r="AW6" i="2" s="1" a="1"/>
  <c r="AW6" i="2" s="1"/>
  <c r="H14" i="2"/>
  <c r="G14" i="2"/>
  <c r="AW4" i="2" s="1" a="1"/>
  <c r="AW4" i="2" s="1"/>
  <c r="F14" i="2"/>
  <c r="AW3" i="2" s="1" a="1"/>
  <c r="AW3" i="2" s="1"/>
  <c r="E14" i="2"/>
  <c r="AW2" i="2" s="1" a="1"/>
  <c r="AW2" i="2" s="1"/>
  <c r="S13" i="2" a="1"/>
  <c r="S13" i="2" s="1"/>
  <c r="AV16" i="2" s="1" a="1"/>
  <c r="AV16" i="2" s="1"/>
  <c r="AD420" i="2" s="1"/>
  <c r="R13" i="2" a="1"/>
  <c r="R13" i="2" s="1"/>
  <c r="AV15" i="2" s="1" a="1"/>
  <c r="AV15" i="2" s="1"/>
  <c r="AD419" i="2" s="1"/>
  <c r="P13" i="2"/>
  <c r="AV13" i="2" s="1" a="1"/>
  <c r="AV13" i="2" s="1"/>
  <c r="O13" i="2"/>
  <c r="AV12" i="2" s="1" a="1"/>
  <c r="AV12" i="2" s="1"/>
  <c r="N13" i="2"/>
  <c r="AV11" i="2" s="1" a="1"/>
  <c r="AV11" i="2" s="1"/>
  <c r="M13" i="2"/>
  <c r="AV10" i="2" s="1" a="1"/>
  <c r="AV10" i="2" s="1"/>
  <c r="L13" i="2"/>
  <c r="AV9" i="2" s="1" a="1"/>
  <c r="AV9" i="2" s="1"/>
  <c r="K13" i="2"/>
  <c r="AV8" i="2" s="1" a="1"/>
  <c r="AV8" i="2" s="1"/>
  <c r="J13" i="2"/>
  <c r="AV7" i="2" s="1" a="1"/>
  <c r="AV7" i="2" s="1"/>
  <c r="I13" i="2"/>
  <c r="AV6" i="2" s="1" a="1"/>
  <c r="AV6" i="2" s="1"/>
  <c r="H13" i="2"/>
  <c r="G13" i="2"/>
  <c r="AV4" i="2" s="1" a="1"/>
  <c r="AV4" i="2" s="1"/>
  <c r="F13" i="2"/>
  <c r="AV3" i="2" s="1" a="1"/>
  <c r="AV3" i="2" s="1"/>
  <c r="E13" i="2"/>
  <c r="AV2" i="2" s="1" a="1"/>
  <c r="AV2" i="2" s="1"/>
  <c r="AE28" i="2"/>
  <c r="AF28" i="2" s="1"/>
  <c r="AU16" i="2" a="1"/>
  <c r="AU16" i="2" s="1"/>
  <c r="AD399" i="2" s="1"/>
  <c r="AU15" i="2" a="1"/>
  <c r="AU15" i="2" s="1"/>
  <c r="AD398" i="2" s="1"/>
  <c r="AU13" i="2" a="1"/>
  <c r="AU13" i="2" s="1"/>
  <c r="AU12" i="2" a="1"/>
  <c r="AU12" i="2" s="1"/>
  <c r="AU11" i="2" a="1"/>
  <c r="AU11" i="2" s="1"/>
  <c r="AU10" i="2" a="1"/>
  <c r="AU10" i="2" s="1"/>
  <c r="AU9" i="2" a="1"/>
  <c r="AU9" i="2" s="1"/>
  <c r="AU8" i="2" a="1"/>
  <c r="AU8" i="2" s="1"/>
  <c r="AU7" i="2" a="1"/>
  <c r="AU7" i="2" s="1"/>
  <c r="AU6" i="2" a="1"/>
  <c r="AU6" i="2" s="1"/>
  <c r="AU4" i="2" a="1"/>
  <c r="AU4" i="2" s="1"/>
  <c r="AU3" i="2" a="1"/>
  <c r="AU3" i="2" s="1"/>
  <c r="AU2" i="2" a="1"/>
  <c r="AU2" i="2" s="1"/>
  <c r="S12" i="2" a="1"/>
  <c r="S12" i="2" s="1"/>
  <c r="AT16" i="2" s="1" a="1"/>
  <c r="AT16" i="2" s="1"/>
  <c r="AD378" i="2" s="1"/>
  <c r="R12" i="2" a="1"/>
  <c r="R12" i="2" s="1"/>
  <c r="AT15" i="2" s="1" a="1"/>
  <c r="AT15" i="2" s="1"/>
  <c r="AD377" i="2" s="1"/>
  <c r="P12" i="2"/>
  <c r="AT13" i="2" s="1" a="1"/>
  <c r="AT13" i="2" s="1"/>
  <c r="O12" i="2"/>
  <c r="AT12" i="2" s="1" a="1"/>
  <c r="AT12" i="2" s="1"/>
  <c r="N12" i="2"/>
  <c r="AT11" i="2" s="1" a="1"/>
  <c r="AT11" i="2" s="1"/>
  <c r="M12" i="2"/>
  <c r="AT10" i="2" s="1" a="1"/>
  <c r="AT10" i="2" s="1"/>
  <c r="L12" i="2"/>
  <c r="AT9" i="2" s="1" a="1"/>
  <c r="AT9" i="2" s="1"/>
  <c r="K12" i="2"/>
  <c r="AT8" i="2" s="1" a="1"/>
  <c r="AT8" i="2" s="1"/>
  <c r="J12" i="2"/>
  <c r="AT7" i="2" s="1" a="1"/>
  <c r="AT7" i="2" s="1"/>
  <c r="I12" i="2"/>
  <c r="AT6" i="2" s="1" a="1"/>
  <c r="AT6" i="2" s="1"/>
  <c r="H12" i="2"/>
  <c r="G12" i="2"/>
  <c r="AT4" i="2" s="1" a="1"/>
  <c r="AT4" i="2" s="1"/>
  <c r="F12" i="2"/>
  <c r="AT3" i="2" s="1" a="1"/>
  <c r="AT3" i="2" s="1"/>
  <c r="E12" i="2"/>
  <c r="AT2" i="2" s="1" a="1"/>
  <c r="AT2" i="2" s="1"/>
  <c r="S11" i="2" a="1"/>
  <c r="S11" i="2" s="1"/>
  <c r="AS16" i="2" s="1" a="1"/>
  <c r="AS16" i="2" s="1"/>
  <c r="AD357" i="2" s="1"/>
  <c r="R11" i="2" a="1"/>
  <c r="R11" i="2" s="1"/>
  <c r="AS15" i="2" s="1" a="1"/>
  <c r="AS15" i="2" s="1"/>
  <c r="AD356" i="2" s="1"/>
  <c r="P11" i="2"/>
  <c r="AS13" i="2" s="1" a="1"/>
  <c r="AS13" i="2" s="1"/>
  <c r="O11" i="2"/>
  <c r="AS12" i="2" s="1" a="1"/>
  <c r="AS12" i="2" s="1"/>
  <c r="N11" i="2"/>
  <c r="AS11" i="2" s="1" a="1"/>
  <c r="AS11" i="2" s="1"/>
  <c r="M11" i="2"/>
  <c r="AS10" i="2" s="1" a="1"/>
  <c r="AS10" i="2" s="1"/>
  <c r="L11" i="2"/>
  <c r="AS9" i="2" s="1" a="1"/>
  <c r="AS9" i="2" s="1"/>
  <c r="K11" i="2"/>
  <c r="AS8" i="2" s="1" a="1"/>
  <c r="AS8" i="2" s="1"/>
  <c r="J11" i="2"/>
  <c r="AS7" i="2" s="1" a="1"/>
  <c r="AS7" i="2" s="1"/>
  <c r="I11" i="2"/>
  <c r="AS6" i="2" s="1" a="1"/>
  <c r="AS6" i="2" s="1"/>
  <c r="H11" i="2"/>
  <c r="G11" i="2"/>
  <c r="AS4" i="2" s="1" a="1"/>
  <c r="AS4" i="2" s="1"/>
  <c r="F11" i="2"/>
  <c r="AS3" i="2" s="1" a="1"/>
  <c r="AS3" i="2" s="1"/>
  <c r="E11" i="2"/>
  <c r="AS2" i="2" s="1" a="1"/>
  <c r="AS2" i="2" s="1"/>
  <c r="S10" i="2" a="1"/>
  <c r="S10" i="2" s="1"/>
  <c r="AR16" i="2" s="1" a="1"/>
  <c r="AR16" i="2" s="1"/>
  <c r="AD336" i="2" s="1"/>
  <c r="R10" i="2" a="1"/>
  <c r="R10" i="2" s="1"/>
  <c r="AR15" i="2" s="1" a="1"/>
  <c r="AR15" i="2" s="1"/>
  <c r="AD335" i="2" s="1"/>
  <c r="P10" i="2"/>
  <c r="AR13" i="2" s="1" a="1"/>
  <c r="AR13" i="2" s="1"/>
  <c r="O10" i="2"/>
  <c r="AR12" i="2" s="1" a="1"/>
  <c r="AR12" i="2" s="1"/>
  <c r="N10" i="2"/>
  <c r="AR11" i="2" s="1" a="1"/>
  <c r="AR11" i="2" s="1"/>
  <c r="M10" i="2"/>
  <c r="AR10" i="2" s="1" a="1"/>
  <c r="AR10" i="2" s="1"/>
  <c r="L10" i="2"/>
  <c r="AR9" i="2" s="1" a="1"/>
  <c r="AR9" i="2" s="1"/>
  <c r="K10" i="2"/>
  <c r="AR8" i="2" s="1" a="1"/>
  <c r="AR8" i="2" s="1"/>
  <c r="J10" i="2"/>
  <c r="AR7" i="2" s="1" a="1"/>
  <c r="AR7" i="2" s="1"/>
  <c r="I10" i="2"/>
  <c r="AR6" i="2" s="1" a="1"/>
  <c r="AR6" i="2" s="1"/>
  <c r="H10" i="2"/>
  <c r="G10" i="2"/>
  <c r="AR4" i="2" s="1" a="1"/>
  <c r="AR4" i="2" s="1"/>
  <c r="F10" i="2"/>
  <c r="AR3" i="2" s="1" a="1"/>
  <c r="AR3" i="2" s="1"/>
  <c r="E10" i="2"/>
  <c r="AR2" i="2" s="1" a="1"/>
  <c r="AR2" i="2" s="1"/>
  <c r="S9" i="2" a="1"/>
  <c r="S9" i="2" s="1"/>
  <c r="AQ16" i="2" s="1" a="1"/>
  <c r="AQ16" i="2" s="1"/>
  <c r="AD315" i="2" s="1"/>
  <c r="R9" i="2" a="1"/>
  <c r="R9" i="2" s="1"/>
  <c r="AQ15" i="2" s="1" a="1"/>
  <c r="AQ15" i="2" s="1"/>
  <c r="AD314" i="2" s="1"/>
  <c r="P9" i="2"/>
  <c r="AQ13" i="2" s="1" a="1"/>
  <c r="AQ13" i="2" s="1"/>
  <c r="O9" i="2"/>
  <c r="AQ12" i="2" s="1" a="1"/>
  <c r="AQ12" i="2" s="1"/>
  <c r="N9" i="2"/>
  <c r="AQ11" i="2" s="1" a="1"/>
  <c r="AQ11" i="2" s="1"/>
  <c r="M9" i="2"/>
  <c r="AQ10" i="2" s="1" a="1"/>
  <c r="AQ10" i="2" s="1"/>
  <c r="L9" i="2"/>
  <c r="AQ9" i="2" s="1" a="1"/>
  <c r="AQ9" i="2" s="1"/>
  <c r="K9" i="2"/>
  <c r="AQ8" i="2" s="1" a="1"/>
  <c r="AQ8" i="2" s="1"/>
  <c r="J9" i="2"/>
  <c r="AQ7" i="2" s="1" a="1"/>
  <c r="AQ7" i="2" s="1"/>
  <c r="I9" i="2"/>
  <c r="AQ6" i="2" s="1" a="1"/>
  <c r="AQ6" i="2" s="1"/>
  <c r="H9" i="2"/>
  <c r="G9" i="2"/>
  <c r="AQ4" i="2" s="1" a="1"/>
  <c r="AQ4" i="2" s="1"/>
  <c r="F9" i="2"/>
  <c r="AQ3" i="2" s="1" a="1"/>
  <c r="AQ3" i="2" s="1"/>
  <c r="E9" i="2"/>
  <c r="AQ2" i="2" s="1" a="1"/>
  <c r="AQ2" i="2" s="1"/>
  <c r="AP16" i="2" a="1"/>
  <c r="AP16" i="2" s="1"/>
  <c r="AD294" i="2" s="1"/>
  <c r="AP15" i="2" a="1"/>
  <c r="AP15" i="2" s="1"/>
  <c r="AD293" i="2" s="1"/>
  <c r="AP13" i="2" a="1"/>
  <c r="AP13" i="2" s="1"/>
  <c r="AP12" i="2" a="1"/>
  <c r="AP12" i="2" s="1"/>
  <c r="AP11" i="2" a="1"/>
  <c r="AP11" i="2" s="1"/>
  <c r="AP10" i="2" a="1"/>
  <c r="AP10" i="2" s="1"/>
  <c r="AP9" i="2" a="1"/>
  <c r="AP9" i="2" s="1"/>
  <c r="AP8" i="2" a="1"/>
  <c r="AP8" i="2" s="1"/>
  <c r="AP7" i="2" a="1"/>
  <c r="AP7" i="2" s="1"/>
  <c r="AP6" i="2" a="1"/>
  <c r="AP6" i="2" s="1"/>
  <c r="AP4" i="2" a="1"/>
  <c r="AP4" i="2" s="1"/>
  <c r="AP3" i="2" a="1"/>
  <c r="AP3" i="2" s="1"/>
  <c r="AP2" i="2" a="1"/>
  <c r="AP2" i="2" s="1"/>
  <c r="S8" i="2" a="1"/>
  <c r="S8" i="2" s="1"/>
  <c r="AO16" i="2" s="1" a="1"/>
  <c r="AO16" i="2" s="1"/>
  <c r="AD273" i="2" s="1"/>
  <c r="R8" i="2" a="1"/>
  <c r="R8" i="2" s="1"/>
  <c r="AO15" i="2" s="1" a="1"/>
  <c r="AO15" i="2" s="1"/>
  <c r="AD272" i="2" s="1"/>
  <c r="P8" i="2"/>
  <c r="AO13" i="2" s="1" a="1"/>
  <c r="AO13" i="2" s="1"/>
  <c r="O8" i="2"/>
  <c r="AO12" i="2" s="1" a="1"/>
  <c r="AO12" i="2" s="1"/>
  <c r="N8" i="2"/>
  <c r="AO11" i="2" s="1" a="1"/>
  <c r="AO11" i="2" s="1"/>
  <c r="M8" i="2"/>
  <c r="AO10" i="2" s="1" a="1"/>
  <c r="AO10" i="2" s="1"/>
  <c r="L8" i="2"/>
  <c r="AO9" i="2" s="1" a="1"/>
  <c r="AO9" i="2" s="1"/>
  <c r="K8" i="2"/>
  <c r="AO8" i="2" s="1" a="1"/>
  <c r="AO8" i="2" s="1"/>
  <c r="J8" i="2"/>
  <c r="AO7" i="2" s="1" a="1"/>
  <c r="AO7" i="2" s="1"/>
  <c r="I8" i="2"/>
  <c r="AO6" i="2" s="1" a="1"/>
  <c r="AO6" i="2" s="1"/>
  <c r="H8" i="2"/>
  <c r="G8" i="2"/>
  <c r="AO4" i="2" s="1" a="1"/>
  <c r="AO4" i="2" s="1"/>
  <c r="F8" i="2"/>
  <c r="AO3" i="2" s="1" a="1"/>
  <c r="AO3" i="2" s="1"/>
  <c r="E8" i="2"/>
  <c r="AO2" i="2" s="1" a="1"/>
  <c r="AO2" i="2" s="1"/>
  <c r="AN16" i="2" a="1"/>
  <c r="AN16" i="2" s="1"/>
  <c r="AD252" i="2" s="1"/>
  <c r="AN15" i="2" a="1"/>
  <c r="AN15" i="2" s="1"/>
  <c r="AD251" i="2" s="1"/>
  <c r="AN13" i="2" a="1"/>
  <c r="AN13" i="2" s="1"/>
  <c r="AN12" i="2" a="1"/>
  <c r="AN12" i="2" s="1"/>
  <c r="AN11" i="2" a="1"/>
  <c r="AN11" i="2" s="1"/>
  <c r="AN10" i="2" a="1"/>
  <c r="AN10" i="2" s="1"/>
  <c r="AN9" i="2" a="1"/>
  <c r="AN9" i="2" s="1"/>
  <c r="AN8" i="2" a="1"/>
  <c r="AN8" i="2" s="1"/>
  <c r="AN7" i="2" a="1"/>
  <c r="AN7" i="2" s="1"/>
  <c r="AN6" i="2" a="1"/>
  <c r="AN6" i="2" s="1"/>
  <c r="AN4" i="2" a="1"/>
  <c r="AN4" i="2" s="1"/>
  <c r="AN3" i="2" a="1"/>
  <c r="AN3" i="2" s="1"/>
  <c r="AN2" i="2" a="1"/>
  <c r="AN2" i="2" s="1"/>
  <c r="AM16" i="2" a="1"/>
  <c r="AM16" i="2" s="1"/>
  <c r="AD231" i="2" s="1"/>
  <c r="AM15" i="2" a="1"/>
  <c r="AM15" i="2" s="1"/>
  <c r="AD230" i="2" s="1"/>
  <c r="AM13" i="2" a="1"/>
  <c r="AM13" i="2" s="1"/>
  <c r="AM12" i="2" a="1"/>
  <c r="AM12" i="2" s="1"/>
  <c r="AM11" i="2" a="1"/>
  <c r="AM11" i="2" s="1"/>
  <c r="AM10" i="2" a="1"/>
  <c r="AM10" i="2" s="1"/>
  <c r="AM9" i="2" a="1"/>
  <c r="AM9" i="2" s="1"/>
  <c r="AM8" i="2" a="1"/>
  <c r="AM8" i="2" s="1"/>
  <c r="AM7" i="2" a="1"/>
  <c r="AM7" i="2" s="1"/>
  <c r="AM6" i="2" a="1"/>
  <c r="AM6" i="2" s="1"/>
  <c r="AM4" i="2" a="1"/>
  <c r="AM4" i="2" s="1"/>
  <c r="AM3" i="2" a="1"/>
  <c r="AM3" i="2" s="1"/>
  <c r="AM2" i="2" a="1"/>
  <c r="AM2" i="2" s="1"/>
  <c r="S7" i="2" a="1"/>
  <c r="S7" i="2" s="1"/>
  <c r="AL16" i="2" s="1" a="1"/>
  <c r="AL16" i="2" s="1"/>
  <c r="AD210" i="2" s="1"/>
  <c r="R7" i="2" a="1"/>
  <c r="R7" i="2" s="1"/>
  <c r="AL15" i="2" s="1" a="1"/>
  <c r="AL15" i="2" s="1"/>
  <c r="AD209" i="2" s="1"/>
  <c r="P7" i="2"/>
  <c r="AL13" i="2" s="1" a="1"/>
  <c r="AL13" i="2" s="1"/>
  <c r="O7" i="2"/>
  <c r="AL12" i="2" s="1" a="1"/>
  <c r="AL12" i="2" s="1"/>
  <c r="N7" i="2"/>
  <c r="AL11" i="2" s="1" a="1"/>
  <c r="AL11" i="2" s="1"/>
  <c r="M7" i="2"/>
  <c r="AL10" i="2" s="1" a="1"/>
  <c r="AL10" i="2" s="1"/>
  <c r="L7" i="2"/>
  <c r="AL9" i="2" s="1" a="1"/>
  <c r="AL9" i="2" s="1"/>
  <c r="K7" i="2"/>
  <c r="AL8" i="2" s="1" a="1"/>
  <c r="AL8" i="2" s="1"/>
  <c r="J7" i="2"/>
  <c r="AL7" i="2" s="1" a="1"/>
  <c r="AL7" i="2" s="1"/>
  <c r="I7" i="2"/>
  <c r="AL6" i="2" s="1" a="1"/>
  <c r="AL6" i="2" s="1"/>
  <c r="H7" i="2"/>
  <c r="G7" i="2"/>
  <c r="AL4" i="2" s="1" a="1"/>
  <c r="AL4" i="2" s="1"/>
  <c r="F7" i="2"/>
  <c r="AL3" i="2" s="1" a="1"/>
  <c r="AL3" i="2" s="1"/>
  <c r="E7" i="2"/>
  <c r="AL2" i="2" s="1" a="1"/>
  <c r="AL2" i="2" s="1"/>
  <c r="AK16" i="2" a="1"/>
  <c r="AK16" i="2" s="1"/>
  <c r="AD189" i="2" s="1"/>
  <c r="AK15" i="2" a="1"/>
  <c r="AK15" i="2" s="1"/>
  <c r="AD188" i="2" s="1"/>
  <c r="AK13" i="2" a="1"/>
  <c r="AK13" i="2" s="1"/>
  <c r="AK12" i="2" a="1"/>
  <c r="AK12" i="2" s="1"/>
  <c r="AK11" i="2" a="1"/>
  <c r="AK11" i="2" s="1"/>
  <c r="AK10" i="2" a="1"/>
  <c r="AK10" i="2" s="1"/>
  <c r="AK9" i="2" a="1"/>
  <c r="AK9" i="2" s="1"/>
  <c r="AK8" i="2" a="1"/>
  <c r="AK8" i="2" s="1"/>
  <c r="AK7" i="2" a="1"/>
  <c r="AK7" i="2" s="1"/>
  <c r="AK6" i="2" a="1"/>
  <c r="AK6" i="2" s="1"/>
  <c r="AK4" i="2" a="1"/>
  <c r="AK4" i="2" s="1"/>
  <c r="AK3" i="2" a="1"/>
  <c r="AK3" i="2" s="1"/>
  <c r="AK2" i="2" a="1"/>
  <c r="AK2" i="2" s="1"/>
  <c r="AJ16" i="2" a="1"/>
  <c r="AJ16" i="2" s="1"/>
  <c r="AD168" i="2" s="1"/>
  <c r="AJ15" i="2" a="1"/>
  <c r="AJ15" i="2" s="1"/>
  <c r="AD167" i="2" s="1"/>
  <c r="AJ13" i="2" a="1"/>
  <c r="AJ13" i="2" s="1"/>
  <c r="AJ12" i="2" a="1"/>
  <c r="AJ12" i="2" s="1"/>
  <c r="AJ11" i="2" a="1"/>
  <c r="AJ11" i="2" s="1"/>
  <c r="AJ10" i="2" a="1"/>
  <c r="AJ10" i="2" s="1"/>
  <c r="AJ9" i="2" a="1"/>
  <c r="AJ9" i="2" s="1"/>
  <c r="AJ8" i="2" a="1"/>
  <c r="AJ8" i="2" s="1"/>
  <c r="AJ7" i="2" a="1"/>
  <c r="AJ7" i="2" s="1"/>
  <c r="AJ6" i="2" a="1"/>
  <c r="AJ6" i="2" s="1"/>
  <c r="AJ4" i="2" a="1"/>
  <c r="AJ4" i="2" s="1"/>
  <c r="AJ3" i="2" a="1"/>
  <c r="AJ3" i="2" s="1"/>
  <c r="AJ2" i="2" a="1"/>
  <c r="AJ2" i="2" s="1"/>
  <c r="S6" i="2" a="1"/>
  <c r="S6" i="2" s="1"/>
  <c r="AI16" i="2" s="1" a="1"/>
  <c r="AI16" i="2" s="1"/>
  <c r="AD147" i="2" s="1"/>
  <c r="R6" i="2" a="1"/>
  <c r="R6" i="2" s="1"/>
  <c r="AI15" i="2" s="1" a="1"/>
  <c r="AI15" i="2" s="1"/>
  <c r="AD146" i="2" s="1"/>
  <c r="P6" i="2"/>
  <c r="AI13" i="2" s="1" a="1"/>
  <c r="AI13" i="2" s="1"/>
  <c r="O6" i="2"/>
  <c r="AI12" i="2" s="1" a="1"/>
  <c r="AI12" i="2" s="1"/>
  <c r="N6" i="2"/>
  <c r="AI11" i="2" s="1" a="1"/>
  <c r="AI11" i="2" s="1"/>
  <c r="M6" i="2"/>
  <c r="AI10" i="2" s="1" a="1"/>
  <c r="AI10" i="2" s="1"/>
  <c r="L6" i="2"/>
  <c r="AI9" i="2" s="1" a="1"/>
  <c r="AI9" i="2" s="1"/>
  <c r="K6" i="2"/>
  <c r="AI8" i="2" s="1" a="1"/>
  <c r="AI8" i="2" s="1"/>
  <c r="J6" i="2"/>
  <c r="AI7" i="2" s="1" a="1"/>
  <c r="AI7" i="2" s="1"/>
  <c r="I6" i="2"/>
  <c r="AI6" i="2" s="1" a="1"/>
  <c r="AI6" i="2" s="1"/>
  <c r="H6" i="2"/>
  <c r="G6" i="2"/>
  <c r="AI4" i="2" s="1" a="1"/>
  <c r="AI4" i="2" s="1"/>
  <c r="F6" i="2"/>
  <c r="AI3" i="2" s="1" a="1"/>
  <c r="AI3" i="2" s="1"/>
  <c r="E6" i="2"/>
  <c r="AI2" i="2" s="1" a="1"/>
  <c r="AI2" i="2" s="1"/>
  <c r="AH16" i="2" a="1"/>
  <c r="AH16" i="2" s="1"/>
  <c r="AD126" i="2" s="1"/>
  <c r="AH15" i="2" a="1"/>
  <c r="AH15" i="2" s="1"/>
  <c r="AD125" i="2" s="1"/>
  <c r="AH13" i="2" a="1"/>
  <c r="AH13" i="2" s="1"/>
  <c r="AH12" i="2" a="1"/>
  <c r="AH12" i="2" s="1"/>
  <c r="AH11" i="2" a="1"/>
  <c r="AH11" i="2" s="1"/>
  <c r="AH10" i="2" a="1"/>
  <c r="AH10" i="2" s="1"/>
  <c r="AH9" i="2" a="1"/>
  <c r="AH9" i="2" s="1"/>
  <c r="AH8" i="2" a="1"/>
  <c r="AH8" i="2" s="1"/>
  <c r="AH7" i="2" a="1"/>
  <c r="AH7" i="2" s="1"/>
  <c r="AH6" i="2" a="1"/>
  <c r="AH6" i="2" s="1"/>
  <c r="AH4" i="2" a="1"/>
  <c r="AH4" i="2" s="1"/>
  <c r="AH3" i="2" a="1"/>
  <c r="AH3" i="2" s="1"/>
  <c r="AH2" i="2" a="1"/>
  <c r="AH2" i="2" s="1"/>
  <c r="S5" i="2" a="1"/>
  <c r="S5" i="2" s="1"/>
  <c r="AG16" i="2" s="1" a="1"/>
  <c r="AG16" i="2" s="1"/>
  <c r="AD105" i="2" s="1"/>
  <c r="R5" i="2" a="1"/>
  <c r="R5" i="2" s="1"/>
  <c r="AG15" i="2" s="1" a="1"/>
  <c r="AG15" i="2" s="1"/>
  <c r="AD104" i="2" s="1"/>
  <c r="P5" i="2"/>
  <c r="AG13" i="2" s="1" a="1"/>
  <c r="AG13" i="2" s="1"/>
  <c r="O5" i="2"/>
  <c r="AG12" i="2" s="1" a="1"/>
  <c r="AG12" i="2" s="1"/>
  <c r="N5" i="2"/>
  <c r="AG11" i="2" s="1" a="1"/>
  <c r="AG11" i="2" s="1"/>
  <c r="M5" i="2"/>
  <c r="AG10" i="2" s="1" a="1"/>
  <c r="AG10" i="2" s="1"/>
  <c r="L5" i="2"/>
  <c r="AG9" i="2" s="1" a="1"/>
  <c r="AG9" i="2" s="1"/>
  <c r="K5" i="2"/>
  <c r="AG8" i="2" s="1" a="1"/>
  <c r="AG8" i="2" s="1"/>
  <c r="J5" i="2"/>
  <c r="AG7" i="2" s="1" a="1"/>
  <c r="AG7" i="2" s="1"/>
  <c r="I5" i="2"/>
  <c r="AG6" i="2" s="1" a="1"/>
  <c r="AG6" i="2" s="1"/>
  <c r="H5" i="2"/>
  <c r="G5" i="2"/>
  <c r="AG4" i="2" s="1" a="1"/>
  <c r="AG4" i="2" s="1"/>
  <c r="F5" i="2"/>
  <c r="AG3" i="2" s="1" a="1"/>
  <c r="AG3" i="2" s="1"/>
  <c r="E5" i="2"/>
  <c r="AG2" i="2" s="1" a="1"/>
  <c r="AG2" i="2" s="1"/>
  <c r="AF16" i="2" a="1"/>
  <c r="AF16" i="2" s="1"/>
  <c r="AD84" i="2" s="1"/>
  <c r="AF15" i="2" a="1"/>
  <c r="AF15" i="2" s="1"/>
  <c r="AD83" i="2" s="1"/>
  <c r="AF13" i="2" a="1"/>
  <c r="AF13" i="2" s="1"/>
  <c r="AF12" i="2" a="1"/>
  <c r="AF12" i="2" s="1"/>
  <c r="AF11" i="2" a="1"/>
  <c r="AF11" i="2" s="1"/>
  <c r="AF10" i="2" a="1"/>
  <c r="AF10" i="2" s="1"/>
  <c r="AF9" i="2" a="1"/>
  <c r="AF9" i="2" s="1"/>
  <c r="AF8" i="2" a="1"/>
  <c r="AF8" i="2" s="1"/>
  <c r="AF7" i="2" a="1"/>
  <c r="AF7" i="2" s="1"/>
  <c r="AF6" i="2" a="1"/>
  <c r="AF6" i="2" s="1"/>
  <c r="AF4" i="2" a="1"/>
  <c r="AF4" i="2" s="1"/>
  <c r="AF3" i="2" a="1"/>
  <c r="AF3" i="2" s="1"/>
  <c r="AF2" i="2" a="1"/>
  <c r="AF2" i="2" s="1"/>
  <c r="S4" i="2" a="1"/>
  <c r="S4" i="2" s="1"/>
  <c r="AE16" i="2" s="1" a="1"/>
  <c r="AE16" i="2" s="1"/>
  <c r="AD63" i="2" s="1"/>
  <c r="R4" i="2" a="1"/>
  <c r="R4" i="2" s="1"/>
  <c r="AE15" i="2" s="1" a="1"/>
  <c r="AE15" i="2" s="1"/>
  <c r="AD62" i="2" s="1"/>
  <c r="P4" i="2"/>
  <c r="AE13" i="2" s="1" a="1"/>
  <c r="AE13" i="2" s="1"/>
  <c r="O4" i="2"/>
  <c r="AE12" i="2" s="1" a="1"/>
  <c r="AE12" i="2" s="1"/>
  <c r="N4" i="2"/>
  <c r="AE11" i="2" s="1" a="1"/>
  <c r="AE11" i="2" s="1"/>
  <c r="M4" i="2"/>
  <c r="AE10" i="2" s="1" a="1"/>
  <c r="AE10" i="2" s="1"/>
  <c r="L4" i="2"/>
  <c r="AE9" i="2" s="1" a="1"/>
  <c r="AE9" i="2" s="1"/>
  <c r="K4" i="2"/>
  <c r="AE8" i="2" s="1" a="1"/>
  <c r="AE8" i="2" s="1"/>
  <c r="J4" i="2"/>
  <c r="AE7" i="2" s="1" a="1"/>
  <c r="AE7" i="2" s="1"/>
  <c r="I4" i="2"/>
  <c r="AE6" i="2" s="1" a="1"/>
  <c r="AE6" i="2" s="1"/>
  <c r="H4" i="2"/>
  <c r="G4" i="2"/>
  <c r="AE4" i="2" s="1" a="1"/>
  <c r="AE4" i="2" s="1"/>
  <c r="F4" i="2"/>
  <c r="AE3" i="2" s="1" a="1"/>
  <c r="AE3" i="2" s="1"/>
  <c r="E4" i="2"/>
  <c r="AE2" i="2" s="1" a="1"/>
  <c r="AE2" i="2" s="1"/>
  <c r="S3" i="2" a="1"/>
  <c r="S3" i="2" s="1"/>
  <c r="AD16" i="2" s="1" a="1"/>
  <c r="AD16" i="2" s="1"/>
  <c r="AD42" i="2" s="1"/>
  <c r="R3" i="2" a="1"/>
  <c r="R3" i="2" s="1"/>
  <c r="AD15" i="2" s="1" a="1"/>
  <c r="AD15" i="2" s="1"/>
  <c r="AD41" i="2" s="1"/>
  <c r="P3" i="2"/>
  <c r="AD13" i="2" s="1" a="1"/>
  <c r="AD13" i="2" s="1"/>
  <c r="O3" i="2"/>
  <c r="AD12" i="2" s="1" a="1"/>
  <c r="AD12" i="2" s="1"/>
  <c r="N3" i="2"/>
  <c r="AD11" i="2" s="1" a="1"/>
  <c r="AD11" i="2" s="1"/>
  <c r="M3" i="2"/>
  <c r="AD10" i="2" s="1" a="1"/>
  <c r="AD10" i="2" s="1"/>
  <c r="L3" i="2"/>
  <c r="AD9" i="2" s="1" a="1"/>
  <c r="AD9" i="2" s="1"/>
  <c r="K3" i="2"/>
  <c r="AD8" i="2" s="1" a="1"/>
  <c r="AD8" i="2" s="1"/>
  <c r="J3" i="2"/>
  <c r="AD7" i="2" s="1" a="1"/>
  <c r="AD7" i="2" s="1"/>
  <c r="I3" i="2"/>
  <c r="AD6" i="2" s="1" a="1"/>
  <c r="AD6" i="2" s="1"/>
  <c r="H3" i="2"/>
  <c r="G3" i="2"/>
  <c r="AD4" i="2" s="1" a="1"/>
  <c r="AD4" i="2" s="1"/>
  <c r="F3" i="2"/>
  <c r="AD3" i="2" s="1" a="1"/>
  <c r="AD3" i="2" s="1"/>
  <c r="E3" i="2"/>
  <c r="AD2" i="2" s="1" a="1"/>
  <c r="AD2" i="2" s="1"/>
  <c r="AD34" i="2" s="1"/>
  <c r="AD77" i="2" l="1"/>
  <c r="AD71" i="2"/>
  <c r="AD101" i="2"/>
  <c r="AD95" i="2"/>
  <c r="AD158" i="2"/>
  <c r="AD164" i="2"/>
  <c r="AD203" i="2"/>
  <c r="AD197" i="2"/>
  <c r="AD221" i="2"/>
  <c r="AD227" i="2"/>
  <c r="AD240" i="2"/>
  <c r="AD246" i="2"/>
  <c r="AD260" i="2"/>
  <c r="AD266" i="2"/>
  <c r="AD270" i="2"/>
  <c r="AD264" i="2"/>
  <c r="AD290" i="2"/>
  <c r="AD284" i="2"/>
  <c r="AD309" i="2"/>
  <c r="AD303" i="2"/>
  <c r="AD328" i="2"/>
  <c r="AD322" i="2"/>
  <c r="AD326" i="2"/>
  <c r="AD332" i="2"/>
  <c r="AD345" i="2"/>
  <c r="AD351" i="2"/>
  <c r="AD364" i="2"/>
  <c r="AD370" i="2"/>
  <c r="AD368" i="2"/>
  <c r="AD374" i="2"/>
  <c r="AD387" i="2"/>
  <c r="AD393" i="2"/>
  <c r="AD406" i="2"/>
  <c r="AD412" i="2"/>
  <c r="AD416" i="2"/>
  <c r="AD410" i="2"/>
  <c r="AD435" i="2"/>
  <c r="AD429" i="2"/>
  <c r="AD448" i="2"/>
  <c r="AD454" i="2"/>
  <c r="AD459" i="2"/>
  <c r="AD453" i="2"/>
  <c r="AD491" i="2"/>
  <c r="AD497" i="2"/>
  <c r="AD495" i="2"/>
  <c r="AD501" i="2"/>
  <c r="AD533" i="2"/>
  <c r="AD539" i="2"/>
  <c r="AD537" i="2"/>
  <c r="AD543" i="2"/>
  <c r="AD581" i="2"/>
  <c r="AD575" i="2"/>
  <c r="AD585" i="2"/>
  <c r="AD579" i="2"/>
  <c r="AD617" i="2"/>
  <c r="AD623" i="2"/>
  <c r="AD627" i="2"/>
  <c r="AD621" i="2"/>
  <c r="AD665" i="2"/>
  <c r="AD659" i="2"/>
  <c r="AD685" i="2"/>
  <c r="AD679" i="2"/>
  <c r="AD683" i="2"/>
  <c r="AD689" i="2"/>
  <c r="AD702" i="2"/>
  <c r="AD708" i="2"/>
  <c r="AD722" i="2"/>
  <c r="AD728" i="2"/>
  <c r="AD732" i="2"/>
  <c r="AD726" i="2"/>
  <c r="AD746" i="2"/>
  <c r="AD752" i="2"/>
  <c r="AD765" i="2"/>
  <c r="AD771" i="2"/>
  <c r="AD790" i="2"/>
  <c r="AD784" i="2"/>
  <c r="AD789" i="2"/>
  <c r="AD795" i="2"/>
  <c r="AD827" i="2"/>
  <c r="AD833" i="2"/>
  <c r="AD853" i="2"/>
  <c r="AD847" i="2"/>
  <c r="AD858" i="2"/>
  <c r="AD852" i="2"/>
  <c r="AD890" i="2"/>
  <c r="AD896" i="2"/>
  <c r="AD894" i="2"/>
  <c r="AD900" i="2"/>
  <c r="AD932" i="2"/>
  <c r="AD938" i="2"/>
  <c r="AD942" i="2"/>
  <c r="AD936" i="2"/>
  <c r="AD974" i="2"/>
  <c r="AD980" i="2"/>
  <c r="AD978" i="2"/>
  <c r="AD984" i="2"/>
  <c r="AD1016" i="2"/>
  <c r="AD1022" i="2"/>
  <c r="AD1020" i="2"/>
  <c r="AD1026" i="2"/>
  <c r="AD1058" i="2"/>
  <c r="AD1064" i="2"/>
  <c r="AD1084" i="2"/>
  <c r="AD1078" i="2"/>
  <c r="AD1082" i="2"/>
  <c r="AD1088" i="2"/>
  <c r="AD1101" i="2"/>
  <c r="AD1107" i="2"/>
  <c r="AD1126" i="2"/>
  <c r="AD1120" i="2"/>
  <c r="AD1130" i="2"/>
  <c r="AD1124" i="2"/>
  <c r="AD1149" i="2"/>
  <c r="AD1143" i="2"/>
  <c r="AD1162" i="2"/>
  <c r="AD1168" i="2"/>
  <c r="AD1166" i="2"/>
  <c r="AD1172" i="2"/>
  <c r="AD1191" i="2"/>
  <c r="AD1185" i="2"/>
  <c r="AD1210" i="2"/>
  <c r="AD1204" i="2"/>
  <c r="AD1214" i="2"/>
  <c r="AD1208" i="2"/>
  <c r="AD1227" i="2"/>
  <c r="AD1233" i="2"/>
  <c r="AD1253" i="2"/>
  <c r="AD1247" i="2"/>
  <c r="AD1251" i="2"/>
  <c r="AD1257" i="2"/>
  <c r="AD1289" i="2"/>
  <c r="AD1295" i="2"/>
  <c r="AD1293" i="2"/>
  <c r="AD1299" i="2"/>
  <c r="AD1331" i="2"/>
  <c r="AD1337" i="2"/>
  <c r="AD1341" i="2"/>
  <c r="AD1335" i="2"/>
  <c r="AD1379" i="2"/>
  <c r="AD1373" i="2"/>
  <c r="AD1383" i="2"/>
  <c r="AD1377" i="2"/>
  <c r="AD1421" i="2"/>
  <c r="AD1415" i="2"/>
  <c r="AD1419" i="2"/>
  <c r="AD1425" i="2"/>
  <c r="AD1463" i="2"/>
  <c r="AD1457" i="2"/>
  <c r="AD1467" i="2"/>
  <c r="AD1461" i="2"/>
  <c r="AD1505" i="2"/>
  <c r="AD1499" i="2"/>
  <c r="AD1509" i="2"/>
  <c r="AD1503" i="2"/>
  <c r="AD1547" i="2"/>
  <c r="AD1541" i="2"/>
  <c r="AD1545" i="2"/>
  <c r="AD1551" i="2"/>
  <c r="AD1589" i="2"/>
  <c r="AD1583" i="2"/>
  <c r="AD1593" i="2"/>
  <c r="AD1587" i="2"/>
  <c r="AD1613" i="2"/>
  <c r="AD1607" i="2"/>
  <c r="AD1632" i="2"/>
  <c r="AD1626" i="2"/>
  <c r="AD1645" i="2"/>
  <c r="AD1651" i="2"/>
  <c r="AD1656" i="2"/>
  <c r="AD1650" i="2"/>
  <c r="AD1688" i="2"/>
  <c r="AD1694" i="2"/>
  <c r="AD1692" i="2"/>
  <c r="AD1698" i="2"/>
  <c r="AD1730" i="2"/>
  <c r="AD1736" i="2"/>
  <c r="AD1734" i="2"/>
  <c r="AD1740" i="2"/>
  <c r="AD1754" i="2"/>
  <c r="AD1760" i="2"/>
  <c r="AD1779" i="2"/>
  <c r="AD1773" i="2"/>
  <c r="AD1798" i="2"/>
  <c r="AD1792" i="2"/>
  <c r="AD1802" i="2"/>
  <c r="AD1796" i="2"/>
  <c r="AD1821" i="2"/>
  <c r="AD1815" i="2"/>
  <c r="AD1834" i="2"/>
  <c r="AD1840" i="2"/>
  <c r="AD1844" i="2"/>
  <c r="AD1838" i="2"/>
  <c r="AD1857" i="2"/>
  <c r="AD1863" i="2"/>
  <c r="AD1883" i="2"/>
  <c r="AD1877" i="2"/>
  <c r="AD1881" i="2"/>
  <c r="AD1887" i="2"/>
  <c r="AD1901" i="2"/>
  <c r="AD1907" i="2"/>
  <c r="AD1926" i="2"/>
  <c r="AD1920" i="2"/>
  <c r="AD1946" i="2"/>
  <c r="AD1940" i="2"/>
  <c r="AD1944" i="2"/>
  <c r="AD1950" i="2"/>
  <c r="AD1970" i="2"/>
  <c r="AD1964" i="2"/>
  <c r="AD1983" i="2"/>
  <c r="AD1989" i="2"/>
  <c r="AD2002" i="2"/>
  <c r="AD2008" i="2"/>
  <c r="AD2007" i="2"/>
  <c r="AD2013" i="2"/>
  <c r="AD2045" i="2"/>
  <c r="AD2051" i="2"/>
  <c r="AD2065" i="2"/>
  <c r="AD2071" i="2"/>
  <c r="AD2075" i="2"/>
  <c r="AD2069" i="2"/>
  <c r="AD2088" i="2"/>
  <c r="AD2094" i="2"/>
  <c r="AD2108" i="2"/>
  <c r="AD2114" i="2"/>
  <c r="AD2134" i="2"/>
  <c r="AD2128" i="2"/>
  <c r="AD2132" i="2"/>
  <c r="AD2138" i="2"/>
  <c r="AD2157" i="2"/>
  <c r="AD2151" i="2"/>
  <c r="AD2171" i="2"/>
  <c r="AD2177" i="2"/>
  <c r="AD2181" i="2"/>
  <c r="AD2175" i="2"/>
  <c r="AD2201" i="2"/>
  <c r="AD2195" i="2"/>
  <c r="AD2214" i="2"/>
  <c r="AD2220" i="2"/>
  <c r="AD2239" i="2"/>
  <c r="AD2233" i="2"/>
  <c r="AD2243" i="2"/>
  <c r="AD2237" i="2"/>
  <c r="AD2262" i="2"/>
  <c r="AD2256" i="2"/>
  <c r="AD2276" i="2"/>
  <c r="AD2282" i="2"/>
  <c r="AD2286" i="2"/>
  <c r="AD2280" i="2"/>
  <c r="AD2300" i="2"/>
  <c r="AD2306" i="2"/>
  <c r="AD2319" i="2"/>
  <c r="AD2325" i="2"/>
  <c r="AD2345" i="2"/>
  <c r="AD2339" i="2"/>
  <c r="AD2343" i="2"/>
  <c r="AD2349" i="2"/>
  <c r="AD2363" i="2"/>
  <c r="AD2369" i="2"/>
  <c r="AD2382" i="2"/>
  <c r="AD2388" i="2"/>
  <c r="AD2401" i="2"/>
  <c r="AD2407" i="2"/>
  <c r="AD2406" i="2"/>
  <c r="AD2412" i="2"/>
  <c r="AD2450" i="2"/>
  <c r="AD2444" i="2"/>
  <c r="AD2448" i="2"/>
  <c r="AD2454" i="2"/>
  <c r="AD2492" i="2"/>
  <c r="AD2486" i="2"/>
  <c r="AD2490" i="2"/>
  <c r="AD2496" i="2"/>
  <c r="AD2528" i="2"/>
  <c r="AD2534" i="2"/>
  <c r="AD2538" i="2"/>
  <c r="AD2532" i="2"/>
  <c r="AD2576" i="2"/>
  <c r="AD2570" i="2"/>
  <c r="AD2590" i="2"/>
  <c r="AD2596" i="2"/>
  <c r="AD2594" i="2"/>
  <c r="AD2600" i="2"/>
  <c r="AD2613" i="2"/>
  <c r="AD2619" i="2"/>
  <c r="AD2633" i="2"/>
  <c r="AD2639" i="2"/>
  <c r="AD2637" i="2"/>
  <c r="AD2643" i="2"/>
  <c r="AD2657" i="2"/>
  <c r="AD2663" i="2"/>
  <c r="AD2676" i="2"/>
  <c r="AD2682" i="2"/>
  <c r="AD2701" i="2"/>
  <c r="AD2695" i="2"/>
  <c r="AD2699" i="2"/>
  <c r="AD2705" i="2"/>
  <c r="AD2718" i="2"/>
  <c r="AD2724" i="2"/>
  <c r="AD2744" i="2"/>
  <c r="AD2738" i="2"/>
  <c r="AD2748" i="2"/>
  <c r="AD2742" i="2"/>
  <c r="AD2786" i="2"/>
  <c r="AD2780" i="2"/>
  <c r="AD2790" i="2"/>
  <c r="AD2784" i="2"/>
  <c r="AD2828" i="2"/>
  <c r="AD2822" i="2"/>
  <c r="AD2826" i="2"/>
  <c r="AD2832" i="2"/>
  <c r="AD2852" i="2"/>
  <c r="AD2846" i="2"/>
  <c r="AD2865" i="2"/>
  <c r="AD2871" i="2"/>
  <c r="AD2890" i="2"/>
  <c r="AD2884" i="2"/>
  <c r="AD2894" i="2"/>
  <c r="AD2888" i="2"/>
  <c r="AD2907" i="2"/>
  <c r="AD2913" i="2"/>
  <c r="AD2932" i="2"/>
  <c r="AD2926" i="2"/>
  <c r="AD2930" i="2"/>
  <c r="AD2936" i="2"/>
  <c r="AD2955" i="2"/>
  <c r="AD2949" i="2"/>
  <c r="AD2974" i="2"/>
  <c r="AD2968" i="2"/>
  <c r="AD2978" i="2"/>
  <c r="AD2972" i="2"/>
  <c r="AD2997" i="2"/>
  <c r="AD2991" i="2"/>
  <c r="AD3010" i="2"/>
  <c r="AD3016" i="2"/>
  <c r="AD3014" i="2"/>
  <c r="AD3020" i="2"/>
  <c r="AD4047" i="2"/>
  <c r="AD4041" i="2"/>
  <c r="AD3033" i="2"/>
  <c r="AD3039" i="2"/>
  <c r="AD4061" i="2"/>
  <c r="AD4067" i="2"/>
  <c r="AD3059" i="2"/>
  <c r="AD3053" i="2"/>
  <c r="AD4065" i="2"/>
  <c r="AD3063" i="2"/>
  <c r="AD4071" i="2"/>
  <c r="AD3057" i="2"/>
  <c r="AD4074" i="2"/>
  <c r="AD3066" i="2"/>
  <c r="AD4109" i="2"/>
  <c r="AD4103" i="2"/>
  <c r="AD3095" i="2"/>
  <c r="AD3101" i="2"/>
  <c r="AD4113" i="2"/>
  <c r="AD3099" i="2"/>
  <c r="AD4107" i="2"/>
  <c r="AD3105" i="2"/>
  <c r="AD4116" i="2"/>
  <c r="AD3108" i="2"/>
  <c r="AD4145" i="2"/>
  <c r="AD3143" i="2"/>
  <c r="AD3137" i="2"/>
  <c r="AD4151" i="2"/>
  <c r="AD3141" i="2"/>
  <c r="AD3147" i="2"/>
  <c r="AD4155" i="2"/>
  <c r="AD4149" i="2"/>
  <c r="AD4158" i="2"/>
  <c r="AD3150" i="2"/>
  <c r="AD4193" i="2"/>
  <c r="AD4187" i="2"/>
  <c r="AD3179" i="2"/>
  <c r="AD3185" i="2"/>
  <c r="AD4207" i="2"/>
  <c r="AD3205" i="2"/>
  <c r="AD4213" i="2"/>
  <c r="AD3199" i="2"/>
  <c r="AD4217" i="2"/>
  <c r="AD3203" i="2"/>
  <c r="AD3209" i="2"/>
  <c r="AD4211" i="2"/>
  <c r="AD3212" i="2"/>
  <c r="AD4220" i="2"/>
  <c r="AD4230" i="2"/>
  <c r="AD3228" i="2"/>
  <c r="AD3222" i="2"/>
  <c r="AD4236" i="2"/>
  <c r="AD3241" i="2"/>
  <c r="AD3247" i="2"/>
  <c r="AD4255" i="2"/>
  <c r="AD4249" i="2"/>
  <c r="AD4253" i="2"/>
  <c r="AD3251" i="2"/>
  <c r="AD3245" i="2"/>
  <c r="AD4259" i="2"/>
  <c r="AD3254" i="2"/>
  <c r="AD4262" i="2"/>
  <c r="AD4278" i="2"/>
  <c r="AD3270" i="2"/>
  <c r="AD4272" i="2"/>
  <c r="AD3264" i="2"/>
  <c r="AD4297" i="2"/>
  <c r="AD3289" i="2"/>
  <c r="AD3283" i="2"/>
  <c r="AD4291" i="2"/>
  <c r="AD3294" i="2"/>
  <c r="AD4302" i="2"/>
  <c r="AD4296" i="2"/>
  <c r="AD3288" i="2"/>
  <c r="AD4305" i="2"/>
  <c r="AD3297" i="2"/>
  <c r="AD4334" i="2"/>
  <c r="AD3326" i="2"/>
  <c r="AD3332" i="2"/>
  <c r="AD4340" i="2"/>
  <c r="AD4354" i="2"/>
  <c r="AD4360" i="2"/>
  <c r="AD3346" i="2"/>
  <c r="AD3352" i="2"/>
  <c r="AD3356" i="2"/>
  <c r="AD3350" i="2"/>
  <c r="AD4358" i="2"/>
  <c r="AD4364" i="2"/>
  <c r="AD3359" i="2"/>
  <c r="AD4367" i="2"/>
  <c r="AD4383" i="2"/>
  <c r="AD4377" i="2"/>
  <c r="AD3369" i="2"/>
  <c r="AD3375" i="2"/>
  <c r="AD4402" i="2"/>
  <c r="AD3388" i="2"/>
  <c r="AD3394" i="2"/>
  <c r="AD4396" i="2"/>
  <c r="AD4406" i="2"/>
  <c r="AD4400" i="2"/>
  <c r="AD3398" i="2"/>
  <c r="AD3392" i="2"/>
  <c r="AD4409" i="2"/>
  <c r="AD3401" i="2"/>
  <c r="AD4419" i="2"/>
  <c r="AD4425" i="2"/>
  <c r="AD3411" i="2"/>
  <c r="AD3417" i="2"/>
  <c r="AD4445" i="2"/>
  <c r="AD3437" i="2"/>
  <c r="AD3431" i="2"/>
  <c r="AD4439" i="2"/>
  <c r="AD3441" i="2"/>
  <c r="AD3435" i="2"/>
  <c r="AD4443" i="2"/>
  <c r="AD4449" i="2"/>
  <c r="AD3444" i="2"/>
  <c r="AD4452" i="2"/>
  <c r="AD4469" i="2"/>
  <c r="AD3455" i="2"/>
  <c r="AD4463" i="2"/>
  <c r="AD3461" i="2"/>
  <c r="AD3464" i="2"/>
  <c r="AD4472" i="2"/>
  <c r="AD4482" i="2"/>
  <c r="AD3474" i="2"/>
  <c r="AD4488" i="2"/>
  <c r="AD3480" i="2"/>
  <c r="AD3500" i="2"/>
  <c r="AD4502" i="2"/>
  <c r="AD3494" i="2"/>
  <c r="AD4508" i="2"/>
  <c r="AD3514" i="2"/>
  <c r="AD4528" i="2"/>
  <c r="AD3520" i="2"/>
  <c r="AD4522" i="2"/>
  <c r="AD3518" i="2"/>
  <c r="AD4526" i="2"/>
  <c r="AD3524" i="2"/>
  <c r="AD4532" i="2"/>
  <c r="AD3527" i="2"/>
  <c r="AD4535" i="2"/>
  <c r="AD3537" i="2"/>
  <c r="AD3543" i="2"/>
  <c r="AD4551" i="2"/>
  <c r="AD4545" i="2"/>
  <c r="AD3562" i="2"/>
  <c r="AD4570" i="2"/>
  <c r="AD3556" i="2"/>
  <c r="AD4564" i="2"/>
  <c r="AD3566" i="2"/>
  <c r="AD4574" i="2"/>
  <c r="AD3560" i="2"/>
  <c r="AD4568" i="2"/>
  <c r="AD4577" i="2"/>
  <c r="AD3569" i="2"/>
  <c r="AD4587" i="2"/>
  <c r="AD4593" i="2"/>
  <c r="AD3579" i="2"/>
  <c r="AD3585" i="2"/>
  <c r="AD3604" i="2"/>
  <c r="AD4606" i="2"/>
  <c r="AD3598" i="2"/>
  <c r="AD4612" i="2"/>
  <c r="AD4610" i="2"/>
  <c r="AD3608" i="2"/>
  <c r="AD3602" i="2"/>
  <c r="AD4616" i="2"/>
  <c r="AD4619" i="2"/>
  <c r="AD3611" i="2"/>
  <c r="AD3627" i="2"/>
  <c r="AD3621" i="2"/>
  <c r="AD4629" i="2"/>
  <c r="AD4635" i="2"/>
  <c r="AD3646" i="2"/>
  <c r="AD3640" i="2"/>
  <c r="AD4648" i="2"/>
  <c r="AD4654" i="2"/>
  <c r="AD3644" i="2"/>
  <c r="AD3650" i="2"/>
  <c r="AD4652" i="2"/>
  <c r="AD4658" i="2"/>
  <c r="AD3653" i="2"/>
  <c r="AD4661" i="2"/>
  <c r="AD3669" i="2"/>
  <c r="AD3663" i="2"/>
  <c r="AD4671" i="2"/>
  <c r="AD4677" i="2"/>
  <c r="AD3682" i="2"/>
  <c r="AD3688" i="2"/>
  <c r="AD4690" i="2"/>
  <c r="AD4696" i="2"/>
  <c r="AD3692" i="2"/>
  <c r="AD3686" i="2"/>
  <c r="AD4694" i="2"/>
  <c r="AD4700" i="2"/>
  <c r="AD3695" i="2"/>
  <c r="AD4703" i="2"/>
  <c r="AD3711" i="2"/>
  <c r="AD3705" i="2"/>
  <c r="AD4719" i="2"/>
  <c r="AD4713" i="2"/>
  <c r="AD3724" i="2"/>
  <c r="AD3730" i="2"/>
  <c r="AD4732" i="2"/>
  <c r="AD4738" i="2"/>
  <c r="AD3734" i="2"/>
  <c r="AD3728" i="2"/>
  <c r="AD4736" i="2"/>
  <c r="AD4742" i="2"/>
  <c r="AD3737" i="2"/>
  <c r="AD4745" i="2"/>
  <c r="AD3753" i="2"/>
  <c r="AD3747" i="2"/>
  <c r="AD4755" i="2"/>
  <c r="AD4761" i="2"/>
  <c r="AD3766" i="2"/>
  <c r="AD3772" i="2"/>
  <c r="AD4774" i="2"/>
  <c r="AD4780" i="2"/>
  <c r="AD3770" i="2"/>
  <c r="AD3776" i="2"/>
  <c r="AD4778" i="2"/>
  <c r="AD4784" i="2"/>
  <c r="AD3779" i="2"/>
  <c r="AD4787" i="2"/>
  <c r="AD3789" i="2"/>
  <c r="AD3795" i="2"/>
  <c r="AD4803" i="2"/>
  <c r="AD4797" i="2"/>
  <c r="AD3814" i="2"/>
  <c r="AD3808" i="2"/>
  <c r="AD4816" i="2"/>
  <c r="AD4822" i="2"/>
  <c r="AD3818" i="2"/>
  <c r="AD3812" i="2"/>
  <c r="AD4820" i="2"/>
  <c r="AD4826" i="2"/>
  <c r="AD3821" i="2"/>
  <c r="AD4829" i="2"/>
  <c r="AD3837" i="2"/>
  <c r="AD3831" i="2"/>
  <c r="AD4839" i="2"/>
  <c r="AD4845" i="2"/>
  <c r="AD3850" i="2"/>
  <c r="AD3856" i="2"/>
  <c r="AD4858" i="2"/>
  <c r="AD4864" i="2"/>
  <c r="AD3860" i="2"/>
  <c r="AD3854" i="2"/>
  <c r="AD4862" i="2"/>
  <c r="AD4868" i="2"/>
  <c r="AD3863" i="2"/>
  <c r="AD4871" i="2"/>
  <c r="AD3873" i="2"/>
  <c r="AD3879" i="2"/>
  <c r="AD4887" i="2"/>
  <c r="AD4881" i="2"/>
  <c r="AD3898" i="2"/>
  <c r="AD3892" i="2"/>
  <c r="AD4900" i="2"/>
  <c r="AD4906" i="2"/>
  <c r="AD3902" i="2"/>
  <c r="AD3896" i="2"/>
  <c r="AD4904" i="2"/>
  <c r="AD4910" i="2"/>
  <c r="AD3905" i="2"/>
  <c r="AD4913" i="2"/>
  <c r="AD4929" i="2"/>
  <c r="AD4923" i="2"/>
  <c r="AD3921" i="2"/>
  <c r="AD3915" i="2"/>
  <c r="AD3934" i="2"/>
  <c r="AD4948" i="2"/>
  <c r="AD4942" i="2"/>
  <c r="AD3940" i="2"/>
  <c r="AD4946" i="2"/>
  <c r="AD4952" i="2"/>
  <c r="AD3938" i="2"/>
  <c r="AD3944" i="2"/>
  <c r="AD3947" i="2"/>
  <c r="AD4955" i="2"/>
  <c r="AD4965" i="2"/>
  <c r="AD4971" i="2"/>
  <c r="AD3963" i="2"/>
  <c r="AD3957" i="2"/>
  <c r="AD4990" i="2"/>
  <c r="AD4984" i="2"/>
  <c r="AD3982" i="2"/>
  <c r="AD3976" i="2"/>
  <c r="AD4988" i="2"/>
  <c r="AD3980" i="2"/>
  <c r="AD3986" i="2"/>
  <c r="AD4994" i="2"/>
  <c r="AD3989" i="2"/>
  <c r="AD4997" i="2"/>
  <c r="AD5007" i="2"/>
  <c r="AD4005" i="2"/>
  <c r="AD3999" i="2"/>
  <c r="AD5013" i="2"/>
  <c r="AD4018" i="2"/>
  <c r="AD5032" i="2"/>
  <c r="AD4024" i="2"/>
  <c r="AD5026" i="2"/>
  <c r="AD4022" i="2"/>
  <c r="AD4028" i="2"/>
  <c r="AD5030" i="2"/>
  <c r="AD5036" i="2"/>
  <c r="AD4031" i="2"/>
  <c r="AD5039" i="2"/>
  <c r="AD33" i="2"/>
  <c r="AD39" i="2"/>
  <c r="AD91" i="2"/>
  <c r="AD97" i="2"/>
  <c r="AD120" i="2"/>
  <c r="AD114" i="2"/>
  <c r="AD144" i="2"/>
  <c r="AD138" i="2"/>
  <c r="AD177" i="2"/>
  <c r="AD183" i="2"/>
  <c r="AD201" i="2"/>
  <c r="AD207" i="2"/>
  <c r="AD30" i="2"/>
  <c r="AD36" i="2"/>
  <c r="AD49" i="2"/>
  <c r="AD55" i="2"/>
  <c r="AD53" i="2"/>
  <c r="AD59" i="2"/>
  <c r="AD72" i="2"/>
  <c r="AD78" i="2"/>
  <c r="AD92" i="2"/>
  <c r="AD98" i="2"/>
  <c r="AD96" i="2"/>
  <c r="AD102" i="2"/>
  <c r="AD122" i="2"/>
  <c r="AD116" i="2"/>
  <c r="AD135" i="2"/>
  <c r="AD141" i="2"/>
  <c r="AD160" i="2"/>
  <c r="AD154" i="2"/>
  <c r="AD165" i="2"/>
  <c r="AD159" i="2"/>
  <c r="AD179" i="2"/>
  <c r="AD185" i="2"/>
  <c r="AD204" i="2"/>
  <c r="AD198" i="2"/>
  <c r="AD223" i="2"/>
  <c r="AD217" i="2"/>
  <c r="AD222" i="2"/>
  <c r="AD228" i="2"/>
  <c r="AD248" i="2"/>
  <c r="AD242" i="2"/>
  <c r="AD267" i="2"/>
  <c r="AD261" i="2"/>
  <c r="AD286" i="2"/>
  <c r="AD280" i="2"/>
  <c r="AD285" i="2"/>
  <c r="AD291" i="2"/>
  <c r="AD329" i="2"/>
  <c r="AD323" i="2"/>
  <c r="AD333" i="2"/>
  <c r="AD327" i="2"/>
  <c r="AD365" i="2"/>
  <c r="AD371" i="2"/>
  <c r="AD369" i="2"/>
  <c r="AD375" i="2"/>
  <c r="AD395" i="2"/>
  <c r="AD389" i="2"/>
  <c r="AD407" i="2"/>
  <c r="AD413" i="2"/>
  <c r="AD411" i="2"/>
  <c r="AD417" i="2"/>
  <c r="AD455" i="2"/>
  <c r="AD449" i="2"/>
  <c r="AD475" i="2"/>
  <c r="AD469" i="2"/>
  <c r="AD473" i="2"/>
  <c r="AD479" i="2"/>
  <c r="AD498" i="2"/>
  <c r="AD492" i="2"/>
  <c r="AD517" i="2"/>
  <c r="AD511" i="2"/>
  <c r="AD515" i="2"/>
  <c r="AD521" i="2"/>
  <c r="AD534" i="2"/>
  <c r="AD540" i="2"/>
  <c r="AD553" i="2"/>
  <c r="AD559" i="2"/>
  <c r="AD563" i="2"/>
  <c r="AD557" i="2"/>
  <c r="AD582" i="2"/>
  <c r="AD576" i="2"/>
  <c r="AD595" i="2"/>
  <c r="AD601" i="2"/>
  <c r="AD599" i="2"/>
  <c r="AD605" i="2"/>
  <c r="AD624" i="2"/>
  <c r="AD618" i="2"/>
  <c r="AD643" i="2"/>
  <c r="AD637" i="2"/>
  <c r="AD647" i="2"/>
  <c r="AD641" i="2"/>
  <c r="AD660" i="2"/>
  <c r="AD666" i="2"/>
  <c r="AD686" i="2"/>
  <c r="AD680" i="2"/>
  <c r="AD690" i="2"/>
  <c r="AD684" i="2"/>
  <c r="AD704" i="2"/>
  <c r="AD710" i="2"/>
  <c r="AD729" i="2"/>
  <c r="AD723" i="2"/>
  <c r="AD742" i="2"/>
  <c r="AD748" i="2"/>
  <c r="AD753" i="2"/>
  <c r="AD747" i="2"/>
  <c r="AD785" i="2"/>
  <c r="AD791" i="2"/>
  <c r="AD805" i="2"/>
  <c r="AD811" i="2"/>
  <c r="AD815" i="2"/>
  <c r="AD809" i="2"/>
  <c r="AD828" i="2"/>
  <c r="AD834" i="2"/>
  <c r="AD854" i="2"/>
  <c r="AD848" i="2"/>
  <c r="AD874" i="2"/>
  <c r="AD868" i="2"/>
  <c r="AD878" i="2"/>
  <c r="AD872" i="2"/>
  <c r="AD891" i="2"/>
  <c r="AD897" i="2"/>
  <c r="AD916" i="2"/>
  <c r="AD910" i="2"/>
  <c r="AD920" i="2"/>
  <c r="AD914" i="2"/>
  <c r="AD933" i="2"/>
  <c r="AD939" i="2"/>
  <c r="AD952" i="2"/>
  <c r="AD958" i="2"/>
  <c r="AD962" i="2"/>
  <c r="AD956" i="2"/>
  <c r="AD975" i="2"/>
  <c r="AD981" i="2"/>
  <c r="AD1000" i="2"/>
  <c r="AD994" i="2"/>
  <c r="AD1004" i="2"/>
  <c r="AD998" i="2"/>
  <c r="AD1023" i="2"/>
  <c r="AD1017" i="2"/>
  <c r="AD1036" i="2"/>
  <c r="AD1042" i="2"/>
  <c r="AD1046" i="2"/>
  <c r="AD1040" i="2"/>
  <c r="AD1065" i="2"/>
  <c r="AD1059" i="2"/>
  <c r="AD1079" i="2"/>
  <c r="AD1085" i="2"/>
  <c r="AD1083" i="2"/>
  <c r="AD1089" i="2"/>
  <c r="AD1127" i="2"/>
  <c r="AD1121" i="2"/>
  <c r="AD1131" i="2"/>
  <c r="AD1125" i="2"/>
  <c r="AD1163" i="2"/>
  <c r="AD1169" i="2"/>
  <c r="AD1173" i="2"/>
  <c r="AD1167" i="2"/>
  <c r="AD1205" i="2"/>
  <c r="AD1211" i="2"/>
  <c r="AD1215" i="2"/>
  <c r="AD1209" i="2"/>
  <c r="AD1229" i="2"/>
  <c r="AD1235" i="2"/>
  <c r="AD1254" i="2"/>
  <c r="AD1248" i="2"/>
  <c r="AD1267" i="2"/>
  <c r="AD1273" i="2"/>
  <c r="AD1277" i="2"/>
  <c r="AD1271" i="2"/>
  <c r="AD1290" i="2"/>
  <c r="AD1296" i="2"/>
  <c r="AD1315" i="2"/>
  <c r="AD1309" i="2"/>
  <c r="AD1313" i="2"/>
  <c r="AD1319" i="2"/>
  <c r="AD1338" i="2"/>
  <c r="AD1332" i="2"/>
  <c r="AD1357" i="2"/>
  <c r="AD1351" i="2"/>
  <c r="AD1355" i="2"/>
  <c r="AD1361" i="2"/>
  <c r="AD1374" i="2"/>
  <c r="AD1380" i="2"/>
  <c r="AD1393" i="2"/>
  <c r="AD1399" i="2"/>
  <c r="AD1397" i="2"/>
  <c r="AD1403" i="2"/>
  <c r="AD1422" i="2"/>
  <c r="AD1416" i="2"/>
  <c r="AD1435" i="2"/>
  <c r="AD1441" i="2"/>
  <c r="AD1439" i="2"/>
  <c r="AD1445" i="2"/>
  <c r="AD1464" i="2"/>
  <c r="AD1458" i="2"/>
  <c r="AD1483" i="2"/>
  <c r="AD1477" i="2"/>
  <c r="AD1487" i="2"/>
  <c r="AD1481" i="2"/>
  <c r="AD1500" i="2"/>
  <c r="AD1506" i="2"/>
  <c r="AD1525" i="2"/>
  <c r="AD1519" i="2"/>
  <c r="AD1529" i="2"/>
  <c r="AD1523" i="2"/>
  <c r="AD1542" i="2"/>
  <c r="AD1548" i="2"/>
  <c r="AD1561" i="2"/>
  <c r="AD1567" i="2"/>
  <c r="AD1565" i="2"/>
  <c r="AD1571" i="2"/>
  <c r="AD1590" i="2"/>
  <c r="AD1584" i="2"/>
  <c r="AD1609" i="2"/>
  <c r="AD1603" i="2"/>
  <c r="AD1608" i="2"/>
  <c r="AD1614" i="2"/>
  <c r="AD1646" i="2"/>
  <c r="AD1652" i="2"/>
  <c r="AD1666" i="2"/>
  <c r="AD1672" i="2"/>
  <c r="AD1676" i="2"/>
  <c r="AD1670" i="2"/>
  <c r="AD1689" i="2"/>
  <c r="AD1695" i="2"/>
  <c r="AD1708" i="2"/>
  <c r="AD1714" i="2"/>
  <c r="AD1718" i="2"/>
  <c r="AD1712" i="2"/>
  <c r="AD1737" i="2"/>
  <c r="AD1731" i="2"/>
  <c r="AD1750" i="2"/>
  <c r="AD1756" i="2"/>
  <c r="AD1755" i="2"/>
  <c r="AD1761" i="2"/>
  <c r="AD1793" i="2"/>
  <c r="AD1799" i="2"/>
  <c r="AD1797" i="2"/>
  <c r="AD1803" i="2"/>
  <c r="AD1835" i="2"/>
  <c r="AD1841" i="2"/>
  <c r="AD1845" i="2"/>
  <c r="AD1839" i="2"/>
  <c r="AD1865" i="2"/>
  <c r="AD1859" i="2"/>
  <c r="AD1878" i="2"/>
  <c r="AD1884" i="2"/>
  <c r="AD1903" i="2"/>
  <c r="AD1897" i="2"/>
  <c r="AD1908" i="2"/>
  <c r="AD1902" i="2"/>
  <c r="AD1922" i="2"/>
  <c r="AD1928" i="2"/>
  <c r="AD1941" i="2"/>
  <c r="AD1947" i="2"/>
  <c r="AD1966" i="2"/>
  <c r="AD1960" i="2"/>
  <c r="AD1965" i="2"/>
  <c r="AD1971" i="2"/>
  <c r="AD2009" i="2"/>
  <c r="AD2003" i="2"/>
  <c r="AD2029" i="2"/>
  <c r="AD2023" i="2"/>
  <c r="AD2027" i="2"/>
  <c r="AD2033" i="2"/>
  <c r="AD2046" i="2"/>
  <c r="AD2052" i="2"/>
  <c r="AD2066" i="2"/>
  <c r="AD2072" i="2"/>
  <c r="AD2070" i="2"/>
  <c r="AD2076" i="2"/>
  <c r="AD2096" i="2"/>
  <c r="AD2090" i="2"/>
  <c r="AD2109" i="2"/>
  <c r="AD2115" i="2"/>
  <c r="AD2135" i="2"/>
  <c r="AD2129" i="2"/>
  <c r="AD2139" i="2"/>
  <c r="AD2133" i="2"/>
  <c r="AD2159" i="2"/>
  <c r="AD2153" i="2"/>
  <c r="AD2178" i="2"/>
  <c r="AD2172" i="2"/>
  <c r="AD2191" i="2"/>
  <c r="AD2197" i="2"/>
  <c r="AD2196" i="2"/>
  <c r="AD2202" i="2"/>
  <c r="AD2234" i="2"/>
  <c r="AD2240" i="2"/>
  <c r="AD2244" i="2"/>
  <c r="AD2238" i="2"/>
  <c r="AD2258" i="2"/>
  <c r="AD2264" i="2"/>
  <c r="AD2283" i="2"/>
  <c r="AD2277" i="2"/>
  <c r="AD2302" i="2"/>
  <c r="AD2296" i="2"/>
  <c r="AD2301" i="2"/>
  <c r="AD2307" i="2"/>
  <c r="AD2327" i="2"/>
  <c r="AD2321" i="2"/>
  <c r="AD2346" i="2"/>
  <c r="AD2340" i="2"/>
  <c r="AD2359" i="2"/>
  <c r="AD2365" i="2"/>
  <c r="AD2370" i="2"/>
  <c r="AD2364" i="2"/>
  <c r="AD2402" i="2"/>
  <c r="AD2408" i="2"/>
  <c r="AD2428" i="2"/>
  <c r="AD2422" i="2"/>
  <c r="AD2426" i="2"/>
  <c r="AD2432" i="2"/>
  <c r="AD2445" i="2"/>
  <c r="AD2451" i="2"/>
  <c r="AD2464" i="2"/>
  <c r="AD2470" i="2"/>
  <c r="AD2468" i="2"/>
  <c r="AD2474" i="2"/>
  <c r="AD2487" i="2"/>
  <c r="AD2493" i="2"/>
  <c r="AD2506" i="2"/>
  <c r="AD2512" i="2"/>
  <c r="AD2510" i="2"/>
  <c r="AD2516" i="2"/>
  <c r="AD2535" i="2"/>
  <c r="AD2529" i="2"/>
  <c r="AD2548" i="2"/>
  <c r="AD2554" i="2"/>
  <c r="AD2552" i="2"/>
  <c r="AD2558" i="2"/>
  <c r="AD2571" i="2"/>
  <c r="AD2577" i="2"/>
  <c r="AD2597" i="2"/>
  <c r="AD2591" i="2"/>
  <c r="AD2601" i="2"/>
  <c r="AD2595" i="2"/>
  <c r="AD2621" i="2"/>
  <c r="AD2615" i="2"/>
  <c r="AD2640" i="2"/>
  <c r="AD2634" i="2"/>
  <c r="AD2659" i="2"/>
  <c r="AD2653" i="2"/>
  <c r="AD2658" i="2"/>
  <c r="AD2664" i="2"/>
  <c r="AD2702" i="2"/>
  <c r="AD2696" i="2"/>
  <c r="AD2706" i="2"/>
  <c r="AD2700" i="2"/>
  <c r="AD2726" i="2"/>
  <c r="AD2720" i="2"/>
  <c r="AD2745" i="2"/>
  <c r="AD2739" i="2"/>
  <c r="AD2758" i="2"/>
  <c r="AD2764" i="2"/>
  <c r="AD2768" i="2"/>
  <c r="AD2762" i="2"/>
  <c r="AD2781" i="2"/>
  <c r="AD2787" i="2"/>
  <c r="AD2800" i="2"/>
  <c r="AD2806" i="2"/>
  <c r="AD2810" i="2"/>
  <c r="AD2804" i="2"/>
  <c r="AD2823" i="2"/>
  <c r="AD2829" i="2"/>
  <c r="AD2848" i="2"/>
  <c r="AD2842" i="2"/>
  <c r="AD2847" i="2"/>
  <c r="AD2853" i="2"/>
  <c r="AD2885" i="2"/>
  <c r="AD2891" i="2"/>
  <c r="AD2895" i="2"/>
  <c r="AD2889" i="2"/>
  <c r="AD2933" i="2"/>
  <c r="AD2927" i="2"/>
  <c r="AD2931" i="2"/>
  <c r="AD2937" i="2"/>
  <c r="AD2975" i="2"/>
  <c r="AD2969" i="2"/>
  <c r="AD2979" i="2"/>
  <c r="AD2973" i="2"/>
  <c r="AD3011" i="2"/>
  <c r="AD3017" i="2"/>
  <c r="AD3021" i="2"/>
  <c r="AD3015" i="2"/>
  <c r="AD4049" i="2"/>
  <c r="AD3041" i="2"/>
  <c r="AD3035" i="2"/>
  <c r="AD4043" i="2"/>
  <c r="AD3044" i="2"/>
  <c r="AD4052" i="2"/>
  <c r="AD3054" i="2"/>
  <c r="AD4062" i="2"/>
  <c r="AD3060" i="2"/>
  <c r="AD4068" i="2"/>
  <c r="AD3079" i="2"/>
  <c r="AD3073" i="2"/>
  <c r="AD4081" i="2"/>
  <c r="AD4087" i="2"/>
  <c r="AD3083" i="2"/>
  <c r="AD4091" i="2"/>
  <c r="AD4085" i="2"/>
  <c r="AD3077" i="2"/>
  <c r="AD4094" i="2"/>
  <c r="AD3086" i="2"/>
  <c r="AD3102" i="2"/>
  <c r="AD4110" i="2"/>
  <c r="AD3096" i="2"/>
  <c r="AD4104" i="2"/>
  <c r="AD4129" i="2"/>
  <c r="AD3121" i="2"/>
  <c r="AD4123" i="2"/>
  <c r="AD3115" i="2"/>
  <c r="AD4133" i="2"/>
  <c r="AD4127" i="2"/>
  <c r="AD3125" i="2"/>
  <c r="AD3119" i="2"/>
  <c r="AD3128" i="2"/>
  <c r="AD4136" i="2"/>
  <c r="AD4146" i="2"/>
  <c r="AD3138" i="2"/>
  <c r="AD3144" i="2"/>
  <c r="AD4152" i="2"/>
  <c r="AD3163" i="2"/>
  <c r="AD3157" i="2"/>
  <c r="AD4171" i="2"/>
  <c r="AD4165" i="2"/>
  <c r="AD4175" i="2"/>
  <c r="AD4169" i="2"/>
  <c r="AD3167" i="2"/>
  <c r="AD3161" i="2"/>
  <c r="AD4178" i="2"/>
  <c r="AD3170" i="2"/>
  <c r="AD4194" i="2"/>
  <c r="AD3186" i="2"/>
  <c r="AD3180" i="2"/>
  <c r="AD4188" i="2"/>
  <c r="AD3206" i="2"/>
  <c r="AD4214" i="2"/>
  <c r="AD3200" i="2"/>
  <c r="AD4208" i="2"/>
  <c r="AD3204" i="2"/>
  <c r="AD3210" i="2"/>
  <c r="AD4218" i="2"/>
  <c r="AD4212" i="2"/>
  <c r="AD3213" i="2"/>
  <c r="AD4221" i="2"/>
  <c r="AD4250" i="2"/>
  <c r="AD3248" i="2"/>
  <c r="AD3242" i="2"/>
  <c r="AD4256" i="2"/>
  <c r="AD3252" i="2"/>
  <c r="AD4254" i="2"/>
  <c r="AD3246" i="2"/>
  <c r="AD4260" i="2"/>
  <c r="AD4263" i="2"/>
  <c r="AD3255" i="2"/>
  <c r="AD3290" i="2"/>
  <c r="AD3284" i="2"/>
  <c r="AD4298" i="2"/>
  <c r="AD4292" i="2"/>
  <c r="AD4318" i="2"/>
  <c r="AD3310" i="2"/>
  <c r="AD4312" i="2"/>
  <c r="AD3304" i="2"/>
  <c r="AD3308" i="2"/>
  <c r="AD3314" i="2"/>
  <c r="AD4322" i="2"/>
  <c r="AD4316" i="2"/>
  <c r="AD4325" i="2"/>
  <c r="AD3317" i="2"/>
  <c r="AD4341" i="2"/>
  <c r="AD3333" i="2"/>
  <c r="AD4335" i="2"/>
  <c r="AD3327" i="2"/>
  <c r="AD4361" i="2"/>
  <c r="AD3353" i="2"/>
  <c r="AD3347" i="2"/>
  <c r="AD4355" i="2"/>
  <c r="AD4365" i="2"/>
  <c r="AD3351" i="2"/>
  <c r="AD3357" i="2"/>
  <c r="AD4359" i="2"/>
  <c r="AD4368" i="2"/>
  <c r="AD3360" i="2"/>
  <c r="AD4397" i="2"/>
  <c r="AD4403" i="2"/>
  <c r="AD3395" i="2"/>
  <c r="AD3389" i="2"/>
  <c r="AD3399" i="2"/>
  <c r="AD3393" i="2"/>
  <c r="AD4407" i="2"/>
  <c r="AD4401" i="2"/>
  <c r="AD4410" i="2"/>
  <c r="AD3402" i="2"/>
  <c r="AD4421" i="2"/>
  <c r="AD4427" i="2"/>
  <c r="AD3419" i="2"/>
  <c r="AD3413" i="2"/>
  <c r="AD3422" i="2"/>
  <c r="AD4430" i="2"/>
  <c r="AD3438" i="2"/>
  <c r="AD3432" i="2"/>
  <c r="AD4440" i="2"/>
  <c r="AD4446" i="2"/>
  <c r="AD3451" i="2"/>
  <c r="AD3457" i="2"/>
  <c r="AD4459" i="2"/>
  <c r="AD4465" i="2"/>
  <c r="AD4464" i="2"/>
  <c r="AD4470" i="2"/>
  <c r="AD3462" i="2"/>
  <c r="AD3456" i="2"/>
  <c r="AD3465" i="2"/>
  <c r="AD4473" i="2"/>
  <c r="AD3476" i="2"/>
  <c r="AD4490" i="2"/>
  <c r="AD3482" i="2"/>
  <c r="AD4484" i="2"/>
  <c r="AD4493" i="2"/>
  <c r="AD3485" i="2"/>
  <c r="AD4509" i="2"/>
  <c r="AD3495" i="2"/>
  <c r="AD3501" i="2"/>
  <c r="AD4503" i="2"/>
  <c r="AD3515" i="2"/>
  <c r="AD4529" i="2"/>
  <c r="AD3521" i="2"/>
  <c r="AD4523" i="2"/>
  <c r="AD4533" i="2"/>
  <c r="AD3519" i="2"/>
  <c r="AD4527" i="2"/>
  <c r="AD3525" i="2"/>
  <c r="AD4536" i="2"/>
  <c r="AD3528" i="2"/>
  <c r="AD4565" i="2"/>
  <c r="AD4571" i="2"/>
  <c r="AD3563" i="2"/>
  <c r="AD3557" i="2"/>
  <c r="AD4569" i="2"/>
  <c r="AD4575" i="2"/>
  <c r="AD3561" i="2"/>
  <c r="AD3567" i="2"/>
  <c r="AD4578" i="2"/>
  <c r="AD3570" i="2"/>
  <c r="AD4607" i="2"/>
  <c r="AD3605" i="2"/>
  <c r="AD4613" i="2"/>
  <c r="AD3599" i="2"/>
  <c r="AD4617" i="2"/>
  <c r="AD4611" i="2"/>
  <c r="AD3603" i="2"/>
  <c r="AD3609" i="2"/>
  <c r="AD3612" i="2"/>
  <c r="AD4620" i="2"/>
  <c r="AD3647" i="2"/>
  <c r="AD3641" i="2"/>
  <c r="AD4655" i="2"/>
  <c r="AD4649" i="2"/>
  <c r="AD3645" i="2"/>
  <c r="AD3651" i="2"/>
  <c r="AD4659" i="2"/>
  <c r="AD4653" i="2"/>
  <c r="AD3654" i="2"/>
  <c r="AD4662" i="2"/>
  <c r="AD3689" i="2"/>
  <c r="AD3683" i="2"/>
  <c r="AD4691" i="2"/>
  <c r="AD4697" i="2"/>
  <c r="AD3687" i="2"/>
  <c r="AD3693" i="2"/>
  <c r="AD4701" i="2"/>
  <c r="AD4695" i="2"/>
  <c r="AD3696" i="2"/>
  <c r="AD4704" i="2"/>
  <c r="AD3725" i="2"/>
  <c r="AD3731" i="2"/>
  <c r="AD4733" i="2"/>
  <c r="AD4739" i="2"/>
  <c r="AD3735" i="2"/>
  <c r="AD3729" i="2"/>
  <c r="AD4737" i="2"/>
  <c r="AD4743" i="2"/>
  <c r="AD3738" i="2"/>
  <c r="AD4746" i="2"/>
  <c r="AD3773" i="2"/>
  <c r="AD3767" i="2"/>
  <c r="AD4781" i="2"/>
  <c r="AD4775" i="2"/>
  <c r="AD3771" i="2"/>
  <c r="AD3777" i="2"/>
  <c r="AD4785" i="2"/>
  <c r="AD4779" i="2"/>
  <c r="AD3780" i="2"/>
  <c r="AD4788" i="2"/>
  <c r="AD3809" i="2"/>
  <c r="AD3815" i="2"/>
  <c r="AD4823" i="2"/>
  <c r="AD4817" i="2"/>
  <c r="AD3813" i="2"/>
  <c r="AD3819" i="2"/>
  <c r="AD4821" i="2"/>
  <c r="AD4827" i="2"/>
  <c r="AD3822" i="2"/>
  <c r="AD4830" i="2"/>
  <c r="AD3857" i="2"/>
  <c r="AD3851" i="2"/>
  <c r="AD4865" i="2"/>
  <c r="AD4859" i="2"/>
  <c r="AD3861" i="2"/>
  <c r="AD3855" i="2"/>
  <c r="AD4863" i="2"/>
  <c r="AD4869" i="2"/>
  <c r="AD3864" i="2"/>
  <c r="AD4872" i="2"/>
  <c r="AD3899" i="2"/>
  <c r="AD3893" i="2"/>
  <c r="AD4907" i="2"/>
  <c r="AD4901" i="2"/>
  <c r="AD3903" i="2"/>
  <c r="AD3897" i="2"/>
  <c r="AD4905" i="2"/>
  <c r="AD4911" i="2"/>
  <c r="AD3906" i="2"/>
  <c r="AD4914" i="2"/>
  <c r="AD4949" i="2"/>
  <c r="AD3941" i="2"/>
  <c r="AD4943" i="2"/>
  <c r="AD3935" i="2"/>
  <c r="AD4953" i="2"/>
  <c r="AD4947" i="2"/>
  <c r="AD3945" i="2"/>
  <c r="AD3939" i="2"/>
  <c r="AD4956" i="2"/>
  <c r="AD3948" i="2"/>
  <c r="AD4991" i="2"/>
  <c r="AD3983" i="2"/>
  <c r="AD3977" i="2"/>
  <c r="AD4985" i="2"/>
  <c r="AD4995" i="2"/>
  <c r="AD3981" i="2"/>
  <c r="AD3987" i="2"/>
  <c r="AD4989" i="2"/>
  <c r="AD3990" i="2"/>
  <c r="AD4998" i="2"/>
  <c r="AD4019" i="2"/>
  <c r="AD4025" i="2"/>
  <c r="AD5033" i="2"/>
  <c r="AD5027" i="2"/>
  <c r="AD4029" i="2"/>
  <c r="AD4023" i="2"/>
  <c r="AD5037" i="2"/>
  <c r="AD5031" i="2"/>
  <c r="AD4032" i="2"/>
  <c r="AD5040" i="2"/>
  <c r="AD140" i="2"/>
  <c r="AD134" i="2"/>
  <c r="AD54" i="2"/>
  <c r="AD60" i="2"/>
  <c r="AD93" i="2"/>
  <c r="AD99" i="2"/>
  <c r="AD117" i="2"/>
  <c r="AD123" i="2"/>
  <c r="AD175" i="2"/>
  <c r="AD181" i="2"/>
  <c r="AD218" i="2"/>
  <c r="AD224" i="2"/>
  <c r="AD238" i="2"/>
  <c r="AD244" i="2"/>
  <c r="AD243" i="2"/>
  <c r="AD249" i="2"/>
  <c r="AD281" i="2"/>
  <c r="AD287" i="2"/>
  <c r="AD307" i="2"/>
  <c r="AD301" i="2"/>
  <c r="AD311" i="2"/>
  <c r="AD305" i="2"/>
  <c r="AD324" i="2"/>
  <c r="AD330" i="2"/>
  <c r="AD349" i="2"/>
  <c r="AD343" i="2"/>
  <c r="AD353" i="2"/>
  <c r="AD347" i="2"/>
  <c r="AD372" i="2"/>
  <c r="AD366" i="2"/>
  <c r="AD391" i="2"/>
  <c r="AD385" i="2"/>
  <c r="AD396" i="2"/>
  <c r="AD390" i="2"/>
  <c r="AD414" i="2"/>
  <c r="AD408" i="2"/>
  <c r="AD427" i="2"/>
  <c r="AD433" i="2"/>
  <c r="AD431" i="2"/>
  <c r="AD437" i="2"/>
  <c r="AD456" i="2"/>
  <c r="AD450" i="2"/>
  <c r="AD476" i="2"/>
  <c r="AD470" i="2"/>
  <c r="AD474" i="2"/>
  <c r="AD480" i="2"/>
  <c r="AD518" i="2"/>
  <c r="AD512" i="2"/>
  <c r="AD516" i="2"/>
  <c r="AD522" i="2"/>
  <c r="AD554" i="2"/>
  <c r="AD560" i="2"/>
  <c r="AD564" i="2"/>
  <c r="AD558" i="2"/>
  <c r="AD596" i="2"/>
  <c r="AD602" i="2"/>
  <c r="AD606" i="2"/>
  <c r="AD600" i="2"/>
  <c r="AD644" i="2"/>
  <c r="AD638" i="2"/>
  <c r="AD642" i="2"/>
  <c r="AD648" i="2"/>
  <c r="AD662" i="2"/>
  <c r="AD668" i="2"/>
  <c r="AD681" i="2"/>
  <c r="AD687" i="2"/>
  <c r="AD706" i="2"/>
  <c r="AD700" i="2"/>
  <c r="AD705" i="2"/>
  <c r="AD711" i="2"/>
  <c r="AD749" i="2"/>
  <c r="AD743" i="2"/>
  <c r="AD769" i="2"/>
  <c r="AD763" i="2"/>
  <c r="AD767" i="2"/>
  <c r="AD773" i="2"/>
  <c r="AD786" i="2"/>
  <c r="AD792" i="2"/>
  <c r="AD806" i="2"/>
  <c r="AD812" i="2"/>
  <c r="AD810" i="2"/>
  <c r="AD816" i="2"/>
  <c r="AD830" i="2"/>
  <c r="AD836" i="2"/>
  <c r="AD855" i="2"/>
  <c r="AD849" i="2"/>
  <c r="AD869" i="2"/>
  <c r="AD875" i="2"/>
  <c r="AD873" i="2"/>
  <c r="AD879" i="2"/>
  <c r="AD917" i="2"/>
  <c r="AD911" i="2"/>
  <c r="AD921" i="2"/>
  <c r="AD915" i="2"/>
  <c r="AD953" i="2"/>
  <c r="AD959" i="2"/>
  <c r="AD957" i="2"/>
  <c r="AD963" i="2"/>
  <c r="AD995" i="2"/>
  <c r="AD1001" i="2"/>
  <c r="AD1005" i="2"/>
  <c r="AD999" i="2"/>
  <c r="AD1037" i="2"/>
  <c r="AD1043" i="2"/>
  <c r="AD1041" i="2"/>
  <c r="AD1047" i="2"/>
  <c r="AD1061" i="2"/>
  <c r="AD1067" i="2"/>
  <c r="AD1080" i="2"/>
  <c r="AD1086" i="2"/>
  <c r="AD1099" i="2"/>
  <c r="AD1105" i="2"/>
  <c r="AD1109" i="2"/>
  <c r="AD1103" i="2"/>
  <c r="AD1122" i="2"/>
  <c r="AD1128" i="2"/>
  <c r="AD1141" i="2"/>
  <c r="AD1147" i="2"/>
  <c r="AD1151" i="2"/>
  <c r="AD1145" i="2"/>
  <c r="AD1170" i="2"/>
  <c r="AD1164" i="2"/>
  <c r="AD1189" i="2"/>
  <c r="AD1183" i="2"/>
  <c r="AD1187" i="2"/>
  <c r="AD1193" i="2"/>
  <c r="AD1206" i="2"/>
  <c r="AD1212" i="2"/>
  <c r="AD1231" i="2"/>
  <c r="AD1225" i="2"/>
  <c r="AD1230" i="2"/>
  <c r="AD1236" i="2"/>
  <c r="AD1268" i="2"/>
  <c r="AD1274" i="2"/>
  <c r="AD1278" i="2"/>
  <c r="AD1272" i="2"/>
  <c r="AD1310" i="2"/>
  <c r="AD1316" i="2"/>
  <c r="AD1314" i="2"/>
  <c r="AD1320" i="2"/>
  <c r="AD1358" i="2"/>
  <c r="AD1352" i="2"/>
  <c r="AD1362" i="2"/>
  <c r="AD1356" i="2"/>
  <c r="AD1394" i="2"/>
  <c r="AD1400" i="2"/>
  <c r="AD1398" i="2"/>
  <c r="AD1404" i="2"/>
  <c r="AD1436" i="2"/>
  <c r="AD1442" i="2"/>
  <c r="AD1446" i="2"/>
  <c r="AD1440" i="2"/>
  <c r="AD1478" i="2"/>
  <c r="AD1484" i="2"/>
  <c r="AD1482" i="2"/>
  <c r="AD1488" i="2"/>
  <c r="AD1520" i="2"/>
  <c r="AD1526" i="2"/>
  <c r="AD1530" i="2"/>
  <c r="AD1524" i="2"/>
  <c r="AD1568" i="2"/>
  <c r="AD1562" i="2"/>
  <c r="AD1566" i="2"/>
  <c r="AD1572" i="2"/>
  <c r="AD1610" i="2"/>
  <c r="AD1604" i="2"/>
  <c r="AD1624" i="2"/>
  <c r="AD1630" i="2"/>
  <c r="AD1628" i="2"/>
  <c r="AD1634" i="2"/>
  <c r="AD1653" i="2"/>
  <c r="AD1647" i="2"/>
  <c r="AD1673" i="2"/>
  <c r="AD1667" i="2"/>
  <c r="AD1677" i="2"/>
  <c r="AD1671" i="2"/>
  <c r="AD1709" i="2"/>
  <c r="AD1715" i="2"/>
  <c r="AD1713" i="2"/>
  <c r="AD1719" i="2"/>
  <c r="AD1757" i="2"/>
  <c r="AD1751" i="2"/>
  <c r="AD1777" i="2"/>
  <c r="AD1771" i="2"/>
  <c r="AD1781" i="2"/>
  <c r="AD1775" i="2"/>
  <c r="AD1800" i="2"/>
  <c r="AD1794" i="2"/>
  <c r="AD1813" i="2"/>
  <c r="AD1819" i="2"/>
  <c r="AD1817" i="2"/>
  <c r="AD1823" i="2"/>
  <c r="AD1842" i="2"/>
  <c r="AD1836" i="2"/>
  <c r="AD1861" i="2"/>
  <c r="AD1855" i="2"/>
  <c r="AD1860" i="2"/>
  <c r="AD1866" i="2"/>
  <c r="AD1904" i="2"/>
  <c r="AD1898" i="2"/>
  <c r="AD1918" i="2"/>
  <c r="AD1924" i="2"/>
  <c r="AD1929" i="2"/>
  <c r="AD1923" i="2"/>
  <c r="AD1961" i="2"/>
  <c r="AD1967" i="2"/>
  <c r="AD1987" i="2"/>
  <c r="AD1981" i="2"/>
  <c r="AD1985" i="2"/>
  <c r="AD1991" i="2"/>
  <c r="AD2010" i="2"/>
  <c r="AD2004" i="2"/>
  <c r="AD2030" i="2"/>
  <c r="AD2024" i="2"/>
  <c r="AD2034" i="2"/>
  <c r="AD2028" i="2"/>
  <c r="AD2048" i="2"/>
  <c r="AD2054" i="2"/>
  <c r="AD2073" i="2"/>
  <c r="AD2067" i="2"/>
  <c r="AD2092" i="2"/>
  <c r="AD2086" i="2"/>
  <c r="AD2097" i="2"/>
  <c r="AD2091" i="2"/>
  <c r="AD2117" i="2"/>
  <c r="AD2111" i="2"/>
  <c r="AD2130" i="2"/>
  <c r="AD2136" i="2"/>
  <c r="AD2149" i="2"/>
  <c r="AD2155" i="2"/>
  <c r="AD2154" i="2"/>
  <c r="AD2160" i="2"/>
  <c r="AD2198" i="2"/>
  <c r="AD2192" i="2"/>
  <c r="AD2212" i="2"/>
  <c r="AD2218" i="2"/>
  <c r="AD2222" i="2"/>
  <c r="AD2216" i="2"/>
  <c r="AD2241" i="2"/>
  <c r="AD2235" i="2"/>
  <c r="AD2254" i="2"/>
  <c r="AD2260" i="2"/>
  <c r="AD2265" i="2"/>
  <c r="AD2259" i="2"/>
  <c r="AD2303" i="2"/>
  <c r="AD2297" i="2"/>
  <c r="AD2323" i="2"/>
  <c r="AD2317" i="2"/>
  <c r="AD2322" i="2"/>
  <c r="AD2328" i="2"/>
  <c r="AD2366" i="2"/>
  <c r="AD2360" i="2"/>
  <c r="AD2380" i="2"/>
  <c r="AD2386" i="2"/>
  <c r="AD2390" i="2"/>
  <c r="AD2384" i="2"/>
  <c r="AD2403" i="2"/>
  <c r="AD2409" i="2"/>
  <c r="AD2429" i="2"/>
  <c r="AD2423" i="2"/>
  <c r="AD2427" i="2"/>
  <c r="AD2433" i="2"/>
  <c r="AD2471" i="2"/>
  <c r="AD2465" i="2"/>
  <c r="AD2475" i="2"/>
  <c r="AD2469" i="2"/>
  <c r="AD2513" i="2"/>
  <c r="AD2507" i="2"/>
  <c r="AD2511" i="2"/>
  <c r="AD2517" i="2"/>
  <c r="AD2555" i="2"/>
  <c r="AD2549" i="2"/>
  <c r="AD2559" i="2"/>
  <c r="AD2553" i="2"/>
  <c r="AD2573" i="2"/>
  <c r="AD2579" i="2"/>
  <c r="AD2598" i="2"/>
  <c r="AD2592" i="2"/>
  <c r="AD2617" i="2"/>
  <c r="AD2611" i="2"/>
  <c r="AD2622" i="2"/>
  <c r="AD2616" i="2"/>
  <c r="AD2654" i="2"/>
  <c r="AD2660" i="2"/>
  <c r="AD2680" i="2"/>
  <c r="AD2674" i="2"/>
  <c r="AD2684" i="2"/>
  <c r="AD2678" i="2"/>
  <c r="AD2697" i="2"/>
  <c r="AD2703" i="2"/>
  <c r="AD2722" i="2"/>
  <c r="AD2716" i="2"/>
  <c r="AD2721" i="2"/>
  <c r="AD2727" i="2"/>
  <c r="AD2759" i="2"/>
  <c r="AD2765" i="2"/>
  <c r="AD2769" i="2"/>
  <c r="AD2763" i="2"/>
  <c r="AD2807" i="2"/>
  <c r="AD2801" i="2"/>
  <c r="AD2811" i="2"/>
  <c r="AD2805" i="2"/>
  <c r="AD2843" i="2"/>
  <c r="AD2849" i="2"/>
  <c r="AD2869" i="2"/>
  <c r="AD2863" i="2"/>
  <c r="AD2873" i="2"/>
  <c r="AD2867" i="2"/>
  <c r="AD2886" i="2"/>
  <c r="AD2892" i="2"/>
  <c r="AD2911" i="2"/>
  <c r="AD2905" i="2"/>
  <c r="AD2909" i="2"/>
  <c r="AD2915" i="2"/>
  <c r="AD2934" i="2"/>
  <c r="AD2928" i="2"/>
  <c r="AD2947" i="2"/>
  <c r="AD2953" i="2"/>
  <c r="AD2957" i="2"/>
  <c r="AD2951" i="2"/>
  <c r="AD2970" i="2"/>
  <c r="AD2976" i="2"/>
  <c r="AD2995" i="2"/>
  <c r="AD2989" i="2"/>
  <c r="AD2999" i="2"/>
  <c r="AD2993" i="2"/>
  <c r="AD3012" i="2"/>
  <c r="AD3018" i="2"/>
  <c r="AD4039" i="2"/>
  <c r="AD4045" i="2"/>
  <c r="AD3037" i="2"/>
  <c r="AD3031" i="2"/>
  <c r="AD3042" i="2"/>
  <c r="AD3036" i="2"/>
  <c r="AD4044" i="2"/>
  <c r="AD4050" i="2"/>
  <c r="AD4053" i="2"/>
  <c r="AD3045" i="2"/>
  <c r="AD3074" i="2"/>
  <c r="AD4082" i="2"/>
  <c r="AD4088" i="2"/>
  <c r="AD3080" i="2"/>
  <c r="AD4086" i="2"/>
  <c r="AD3078" i="2"/>
  <c r="AD3084" i="2"/>
  <c r="AD4092" i="2"/>
  <c r="AD3087" i="2"/>
  <c r="AD4095" i="2"/>
  <c r="AD3116" i="2"/>
  <c r="AD4130" i="2"/>
  <c r="AD3122" i="2"/>
  <c r="AD4124" i="2"/>
  <c r="AD4134" i="2"/>
  <c r="AD3126" i="2"/>
  <c r="AD3120" i="2"/>
  <c r="AD4128" i="2"/>
  <c r="AD3129" i="2"/>
  <c r="AD4137" i="2"/>
  <c r="AD3164" i="2"/>
  <c r="AD3158" i="2"/>
  <c r="AD4166" i="2"/>
  <c r="AD4172" i="2"/>
  <c r="AD4176" i="2"/>
  <c r="AD3162" i="2"/>
  <c r="AD3168" i="2"/>
  <c r="AD4170" i="2"/>
  <c r="AD4179" i="2"/>
  <c r="AD3171" i="2"/>
  <c r="AD3182" i="2"/>
  <c r="AD3188" i="2"/>
  <c r="AD4190" i="2"/>
  <c r="AD4196" i="2"/>
  <c r="AD4199" i="2"/>
  <c r="AD3191" i="2"/>
  <c r="AD4209" i="2"/>
  <c r="AD3207" i="2"/>
  <c r="AD3201" i="2"/>
  <c r="AD4215" i="2"/>
  <c r="AD3220" i="2"/>
  <c r="AD4234" i="2"/>
  <c r="AD4228" i="2"/>
  <c r="AD3226" i="2"/>
  <c r="AD3230" i="2"/>
  <c r="AD4238" i="2"/>
  <c r="AD4232" i="2"/>
  <c r="AD3224" i="2"/>
  <c r="AD4241" i="2"/>
  <c r="AD3233" i="2"/>
  <c r="AD4251" i="2"/>
  <c r="AD4257" i="2"/>
  <c r="AD3249" i="2"/>
  <c r="AD3243" i="2"/>
  <c r="AD3262" i="2"/>
  <c r="AD4270" i="2"/>
  <c r="AD3268" i="2"/>
  <c r="AD4276" i="2"/>
  <c r="AD4280" i="2"/>
  <c r="AD3266" i="2"/>
  <c r="AD3272" i="2"/>
  <c r="AD4274" i="2"/>
  <c r="AD3275" i="2"/>
  <c r="AD4283" i="2"/>
  <c r="AD4293" i="2"/>
  <c r="AD3291" i="2"/>
  <c r="AD3285" i="2"/>
  <c r="AD4299" i="2"/>
  <c r="AD4313" i="2"/>
  <c r="AD3305" i="2"/>
  <c r="AD3311" i="2"/>
  <c r="AD4319" i="2"/>
  <c r="AD4317" i="2"/>
  <c r="AD3315" i="2"/>
  <c r="AD3309" i="2"/>
  <c r="AD4323" i="2"/>
  <c r="AD4326" i="2"/>
  <c r="AD3318" i="2"/>
  <c r="AD4337" i="2"/>
  <c r="AD3335" i="2"/>
  <c r="AD3329" i="2"/>
  <c r="AD4343" i="2"/>
  <c r="AD4346" i="2"/>
  <c r="AD3338" i="2"/>
  <c r="AD3354" i="2"/>
  <c r="AD3348" i="2"/>
  <c r="AD4362" i="2"/>
  <c r="AD4356" i="2"/>
  <c r="AD4381" i="2"/>
  <c r="AD3373" i="2"/>
  <c r="AD4375" i="2"/>
  <c r="AD3367" i="2"/>
  <c r="AD4379" i="2"/>
  <c r="AD4385" i="2"/>
  <c r="AD3371" i="2"/>
  <c r="AD3377" i="2"/>
  <c r="AD3380" i="2"/>
  <c r="AD4388" i="2"/>
  <c r="AD3390" i="2"/>
  <c r="AD3396" i="2"/>
  <c r="AD4398" i="2"/>
  <c r="AD4404" i="2"/>
  <c r="AD3415" i="2"/>
  <c r="AD3409" i="2"/>
  <c r="AD4423" i="2"/>
  <c r="AD4417" i="2"/>
  <c r="AD3414" i="2"/>
  <c r="AD3420" i="2"/>
  <c r="AD4422" i="2"/>
  <c r="AD4428" i="2"/>
  <c r="AD3423" i="2"/>
  <c r="AD4431" i="2"/>
  <c r="AD4466" i="2"/>
  <c r="AD3458" i="2"/>
  <c r="AD3452" i="2"/>
  <c r="AD4460" i="2"/>
  <c r="AD4486" i="2"/>
  <c r="AD3472" i="2"/>
  <c r="AD4480" i="2"/>
  <c r="AD3478" i="2"/>
  <c r="AD4485" i="2"/>
  <c r="AD3483" i="2"/>
  <c r="AD4491" i="2"/>
  <c r="AD3477" i="2"/>
  <c r="AD3486" i="2"/>
  <c r="AD4494" i="2"/>
  <c r="AD3503" i="2"/>
  <c r="AD4505" i="2"/>
  <c r="AD4511" i="2"/>
  <c r="AD3497" i="2"/>
  <c r="AD4514" i="2"/>
  <c r="AD3506" i="2"/>
  <c r="AD4530" i="2"/>
  <c r="AD3516" i="2"/>
  <c r="AD4524" i="2"/>
  <c r="AD3522" i="2"/>
  <c r="AD3541" i="2"/>
  <c r="AD4549" i="2"/>
  <c r="AD4543" i="2"/>
  <c r="AD3535" i="2"/>
  <c r="AD4547" i="2"/>
  <c r="AD4553" i="2"/>
  <c r="AD3539" i="2"/>
  <c r="AD3545" i="2"/>
  <c r="AD4556" i="2"/>
  <c r="AD3548" i="2"/>
  <c r="AD3564" i="2"/>
  <c r="AD4572" i="2"/>
  <c r="AD4566" i="2"/>
  <c r="AD3558" i="2"/>
  <c r="AD4591" i="2"/>
  <c r="AD4585" i="2"/>
  <c r="AD3583" i="2"/>
  <c r="AD3577" i="2"/>
  <c r="AD4589" i="2"/>
  <c r="AD3581" i="2"/>
  <c r="AD4595" i="2"/>
  <c r="AD3587" i="2"/>
  <c r="AD4598" i="2"/>
  <c r="AD3590" i="2"/>
  <c r="AD3606" i="2"/>
  <c r="AD3600" i="2"/>
  <c r="AD4614" i="2"/>
  <c r="AD4608" i="2"/>
  <c r="AD4627" i="2"/>
  <c r="AD3625" i="2"/>
  <c r="AD3619" i="2"/>
  <c r="AD4633" i="2"/>
  <c r="AD4631" i="2"/>
  <c r="AD3623" i="2"/>
  <c r="AD3629" i="2"/>
  <c r="AD4637" i="2"/>
  <c r="AD3632" i="2"/>
  <c r="AD4640" i="2"/>
  <c r="AD3642" i="2"/>
  <c r="AD3648" i="2"/>
  <c r="AD4656" i="2"/>
  <c r="AD4650" i="2"/>
  <c r="AD3661" i="2"/>
  <c r="AD3667" i="2"/>
  <c r="AD4669" i="2"/>
  <c r="AD4675" i="2"/>
  <c r="AD3665" i="2"/>
  <c r="AD3671" i="2"/>
  <c r="AD4673" i="2"/>
  <c r="AD4679" i="2"/>
  <c r="AD3674" i="2"/>
  <c r="AD4682" i="2"/>
  <c r="AD3690" i="2"/>
  <c r="AD3684" i="2"/>
  <c r="AD4692" i="2"/>
  <c r="AD4698" i="2"/>
  <c r="AD3709" i="2"/>
  <c r="AD3703" i="2"/>
  <c r="AD4711" i="2"/>
  <c r="AD4717" i="2"/>
  <c r="AD3707" i="2"/>
  <c r="AD3713" i="2"/>
  <c r="AD4715" i="2"/>
  <c r="AD4721" i="2"/>
  <c r="AD3716" i="2"/>
  <c r="AD4724" i="2"/>
  <c r="AD3726" i="2"/>
  <c r="AD3732" i="2"/>
  <c r="AD4740" i="2"/>
  <c r="AD4734" i="2"/>
  <c r="AD3745" i="2"/>
  <c r="AD3751" i="2"/>
  <c r="AD4753" i="2"/>
  <c r="AD4759" i="2"/>
  <c r="AD3755" i="2"/>
  <c r="AD3749" i="2"/>
  <c r="AD4757" i="2"/>
  <c r="AD4763" i="2"/>
  <c r="AD3758" i="2"/>
  <c r="AD4766" i="2"/>
  <c r="AD3774" i="2"/>
  <c r="AD3768" i="2"/>
  <c r="AD4782" i="2"/>
  <c r="AD4776" i="2"/>
  <c r="AD3793" i="2"/>
  <c r="AD3787" i="2"/>
  <c r="AD4795" i="2"/>
  <c r="AD4801" i="2"/>
  <c r="AD3797" i="2"/>
  <c r="AD3791" i="2"/>
  <c r="AD4799" i="2"/>
  <c r="AD4805" i="2"/>
  <c r="AD3800" i="2"/>
  <c r="AD4808" i="2"/>
  <c r="AD3810" i="2"/>
  <c r="AD3816" i="2"/>
  <c r="AD4824" i="2"/>
  <c r="AD4818" i="2"/>
  <c r="AD3835" i="2"/>
  <c r="AD3829" i="2"/>
  <c r="AD4837" i="2"/>
  <c r="AD4843" i="2"/>
  <c r="AD3839" i="2"/>
  <c r="AD3833" i="2"/>
  <c r="AD4841" i="2"/>
  <c r="AD4847" i="2"/>
  <c r="AD3842" i="2"/>
  <c r="AD4850" i="2"/>
  <c r="AD3852" i="2"/>
  <c r="AD3858" i="2"/>
  <c r="AD4860" i="2"/>
  <c r="AD4866" i="2"/>
  <c r="AD3877" i="2"/>
  <c r="AD3871" i="2"/>
  <c r="AD4879" i="2"/>
  <c r="AD4885" i="2"/>
  <c r="AD3881" i="2"/>
  <c r="AD3875" i="2"/>
  <c r="AD4883" i="2"/>
  <c r="AD4889" i="2"/>
  <c r="AD3884" i="2"/>
  <c r="AD4892" i="2"/>
  <c r="AD3894" i="2"/>
  <c r="AD3900" i="2"/>
  <c r="AD4908" i="2"/>
  <c r="AD4902" i="2"/>
  <c r="AD4921" i="2"/>
  <c r="AD4927" i="2"/>
  <c r="AD3919" i="2"/>
  <c r="AD3913" i="2"/>
  <c r="AD4931" i="2"/>
  <c r="AD4925" i="2"/>
  <c r="AD3917" i="2"/>
  <c r="AD3923" i="2"/>
  <c r="AD3926" i="2"/>
  <c r="AD4934" i="2"/>
  <c r="AD4950" i="2"/>
  <c r="AD4944" i="2"/>
  <c r="AD3942" i="2"/>
  <c r="AD3936" i="2"/>
  <c r="AD3955" i="2"/>
  <c r="AD4969" i="2"/>
  <c r="AD4963" i="2"/>
  <c r="AD3961" i="2"/>
  <c r="AD4967" i="2"/>
  <c r="AD3965" i="2"/>
  <c r="AD3959" i="2"/>
  <c r="AD4973" i="2"/>
  <c r="AD4976" i="2"/>
  <c r="AD3968" i="2"/>
  <c r="AD3978" i="2"/>
  <c r="AD4992" i="2"/>
  <c r="AD3984" i="2"/>
  <c r="AD4986" i="2"/>
  <c r="AD5011" i="2"/>
  <c r="AD3997" i="2"/>
  <c r="AD4003" i="2"/>
  <c r="AD5005" i="2"/>
  <c r="AD4001" i="2"/>
  <c r="AD4007" i="2"/>
  <c r="AD5009" i="2"/>
  <c r="AD5015" i="2"/>
  <c r="AD4010" i="2"/>
  <c r="AD5018" i="2"/>
  <c r="AD5028" i="2"/>
  <c r="AD4026" i="2"/>
  <c r="AD4020" i="2"/>
  <c r="AD5034" i="2"/>
  <c r="AD35" i="2"/>
  <c r="AD29" i="2"/>
  <c r="AD50" i="2"/>
  <c r="AD56" i="2"/>
  <c r="AD74" i="2"/>
  <c r="AD80" i="2"/>
  <c r="AD118" i="2"/>
  <c r="AD112" i="2"/>
  <c r="AD155" i="2"/>
  <c r="AD161" i="2"/>
  <c r="AD186" i="2"/>
  <c r="AD180" i="2"/>
  <c r="AD32" i="2"/>
  <c r="AD38" i="2"/>
  <c r="AD57" i="2"/>
  <c r="AD51" i="2"/>
  <c r="AD76" i="2"/>
  <c r="AD70" i="2"/>
  <c r="AD81" i="2"/>
  <c r="AD75" i="2"/>
  <c r="AD113" i="2"/>
  <c r="AD119" i="2"/>
  <c r="AD139" i="2"/>
  <c r="AD133" i="2"/>
  <c r="AD137" i="2"/>
  <c r="AD143" i="2"/>
  <c r="AD162" i="2"/>
  <c r="AD156" i="2"/>
  <c r="AD182" i="2"/>
  <c r="AD176" i="2"/>
  <c r="AD202" i="2"/>
  <c r="AD196" i="2"/>
  <c r="AD206" i="2"/>
  <c r="AD200" i="2"/>
  <c r="AD225" i="2"/>
  <c r="AD219" i="2"/>
  <c r="AD245" i="2"/>
  <c r="AD239" i="2"/>
  <c r="AD265" i="2"/>
  <c r="AD259" i="2"/>
  <c r="AD269" i="2"/>
  <c r="AD263" i="2"/>
  <c r="AD288" i="2"/>
  <c r="AD282" i="2"/>
  <c r="AD308" i="2"/>
  <c r="AD302" i="2"/>
  <c r="AD312" i="2"/>
  <c r="AD306" i="2"/>
  <c r="AD344" i="2"/>
  <c r="AD350" i="2"/>
  <c r="AD348" i="2"/>
  <c r="AD354" i="2"/>
  <c r="AD386" i="2"/>
  <c r="AD392" i="2"/>
  <c r="AD434" i="2"/>
  <c r="AD428" i="2"/>
  <c r="AD438" i="2"/>
  <c r="AD432" i="2"/>
  <c r="AD458" i="2"/>
  <c r="AD452" i="2"/>
  <c r="AD471" i="2"/>
  <c r="AD477" i="2"/>
  <c r="AD490" i="2"/>
  <c r="AD496" i="2"/>
  <c r="AD500" i="2"/>
  <c r="AD494" i="2"/>
  <c r="AD513" i="2"/>
  <c r="AD519" i="2"/>
  <c r="AD538" i="2"/>
  <c r="AD532" i="2"/>
  <c r="AD542" i="2"/>
  <c r="AD536" i="2"/>
  <c r="AD555" i="2"/>
  <c r="AD561" i="2"/>
  <c r="AD580" i="2"/>
  <c r="AD574" i="2"/>
  <c r="AD584" i="2"/>
  <c r="AD578" i="2"/>
  <c r="AD597" i="2"/>
  <c r="AD603" i="2"/>
  <c r="AD622" i="2"/>
  <c r="AD616" i="2"/>
  <c r="AD626" i="2"/>
  <c r="AD620" i="2"/>
  <c r="AD645" i="2"/>
  <c r="AD639" i="2"/>
  <c r="AD658" i="2"/>
  <c r="AD664" i="2"/>
  <c r="AD663" i="2"/>
  <c r="AD669" i="2"/>
  <c r="AD701" i="2"/>
  <c r="AD707" i="2"/>
  <c r="AD721" i="2"/>
  <c r="AD727" i="2"/>
  <c r="AD731" i="2"/>
  <c r="AD725" i="2"/>
  <c r="AD750" i="2"/>
  <c r="AD744" i="2"/>
  <c r="AD764" i="2"/>
  <c r="AD770" i="2"/>
  <c r="AD768" i="2"/>
  <c r="AD774" i="2"/>
  <c r="AD794" i="2"/>
  <c r="AD788" i="2"/>
  <c r="AD813" i="2"/>
  <c r="AD807" i="2"/>
  <c r="AD826" i="2"/>
  <c r="AD832" i="2"/>
  <c r="AD831" i="2"/>
  <c r="AD837" i="2"/>
  <c r="AD857" i="2"/>
  <c r="AD851" i="2"/>
  <c r="AD876" i="2"/>
  <c r="AD870" i="2"/>
  <c r="AD895" i="2"/>
  <c r="AD889" i="2"/>
  <c r="AD899" i="2"/>
  <c r="AD893" i="2"/>
  <c r="AD912" i="2"/>
  <c r="AD918" i="2"/>
  <c r="AD937" i="2"/>
  <c r="AD931" i="2"/>
  <c r="AD935" i="2"/>
  <c r="AD941" i="2"/>
  <c r="AD960" i="2"/>
  <c r="AD954" i="2"/>
  <c r="AD973" i="2"/>
  <c r="AD979" i="2"/>
  <c r="AD977" i="2"/>
  <c r="AD983" i="2"/>
  <c r="AD996" i="2"/>
  <c r="AD1002" i="2"/>
  <c r="AD1021" i="2"/>
  <c r="AD1015" i="2"/>
  <c r="AD1025" i="2"/>
  <c r="AD1019" i="2"/>
  <c r="AD1044" i="2"/>
  <c r="AD1038" i="2"/>
  <c r="AD1063" i="2"/>
  <c r="AD1057" i="2"/>
  <c r="AD1068" i="2"/>
  <c r="AD1062" i="2"/>
  <c r="AD1100" i="2"/>
  <c r="AD1106" i="2"/>
  <c r="AD1104" i="2"/>
  <c r="AD1110" i="2"/>
  <c r="AD1142" i="2"/>
  <c r="AD1148" i="2"/>
  <c r="AD1152" i="2"/>
  <c r="AD1146" i="2"/>
  <c r="AD1190" i="2"/>
  <c r="AD1184" i="2"/>
  <c r="AD1194" i="2"/>
  <c r="AD1188" i="2"/>
  <c r="AD1226" i="2"/>
  <c r="AD1232" i="2"/>
  <c r="AD1246" i="2"/>
  <c r="AD1252" i="2"/>
  <c r="AD1250" i="2"/>
  <c r="AD1256" i="2"/>
  <c r="AD1269" i="2"/>
  <c r="AD1275" i="2"/>
  <c r="AD1294" i="2"/>
  <c r="AD1288" i="2"/>
  <c r="AD1298" i="2"/>
  <c r="AD1292" i="2"/>
  <c r="AD1317" i="2"/>
  <c r="AD1311" i="2"/>
  <c r="AD1330" i="2"/>
  <c r="AD1336" i="2"/>
  <c r="AD1334" i="2"/>
  <c r="AD1340" i="2"/>
  <c r="AD1359" i="2"/>
  <c r="AD1353" i="2"/>
  <c r="AD1378" i="2"/>
  <c r="AD1372" i="2"/>
  <c r="AD1382" i="2"/>
  <c r="AD1376" i="2"/>
  <c r="AD1395" i="2"/>
  <c r="AD1401" i="2"/>
  <c r="AD1414" i="2"/>
  <c r="AD1420" i="2"/>
  <c r="AD1418" i="2"/>
  <c r="AD1424" i="2"/>
  <c r="AD1443" i="2"/>
  <c r="AD1437" i="2"/>
  <c r="AD1462" i="2"/>
  <c r="AD1456" i="2"/>
  <c r="AD1466" i="2"/>
  <c r="AD1460" i="2"/>
  <c r="AD1479" i="2"/>
  <c r="AD1485" i="2"/>
  <c r="AD1504" i="2"/>
  <c r="AD1498" i="2"/>
  <c r="AD1502" i="2"/>
  <c r="AD1508" i="2"/>
  <c r="AD1521" i="2"/>
  <c r="AD1527" i="2"/>
  <c r="AD1540" i="2"/>
  <c r="AD1546" i="2"/>
  <c r="AD1544" i="2"/>
  <c r="AD1550" i="2"/>
  <c r="AD1569" i="2"/>
  <c r="AD1563" i="2"/>
  <c r="AD1582" i="2"/>
  <c r="AD1588" i="2"/>
  <c r="AD1592" i="2"/>
  <c r="AD1586" i="2"/>
  <c r="AD1605" i="2"/>
  <c r="AD1611" i="2"/>
  <c r="AD1625" i="2"/>
  <c r="AD1631" i="2"/>
  <c r="AD1629" i="2"/>
  <c r="AD1635" i="2"/>
  <c r="AD1649" i="2"/>
  <c r="AD1655" i="2"/>
  <c r="AD1668" i="2"/>
  <c r="AD1674" i="2"/>
  <c r="AD1693" i="2"/>
  <c r="AD1687" i="2"/>
  <c r="AD1697" i="2"/>
  <c r="AD1691" i="2"/>
  <c r="AD1710" i="2"/>
  <c r="AD1716" i="2"/>
  <c r="AD1729" i="2"/>
  <c r="AD1735" i="2"/>
  <c r="AD1733" i="2"/>
  <c r="AD1739" i="2"/>
  <c r="AD1752" i="2"/>
  <c r="AD1758" i="2"/>
  <c r="AD1778" i="2"/>
  <c r="AD1772" i="2"/>
  <c r="AD1782" i="2"/>
  <c r="AD1776" i="2"/>
  <c r="AD1814" i="2"/>
  <c r="AD1820" i="2"/>
  <c r="AD1824" i="2"/>
  <c r="AD1818" i="2"/>
  <c r="AD1862" i="2"/>
  <c r="AD1856" i="2"/>
  <c r="AD1882" i="2"/>
  <c r="AD1876" i="2"/>
  <c r="AD1880" i="2"/>
  <c r="AD1886" i="2"/>
  <c r="AD1899" i="2"/>
  <c r="AD1905" i="2"/>
  <c r="AD1919" i="2"/>
  <c r="AD1925" i="2"/>
  <c r="AD1945" i="2"/>
  <c r="AD1939" i="2"/>
  <c r="AD1943" i="2"/>
  <c r="AD1949" i="2"/>
  <c r="AD1968" i="2"/>
  <c r="AD1962" i="2"/>
  <c r="AD1982" i="2"/>
  <c r="AD1988" i="2"/>
  <c r="AD1986" i="2"/>
  <c r="AD1992" i="2"/>
  <c r="AD2012" i="2"/>
  <c r="AD2006" i="2"/>
  <c r="AD2025" i="2"/>
  <c r="AD2031" i="2"/>
  <c r="AD2044" i="2"/>
  <c r="AD2050" i="2"/>
  <c r="AD2055" i="2"/>
  <c r="AD2049" i="2"/>
  <c r="AD2087" i="2"/>
  <c r="AD2093" i="2"/>
  <c r="AD2113" i="2"/>
  <c r="AD2107" i="2"/>
  <c r="AD2118" i="2"/>
  <c r="AD2112" i="2"/>
  <c r="AD2156" i="2"/>
  <c r="AD2150" i="2"/>
  <c r="AD2170" i="2"/>
  <c r="AD2176" i="2"/>
  <c r="AD2180" i="2"/>
  <c r="AD2174" i="2"/>
  <c r="AD2199" i="2"/>
  <c r="AD2193" i="2"/>
  <c r="AD2219" i="2"/>
  <c r="AD2213" i="2"/>
  <c r="AD2217" i="2"/>
  <c r="AD2223" i="2"/>
  <c r="AD2255" i="2"/>
  <c r="AD2261" i="2"/>
  <c r="AD2275" i="2"/>
  <c r="AD2281" i="2"/>
  <c r="AD2279" i="2"/>
  <c r="AD2285" i="2"/>
  <c r="AD2298" i="2"/>
  <c r="AD2304" i="2"/>
  <c r="AD2324" i="2"/>
  <c r="AD2318" i="2"/>
  <c r="AD2338" i="2"/>
  <c r="AD2344" i="2"/>
  <c r="AD2342" i="2"/>
  <c r="AD2348" i="2"/>
  <c r="AD2367" i="2"/>
  <c r="AD2361" i="2"/>
  <c r="AD2387" i="2"/>
  <c r="AD2381" i="2"/>
  <c r="AD2385" i="2"/>
  <c r="AD2391" i="2"/>
  <c r="AD2405" i="2"/>
  <c r="AD2411" i="2"/>
  <c r="AD2430" i="2"/>
  <c r="AD2424" i="2"/>
  <c r="AD2443" i="2"/>
  <c r="AD2449" i="2"/>
  <c r="AD2453" i="2"/>
  <c r="AD2447" i="2"/>
  <c r="AD2472" i="2"/>
  <c r="AD2466" i="2"/>
  <c r="AD2485" i="2"/>
  <c r="AD2491" i="2"/>
  <c r="AD2489" i="2"/>
  <c r="AD2495" i="2"/>
  <c r="AD2514" i="2"/>
  <c r="AD2508" i="2"/>
  <c r="AD2527" i="2"/>
  <c r="AD2533" i="2"/>
  <c r="AD2531" i="2"/>
  <c r="AD2537" i="2"/>
  <c r="AD2556" i="2"/>
  <c r="AD2550" i="2"/>
  <c r="AD2569" i="2"/>
  <c r="AD2575" i="2"/>
  <c r="AD2580" i="2"/>
  <c r="AD2574" i="2"/>
  <c r="AD2612" i="2"/>
  <c r="AD2618" i="2"/>
  <c r="AD2638" i="2"/>
  <c r="AD2632" i="2"/>
  <c r="AD2642" i="2"/>
  <c r="AD2636" i="2"/>
  <c r="AD2655" i="2"/>
  <c r="AD2661" i="2"/>
  <c r="AD2675" i="2"/>
  <c r="AD2681" i="2"/>
  <c r="AD2679" i="2"/>
  <c r="AD2685" i="2"/>
  <c r="AD2723" i="2"/>
  <c r="AD2717" i="2"/>
  <c r="AD2737" i="2"/>
  <c r="AD2743" i="2"/>
  <c r="AD2741" i="2"/>
  <c r="AD2747" i="2"/>
  <c r="AD2766" i="2"/>
  <c r="AD2760" i="2"/>
  <c r="AD2779" i="2"/>
  <c r="AD2785" i="2"/>
  <c r="AD2783" i="2"/>
  <c r="AD2789" i="2"/>
  <c r="AD2808" i="2"/>
  <c r="AD2802" i="2"/>
  <c r="AD2827" i="2"/>
  <c r="AD2821" i="2"/>
  <c r="AD2831" i="2"/>
  <c r="AD2825" i="2"/>
  <c r="AD2850" i="2"/>
  <c r="AD2844" i="2"/>
  <c r="AD2864" i="2"/>
  <c r="AD2870" i="2"/>
  <c r="AD2868" i="2"/>
  <c r="AD2874" i="2"/>
  <c r="AD2906" i="2"/>
  <c r="AD2912" i="2"/>
  <c r="AD2910" i="2"/>
  <c r="AD2916" i="2"/>
  <c r="AD2954" i="2"/>
  <c r="AD2948" i="2"/>
  <c r="AD2958" i="2"/>
  <c r="AD2952" i="2"/>
  <c r="AD2996" i="2"/>
  <c r="AD2990" i="2"/>
  <c r="AD2994" i="2"/>
  <c r="AD3000" i="2"/>
  <c r="AD3032" i="2"/>
  <c r="AD3038" i="2"/>
  <c r="AD4046" i="2"/>
  <c r="AD4040" i="2"/>
  <c r="AD3052" i="2"/>
  <c r="AD3058" i="2"/>
  <c r="AD4066" i="2"/>
  <c r="AD4060" i="2"/>
  <c r="AD3062" i="2"/>
  <c r="AD4070" i="2"/>
  <c r="AD4064" i="2"/>
  <c r="AD3056" i="2"/>
  <c r="AD4073" i="2"/>
  <c r="AD3065" i="2"/>
  <c r="AD4083" i="2"/>
  <c r="AD4089" i="2"/>
  <c r="AD3075" i="2"/>
  <c r="AD3081" i="2"/>
  <c r="AD4102" i="2"/>
  <c r="AD3100" i="2"/>
  <c r="AD3094" i="2"/>
  <c r="AD4108" i="2"/>
  <c r="AD4106" i="2"/>
  <c r="AD4112" i="2"/>
  <c r="AD3098" i="2"/>
  <c r="AD3104" i="2"/>
  <c r="AD4115" i="2"/>
  <c r="AD3107" i="2"/>
  <c r="AD4125" i="2"/>
  <c r="AD3123" i="2"/>
  <c r="AD3117" i="2"/>
  <c r="AD4131" i="2"/>
  <c r="AD4150" i="2"/>
  <c r="AD3142" i="2"/>
  <c r="AD4144" i="2"/>
  <c r="AD3136" i="2"/>
  <c r="AD4154" i="2"/>
  <c r="AD4148" i="2"/>
  <c r="AD3140" i="2"/>
  <c r="AD3146" i="2"/>
  <c r="AD4157" i="2"/>
  <c r="AD3149" i="2"/>
  <c r="AD3159" i="2"/>
  <c r="AD4173" i="2"/>
  <c r="AD3165" i="2"/>
  <c r="AD4167" i="2"/>
  <c r="AD4186" i="2"/>
  <c r="AD3184" i="2"/>
  <c r="AD3178" i="2"/>
  <c r="AD4192" i="2"/>
  <c r="AD4197" i="2"/>
  <c r="AD3183" i="2"/>
  <c r="AD3189" i="2"/>
  <c r="AD4191" i="2"/>
  <c r="AD4200" i="2"/>
  <c r="AD3192" i="2"/>
  <c r="AD4229" i="2"/>
  <c r="AD4235" i="2"/>
  <c r="AD3227" i="2"/>
  <c r="AD3221" i="2"/>
  <c r="AD4233" i="2"/>
  <c r="AD3231" i="2"/>
  <c r="AD3225" i="2"/>
  <c r="AD4239" i="2"/>
  <c r="AD3234" i="2"/>
  <c r="AD4242" i="2"/>
  <c r="AD3269" i="2"/>
  <c r="AD4277" i="2"/>
  <c r="AD4271" i="2"/>
  <c r="AD3263" i="2"/>
  <c r="AD4281" i="2"/>
  <c r="AD3273" i="2"/>
  <c r="AD3267" i="2"/>
  <c r="AD4275" i="2"/>
  <c r="AD3276" i="2"/>
  <c r="AD4284" i="2"/>
  <c r="AD4301" i="2"/>
  <c r="AD3287" i="2"/>
  <c r="AD3293" i="2"/>
  <c r="AD4295" i="2"/>
  <c r="AD4304" i="2"/>
  <c r="AD3296" i="2"/>
  <c r="AD4320" i="2"/>
  <c r="AD4314" i="2"/>
  <c r="AD3312" i="2"/>
  <c r="AD3306" i="2"/>
  <c r="AD4333" i="2"/>
  <c r="AD3331" i="2"/>
  <c r="AD3325" i="2"/>
  <c r="AD4339" i="2"/>
  <c r="AD3330" i="2"/>
  <c r="AD4344" i="2"/>
  <c r="AD3336" i="2"/>
  <c r="AD4338" i="2"/>
  <c r="AD3339" i="2"/>
  <c r="AD4347" i="2"/>
  <c r="AD3374" i="2"/>
  <c r="AD3368" i="2"/>
  <c r="AD4382" i="2"/>
  <c r="AD4376" i="2"/>
  <c r="AD4386" i="2"/>
  <c r="AD3378" i="2"/>
  <c r="AD3372" i="2"/>
  <c r="AD4380" i="2"/>
  <c r="AD4389" i="2"/>
  <c r="AD3381" i="2"/>
  <c r="AD4418" i="2"/>
  <c r="AD3410" i="2"/>
  <c r="AD4424" i="2"/>
  <c r="AD3416" i="2"/>
  <c r="AD4438" i="2"/>
  <c r="AD3430" i="2"/>
  <c r="AD4444" i="2"/>
  <c r="AD3436" i="2"/>
  <c r="AD4442" i="2"/>
  <c r="AD4448" i="2"/>
  <c r="AD3434" i="2"/>
  <c r="AD3440" i="2"/>
  <c r="AD4451" i="2"/>
  <c r="AD3443" i="2"/>
  <c r="AD4467" i="2"/>
  <c r="AD4461" i="2"/>
  <c r="AD3459" i="2"/>
  <c r="AD3453" i="2"/>
  <c r="AD3473" i="2"/>
  <c r="AD3479" i="2"/>
  <c r="AD4487" i="2"/>
  <c r="AD4481" i="2"/>
  <c r="AD4501" i="2"/>
  <c r="AD3493" i="2"/>
  <c r="AD3499" i="2"/>
  <c r="AD4507" i="2"/>
  <c r="AD4506" i="2"/>
  <c r="AD4512" i="2"/>
  <c r="AD3498" i="2"/>
  <c r="AD3504" i="2"/>
  <c r="AD3507" i="2"/>
  <c r="AD4515" i="2"/>
  <c r="AD3542" i="2"/>
  <c r="AD4550" i="2"/>
  <c r="AD4544" i="2"/>
  <c r="AD3536" i="2"/>
  <c r="AD3546" i="2"/>
  <c r="AD4554" i="2"/>
  <c r="AD3540" i="2"/>
  <c r="AD4548" i="2"/>
  <c r="AD4557" i="2"/>
  <c r="AD3549" i="2"/>
  <c r="AD4592" i="2"/>
  <c r="AD3578" i="2"/>
  <c r="AD4586" i="2"/>
  <c r="AD3584" i="2"/>
  <c r="AD3582" i="2"/>
  <c r="AD3588" i="2"/>
  <c r="AD4596" i="2"/>
  <c r="AD4590" i="2"/>
  <c r="AD4599" i="2"/>
  <c r="AD3591" i="2"/>
  <c r="AD3626" i="2"/>
  <c r="AD3620" i="2"/>
  <c r="AD4628" i="2"/>
  <c r="AD4634" i="2"/>
  <c r="AD3630" i="2"/>
  <c r="AD3624" i="2"/>
  <c r="AD4638" i="2"/>
  <c r="AD4632" i="2"/>
  <c r="AD3633" i="2"/>
  <c r="AD4641" i="2"/>
  <c r="AD3662" i="2"/>
  <c r="AD3668" i="2"/>
  <c r="AD4670" i="2"/>
  <c r="AD4676" i="2"/>
  <c r="AD3672" i="2"/>
  <c r="AD3666" i="2"/>
  <c r="AD4680" i="2"/>
  <c r="AD4674" i="2"/>
  <c r="AD3675" i="2"/>
  <c r="AD4683" i="2"/>
  <c r="AD3710" i="2"/>
  <c r="AD3704" i="2"/>
  <c r="AD4712" i="2"/>
  <c r="AD4718" i="2"/>
  <c r="AD3708" i="2"/>
  <c r="AD3714" i="2"/>
  <c r="AD4722" i="2"/>
  <c r="AD4716" i="2"/>
  <c r="AD3717" i="2"/>
  <c r="AD4725" i="2"/>
  <c r="AD3746" i="2"/>
  <c r="AD3752" i="2"/>
  <c r="AD4754" i="2"/>
  <c r="AD4760" i="2"/>
  <c r="AD3756" i="2"/>
  <c r="AD3750" i="2"/>
  <c r="AD4764" i="2"/>
  <c r="AD4758" i="2"/>
  <c r="AD3759" i="2"/>
  <c r="AD4767" i="2"/>
  <c r="AD3788" i="2"/>
  <c r="AD3794" i="2"/>
  <c r="AD4796" i="2"/>
  <c r="AD4802" i="2"/>
  <c r="AD3798" i="2"/>
  <c r="AD3792" i="2"/>
  <c r="AD4806" i="2"/>
  <c r="AD4800" i="2"/>
  <c r="AD3801" i="2"/>
  <c r="AD4809" i="2"/>
  <c r="AD3830" i="2"/>
  <c r="AD3836" i="2"/>
  <c r="AD4844" i="2"/>
  <c r="AD4838" i="2"/>
  <c r="AD3834" i="2"/>
  <c r="AD3840" i="2"/>
  <c r="AD4848" i="2"/>
  <c r="AD4842" i="2"/>
  <c r="AD3843" i="2"/>
  <c r="AD4851" i="2"/>
  <c r="AD3878" i="2"/>
  <c r="AD3872" i="2"/>
  <c r="AD4880" i="2"/>
  <c r="AD4886" i="2"/>
  <c r="AD3882" i="2"/>
  <c r="AD3876" i="2"/>
  <c r="AD4884" i="2"/>
  <c r="AD4890" i="2"/>
  <c r="AD3885" i="2"/>
  <c r="AD4893" i="2"/>
  <c r="AD3914" i="2"/>
  <c r="AD4928" i="2"/>
  <c r="AD4922" i="2"/>
  <c r="AD3920" i="2"/>
  <c r="AD4926" i="2"/>
  <c r="AD3918" i="2"/>
  <c r="AD4932" i="2"/>
  <c r="AD3924" i="2"/>
  <c r="AD4935" i="2"/>
  <c r="AD3927" i="2"/>
  <c r="AD3962" i="2"/>
  <c r="AD4964" i="2"/>
  <c r="AD4970" i="2"/>
  <c r="AD3956" i="2"/>
  <c r="AD3966" i="2"/>
  <c r="AD4974" i="2"/>
  <c r="AD4968" i="2"/>
  <c r="AD3960" i="2"/>
  <c r="AD3969" i="2"/>
  <c r="AD4977" i="2"/>
  <c r="AD3998" i="2"/>
  <c r="AD5012" i="2"/>
  <c r="AD4004" i="2"/>
  <c r="AD5006" i="2"/>
  <c r="AD5016" i="2"/>
  <c r="AD4002" i="2"/>
  <c r="AD4008" i="2"/>
  <c r="AD5010" i="2"/>
  <c r="AD4011" i="2"/>
  <c r="AD5019" i="2"/>
  <c r="AC647" i="2"/>
  <c r="AC627" i="2"/>
  <c r="AC651" i="2"/>
  <c r="AC670" i="2"/>
  <c r="AC631" i="2"/>
  <c r="AC667" i="2"/>
  <c r="AC643" i="2"/>
  <c r="AC683" i="2"/>
  <c r="AC659" i="2"/>
  <c r="AC687" i="2"/>
  <c r="AC619" i="2"/>
  <c r="AC623" i="2"/>
  <c r="AC635" i="2"/>
  <c r="AC639" i="2"/>
  <c r="AC675" i="2"/>
  <c r="AC679" i="2"/>
  <c r="AC663" i="2"/>
  <c r="AC671" i="2"/>
  <c r="AC779" i="2"/>
  <c r="AC655" i="2"/>
  <c r="AC699" i="2"/>
  <c r="AD28" i="2"/>
  <c r="Y3" i="2" a="1"/>
  <c r="Y3" i="2" s="1"/>
  <c r="AD22" i="2" s="1" a="1"/>
  <c r="AD22" i="2" s="1"/>
  <c r="AD48" i="2" s="1"/>
  <c r="X3" i="2" a="1"/>
  <c r="X3" i="2" s="1"/>
  <c r="AD21" i="2" s="1" a="1"/>
  <c r="AD21" i="2" s="1"/>
  <c r="AD47" i="2" s="1"/>
  <c r="Y10" i="2" a="1"/>
  <c r="Y10" i="2" s="1"/>
  <c r="AR22" i="2" s="1" a="1"/>
  <c r="AR22" i="2" s="1"/>
  <c r="AD342" i="2" s="1"/>
  <c r="X10" i="2" a="1"/>
  <c r="X10" i="2" s="1"/>
  <c r="AR21" i="2" s="1" a="1"/>
  <c r="AR21" i="2" s="1"/>
  <c r="AD341" i="2" s="1"/>
  <c r="AF22" i="2" a="1"/>
  <c r="AF22" i="2" s="1"/>
  <c r="AD90" i="2" s="1"/>
  <c r="AF21" i="2" a="1"/>
  <c r="AF21" i="2" s="1"/>
  <c r="AD89" i="2" s="1"/>
  <c r="AJ22" i="2" a="1"/>
  <c r="AJ22" i="2" s="1"/>
  <c r="AD174" i="2" s="1"/>
  <c r="AJ21" i="2" a="1"/>
  <c r="AJ21" i="2" s="1"/>
  <c r="AD173" i="2" s="1"/>
  <c r="AN21" i="2" a="1"/>
  <c r="AN21" i="2" s="1"/>
  <c r="AD257" i="2" s="1"/>
  <c r="AN22" i="2" a="1"/>
  <c r="AN22" i="2" s="1"/>
  <c r="AD258" i="2" s="1"/>
  <c r="Y13" i="2" a="1"/>
  <c r="Y13" i="2" s="1"/>
  <c r="AV22" i="2" s="1" a="1"/>
  <c r="AV22" i="2" s="1"/>
  <c r="AD426" i="2" s="1"/>
  <c r="X13" i="2" a="1"/>
  <c r="X13" i="2" s="1"/>
  <c r="AV21" i="2" s="1" a="1"/>
  <c r="AV21" i="2" s="1"/>
  <c r="AD425" i="2" s="1"/>
  <c r="AX22" i="2" a="1"/>
  <c r="AX22" i="2" s="1"/>
  <c r="AD468" i="2" s="1"/>
  <c r="AX21" i="2" a="1"/>
  <c r="AX21" i="2" s="1"/>
  <c r="AD467" i="2" s="1"/>
  <c r="Y16" i="2" a="1"/>
  <c r="Y16" i="2" s="1"/>
  <c r="AZ22" i="2" s="1" a="1"/>
  <c r="AZ22" i="2" s="1"/>
  <c r="AD510" i="2" s="1"/>
  <c r="X16" i="2" a="1"/>
  <c r="X16" i="2" s="1"/>
  <c r="AZ21" i="2" s="1" a="1"/>
  <c r="AZ21" i="2" s="1"/>
  <c r="AD509" i="2" s="1"/>
  <c r="Y18" i="2" a="1"/>
  <c r="Y18" i="2" s="1"/>
  <c r="BB22" i="2" s="1" a="1"/>
  <c r="BB22" i="2" s="1"/>
  <c r="AD552" i="2" s="1"/>
  <c r="X18" i="2" a="1"/>
  <c r="X18" i="2" s="1"/>
  <c r="BB21" i="2" s="1" a="1"/>
  <c r="BB21" i="2" s="1"/>
  <c r="AD551" i="2" s="1"/>
  <c r="X20" i="2" a="1"/>
  <c r="X20" i="2" s="1"/>
  <c r="BD21" i="2" s="1" a="1"/>
  <c r="BD21" i="2" s="1"/>
  <c r="AD593" i="2" s="1"/>
  <c r="Y20" i="2" a="1"/>
  <c r="Y20" i="2" s="1"/>
  <c r="BD22" i="2" s="1" a="1"/>
  <c r="BD22" i="2" s="1"/>
  <c r="AD594" i="2" s="1"/>
  <c r="Y22" i="2" a="1"/>
  <c r="Y22" i="2" s="1"/>
  <c r="BF22" i="2" s="1" a="1"/>
  <c r="BF22" i="2" s="1"/>
  <c r="AD636" i="2" s="1"/>
  <c r="X22" i="2" a="1"/>
  <c r="X22" i="2" s="1"/>
  <c r="BF21" i="2" s="1" a="1"/>
  <c r="BF21" i="2" s="1"/>
  <c r="AD635" i="2" s="1"/>
  <c r="BH22" i="2" a="1"/>
  <c r="BH22" i="2" s="1"/>
  <c r="AD678" i="2" s="1"/>
  <c r="BH21" i="2" a="1"/>
  <c r="BH21" i="2" s="1"/>
  <c r="AD677" i="2" s="1"/>
  <c r="BJ22" i="2" a="1"/>
  <c r="BJ22" i="2" s="1"/>
  <c r="AD720" i="2" s="1"/>
  <c r="BJ21" i="2" a="1"/>
  <c r="BJ21" i="2" s="1"/>
  <c r="AD719" i="2" s="1"/>
  <c r="BL22" i="2" a="1"/>
  <c r="BL22" i="2" s="1"/>
  <c r="AD762" i="2" s="1"/>
  <c r="BL21" i="2" a="1"/>
  <c r="BL21" i="2" s="1"/>
  <c r="AD761" i="2" s="1"/>
  <c r="BN22" i="2" a="1"/>
  <c r="BN22" i="2" s="1"/>
  <c r="AD804" i="2" s="1"/>
  <c r="BN21" i="2" a="1"/>
  <c r="BN21" i="2" s="1"/>
  <c r="AD803" i="2" s="1"/>
  <c r="BP22" i="2" a="1"/>
  <c r="BP22" i="2" s="1"/>
  <c r="AD846" i="2" s="1"/>
  <c r="BP21" i="2" a="1"/>
  <c r="BP21" i="2" s="1"/>
  <c r="AD845" i="2" s="1"/>
  <c r="Y28" i="2" a="1"/>
  <c r="Y28" i="2" s="1"/>
  <c r="BR22" i="2" s="1" a="1"/>
  <c r="BR22" i="2" s="1"/>
  <c r="AD888" i="2" s="1"/>
  <c r="X28" i="2" a="1"/>
  <c r="X28" i="2" s="1"/>
  <c r="BR21" i="2" s="1" a="1"/>
  <c r="BR21" i="2" s="1"/>
  <c r="AD887" i="2" s="1"/>
  <c r="Y30" i="2" a="1"/>
  <c r="Y30" i="2" s="1"/>
  <c r="BT22" i="2" s="1" a="1"/>
  <c r="BT22" i="2" s="1"/>
  <c r="AD930" i="2" s="1"/>
  <c r="X30" i="2" a="1"/>
  <c r="X30" i="2" s="1"/>
  <c r="BT21" i="2" s="1" a="1"/>
  <c r="BT21" i="2" s="1"/>
  <c r="AD929" i="2" s="1"/>
  <c r="Y32" i="2" a="1"/>
  <c r="Y32" i="2" s="1"/>
  <c r="BV22" i="2" s="1" a="1"/>
  <c r="BV22" i="2" s="1"/>
  <c r="AD972" i="2" s="1"/>
  <c r="X32" i="2" a="1"/>
  <c r="X32" i="2" s="1"/>
  <c r="BV21" i="2" s="1" a="1"/>
  <c r="BV21" i="2" s="1"/>
  <c r="AD971" i="2" s="1"/>
  <c r="Y34" i="2" a="1"/>
  <c r="Y34" i="2" s="1"/>
  <c r="BX22" i="2" s="1" a="1"/>
  <c r="BX22" i="2" s="1"/>
  <c r="AD1014" i="2" s="1"/>
  <c r="X34" i="2" a="1"/>
  <c r="X34" i="2" s="1"/>
  <c r="BX21" i="2" s="1" a="1"/>
  <c r="BX21" i="2" s="1"/>
  <c r="AD1013" i="2" s="1"/>
  <c r="Y36" i="2" a="1"/>
  <c r="Y36" i="2" s="1"/>
  <c r="BZ22" i="2" s="1" a="1"/>
  <c r="BZ22" i="2" s="1"/>
  <c r="AD1056" i="2" s="1"/>
  <c r="X36" i="2" a="1"/>
  <c r="X36" i="2" s="1"/>
  <c r="BZ21" i="2" s="1" a="1"/>
  <c r="BZ21" i="2" s="1"/>
  <c r="AD1055" i="2" s="1"/>
  <c r="Y37" i="2" a="1"/>
  <c r="Y37" i="2" s="1"/>
  <c r="CB22" i="2" s="1" a="1"/>
  <c r="CB22" i="2" s="1"/>
  <c r="AD1098" i="2" s="1"/>
  <c r="X37" i="2" a="1"/>
  <c r="X37" i="2" s="1"/>
  <c r="CB21" i="2" s="1" a="1"/>
  <c r="CB21" i="2" s="1"/>
  <c r="AD1097" i="2" s="1"/>
  <c r="Y39" i="2" a="1"/>
  <c r="Y39" i="2" s="1"/>
  <c r="CD22" i="2" s="1" a="1"/>
  <c r="CD22" i="2" s="1"/>
  <c r="AD1140" i="2" s="1"/>
  <c r="X39" i="2" a="1"/>
  <c r="X39" i="2" s="1"/>
  <c r="CD21" i="2" s="1" a="1"/>
  <c r="CD21" i="2" s="1"/>
  <c r="AD1139" i="2" s="1"/>
  <c r="Y41" i="2" a="1"/>
  <c r="Y41" i="2" s="1"/>
  <c r="CF22" i="2" s="1" a="1"/>
  <c r="CF22" i="2" s="1"/>
  <c r="AD1182" i="2" s="1"/>
  <c r="X41" i="2" a="1"/>
  <c r="X41" i="2" s="1"/>
  <c r="CF21" i="2" s="1" a="1"/>
  <c r="CF21" i="2" s="1"/>
  <c r="AD1181" i="2" s="1"/>
  <c r="Y43" i="2" a="1"/>
  <c r="Y43" i="2" s="1"/>
  <c r="CH22" i="2" s="1" a="1"/>
  <c r="CH22" i="2" s="1"/>
  <c r="AD1224" i="2" s="1"/>
  <c r="X43" i="2" a="1"/>
  <c r="X43" i="2" s="1"/>
  <c r="CH21" i="2" s="1" a="1"/>
  <c r="CH21" i="2" s="1"/>
  <c r="AD1223" i="2" s="1"/>
  <c r="X44" i="2" a="1"/>
  <c r="X44" i="2" s="1"/>
  <c r="CJ21" i="2" s="1" a="1"/>
  <c r="CJ21" i="2" s="1"/>
  <c r="AD1265" i="2" s="1"/>
  <c r="Y44" i="2" a="1"/>
  <c r="Y44" i="2" s="1"/>
  <c r="CJ22" i="2" s="1" a="1"/>
  <c r="CJ22" i="2" s="1"/>
  <c r="AD1266" i="2" s="1"/>
  <c r="Y46" i="2" a="1"/>
  <c r="Y46" i="2" s="1"/>
  <c r="CL22" i="2" s="1" a="1"/>
  <c r="CL22" i="2" s="1"/>
  <c r="AD1308" i="2" s="1"/>
  <c r="X46" i="2" a="1"/>
  <c r="X46" i="2" s="1"/>
  <c r="CL21" i="2" s="1" a="1"/>
  <c r="CL21" i="2" s="1"/>
  <c r="AD1307" i="2" s="1"/>
  <c r="Y48" i="2" a="1"/>
  <c r="Y48" i="2" s="1"/>
  <c r="CN22" i="2" s="1" a="1"/>
  <c r="CN22" i="2" s="1"/>
  <c r="AD1350" i="2" s="1"/>
  <c r="X48" i="2" a="1"/>
  <c r="X48" i="2" s="1"/>
  <c r="CN21" i="2" s="1" a="1"/>
  <c r="CN21" i="2" s="1"/>
  <c r="AD1349" i="2" s="1"/>
  <c r="Y50" i="2" a="1"/>
  <c r="Y50" i="2" s="1"/>
  <c r="CP22" i="2" s="1" a="1"/>
  <c r="CP22" i="2" s="1"/>
  <c r="AD1392" i="2" s="1"/>
  <c r="X50" i="2" a="1"/>
  <c r="X50" i="2" s="1"/>
  <c r="CP21" i="2" s="1" a="1"/>
  <c r="CP21" i="2" s="1"/>
  <c r="AD1391" i="2" s="1"/>
  <c r="Y52" i="2" a="1"/>
  <c r="Y52" i="2" s="1"/>
  <c r="CR22" i="2" s="1" a="1"/>
  <c r="CR22" i="2" s="1"/>
  <c r="AD1434" i="2" s="1"/>
  <c r="X52" i="2" a="1"/>
  <c r="X52" i="2" s="1"/>
  <c r="CR21" i="2" s="1" a="1"/>
  <c r="CR21" i="2" s="1"/>
  <c r="AD1433" i="2" s="1"/>
  <c r="Y54" i="2" a="1"/>
  <c r="Y54" i="2" s="1"/>
  <c r="CT22" i="2" s="1" a="1"/>
  <c r="CT22" i="2" s="1"/>
  <c r="AD1476" i="2" s="1"/>
  <c r="X54" i="2" a="1"/>
  <c r="X54" i="2" s="1"/>
  <c r="CT21" i="2" s="1" a="1"/>
  <c r="CT21" i="2" s="1"/>
  <c r="AD1475" i="2" s="1"/>
  <c r="Y56" i="2" a="1"/>
  <c r="Y56" i="2" s="1"/>
  <c r="CV22" i="2" s="1" a="1"/>
  <c r="CV22" i="2" s="1"/>
  <c r="AD1518" i="2" s="1"/>
  <c r="X56" i="2" a="1"/>
  <c r="X56" i="2" s="1"/>
  <c r="CV21" i="2" s="1" a="1"/>
  <c r="CV21" i="2" s="1"/>
  <c r="AD1517" i="2" s="1"/>
  <c r="Y58" i="2" a="1"/>
  <c r="Y58" i="2" s="1"/>
  <c r="CX22" i="2" s="1" a="1"/>
  <c r="CX22" i="2" s="1"/>
  <c r="AD1560" i="2" s="1"/>
  <c r="X58" i="2" a="1"/>
  <c r="X58" i="2" s="1"/>
  <c r="CX21" i="2" s="1" a="1"/>
  <c r="CX21" i="2" s="1"/>
  <c r="AD1559" i="2" s="1"/>
  <c r="Y60" i="2" a="1"/>
  <c r="Y60" i="2" s="1"/>
  <c r="CZ22" i="2" s="1" a="1"/>
  <c r="CZ22" i="2" s="1"/>
  <c r="AD1602" i="2" s="1"/>
  <c r="X60" i="2" a="1"/>
  <c r="X60" i="2" s="1"/>
  <c r="CZ21" i="2" s="1" a="1"/>
  <c r="CZ21" i="2" s="1"/>
  <c r="AD1601" i="2" s="1"/>
  <c r="Y61" i="2" a="1"/>
  <c r="Y61" i="2" s="1"/>
  <c r="DB22" i="2" s="1" a="1"/>
  <c r="DB22" i="2" s="1"/>
  <c r="AD1644" i="2" s="1"/>
  <c r="X61" i="2" a="1"/>
  <c r="X61" i="2" s="1"/>
  <c r="DB21" i="2" s="1" a="1"/>
  <c r="DB21" i="2" s="1"/>
  <c r="AD1643" i="2" s="1"/>
  <c r="Y62" i="2" a="1"/>
  <c r="Y62" i="2" s="1"/>
  <c r="DD22" i="2" s="1" a="1"/>
  <c r="DD22" i="2" s="1"/>
  <c r="AD1686" i="2" s="1"/>
  <c r="X62" i="2" a="1"/>
  <c r="X62" i="2" s="1"/>
  <c r="DD21" i="2" s="1" a="1"/>
  <c r="DD21" i="2" s="1"/>
  <c r="AD1685" i="2" s="1"/>
  <c r="Y64" i="2" a="1"/>
  <c r="Y64" i="2" s="1"/>
  <c r="DF22" i="2" s="1" a="1"/>
  <c r="DF22" i="2" s="1"/>
  <c r="AD1728" i="2" s="1"/>
  <c r="X64" i="2" a="1"/>
  <c r="X64" i="2" s="1"/>
  <c r="DF21" i="2" s="1" a="1"/>
  <c r="DF21" i="2" s="1"/>
  <c r="AD1727" i="2" s="1"/>
  <c r="DH22" i="2" a="1"/>
  <c r="DH22" i="2" s="1"/>
  <c r="AD1770" i="2" s="1"/>
  <c r="DH21" i="2" a="1"/>
  <c r="DH21" i="2" s="1"/>
  <c r="AD1769" i="2" s="1"/>
  <c r="Y67" i="2" a="1"/>
  <c r="Y67" i="2" s="1"/>
  <c r="DJ22" i="2" s="1" a="1"/>
  <c r="DJ22" i="2" s="1"/>
  <c r="AD1812" i="2" s="1"/>
  <c r="X67" i="2" a="1"/>
  <c r="X67" i="2" s="1"/>
  <c r="DJ21" i="2" s="1" a="1"/>
  <c r="DJ21" i="2" s="1"/>
  <c r="AD1811" i="2" s="1"/>
  <c r="Y69" i="2" a="1"/>
  <c r="Y69" i="2" s="1"/>
  <c r="DL22" i="2" s="1" a="1"/>
  <c r="DL22" i="2" s="1"/>
  <c r="AD1854" i="2" s="1"/>
  <c r="X69" i="2" a="1"/>
  <c r="X69" i="2" s="1"/>
  <c r="DL21" i="2" s="1" a="1"/>
  <c r="DL21" i="2" s="1"/>
  <c r="AD1853" i="2" s="1"/>
  <c r="Y70" i="2" a="1"/>
  <c r="Y70" i="2" s="1"/>
  <c r="DN22" i="2" s="1" a="1"/>
  <c r="DN22" i="2" s="1"/>
  <c r="AD1896" i="2" s="1"/>
  <c r="X70" i="2" a="1"/>
  <c r="X70" i="2" s="1"/>
  <c r="DN21" i="2" s="1" a="1"/>
  <c r="DN21" i="2" s="1"/>
  <c r="AD1895" i="2" s="1"/>
  <c r="DP21" i="2" a="1"/>
  <c r="DP21" i="2" s="1"/>
  <c r="AD1937" i="2" s="1"/>
  <c r="DP22" i="2" a="1"/>
  <c r="DP22" i="2" s="1"/>
  <c r="AD1938" i="2" s="1"/>
  <c r="DR22" i="2" a="1"/>
  <c r="DR22" i="2" s="1"/>
  <c r="AD1980" i="2" s="1"/>
  <c r="DR21" i="2" a="1"/>
  <c r="DR21" i="2" s="1"/>
  <c r="AD1979" i="2" s="1"/>
  <c r="DT22" i="2" a="1"/>
  <c r="DT22" i="2" s="1"/>
  <c r="AD2022" i="2" s="1"/>
  <c r="DT21" i="2" a="1"/>
  <c r="DT21" i="2" s="1"/>
  <c r="AD2021" i="2" s="1"/>
  <c r="DV22" i="2" a="1"/>
  <c r="DV22" i="2" s="1"/>
  <c r="AD2064" i="2" s="1"/>
  <c r="DV21" i="2" a="1"/>
  <c r="DV21" i="2" s="1"/>
  <c r="AD2063" i="2" s="1"/>
  <c r="DX22" i="2" a="1"/>
  <c r="DX22" i="2" s="1"/>
  <c r="AD2106" i="2" s="1"/>
  <c r="DX21" i="2" a="1"/>
  <c r="DX21" i="2" s="1"/>
  <c r="AD2105" i="2" s="1"/>
  <c r="Y75" i="2" a="1"/>
  <c r="Y75" i="2" s="1"/>
  <c r="DZ22" i="2" s="1" a="1"/>
  <c r="DZ22" i="2" s="1"/>
  <c r="AD2148" i="2" s="1"/>
  <c r="X75" i="2" a="1"/>
  <c r="X75" i="2" s="1"/>
  <c r="DZ21" i="2" s="1" a="1"/>
  <c r="DZ21" i="2" s="1"/>
  <c r="AD2147" i="2" s="1"/>
  <c r="Y76" i="2" a="1"/>
  <c r="Y76" i="2" s="1"/>
  <c r="EB22" i="2" s="1" a="1"/>
  <c r="EB22" i="2" s="1"/>
  <c r="AD2190" i="2" s="1"/>
  <c r="X76" i="2" a="1"/>
  <c r="X76" i="2" s="1"/>
  <c r="EB21" i="2" s="1" a="1"/>
  <c r="EB21" i="2" s="1"/>
  <c r="AD2189" i="2" s="1"/>
  <c r="Y77" i="2" a="1"/>
  <c r="Y77" i="2" s="1"/>
  <c r="ED22" i="2" s="1" a="1"/>
  <c r="ED22" i="2" s="1"/>
  <c r="AD2232" i="2" s="1"/>
  <c r="X77" i="2" a="1"/>
  <c r="X77" i="2" s="1"/>
  <c r="ED21" i="2" s="1" a="1"/>
  <c r="ED21" i="2" s="1"/>
  <c r="AD2231" i="2" s="1"/>
  <c r="EF22" i="2" a="1"/>
  <c r="EF22" i="2" s="1"/>
  <c r="AD2274" i="2" s="1"/>
  <c r="EF21" i="2" a="1"/>
  <c r="EF21" i="2" s="1"/>
  <c r="AD2273" i="2" s="1"/>
  <c r="EH22" i="2" a="1"/>
  <c r="EH22" i="2" s="1"/>
  <c r="AD2316" i="2" s="1"/>
  <c r="EH21" i="2" a="1"/>
  <c r="EH21" i="2" s="1"/>
  <c r="AD2315" i="2" s="1"/>
  <c r="Y80" i="2" a="1"/>
  <c r="Y80" i="2" s="1"/>
  <c r="EJ22" i="2" s="1" a="1"/>
  <c r="EJ22" i="2" s="1"/>
  <c r="AD2358" i="2" s="1"/>
  <c r="X80" i="2" a="1"/>
  <c r="X80" i="2" s="1"/>
  <c r="EJ21" i="2" s="1" a="1"/>
  <c r="EJ21" i="2" s="1"/>
  <c r="AD2357" i="2" s="1"/>
  <c r="Y81" i="2" a="1"/>
  <c r="Y81" i="2" s="1"/>
  <c r="EL22" i="2" s="1" a="1"/>
  <c r="EL22" i="2" s="1"/>
  <c r="AD2400" i="2" s="1"/>
  <c r="X81" i="2" a="1"/>
  <c r="X81" i="2" s="1"/>
  <c r="EL21" i="2" s="1" a="1"/>
  <c r="EL21" i="2" s="1"/>
  <c r="AD2399" i="2" s="1"/>
  <c r="Y82" i="2" a="1"/>
  <c r="Y82" i="2" s="1"/>
  <c r="EN22" i="2" s="1" a="1"/>
  <c r="EN22" i="2" s="1"/>
  <c r="AD2442" i="2" s="1"/>
  <c r="X82" i="2" a="1"/>
  <c r="X82" i="2" s="1"/>
  <c r="EN21" i="2" s="1" a="1"/>
  <c r="EN21" i="2" s="1"/>
  <c r="AD2441" i="2" s="1"/>
  <c r="Y84" i="2" a="1"/>
  <c r="Y84" i="2" s="1"/>
  <c r="EP22" i="2" s="1" a="1"/>
  <c r="EP22" i="2" s="1"/>
  <c r="AD2484" i="2" s="1"/>
  <c r="X84" i="2" a="1"/>
  <c r="X84" i="2" s="1"/>
  <c r="EP21" i="2" s="1" a="1"/>
  <c r="EP21" i="2" s="1"/>
  <c r="AD2483" i="2" s="1"/>
  <c r="Y86" i="2" a="1"/>
  <c r="Y86" i="2" s="1"/>
  <c r="ER22" i="2" s="1" a="1"/>
  <c r="ER22" i="2" s="1"/>
  <c r="AD2526" i="2" s="1"/>
  <c r="X86" i="2" a="1"/>
  <c r="X86" i="2" s="1"/>
  <c r="ER21" i="2" s="1" a="1"/>
  <c r="ER21" i="2" s="1"/>
  <c r="AD2525" i="2" s="1"/>
  <c r="Y88" i="2" a="1"/>
  <c r="Y88" i="2" s="1"/>
  <c r="X88" i="2" a="1"/>
  <c r="X88" i="2" s="1"/>
  <c r="X89" i="2" a="1"/>
  <c r="X89" i="2" s="1"/>
  <c r="Y89" i="2" a="1"/>
  <c r="Y89" i="2" s="1"/>
  <c r="Y90" i="2" a="1"/>
  <c r="Y90" i="2" s="1"/>
  <c r="X90" i="2" a="1"/>
  <c r="X90" i="2" s="1"/>
  <c r="Y91" i="2" a="1"/>
  <c r="Y91" i="2" s="1"/>
  <c r="X91" i="2" a="1"/>
  <c r="X91" i="2" s="1"/>
  <c r="Y94" i="2" a="1"/>
  <c r="Y94" i="2" s="1"/>
  <c r="X94" i="2" a="1"/>
  <c r="X94" i="2" s="1"/>
  <c r="Y96" i="2" a="1"/>
  <c r="Y96" i="2" s="1"/>
  <c r="X96" i="2" a="1"/>
  <c r="X96" i="2" s="1"/>
  <c r="Y99" i="2" a="1"/>
  <c r="Y99" i="2" s="1"/>
  <c r="X99" i="2" a="1"/>
  <c r="X99" i="2" s="1"/>
  <c r="Y101" i="2" a="1"/>
  <c r="Y101" i="2" s="1"/>
  <c r="X101" i="2" a="1"/>
  <c r="X101" i="2" s="1"/>
  <c r="Y103" i="2" a="1"/>
  <c r="Y103" i="2" s="1"/>
  <c r="X103" i="2" a="1"/>
  <c r="X103" i="2" s="1"/>
  <c r="X105" i="2" a="1"/>
  <c r="X105" i="2" s="1"/>
  <c r="Y105" i="2" a="1"/>
  <c r="Y105" i="2" s="1"/>
  <c r="Y106" i="2" a="1"/>
  <c r="Y106" i="2" s="1"/>
  <c r="X106" i="2" a="1"/>
  <c r="X106" i="2" s="1"/>
  <c r="Y108" i="2" a="1"/>
  <c r="Y108" i="2" s="1"/>
  <c r="X108" i="2" a="1"/>
  <c r="X108" i="2" s="1"/>
  <c r="X110" i="2" a="1"/>
  <c r="X110" i="2" s="1"/>
  <c r="Y110" i="2" a="1"/>
  <c r="Y110" i="2" s="1"/>
  <c r="X113" i="2" a="1"/>
  <c r="X113" i="2" s="1"/>
  <c r="Y113" i="2" a="1"/>
  <c r="Y113" i="2" s="1"/>
  <c r="Y115" i="2" a="1"/>
  <c r="Y115" i="2" s="1"/>
  <c r="X115" i="2" a="1"/>
  <c r="X115" i="2" s="1"/>
  <c r="Y116" i="2" a="1"/>
  <c r="Y116" i="2" s="1"/>
  <c r="X116" i="2" a="1"/>
  <c r="X116" i="2" s="1"/>
  <c r="X117" i="2" a="1"/>
  <c r="X117" i="2" s="1"/>
  <c r="Y117" i="2" a="1"/>
  <c r="Y117" i="2" s="1"/>
  <c r="Y119" i="2" a="1"/>
  <c r="Y119" i="2" s="1"/>
  <c r="X119" i="2" a="1"/>
  <c r="X119" i="2" s="1"/>
  <c r="Y120" i="2" a="1"/>
  <c r="Y120" i="2" s="1"/>
  <c r="X120" i="2" a="1"/>
  <c r="X120" i="2" s="1"/>
  <c r="Y121" i="2" a="1"/>
  <c r="Y121" i="2" s="1"/>
  <c r="X121" i="2" a="1"/>
  <c r="X121" i="2" s="1"/>
  <c r="Y123" i="2" a="1"/>
  <c r="Y123" i="2" s="1"/>
  <c r="X123" i="2" a="1"/>
  <c r="X123" i="2" s="1"/>
  <c r="Y125" i="2" a="1"/>
  <c r="Y125" i="2" s="1"/>
  <c r="X125" i="2" a="1"/>
  <c r="X125" i="2" s="1"/>
  <c r="Y127" i="2" a="1"/>
  <c r="Y127" i="2" s="1"/>
  <c r="X127" i="2" a="1"/>
  <c r="X127" i="2" s="1"/>
  <c r="Y129" i="2" a="1"/>
  <c r="Y129" i="2" s="1"/>
  <c r="X129" i="2" a="1"/>
  <c r="X129" i="2" s="1"/>
  <c r="X131" i="2" a="1"/>
  <c r="X131" i="2" s="1"/>
  <c r="FB21" i="2" s="1" a="1"/>
  <c r="FB21" i="2" s="1"/>
  <c r="AD2735" i="2" s="1"/>
  <c r="Y131" i="2" a="1"/>
  <c r="Y131" i="2" s="1"/>
  <c r="Y133" i="2" a="1"/>
  <c r="Y133" i="2" s="1"/>
  <c r="X133" i="2" a="1"/>
  <c r="X133" i="2" s="1"/>
  <c r="Y135" i="2" a="1"/>
  <c r="Y135" i="2" s="1"/>
  <c r="X135" i="2" a="1"/>
  <c r="X135" i="2" s="1"/>
  <c r="Y137" i="2" a="1"/>
  <c r="Y137" i="2" s="1"/>
  <c r="X137" i="2" a="1"/>
  <c r="X137" i="2" s="1"/>
  <c r="Y139" i="2" a="1"/>
  <c r="Y139" i="2" s="1"/>
  <c r="X139" i="2" a="1"/>
  <c r="X139" i="2" s="1"/>
  <c r="Y141" i="2" a="1"/>
  <c r="Y141" i="2" s="1"/>
  <c r="X141" i="2" a="1"/>
  <c r="X141" i="2" s="1"/>
  <c r="Y143" i="2" a="1"/>
  <c r="Y143" i="2" s="1"/>
  <c r="X143" i="2" a="1"/>
  <c r="X143" i="2" s="1"/>
  <c r="Y145" i="2" a="1"/>
  <c r="Y145" i="2" s="1"/>
  <c r="X145" i="2" a="1"/>
  <c r="X145" i="2" s="1"/>
  <c r="X147" i="2" a="1"/>
  <c r="X147" i="2" s="1"/>
  <c r="HN21" i="2" s="1" a="1"/>
  <c r="HN21" i="2" s="1"/>
  <c r="Y147" i="2" a="1"/>
  <c r="Y147" i="2" s="1"/>
  <c r="HN22" i="2" s="1" a="1"/>
  <c r="HN22" i="2" s="1"/>
  <c r="Y149" i="2" a="1"/>
  <c r="Y149" i="2" s="1"/>
  <c r="HP22" i="2" s="1" a="1"/>
  <c r="HP22" i="2" s="1"/>
  <c r="X149" i="2" a="1"/>
  <c r="X149" i="2" s="1"/>
  <c r="HP21" i="2" s="1" a="1"/>
  <c r="HP21" i="2" s="1"/>
  <c r="Y151" i="2" a="1"/>
  <c r="Y151" i="2" s="1"/>
  <c r="HR22" i="2" s="1" a="1"/>
  <c r="HR22" i="2" s="1"/>
  <c r="X151" i="2" a="1"/>
  <c r="X151" i="2" s="1"/>
  <c r="HR21" i="2" s="1" a="1"/>
  <c r="HR21" i="2" s="1"/>
  <c r="Y153" i="2" a="1"/>
  <c r="Y153" i="2" s="1"/>
  <c r="HT22" i="2" s="1" a="1"/>
  <c r="HT22" i="2" s="1"/>
  <c r="X153" i="2" a="1"/>
  <c r="X153" i="2" s="1"/>
  <c r="HT21" i="2" s="1" a="1"/>
  <c r="HT21" i="2" s="1"/>
  <c r="X155" i="2" a="1"/>
  <c r="X155" i="2" s="1"/>
  <c r="HV21" i="2" s="1" a="1"/>
  <c r="HV21" i="2" s="1"/>
  <c r="Y155" i="2" a="1"/>
  <c r="Y155" i="2" s="1"/>
  <c r="HV22" i="2" s="1" a="1"/>
  <c r="HV22" i="2" s="1"/>
  <c r="X157" i="2" a="1"/>
  <c r="X157" i="2" s="1"/>
  <c r="HX21" i="2" s="1" a="1"/>
  <c r="HX21" i="2" s="1"/>
  <c r="Y157" i="2" a="1"/>
  <c r="Y157" i="2" s="1"/>
  <c r="HX22" i="2" s="1" a="1"/>
  <c r="HX22" i="2" s="1"/>
  <c r="Y159" i="2" a="1"/>
  <c r="Y159" i="2" s="1"/>
  <c r="HZ22" i="2" s="1" a="1"/>
  <c r="HZ22" i="2" s="1"/>
  <c r="X159" i="2" a="1"/>
  <c r="X159" i="2" s="1"/>
  <c r="HZ21" i="2" s="1" a="1"/>
  <c r="HZ21" i="2" s="1"/>
  <c r="Y161" i="2" a="1"/>
  <c r="Y161" i="2" s="1"/>
  <c r="IB22" i="2" s="1" a="1"/>
  <c r="IB22" i="2" s="1"/>
  <c r="X161" i="2" a="1"/>
  <c r="X161" i="2" s="1"/>
  <c r="IB21" i="2" s="1" a="1"/>
  <c r="IB21" i="2" s="1"/>
  <c r="X163" i="2" a="1"/>
  <c r="X163" i="2" s="1"/>
  <c r="ID21" i="2" s="1" a="1"/>
  <c r="ID21" i="2" s="1"/>
  <c r="Y163" i="2" a="1"/>
  <c r="Y163" i="2" s="1"/>
  <c r="ID22" i="2" s="1" a="1"/>
  <c r="ID22" i="2" s="1"/>
  <c r="Y165" i="2" a="1"/>
  <c r="Y165" i="2" s="1"/>
  <c r="IF22" i="2" s="1" a="1"/>
  <c r="IF22" i="2" s="1"/>
  <c r="X165" i="2" a="1"/>
  <c r="X165" i="2" s="1"/>
  <c r="IF21" i="2" s="1" a="1"/>
  <c r="IF21" i="2" s="1"/>
  <c r="Y167" i="2" a="1"/>
  <c r="Y167" i="2" s="1"/>
  <c r="IH22" i="2" s="1" a="1"/>
  <c r="IH22" i="2" s="1"/>
  <c r="X167" i="2" a="1"/>
  <c r="X167" i="2" s="1"/>
  <c r="IH21" i="2" s="1" a="1"/>
  <c r="IH21" i="2" s="1"/>
  <c r="Y169" i="2" a="1"/>
  <c r="Y169" i="2" s="1"/>
  <c r="IJ22" i="2" s="1" a="1"/>
  <c r="IJ22" i="2" s="1"/>
  <c r="X169" i="2" a="1"/>
  <c r="X169" i="2" s="1"/>
  <c r="IJ21" i="2" s="1" a="1"/>
  <c r="IJ21" i="2" s="1"/>
  <c r="X171" i="2" a="1"/>
  <c r="X171" i="2" s="1"/>
  <c r="IL21" i="2" s="1" a="1"/>
  <c r="IL21" i="2" s="1"/>
  <c r="Y171" i="2" a="1"/>
  <c r="Y171" i="2" s="1"/>
  <c r="IL22" i="2" s="1" a="1"/>
  <c r="IL22" i="2" s="1"/>
  <c r="Y173" i="2" a="1"/>
  <c r="Y173" i="2" s="1"/>
  <c r="IN22" i="2" s="1" a="1"/>
  <c r="IN22" i="2" s="1"/>
  <c r="X173" i="2" a="1"/>
  <c r="X173" i="2" s="1"/>
  <c r="IN21" i="2" s="1" a="1"/>
  <c r="IN21" i="2" s="1"/>
  <c r="Y175" i="2" a="1"/>
  <c r="Y175" i="2" s="1"/>
  <c r="IP22" i="2" s="1" a="1"/>
  <c r="IP22" i="2" s="1"/>
  <c r="X175" i="2" a="1"/>
  <c r="X175" i="2" s="1"/>
  <c r="IP21" i="2" s="1" a="1"/>
  <c r="IP21" i="2" s="1"/>
  <c r="Y177" i="2" a="1"/>
  <c r="Y177" i="2" s="1"/>
  <c r="IR22" i="2" s="1" a="1"/>
  <c r="IR22" i="2" s="1"/>
  <c r="X177" i="2" a="1"/>
  <c r="X177" i="2" s="1"/>
  <c r="IR21" i="2" s="1" a="1"/>
  <c r="IR21" i="2" s="1"/>
  <c r="Y179" i="2" a="1"/>
  <c r="Y179" i="2" s="1"/>
  <c r="IT22" i="2" s="1" a="1"/>
  <c r="IT22" i="2" s="1"/>
  <c r="X179" i="2" a="1"/>
  <c r="X179" i="2" s="1"/>
  <c r="IT21" i="2" s="1" a="1"/>
  <c r="IT21" i="2" s="1"/>
  <c r="Y181" i="2" a="1"/>
  <c r="Y181" i="2" s="1"/>
  <c r="IV22" i="2" s="1" a="1"/>
  <c r="IV22" i="2" s="1"/>
  <c r="X181" i="2" a="1"/>
  <c r="X181" i="2" s="1"/>
  <c r="IV21" i="2" s="1" a="1"/>
  <c r="IV21" i="2" s="1"/>
  <c r="Y183" i="2" a="1"/>
  <c r="Y183" i="2" s="1"/>
  <c r="IX22" i="2" s="1" a="1"/>
  <c r="IX22" i="2" s="1"/>
  <c r="X183" i="2" a="1"/>
  <c r="X183" i="2" s="1"/>
  <c r="IX21" i="2" s="1" a="1"/>
  <c r="IX21" i="2" s="1"/>
  <c r="Y185" i="2" a="1"/>
  <c r="Y185" i="2" s="1"/>
  <c r="IZ22" i="2" s="1" a="1"/>
  <c r="IZ22" i="2" s="1"/>
  <c r="X185" i="2" a="1"/>
  <c r="X185" i="2" s="1"/>
  <c r="IZ21" i="2" s="1" a="1"/>
  <c r="IZ21" i="2" s="1"/>
  <c r="Y187" i="2" a="1"/>
  <c r="Y187" i="2" s="1"/>
  <c r="JB22" i="2" s="1" a="1"/>
  <c r="JB22" i="2" s="1"/>
  <c r="X187" i="2" a="1"/>
  <c r="X187" i="2" s="1"/>
  <c r="JB21" i="2" s="1" a="1"/>
  <c r="JB21" i="2" s="1"/>
  <c r="X189" i="2" a="1"/>
  <c r="X189" i="2" s="1"/>
  <c r="JD21" i="2" s="1" a="1"/>
  <c r="JD21" i="2" s="1"/>
  <c r="Y189" i="2" a="1"/>
  <c r="Y189" i="2" s="1"/>
  <c r="JD22" i="2" s="1" a="1"/>
  <c r="JD22" i="2" s="1"/>
  <c r="Y191" i="2" a="1"/>
  <c r="Y191" i="2" s="1"/>
  <c r="JF22" i="2" s="1" a="1"/>
  <c r="JF22" i="2" s="1"/>
  <c r="X191" i="2" a="1"/>
  <c r="X191" i="2" s="1"/>
  <c r="JF21" i="2" s="1" a="1"/>
  <c r="JF21" i="2" s="1"/>
  <c r="Y193" i="2" a="1"/>
  <c r="Y193" i="2" s="1"/>
  <c r="JH22" i="2" s="1" a="1"/>
  <c r="JH22" i="2" s="1"/>
  <c r="X193" i="2" a="1"/>
  <c r="X193" i="2" s="1"/>
  <c r="JH21" i="2" s="1" a="1"/>
  <c r="JH21" i="2" s="1"/>
  <c r="AP22" i="2" a="1"/>
  <c r="AP22" i="2" s="1"/>
  <c r="AD300" i="2" s="1"/>
  <c r="AP21" i="2" a="1"/>
  <c r="AP21" i="2" s="1"/>
  <c r="AD299" i="2" s="1"/>
  <c r="Y12" i="2" a="1"/>
  <c r="Y12" i="2" s="1"/>
  <c r="AT22" i="2" s="1" a="1"/>
  <c r="AT22" i="2" s="1"/>
  <c r="AD384" i="2" s="1"/>
  <c r="X12" i="2" a="1"/>
  <c r="X12" i="2" s="1"/>
  <c r="AT21" i="2" s="1" a="1"/>
  <c r="AT21" i="2" s="1"/>
  <c r="AD383" i="2" s="1"/>
  <c r="Y4" i="2" a="1"/>
  <c r="Y4" i="2" s="1"/>
  <c r="AE22" i="2" s="1" a="1"/>
  <c r="AE22" i="2" s="1"/>
  <c r="AD69" i="2" s="1"/>
  <c r="X4" i="2" a="1"/>
  <c r="X4" i="2" s="1"/>
  <c r="AE21" i="2" s="1" a="1"/>
  <c r="AE21" i="2" s="1"/>
  <c r="AD68" i="2" s="1"/>
  <c r="AK22" i="2" a="1"/>
  <c r="AK22" i="2" s="1"/>
  <c r="AD195" i="2" s="1"/>
  <c r="AK21" i="2" a="1"/>
  <c r="AK21" i="2" s="1"/>
  <c r="AD194" i="2" s="1"/>
  <c r="AM22" i="2" a="1"/>
  <c r="AM22" i="2" s="1"/>
  <c r="AD237" i="2" s="1"/>
  <c r="AM21" i="2" a="1"/>
  <c r="AM21" i="2" s="1"/>
  <c r="AD236" i="2" s="1"/>
  <c r="Y9" i="2" a="1"/>
  <c r="Y9" i="2" s="1"/>
  <c r="AQ22" i="2" s="1" a="1"/>
  <c r="AQ22" i="2" s="1"/>
  <c r="AD321" i="2" s="1"/>
  <c r="X9" i="2" a="1"/>
  <c r="X9" i="2" s="1"/>
  <c r="AQ21" i="2" s="1" a="1"/>
  <c r="AQ21" i="2" s="1"/>
  <c r="AD320" i="2" s="1"/>
  <c r="Y11" i="2" a="1"/>
  <c r="Y11" i="2" s="1"/>
  <c r="AS22" i="2" s="1" a="1"/>
  <c r="AS22" i="2" s="1"/>
  <c r="AD363" i="2" s="1"/>
  <c r="X11" i="2" a="1"/>
  <c r="X11" i="2" s="1"/>
  <c r="AS21" i="2" s="1" a="1"/>
  <c r="AS21" i="2" s="1"/>
  <c r="AD362" i="2" s="1"/>
  <c r="AU22" i="2" a="1"/>
  <c r="AU22" i="2" s="1"/>
  <c r="AD405" i="2" s="1"/>
  <c r="AU21" i="2" a="1"/>
  <c r="AU21" i="2" s="1"/>
  <c r="AD404" i="2" s="1"/>
  <c r="AH22" i="2" a="1"/>
  <c r="AH22" i="2" s="1"/>
  <c r="AD132" i="2" s="1"/>
  <c r="AH21" i="2" a="1"/>
  <c r="AH21" i="2" s="1"/>
  <c r="AD131" i="2" s="1"/>
  <c r="Y7" i="2" a="1"/>
  <c r="Y7" i="2" s="1"/>
  <c r="AL22" i="2" s="1" a="1"/>
  <c r="AL22" i="2" s="1"/>
  <c r="AD216" i="2" s="1"/>
  <c r="X7" i="2" a="1"/>
  <c r="X7" i="2" s="1"/>
  <c r="AL21" i="2" s="1" a="1"/>
  <c r="AL21" i="2" s="1"/>
  <c r="AD215" i="2" s="1"/>
  <c r="X5" i="2" a="1"/>
  <c r="X5" i="2" s="1"/>
  <c r="AG21" i="2" s="1" a="1"/>
  <c r="AG21" i="2" s="1"/>
  <c r="AD110" i="2" s="1"/>
  <c r="Y5" i="2" a="1"/>
  <c r="Y5" i="2" s="1"/>
  <c r="AG22" i="2" s="1" a="1"/>
  <c r="AG22" i="2" s="1"/>
  <c r="AD111" i="2" s="1"/>
  <c r="Y6" i="2" a="1"/>
  <c r="Y6" i="2" s="1"/>
  <c r="AI22" i="2" s="1" a="1"/>
  <c r="AI22" i="2" s="1"/>
  <c r="AD153" i="2" s="1"/>
  <c r="X6" i="2" a="1"/>
  <c r="X6" i="2" s="1"/>
  <c r="AI21" i="2" s="1" a="1"/>
  <c r="AI21" i="2" s="1"/>
  <c r="AD152" i="2" s="1"/>
  <c r="Y8" i="2" a="1"/>
  <c r="Y8" i="2" s="1"/>
  <c r="AO22" i="2" s="1" a="1"/>
  <c r="AO22" i="2" s="1"/>
  <c r="AD279" i="2" s="1"/>
  <c r="X8" i="2" a="1"/>
  <c r="X8" i="2" s="1"/>
  <c r="AO21" i="2" s="1" a="1"/>
  <c r="AO21" i="2" s="1"/>
  <c r="AD278" i="2" s="1"/>
  <c r="Y14" i="2" a="1"/>
  <c r="Y14" i="2" s="1"/>
  <c r="AW22" i="2" s="1" a="1"/>
  <c r="AW22" i="2" s="1"/>
  <c r="AD447" i="2" s="1"/>
  <c r="X14" i="2" a="1"/>
  <c r="X14" i="2" s="1"/>
  <c r="AW21" i="2" s="1" a="1"/>
  <c r="AW21" i="2" s="1"/>
  <c r="AD446" i="2" s="1"/>
  <c r="Y15" i="2" a="1"/>
  <c r="Y15" i="2" s="1"/>
  <c r="AY22" i="2" s="1" a="1"/>
  <c r="AY22" i="2" s="1"/>
  <c r="AD489" i="2" s="1"/>
  <c r="X15" i="2" a="1"/>
  <c r="X15" i="2" s="1"/>
  <c r="AY21" i="2" s="1" a="1"/>
  <c r="AY21" i="2" s="1"/>
  <c r="AD488" i="2" s="1"/>
  <c r="X17" i="2" a="1"/>
  <c r="X17" i="2" s="1"/>
  <c r="BA21" i="2" s="1" a="1"/>
  <c r="BA21" i="2" s="1"/>
  <c r="AD530" i="2" s="1"/>
  <c r="Y17" i="2" a="1"/>
  <c r="Y17" i="2" s="1"/>
  <c r="BA22" i="2" s="1" a="1"/>
  <c r="BA22" i="2" s="1"/>
  <c r="AD531" i="2" s="1"/>
  <c r="Y19" i="2" a="1"/>
  <c r="Y19" i="2" s="1"/>
  <c r="BC22" i="2" s="1" a="1"/>
  <c r="BC22" i="2" s="1"/>
  <c r="AD573" i="2" s="1"/>
  <c r="X19" i="2" a="1"/>
  <c r="X19" i="2" s="1"/>
  <c r="BC21" i="2" s="1" a="1"/>
  <c r="BC21" i="2" s="1"/>
  <c r="AD572" i="2" s="1"/>
  <c r="Y21" i="2" a="1"/>
  <c r="Y21" i="2" s="1"/>
  <c r="BE22" i="2" s="1" a="1"/>
  <c r="BE22" i="2" s="1"/>
  <c r="AD615" i="2" s="1"/>
  <c r="X21" i="2" a="1"/>
  <c r="X21" i="2" s="1"/>
  <c r="BE21" i="2" s="1" a="1"/>
  <c r="BE21" i="2" s="1"/>
  <c r="AD614" i="2" s="1"/>
  <c r="Y23" i="2" a="1"/>
  <c r="Y23" i="2" s="1"/>
  <c r="BG22" i="2" s="1" a="1"/>
  <c r="BG22" i="2" s="1"/>
  <c r="AD657" i="2" s="1"/>
  <c r="X23" i="2" a="1"/>
  <c r="X23" i="2" s="1"/>
  <c r="BG21" i="2" s="1" a="1"/>
  <c r="BG21" i="2" s="1"/>
  <c r="AD656" i="2" s="1"/>
  <c r="Y24" i="2" a="1"/>
  <c r="Y24" i="2" s="1"/>
  <c r="BI22" i="2" s="1" a="1"/>
  <c r="BI22" i="2" s="1"/>
  <c r="AD699" i="2" s="1"/>
  <c r="X24" i="2" a="1"/>
  <c r="X24" i="2" s="1"/>
  <c r="BI21" i="2" s="1" a="1"/>
  <c r="BI21" i="2" s="1"/>
  <c r="AD698" i="2" s="1"/>
  <c r="Y25" i="2" a="1"/>
  <c r="Y25" i="2" s="1"/>
  <c r="BK22" i="2" s="1" a="1"/>
  <c r="BK22" i="2" s="1"/>
  <c r="AD741" i="2" s="1"/>
  <c r="X25" i="2" a="1"/>
  <c r="X25" i="2" s="1"/>
  <c r="BK21" i="2" s="1" a="1"/>
  <c r="BK21" i="2" s="1"/>
  <c r="AD740" i="2" s="1"/>
  <c r="Y26" i="2" a="1"/>
  <c r="Y26" i="2" s="1"/>
  <c r="BM22" i="2" s="1" a="1"/>
  <c r="BM22" i="2" s="1"/>
  <c r="AD783" i="2" s="1"/>
  <c r="X26" i="2" a="1"/>
  <c r="X26" i="2" s="1"/>
  <c r="BM21" i="2" s="1" a="1"/>
  <c r="BM21" i="2" s="1"/>
  <c r="AD782" i="2" s="1"/>
  <c r="Y27" i="2" a="1"/>
  <c r="Y27" i="2" s="1"/>
  <c r="BO22" i="2" s="1" a="1"/>
  <c r="BO22" i="2" s="1"/>
  <c r="AD825" i="2" s="1"/>
  <c r="X27" i="2" a="1"/>
  <c r="X27" i="2" s="1"/>
  <c r="BO21" i="2" s="1" a="1"/>
  <c r="BO21" i="2" s="1"/>
  <c r="AD824" i="2" s="1"/>
  <c r="BQ21" i="2" a="1"/>
  <c r="BQ21" i="2" s="1"/>
  <c r="AD866" i="2" s="1"/>
  <c r="BQ22" i="2" a="1"/>
  <c r="BQ22" i="2" s="1"/>
  <c r="AD867" i="2" s="1"/>
  <c r="Y29" i="2" a="1"/>
  <c r="Y29" i="2" s="1"/>
  <c r="BS22" i="2" s="1" a="1"/>
  <c r="BS22" i="2" s="1"/>
  <c r="AD909" i="2" s="1"/>
  <c r="X29" i="2" a="1"/>
  <c r="X29" i="2" s="1"/>
  <c r="BS21" i="2" s="1" a="1"/>
  <c r="BS21" i="2" s="1"/>
  <c r="AD908" i="2" s="1"/>
  <c r="Y31" i="2" a="1"/>
  <c r="Y31" i="2" s="1"/>
  <c r="BU22" i="2" s="1" a="1"/>
  <c r="BU22" i="2" s="1"/>
  <c r="AD951" i="2" s="1"/>
  <c r="X31" i="2" a="1"/>
  <c r="X31" i="2" s="1"/>
  <c r="BU21" i="2" s="1" a="1"/>
  <c r="BU21" i="2" s="1"/>
  <c r="AD950" i="2" s="1"/>
  <c r="Y33" i="2" a="1"/>
  <c r="Y33" i="2" s="1"/>
  <c r="BW22" i="2" s="1" a="1"/>
  <c r="BW22" i="2" s="1"/>
  <c r="AD993" i="2" s="1"/>
  <c r="X33" i="2" a="1"/>
  <c r="X33" i="2" s="1"/>
  <c r="BW21" i="2" s="1" a="1"/>
  <c r="BW21" i="2" s="1"/>
  <c r="AD992" i="2" s="1"/>
  <c r="Y35" i="2" a="1"/>
  <c r="Y35" i="2" s="1"/>
  <c r="BY22" i="2" s="1" a="1"/>
  <c r="BY22" i="2" s="1"/>
  <c r="AD1035" i="2" s="1"/>
  <c r="X35" i="2" a="1"/>
  <c r="X35" i="2" s="1"/>
  <c r="BY21" i="2" s="1" a="1"/>
  <c r="BY21" i="2" s="1"/>
  <c r="AD1034" i="2" s="1"/>
  <c r="CA22" i="2" a="1"/>
  <c r="CA22" i="2" s="1"/>
  <c r="AD1077" i="2" s="1"/>
  <c r="CA21" i="2" a="1"/>
  <c r="CA21" i="2" s="1"/>
  <c r="AD1076" i="2" s="1"/>
  <c r="X38" i="2" a="1"/>
  <c r="X38" i="2" s="1"/>
  <c r="CC21" i="2" s="1" a="1"/>
  <c r="CC21" i="2" s="1"/>
  <c r="AD1118" i="2" s="1"/>
  <c r="Y38" i="2" a="1"/>
  <c r="Y38" i="2" s="1"/>
  <c r="CC22" i="2" s="1" a="1"/>
  <c r="CC22" i="2" s="1"/>
  <c r="AD1119" i="2" s="1"/>
  <c r="Y40" i="2" a="1"/>
  <c r="Y40" i="2" s="1"/>
  <c r="CE22" i="2" s="1" a="1"/>
  <c r="CE22" i="2" s="1"/>
  <c r="AD1161" i="2" s="1"/>
  <c r="X40" i="2" a="1"/>
  <c r="X40" i="2" s="1"/>
  <c r="CE21" i="2" s="1" a="1"/>
  <c r="CE21" i="2" s="1"/>
  <c r="AD1160" i="2" s="1"/>
  <c r="Y42" i="2" a="1"/>
  <c r="Y42" i="2" s="1"/>
  <c r="CG22" i="2" s="1" a="1"/>
  <c r="CG22" i="2" s="1"/>
  <c r="AD1203" i="2" s="1"/>
  <c r="X42" i="2" a="1"/>
  <c r="X42" i="2" s="1"/>
  <c r="CG21" i="2" s="1" a="1"/>
  <c r="CG21" i="2" s="1"/>
  <c r="AD1202" i="2" s="1"/>
  <c r="CI22" i="2" a="1"/>
  <c r="CI22" i="2" s="1"/>
  <c r="AD1245" i="2" s="1"/>
  <c r="CI21" i="2" a="1"/>
  <c r="CI21" i="2" s="1"/>
  <c r="AD1244" i="2" s="1"/>
  <c r="Y45" i="2" a="1"/>
  <c r="Y45" i="2" s="1"/>
  <c r="CK22" i="2" s="1" a="1"/>
  <c r="CK22" i="2" s="1"/>
  <c r="AD1287" i="2" s="1"/>
  <c r="X45" i="2" a="1"/>
  <c r="X45" i="2" s="1"/>
  <c r="CK21" i="2" s="1" a="1"/>
  <c r="CK21" i="2" s="1"/>
  <c r="AD1286" i="2" s="1"/>
  <c r="Y47" i="2" a="1"/>
  <c r="Y47" i="2" s="1"/>
  <c r="CM22" i="2" s="1" a="1"/>
  <c r="CM22" i="2" s="1"/>
  <c r="AD1329" i="2" s="1"/>
  <c r="X47" i="2" a="1"/>
  <c r="X47" i="2" s="1"/>
  <c r="CM21" i="2" s="1" a="1"/>
  <c r="CM21" i="2" s="1"/>
  <c r="AD1328" i="2" s="1"/>
  <c r="Y49" i="2" a="1"/>
  <c r="Y49" i="2" s="1"/>
  <c r="CO22" i="2" s="1" a="1"/>
  <c r="CO22" i="2" s="1"/>
  <c r="AD1371" i="2" s="1"/>
  <c r="X49" i="2" a="1"/>
  <c r="X49" i="2" s="1"/>
  <c r="CO21" i="2" s="1" a="1"/>
  <c r="CO21" i="2" s="1"/>
  <c r="AD1370" i="2" s="1"/>
  <c r="Y51" i="2" a="1"/>
  <c r="Y51" i="2" s="1"/>
  <c r="CQ22" i="2" s="1" a="1"/>
  <c r="CQ22" i="2" s="1"/>
  <c r="AD1413" i="2" s="1"/>
  <c r="X51" i="2" a="1"/>
  <c r="X51" i="2" s="1"/>
  <c r="CQ21" i="2" s="1" a="1"/>
  <c r="CQ21" i="2" s="1"/>
  <c r="AD1412" i="2" s="1"/>
  <c r="Y53" i="2" a="1"/>
  <c r="Y53" i="2" s="1"/>
  <c r="CS22" i="2" s="1" a="1"/>
  <c r="CS22" i="2" s="1"/>
  <c r="AD1455" i="2" s="1"/>
  <c r="X53" i="2" a="1"/>
  <c r="X53" i="2" s="1"/>
  <c r="CS21" i="2" s="1" a="1"/>
  <c r="CS21" i="2" s="1"/>
  <c r="AD1454" i="2" s="1"/>
  <c r="Y55" i="2" a="1"/>
  <c r="Y55" i="2" s="1"/>
  <c r="CU22" i="2" s="1" a="1"/>
  <c r="CU22" i="2" s="1"/>
  <c r="AD1497" i="2" s="1"/>
  <c r="X55" i="2" a="1"/>
  <c r="X55" i="2" s="1"/>
  <c r="CU21" i="2" s="1" a="1"/>
  <c r="CU21" i="2" s="1"/>
  <c r="AD1496" i="2" s="1"/>
  <c r="Y57" i="2" a="1"/>
  <c r="Y57" i="2" s="1"/>
  <c r="CW22" i="2" s="1" a="1"/>
  <c r="CW22" i="2" s="1"/>
  <c r="AD1539" i="2" s="1"/>
  <c r="X57" i="2" a="1"/>
  <c r="X57" i="2" s="1"/>
  <c r="CW21" i="2" s="1" a="1"/>
  <c r="CW21" i="2" s="1"/>
  <c r="AD1538" i="2" s="1"/>
  <c r="Y59" i="2" a="1"/>
  <c r="Y59" i="2" s="1"/>
  <c r="CY22" i="2" s="1" a="1"/>
  <c r="CY22" i="2" s="1"/>
  <c r="AD1581" i="2" s="1"/>
  <c r="X59" i="2" a="1"/>
  <c r="X59" i="2" s="1"/>
  <c r="CY21" i="2" s="1" a="1"/>
  <c r="CY21" i="2" s="1"/>
  <c r="AD1580" i="2" s="1"/>
  <c r="DA22" i="2" a="1"/>
  <c r="DA22" i="2" s="1"/>
  <c r="AD1623" i="2" s="1"/>
  <c r="DA21" i="2" a="1"/>
  <c r="DA21" i="2" s="1"/>
  <c r="AD1622" i="2" s="1"/>
  <c r="DC21" i="2" a="1"/>
  <c r="DC21" i="2" s="1"/>
  <c r="AD1664" i="2" s="1"/>
  <c r="DC22" i="2" a="1"/>
  <c r="DC22" i="2" s="1"/>
  <c r="AD1665" i="2" s="1"/>
  <c r="Y63" i="2" a="1"/>
  <c r="Y63" i="2" s="1"/>
  <c r="DE22" i="2" s="1" a="1"/>
  <c r="DE22" i="2" s="1"/>
  <c r="AD1707" i="2" s="1"/>
  <c r="X63" i="2" a="1"/>
  <c r="X63" i="2" s="1"/>
  <c r="DE21" i="2" s="1" a="1"/>
  <c r="DE21" i="2" s="1"/>
  <c r="AD1706" i="2" s="1"/>
  <c r="Y65" i="2" a="1"/>
  <c r="Y65" i="2" s="1"/>
  <c r="DG22" i="2" s="1" a="1"/>
  <c r="DG22" i="2" s="1"/>
  <c r="AD1749" i="2" s="1"/>
  <c r="X65" i="2" a="1"/>
  <c r="X65" i="2" s="1"/>
  <c r="DG21" i="2" s="1" a="1"/>
  <c r="DG21" i="2" s="1"/>
  <c r="AD1748" i="2" s="1"/>
  <c r="Y66" i="2" a="1"/>
  <c r="Y66" i="2" s="1"/>
  <c r="DI22" i="2" s="1" a="1"/>
  <c r="DI22" i="2" s="1"/>
  <c r="AD1791" i="2" s="1"/>
  <c r="X66" i="2" a="1"/>
  <c r="X66" i="2" s="1"/>
  <c r="DI21" i="2" s="1" a="1"/>
  <c r="DI21" i="2" s="1"/>
  <c r="AD1790" i="2" s="1"/>
  <c r="Y68" i="2" a="1"/>
  <c r="Y68" i="2" s="1"/>
  <c r="DK22" i="2" s="1" a="1"/>
  <c r="DK22" i="2" s="1"/>
  <c r="AD1833" i="2" s="1"/>
  <c r="X68" i="2" a="1"/>
  <c r="X68" i="2" s="1"/>
  <c r="DK21" i="2" s="1" a="1"/>
  <c r="DK21" i="2" s="1"/>
  <c r="AD1832" i="2" s="1"/>
  <c r="DM21" i="2" a="1"/>
  <c r="DM21" i="2" s="1"/>
  <c r="AD1874" i="2" s="1"/>
  <c r="DM22" i="2" a="1"/>
  <c r="DM22" i="2" s="1"/>
  <c r="AD1875" i="2" s="1"/>
  <c r="DO22" i="2" a="1"/>
  <c r="DO22" i="2" s="1"/>
  <c r="AD1917" i="2" s="1"/>
  <c r="DO21" i="2" a="1"/>
  <c r="DO21" i="2" s="1"/>
  <c r="AD1916" i="2" s="1"/>
  <c r="Y71" i="2" a="1"/>
  <c r="Y71" i="2" s="1"/>
  <c r="DQ22" i="2" s="1" a="1"/>
  <c r="DQ22" i="2" s="1"/>
  <c r="AD1959" i="2" s="1"/>
  <c r="X71" i="2" a="1"/>
  <c r="X71" i="2" s="1"/>
  <c r="DQ21" i="2" s="1" a="1"/>
  <c r="DQ21" i="2" s="1"/>
  <c r="AD1958" i="2" s="1"/>
  <c r="Y72" i="2" a="1"/>
  <c r="Y72" i="2" s="1"/>
  <c r="DS22" i="2" s="1" a="1"/>
  <c r="DS22" i="2" s="1"/>
  <c r="AD2001" i="2" s="1"/>
  <c r="X72" i="2" a="1"/>
  <c r="X72" i="2" s="1"/>
  <c r="DS21" i="2" s="1" a="1"/>
  <c r="DS21" i="2" s="1"/>
  <c r="AD2000" i="2" s="1"/>
  <c r="Y73" i="2" a="1"/>
  <c r="Y73" i="2" s="1"/>
  <c r="DU22" i="2" s="1" a="1"/>
  <c r="DU22" i="2" s="1"/>
  <c r="AD2043" i="2" s="1"/>
  <c r="X73" i="2" a="1"/>
  <c r="X73" i="2" s="1"/>
  <c r="DU21" i="2" s="1" a="1"/>
  <c r="DU21" i="2" s="1"/>
  <c r="AD2042" i="2" s="1"/>
  <c r="Y74" i="2" a="1"/>
  <c r="Y74" i="2" s="1"/>
  <c r="DW22" i="2" s="1" a="1"/>
  <c r="DW22" i="2" s="1"/>
  <c r="AD2085" i="2" s="1"/>
  <c r="X74" i="2" a="1"/>
  <c r="X74" i="2" s="1"/>
  <c r="DW21" i="2" s="1" a="1"/>
  <c r="DW21" i="2" s="1"/>
  <c r="AD2084" i="2" s="1"/>
  <c r="DY21" i="2" a="1"/>
  <c r="DY21" i="2" s="1"/>
  <c r="AD2126" i="2" s="1"/>
  <c r="DY22" i="2" a="1"/>
  <c r="DY22" i="2" s="1"/>
  <c r="AD2127" i="2" s="1"/>
  <c r="EA22" i="2" a="1"/>
  <c r="EA22" i="2" s="1"/>
  <c r="AD2169" i="2" s="1"/>
  <c r="EA21" i="2" a="1"/>
  <c r="EA21" i="2" s="1"/>
  <c r="AD2168" i="2" s="1"/>
  <c r="EC21" i="2" a="1"/>
  <c r="EC21" i="2" s="1"/>
  <c r="AD2210" i="2" s="1"/>
  <c r="EC22" i="2" a="1"/>
  <c r="EC22" i="2" s="1"/>
  <c r="AD2211" i="2" s="1"/>
  <c r="Y78" i="2" a="1"/>
  <c r="Y78" i="2" s="1"/>
  <c r="EE22" i="2" s="1" a="1"/>
  <c r="EE22" i="2" s="1"/>
  <c r="AD2253" i="2" s="1"/>
  <c r="X78" i="2" a="1"/>
  <c r="X78" i="2" s="1"/>
  <c r="EE21" i="2" s="1" a="1"/>
  <c r="EE21" i="2" s="1"/>
  <c r="AD2252" i="2" s="1"/>
  <c r="Y79" i="2" a="1"/>
  <c r="Y79" i="2" s="1"/>
  <c r="EG22" i="2" s="1" a="1"/>
  <c r="EG22" i="2" s="1"/>
  <c r="AD2295" i="2" s="1"/>
  <c r="X79" i="2" a="1"/>
  <c r="X79" i="2" s="1"/>
  <c r="EG21" i="2" s="1" a="1"/>
  <c r="EG21" i="2" s="1"/>
  <c r="AD2294" i="2" s="1"/>
  <c r="EI22" i="2" a="1"/>
  <c r="EI22" i="2" s="1"/>
  <c r="AD2337" i="2" s="1"/>
  <c r="EI21" i="2" a="1"/>
  <c r="EI21" i="2" s="1"/>
  <c r="AD2336" i="2" s="1"/>
  <c r="EK22" i="2" a="1"/>
  <c r="EK22" i="2" s="1"/>
  <c r="AD2379" i="2" s="1"/>
  <c r="EK21" i="2" a="1"/>
  <c r="EK21" i="2" s="1"/>
  <c r="AD2378" i="2" s="1"/>
  <c r="EM22" i="2" a="1"/>
  <c r="EM22" i="2" s="1"/>
  <c r="AD2421" i="2" s="1"/>
  <c r="EM21" i="2" a="1"/>
  <c r="EM21" i="2" s="1"/>
  <c r="AD2420" i="2" s="1"/>
  <c r="Y83" i="2" a="1"/>
  <c r="Y83" i="2" s="1"/>
  <c r="EO22" i="2" s="1" a="1"/>
  <c r="EO22" i="2" s="1"/>
  <c r="AD2463" i="2" s="1"/>
  <c r="X83" i="2" a="1"/>
  <c r="X83" i="2" s="1"/>
  <c r="EO21" i="2" s="1" a="1"/>
  <c r="EO21" i="2" s="1"/>
  <c r="AD2462" i="2" s="1"/>
  <c r="Y85" i="2" a="1"/>
  <c r="Y85" i="2" s="1"/>
  <c r="EQ22" i="2" s="1" a="1"/>
  <c r="EQ22" i="2" s="1"/>
  <c r="AD2505" i="2" s="1"/>
  <c r="X85" i="2" a="1"/>
  <c r="X85" i="2" s="1"/>
  <c r="EQ21" i="2" s="1" a="1"/>
  <c r="EQ21" i="2" s="1"/>
  <c r="AD2504" i="2" s="1"/>
  <c r="Y87" i="2" a="1"/>
  <c r="Y87" i="2" s="1"/>
  <c r="ES22" i="2" s="1" a="1"/>
  <c r="ES22" i="2" s="1"/>
  <c r="AD2547" i="2" s="1"/>
  <c r="X87" i="2" a="1"/>
  <c r="X87" i="2" s="1"/>
  <c r="ES21" i="2" s="1" a="1"/>
  <c r="ES21" i="2" s="1"/>
  <c r="AD2546" i="2" s="1"/>
  <c r="Y92" i="2" a="1"/>
  <c r="Y92" i="2" s="1"/>
  <c r="X92" i="2" a="1"/>
  <c r="X92" i="2" s="1"/>
  <c r="Y93" i="2" a="1"/>
  <c r="Y93" i="2" s="1"/>
  <c r="X93" i="2" a="1"/>
  <c r="X93" i="2" s="1"/>
  <c r="Y95" i="2" a="1"/>
  <c r="Y95" i="2" s="1"/>
  <c r="X95" i="2" a="1"/>
  <c r="X95" i="2" s="1"/>
  <c r="Y97" i="2" a="1"/>
  <c r="Y97" i="2" s="1"/>
  <c r="X97" i="2" a="1"/>
  <c r="X97" i="2" s="1"/>
  <c r="Y98" i="2" a="1"/>
  <c r="Y98" i="2" s="1"/>
  <c r="X98" i="2" a="1"/>
  <c r="X98" i="2" s="1"/>
  <c r="Y100" i="2" a="1"/>
  <c r="Y100" i="2" s="1"/>
  <c r="X100" i="2" a="1"/>
  <c r="X100" i="2" s="1"/>
  <c r="Y102" i="2" a="1"/>
  <c r="Y102" i="2" s="1"/>
  <c r="X102" i="2" a="1"/>
  <c r="X102" i="2" s="1"/>
  <c r="Y104" i="2" a="1"/>
  <c r="Y104" i="2" s="1"/>
  <c r="X104" i="2" a="1"/>
  <c r="X104" i="2" s="1"/>
  <c r="X107" i="2" a="1"/>
  <c r="X107" i="2" s="1"/>
  <c r="Y107" i="2" a="1"/>
  <c r="Y107" i="2" s="1"/>
  <c r="Y109" i="2" a="1"/>
  <c r="Y109" i="2" s="1"/>
  <c r="X109" i="2" a="1"/>
  <c r="X109" i="2" s="1"/>
  <c r="Y111" i="2" a="1"/>
  <c r="Y111" i="2" s="1"/>
  <c r="X111" i="2" a="1"/>
  <c r="X111" i="2" s="1"/>
  <c r="X112" i="2" a="1"/>
  <c r="X112" i="2" s="1"/>
  <c r="Y112" i="2" a="1"/>
  <c r="Y112" i="2" s="1"/>
  <c r="Y114" i="2" a="1"/>
  <c r="Y114" i="2" s="1"/>
  <c r="X114" i="2" a="1"/>
  <c r="X114" i="2" s="1"/>
  <c r="Y118" i="2" a="1"/>
  <c r="Y118" i="2" s="1"/>
  <c r="X118" i="2" a="1"/>
  <c r="X118" i="2" s="1"/>
  <c r="Y122" i="2" a="1"/>
  <c r="Y122" i="2" s="1"/>
  <c r="X122" i="2" a="1"/>
  <c r="X122" i="2" s="1"/>
  <c r="Y124" i="2" a="1"/>
  <c r="Y124" i="2" s="1"/>
  <c r="X124" i="2" a="1"/>
  <c r="X124" i="2" s="1"/>
  <c r="Y126" i="2" a="1"/>
  <c r="Y126" i="2" s="1"/>
  <c r="X126" i="2" a="1"/>
  <c r="X126" i="2" s="1"/>
  <c r="Y128" i="2" a="1"/>
  <c r="Y128" i="2" s="1"/>
  <c r="X128" i="2" a="1"/>
  <c r="X128" i="2" s="1"/>
  <c r="Y130" i="2" a="1"/>
  <c r="Y130" i="2" s="1"/>
  <c r="X130" i="2" a="1"/>
  <c r="X130" i="2" s="1"/>
  <c r="Y132" i="2" a="1"/>
  <c r="Y132" i="2" s="1"/>
  <c r="X132" i="2" a="1"/>
  <c r="X132" i="2" s="1"/>
  <c r="Y134" i="2" a="1"/>
  <c r="Y134" i="2" s="1"/>
  <c r="X134" i="2" a="1"/>
  <c r="X134" i="2" s="1"/>
  <c r="X136" i="2" a="1"/>
  <c r="X136" i="2" s="1"/>
  <c r="Y136" i="2" a="1"/>
  <c r="Y136" i="2" s="1"/>
  <c r="Y138" i="2" a="1"/>
  <c r="Y138" i="2" s="1"/>
  <c r="X138" i="2" a="1"/>
  <c r="X138" i="2" s="1"/>
  <c r="Y140" i="2" a="1"/>
  <c r="Y140" i="2" s="1"/>
  <c r="X140" i="2" a="1"/>
  <c r="X140" i="2" s="1"/>
  <c r="Y142" i="2" a="1"/>
  <c r="Y142" i="2" s="1"/>
  <c r="X142" i="2" a="1"/>
  <c r="X142" i="2" s="1"/>
  <c r="Y144" i="2" a="1"/>
  <c r="Y144" i="2" s="1"/>
  <c r="X144" i="2" a="1"/>
  <c r="X144" i="2" s="1"/>
  <c r="X146" i="2" a="1"/>
  <c r="X146" i="2" s="1"/>
  <c r="HM21" i="2" s="1" a="1"/>
  <c r="HM21" i="2" s="1"/>
  <c r="Y146" i="2" a="1"/>
  <c r="Y146" i="2" s="1"/>
  <c r="HM22" i="2" s="1" a="1"/>
  <c r="HM22" i="2" s="1"/>
  <c r="Y148" i="2" a="1"/>
  <c r="Y148" i="2" s="1"/>
  <c r="HO22" i="2" s="1" a="1"/>
  <c r="HO22" i="2" s="1"/>
  <c r="X148" i="2" a="1"/>
  <c r="X148" i="2" s="1"/>
  <c r="HO21" i="2" s="1" a="1"/>
  <c r="HO21" i="2" s="1"/>
  <c r="Y150" i="2" a="1"/>
  <c r="Y150" i="2" s="1"/>
  <c r="HQ22" i="2" s="1" a="1"/>
  <c r="HQ22" i="2" s="1"/>
  <c r="X150" i="2" a="1"/>
  <c r="X150" i="2" s="1"/>
  <c r="HQ21" i="2" s="1" a="1"/>
  <c r="HQ21" i="2" s="1"/>
  <c r="X152" i="2" a="1"/>
  <c r="X152" i="2" s="1"/>
  <c r="HS21" i="2" s="1" a="1"/>
  <c r="HS21" i="2" s="1"/>
  <c r="Y152" i="2" a="1"/>
  <c r="Y152" i="2" s="1"/>
  <c r="HS22" i="2" s="1" a="1"/>
  <c r="HS22" i="2" s="1"/>
  <c r="Y154" i="2" a="1"/>
  <c r="Y154" i="2" s="1"/>
  <c r="HU22" i="2" s="1" a="1"/>
  <c r="HU22" i="2" s="1"/>
  <c r="X154" i="2" a="1"/>
  <c r="X154" i="2" s="1"/>
  <c r="HU21" i="2" s="1" a="1"/>
  <c r="HU21" i="2" s="1"/>
  <c r="Y156" i="2" a="1"/>
  <c r="Y156" i="2" s="1"/>
  <c r="HW22" i="2" s="1" a="1"/>
  <c r="HW22" i="2" s="1"/>
  <c r="X156" i="2" a="1"/>
  <c r="X156" i="2" s="1"/>
  <c r="HW21" i="2" s="1" a="1"/>
  <c r="HW21" i="2" s="1"/>
  <c r="Y158" i="2" a="1"/>
  <c r="Y158" i="2" s="1"/>
  <c r="HY22" i="2" s="1" a="1"/>
  <c r="HY22" i="2" s="1"/>
  <c r="X158" i="2" a="1"/>
  <c r="X158" i="2" s="1"/>
  <c r="HY21" i="2" s="1" a="1"/>
  <c r="HY21" i="2" s="1"/>
  <c r="X160" i="2" a="1"/>
  <c r="X160" i="2" s="1"/>
  <c r="IA21" i="2" s="1" a="1"/>
  <c r="IA21" i="2" s="1"/>
  <c r="Y160" i="2" a="1"/>
  <c r="Y160" i="2" s="1"/>
  <c r="IA22" i="2" s="1" a="1"/>
  <c r="IA22" i="2" s="1"/>
  <c r="X162" i="2" a="1"/>
  <c r="X162" i="2" s="1"/>
  <c r="IC21" i="2" s="1" a="1"/>
  <c r="IC21" i="2" s="1"/>
  <c r="Y162" i="2" a="1"/>
  <c r="Y162" i="2" s="1"/>
  <c r="IC22" i="2" s="1" a="1"/>
  <c r="IC22" i="2" s="1"/>
  <c r="Y164" i="2" a="1"/>
  <c r="Y164" i="2" s="1"/>
  <c r="IE22" i="2" s="1" a="1"/>
  <c r="IE22" i="2" s="1"/>
  <c r="X164" i="2" a="1"/>
  <c r="X164" i="2" s="1"/>
  <c r="IE21" i="2" s="1" a="1"/>
  <c r="IE21" i="2" s="1"/>
  <c r="Y166" i="2" a="1"/>
  <c r="Y166" i="2" s="1"/>
  <c r="IG22" i="2" s="1" a="1"/>
  <c r="IG22" i="2" s="1"/>
  <c r="X166" i="2" a="1"/>
  <c r="X166" i="2" s="1"/>
  <c r="IG21" i="2" s="1" a="1"/>
  <c r="IG21" i="2" s="1"/>
  <c r="X168" i="2" a="1"/>
  <c r="X168" i="2" s="1"/>
  <c r="II21" i="2" s="1" a="1"/>
  <c r="II21" i="2" s="1"/>
  <c r="Y168" i="2" a="1"/>
  <c r="Y168" i="2" s="1"/>
  <c r="II22" i="2" s="1" a="1"/>
  <c r="II22" i="2" s="1"/>
  <c r="Y170" i="2" a="1"/>
  <c r="Y170" i="2" s="1"/>
  <c r="IK22" i="2" s="1" a="1"/>
  <c r="IK22" i="2" s="1"/>
  <c r="X170" i="2" a="1"/>
  <c r="X170" i="2" s="1"/>
  <c r="IK21" i="2" s="1" a="1"/>
  <c r="IK21" i="2" s="1"/>
  <c r="Y172" i="2" a="1"/>
  <c r="Y172" i="2" s="1"/>
  <c r="IM22" i="2" s="1" a="1"/>
  <c r="IM22" i="2" s="1"/>
  <c r="X172" i="2" a="1"/>
  <c r="X172" i="2" s="1"/>
  <c r="IM21" i="2" s="1" a="1"/>
  <c r="IM21" i="2" s="1"/>
  <c r="Y174" i="2" a="1"/>
  <c r="Y174" i="2" s="1"/>
  <c r="IO22" i="2" s="1" a="1"/>
  <c r="IO22" i="2" s="1"/>
  <c r="X174" i="2" a="1"/>
  <c r="X174" i="2" s="1"/>
  <c r="IO21" i="2" s="1" a="1"/>
  <c r="IO21" i="2" s="1"/>
  <c r="X176" i="2" a="1"/>
  <c r="X176" i="2" s="1"/>
  <c r="IQ21" i="2" s="1" a="1"/>
  <c r="IQ21" i="2" s="1"/>
  <c r="Y176" i="2" a="1"/>
  <c r="Y176" i="2" s="1"/>
  <c r="IQ22" i="2" s="1" a="1"/>
  <c r="IQ22" i="2" s="1"/>
  <c r="X178" i="2" a="1"/>
  <c r="X178" i="2" s="1"/>
  <c r="IS21" i="2" s="1" a="1"/>
  <c r="IS21" i="2" s="1"/>
  <c r="Y178" i="2" a="1"/>
  <c r="Y178" i="2" s="1"/>
  <c r="IS22" i="2" s="1" a="1"/>
  <c r="IS22" i="2" s="1"/>
  <c r="Y180" i="2" a="1"/>
  <c r="Y180" i="2" s="1"/>
  <c r="IU22" i="2" s="1" a="1"/>
  <c r="IU22" i="2" s="1"/>
  <c r="X180" i="2" a="1"/>
  <c r="X180" i="2" s="1"/>
  <c r="IU21" i="2" s="1" a="1"/>
  <c r="IU21" i="2" s="1"/>
  <c r="Y182" i="2" a="1"/>
  <c r="Y182" i="2" s="1"/>
  <c r="IW22" i="2" s="1" a="1"/>
  <c r="IW22" i="2" s="1"/>
  <c r="X182" i="2" a="1"/>
  <c r="X182" i="2" s="1"/>
  <c r="IW21" i="2" s="1" a="1"/>
  <c r="IW21" i="2" s="1"/>
  <c r="X184" i="2" a="1"/>
  <c r="X184" i="2" s="1"/>
  <c r="IY21" i="2" s="1" a="1"/>
  <c r="IY21" i="2" s="1"/>
  <c r="Y184" i="2" a="1"/>
  <c r="Y184" i="2" s="1"/>
  <c r="IY22" i="2" s="1" a="1"/>
  <c r="IY22" i="2" s="1"/>
  <c r="Y186" i="2" a="1"/>
  <c r="Y186" i="2" s="1"/>
  <c r="JA22" i="2" s="1" a="1"/>
  <c r="JA22" i="2" s="1"/>
  <c r="X186" i="2" a="1"/>
  <c r="X186" i="2" s="1"/>
  <c r="JA21" i="2" s="1" a="1"/>
  <c r="JA21" i="2" s="1"/>
  <c r="Y188" i="2" a="1"/>
  <c r="Y188" i="2" s="1"/>
  <c r="JC22" i="2" s="1" a="1"/>
  <c r="JC22" i="2" s="1"/>
  <c r="X188" i="2" a="1"/>
  <c r="X188" i="2" s="1"/>
  <c r="JC21" i="2" s="1" a="1"/>
  <c r="JC21" i="2" s="1"/>
  <c r="Y190" i="2" a="1"/>
  <c r="Y190" i="2" s="1"/>
  <c r="JE22" i="2" s="1" a="1"/>
  <c r="JE22" i="2" s="1"/>
  <c r="X190" i="2" a="1"/>
  <c r="X190" i="2" s="1"/>
  <c r="JE21" i="2" s="1" a="1"/>
  <c r="JE21" i="2" s="1"/>
  <c r="X192" i="2" a="1"/>
  <c r="X192" i="2" s="1"/>
  <c r="JG21" i="2" s="1" a="1"/>
  <c r="JG21" i="2" s="1"/>
  <c r="Y192" i="2" a="1"/>
  <c r="Y192" i="2" s="1"/>
  <c r="JG22" i="2" s="1" a="1"/>
  <c r="JG22" i="2" s="1"/>
  <c r="AJ5" i="2" a="1"/>
  <c r="AJ5" i="2" s="1"/>
  <c r="AJ20" i="2" a="1"/>
  <c r="AJ20" i="2" s="1"/>
  <c r="AD172" i="2" s="1"/>
  <c r="AW5" i="2" a="1"/>
  <c r="AW5" i="2" s="1"/>
  <c r="W14" i="2" a="1"/>
  <c r="W14" i="2" s="1"/>
  <c r="AW20" i="2" s="1" a="1"/>
  <c r="AW20" i="2" s="1"/>
  <c r="AD445" i="2" s="1"/>
  <c r="BS5" i="2" a="1"/>
  <c r="BS5" i="2" s="1"/>
  <c r="W29" i="2" a="1"/>
  <c r="W29" i="2" s="1"/>
  <c r="BS20" i="2" s="1" a="1"/>
  <c r="BS20" i="2" s="1"/>
  <c r="AD907" i="2" s="1"/>
  <c r="CI5" i="2" a="1"/>
  <c r="CI5" i="2" s="1"/>
  <c r="CI20" i="2" a="1"/>
  <c r="CI20" i="2" s="1"/>
  <c r="AD1243" i="2" s="1"/>
  <c r="CM5" i="2" a="1"/>
  <c r="CM5" i="2" s="1"/>
  <c r="W47" i="2" a="1"/>
  <c r="W47" i="2" s="1"/>
  <c r="CM20" i="2" s="1" a="1"/>
  <c r="CM20" i="2" s="1"/>
  <c r="AD1327" i="2" s="1"/>
  <c r="CY5" i="2" a="1"/>
  <c r="CY5" i="2" s="1"/>
  <c r="W59" i="2" a="1"/>
  <c r="W59" i="2" s="1"/>
  <c r="CY20" i="2" s="1" a="1"/>
  <c r="CY20" i="2" s="1"/>
  <c r="AD1579" i="2" s="1"/>
  <c r="DC5" i="2" a="1"/>
  <c r="DC5" i="2" s="1"/>
  <c r="DC20" i="2" a="1"/>
  <c r="DC20" i="2" s="1"/>
  <c r="AD1663" i="2" s="1"/>
  <c r="DS5" i="2" a="1"/>
  <c r="DS5" i="2" s="1"/>
  <c r="W72" i="2" a="1"/>
  <c r="W72" i="2" s="1"/>
  <c r="DS20" i="2" s="1" a="1"/>
  <c r="DS20" i="2" s="1"/>
  <c r="AD1999" i="2" s="1"/>
  <c r="EM5" i="2" a="1"/>
  <c r="EM5" i="2" s="1"/>
  <c r="EM20" i="2" a="1"/>
  <c r="EM20" i="2" s="1"/>
  <c r="AD2419" i="2" s="1"/>
  <c r="FG5" i="2" a="1"/>
  <c r="FG5" i="2" s="1"/>
  <c r="W97" i="2" a="1"/>
  <c r="W97" i="2" s="1"/>
  <c r="FS5" i="2" a="1"/>
  <c r="FS5" i="2" s="1"/>
  <c r="W107" i="2" a="1"/>
  <c r="W107" i="2" s="1"/>
  <c r="GM5" i="2" a="1"/>
  <c r="GM5" i="2" s="1"/>
  <c r="GQ5" i="2" a="1"/>
  <c r="GQ5" i="2" s="1"/>
  <c r="W124" i="2" a="1"/>
  <c r="W124" i="2" s="1"/>
  <c r="HK5" i="2" a="1"/>
  <c r="HK5" i="2" s="1"/>
  <c r="W144" i="2" a="1"/>
  <c r="W144" i="2" s="1"/>
  <c r="HS5" i="2" a="1"/>
  <c r="HS5" i="2" s="1"/>
  <c r="W152" i="2" a="1"/>
  <c r="W152" i="2" s="1"/>
  <c r="HS20" i="2" s="1" a="1"/>
  <c r="HS20" i="2" s="1"/>
  <c r="HW5" i="2" a="1"/>
  <c r="HW5" i="2" s="1"/>
  <c r="W156" i="2" a="1"/>
  <c r="W156" i="2" s="1"/>
  <c r="HW20" i="2" s="1" a="1"/>
  <c r="HW20" i="2" s="1"/>
  <c r="IA5" i="2" a="1"/>
  <c r="IA5" i="2" s="1"/>
  <c r="W160" i="2" a="1"/>
  <c r="W160" i="2" s="1"/>
  <c r="IA20" i="2" s="1" a="1"/>
  <c r="IA20" i="2" s="1"/>
  <c r="IM5" i="2" a="1"/>
  <c r="IM5" i="2" s="1"/>
  <c r="W172" i="2" a="1"/>
  <c r="W172" i="2" s="1"/>
  <c r="IM20" i="2" s="1" a="1"/>
  <c r="IM20" i="2" s="1"/>
  <c r="IQ5" i="2" a="1"/>
  <c r="IQ5" i="2" s="1"/>
  <c r="W176" i="2" a="1"/>
  <c r="W176" i="2" s="1"/>
  <c r="IQ20" i="2" s="1" a="1"/>
  <c r="IQ20" i="2" s="1"/>
  <c r="IU5" i="2" a="1"/>
  <c r="IU5" i="2" s="1"/>
  <c r="W180" i="2" a="1"/>
  <c r="W180" i="2" s="1"/>
  <c r="IU20" i="2" s="1" a="1"/>
  <c r="IU20" i="2" s="1"/>
  <c r="IY5" i="2" a="1"/>
  <c r="IY5" i="2" s="1"/>
  <c r="W184" i="2" a="1"/>
  <c r="W184" i="2" s="1"/>
  <c r="IY20" i="2" s="1" a="1"/>
  <c r="IY20" i="2" s="1"/>
  <c r="W3" i="2" a="1"/>
  <c r="W3" i="2" s="1"/>
  <c r="AD5" i="2" a="1"/>
  <c r="AD5" i="2" s="1"/>
  <c r="AL5" i="2" a="1"/>
  <c r="AL5" i="2" s="1"/>
  <c r="W7" i="2" a="1"/>
  <c r="W7" i="2" s="1"/>
  <c r="AL20" i="2" s="1" a="1"/>
  <c r="AL20" i="2" s="1"/>
  <c r="AD214" i="2" s="1"/>
  <c r="AT5" i="2" a="1"/>
  <c r="AT5" i="2" s="1"/>
  <c r="W12" i="2" a="1"/>
  <c r="W12" i="2" s="1"/>
  <c r="AT20" i="2" s="1" a="1"/>
  <c r="AT20" i="2" s="1"/>
  <c r="AD382" i="2" s="1"/>
  <c r="DK5" i="2" a="1"/>
  <c r="DK5" i="2" s="1"/>
  <c r="W68" i="2" a="1"/>
  <c r="W68" i="2" s="1"/>
  <c r="DK20" i="2" s="1" a="1"/>
  <c r="DK20" i="2" s="1"/>
  <c r="AD1831" i="2" s="1"/>
  <c r="DO5" i="2" a="1"/>
  <c r="DO5" i="2" s="1"/>
  <c r="DO20" i="2" a="1"/>
  <c r="DO20" i="2" s="1"/>
  <c r="AD1915" i="2" s="1"/>
  <c r="EY5" i="2" a="1"/>
  <c r="EY5" i="2" s="1"/>
  <c r="JG5" i="2" a="1"/>
  <c r="JG5" i="2" s="1"/>
  <c r="W192" i="2" a="1"/>
  <c r="W192" i="2" s="1"/>
  <c r="JG20" i="2" s="1" a="1"/>
  <c r="JG20" i="2" s="1"/>
  <c r="AV5" i="2" a="1"/>
  <c r="AV5" i="2" s="1"/>
  <c r="W13" i="2" a="1"/>
  <c r="W13" i="2" s="1"/>
  <c r="AV20" i="2" s="1" a="1"/>
  <c r="AV20" i="2" s="1"/>
  <c r="AD424" i="2" s="1"/>
  <c r="AZ5" i="2" a="1"/>
  <c r="AZ5" i="2" s="1"/>
  <c r="W16" i="2" a="1"/>
  <c r="W16" i="2" s="1"/>
  <c r="AZ20" i="2" s="1" a="1"/>
  <c r="AZ20" i="2" s="1"/>
  <c r="AD508" i="2" s="1"/>
  <c r="BD5" i="2" a="1"/>
  <c r="BD5" i="2" s="1"/>
  <c r="W20" i="2" a="1"/>
  <c r="W20" i="2" s="1"/>
  <c r="BD20" i="2" s="1" a="1"/>
  <c r="BD20" i="2" s="1"/>
  <c r="AD592" i="2" s="1"/>
  <c r="BH5" i="2" a="1"/>
  <c r="BH5" i="2" s="1"/>
  <c r="BH20" i="2" a="1"/>
  <c r="BH20" i="2" s="1"/>
  <c r="AD676" i="2" s="1"/>
  <c r="BL5" i="2" a="1"/>
  <c r="BL5" i="2" s="1"/>
  <c r="BL20" i="2" a="1"/>
  <c r="BL20" i="2" s="1"/>
  <c r="AD760" i="2" s="1"/>
  <c r="BP5" i="2" a="1"/>
  <c r="BP5" i="2" s="1"/>
  <c r="BP20" i="2" a="1"/>
  <c r="BP20" i="2" s="1"/>
  <c r="AD844" i="2" s="1"/>
  <c r="BT5" i="2" a="1"/>
  <c r="BT5" i="2" s="1"/>
  <c r="W30" i="2" a="1"/>
  <c r="W30" i="2" s="1"/>
  <c r="BT20" i="2" s="1" a="1"/>
  <c r="BT20" i="2" s="1"/>
  <c r="AD928" i="2" s="1"/>
  <c r="BX5" i="2" a="1"/>
  <c r="BX5" i="2" s="1"/>
  <c r="W34" i="2" a="1"/>
  <c r="W34" i="2" s="1"/>
  <c r="BX20" i="2" s="1" a="1"/>
  <c r="BX20" i="2" s="1"/>
  <c r="AD1012" i="2" s="1"/>
  <c r="BZ5" i="2" a="1"/>
  <c r="BZ5" i="2" s="1"/>
  <c r="W36" i="2" a="1"/>
  <c r="W36" i="2" s="1"/>
  <c r="BZ20" i="2" s="1" a="1"/>
  <c r="BZ20" i="2" s="1"/>
  <c r="AD1054" i="2" s="1"/>
  <c r="CD5" i="2" a="1"/>
  <c r="CD5" i="2" s="1"/>
  <c r="W39" i="2" a="1"/>
  <c r="W39" i="2" s="1"/>
  <c r="CD20" i="2" s="1" a="1"/>
  <c r="CD20" i="2" s="1"/>
  <c r="AD1138" i="2" s="1"/>
  <c r="CH5" i="2" a="1"/>
  <c r="CH5" i="2" s="1"/>
  <c r="W43" i="2" a="1"/>
  <c r="W43" i="2" s="1"/>
  <c r="CH20" i="2" s="1" a="1"/>
  <c r="CH20" i="2" s="1"/>
  <c r="AD1222" i="2" s="1"/>
  <c r="CL5" i="2" a="1"/>
  <c r="CL5" i="2" s="1"/>
  <c r="W46" i="2" a="1"/>
  <c r="W46" i="2" s="1"/>
  <c r="CL20" i="2" s="1" a="1"/>
  <c r="CL20" i="2" s="1"/>
  <c r="AD1306" i="2" s="1"/>
  <c r="CP5" i="2" a="1"/>
  <c r="CP5" i="2" s="1"/>
  <c r="W50" i="2" a="1"/>
  <c r="W50" i="2" s="1"/>
  <c r="CP20" i="2" s="1" a="1"/>
  <c r="CP20" i="2" s="1"/>
  <c r="AD1390" i="2" s="1"/>
  <c r="CT5" i="2" a="1"/>
  <c r="CT5" i="2" s="1"/>
  <c r="W54" i="2" a="1"/>
  <c r="W54" i="2" s="1"/>
  <c r="CT20" i="2" s="1" a="1"/>
  <c r="CT20" i="2" s="1"/>
  <c r="AD1474" i="2" s="1"/>
  <c r="CX5" i="2" a="1"/>
  <c r="CX5" i="2" s="1"/>
  <c r="W58" i="2" a="1"/>
  <c r="W58" i="2" s="1"/>
  <c r="CX20" i="2" s="1" a="1"/>
  <c r="CX20" i="2" s="1"/>
  <c r="AD1558" i="2" s="1"/>
  <c r="DB5" i="2" a="1"/>
  <c r="DB5" i="2" s="1"/>
  <c r="W61" i="2" a="1"/>
  <c r="W61" i="2" s="1"/>
  <c r="DB20" i="2" s="1" a="1"/>
  <c r="DB20" i="2" s="1"/>
  <c r="AD1642" i="2" s="1"/>
  <c r="DF5" i="2" a="1"/>
  <c r="DF5" i="2" s="1"/>
  <c r="W64" i="2" a="1"/>
  <c r="W64" i="2" s="1"/>
  <c r="DF20" i="2" s="1" a="1"/>
  <c r="DF20" i="2" s="1"/>
  <c r="AD1726" i="2" s="1"/>
  <c r="DJ5" i="2" a="1"/>
  <c r="DJ5" i="2" s="1"/>
  <c r="W67" i="2" a="1"/>
  <c r="W67" i="2" s="1"/>
  <c r="DJ20" i="2" s="1" a="1"/>
  <c r="DJ20" i="2" s="1"/>
  <c r="AD1810" i="2" s="1"/>
  <c r="DN5" i="2" a="1"/>
  <c r="DN5" i="2" s="1"/>
  <c r="W70" i="2" a="1"/>
  <c r="W70" i="2" s="1"/>
  <c r="DN20" i="2" s="1" a="1"/>
  <c r="DN20" i="2" s="1"/>
  <c r="AD1894" i="2" s="1"/>
  <c r="DR5" i="2" a="1"/>
  <c r="DR5" i="2" s="1"/>
  <c r="DR20" i="2" a="1"/>
  <c r="DR20" i="2" s="1"/>
  <c r="AD1978" i="2" s="1"/>
  <c r="DV5" i="2" a="1"/>
  <c r="DV5" i="2" s="1"/>
  <c r="DV20" i="2" a="1"/>
  <c r="DV20" i="2" s="1"/>
  <c r="AD2062" i="2" s="1"/>
  <c r="DZ5" i="2" a="1"/>
  <c r="DZ5" i="2" s="1"/>
  <c r="W75" i="2" a="1"/>
  <c r="W75" i="2" s="1"/>
  <c r="DZ20" i="2" s="1" a="1"/>
  <c r="DZ20" i="2" s="1"/>
  <c r="AD2146" i="2" s="1"/>
  <c r="ED5" i="2" a="1"/>
  <c r="ED5" i="2" s="1"/>
  <c r="W77" i="2" a="1"/>
  <c r="W77" i="2" s="1"/>
  <c r="ED20" i="2" s="1" a="1"/>
  <c r="ED20" i="2" s="1"/>
  <c r="AD2230" i="2" s="1"/>
  <c r="EH5" i="2" a="1"/>
  <c r="EH5" i="2" s="1"/>
  <c r="EH20" i="2" a="1"/>
  <c r="EH20" i="2" s="1"/>
  <c r="AD2314" i="2" s="1"/>
  <c r="EL5" i="2" a="1"/>
  <c r="EL5" i="2" s="1"/>
  <c r="W81" i="2" a="1"/>
  <c r="W81" i="2" s="1"/>
  <c r="EL20" i="2" s="1" a="1"/>
  <c r="EL20" i="2" s="1"/>
  <c r="AD2398" i="2" s="1"/>
  <c r="EP5" i="2" a="1"/>
  <c r="EP5" i="2" s="1"/>
  <c r="W84" i="2" a="1"/>
  <c r="W84" i="2" s="1"/>
  <c r="EP20" i="2" s="1" a="1"/>
  <c r="EP20" i="2" s="1"/>
  <c r="AD2482" i="2" s="1"/>
  <c r="ET5" i="2" a="1"/>
  <c r="ET5" i="2" s="1"/>
  <c r="W88" i="2" a="1"/>
  <c r="W88" i="2" s="1"/>
  <c r="EX5" i="2" a="1"/>
  <c r="EX5" i="2" s="1"/>
  <c r="W90" i="2" a="1"/>
  <c r="W90" i="2" s="1"/>
  <c r="FB5" i="2" a="1"/>
  <c r="FB5" i="2" s="1"/>
  <c r="FF5" i="2" a="1"/>
  <c r="FF5" i="2" s="1"/>
  <c r="W96" i="2" a="1"/>
  <c r="W96" i="2" s="1"/>
  <c r="FJ5" i="2" a="1"/>
  <c r="FJ5" i="2" s="1"/>
  <c r="W99" i="2" a="1"/>
  <c r="W99" i="2" s="1"/>
  <c r="FN5" i="2" a="1"/>
  <c r="FN5" i="2" s="1"/>
  <c r="W103" i="2" a="1"/>
  <c r="W103" i="2" s="1"/>
  <c r="FR5" i="2" a="1"/>
  <c r="FR5" i="2" s="1"/>
  <c r="W106" i="2" a="1"/>
  <c r="W106" i="2" s="1"/>
  <c r="FV5" i="2" a="1"/>
  <c r="FV5" i="2" s="1"/>
  <c r="W110" i="2" a="1"/>
  <c r="W110" i="2" s="1"/>
  <c r="FZ5" i="2" a="1"/>
  <c r="FZ5" i="2" s="1"/>
  <c r="W113" i="2" a="1"/>
  <c r="W113" i="2" s="1"/>
  <c r="GD5" i="2" a="1"/>
  <c r="GD5" i="2" s="1"/>
  <c r="W116" i="2" a="1"/>
  <c r="W116" i="2" s="1"/>
  <c r="GH5" i="2" a="1"/>
  <c r="GH5" i="2" s="1"/>
  <c r="W119" i="2" a="1"/>
  <c r="W119" i="2" s="1"/>
  <c r="GL5" i="2" a="1"/>
  <c r="GL5" i="2" s="1"/>
  <c r="GP5" i="2" a="1"/>
  <c r="GP5" i="2" s="1"/>
  <c r="W123" i="2" a="1"/>
  <c r="W123" i="2" s="1"/>
  <c r="GT5" i="2" a="1"/>
  <c r="GT5" i="2" s="1"/>
  <c r="W127" i="2" a="1"/>
  <c r="W127" i="2" s="1"/>
  <c r="GX5" i="2" a="1"/>
  <c r="GX5" i="2" s="1"/>
  <c r="W131" i="2" a="1"/>
  <c r="W131" i="2" s="1"/>
  <c r="HB5" i="2" a="1"/>
  <c r="HB5" i="2" s="1"/>
  <c r="W135" i="2" a="1"/>
  <c r="W135" i="2" s="1"/>
  <c r="HF5" i="2" a="1"/>
  <c r="HF5" i="2" s="1"/>
  <c r="W139" i="2" a="1"/>
  <c r="W139" i="2" s="1"/>
  <c r="HJ5" i="2" a="1"/>
  <c r="HJ5" i="2" s="1"/>
  <c r="W143" i="2" a="1"/>
  <c r="W143" i="2" s="1"/>
  <c r="HN5" i="2" a="1"/>
  <c r="HN5" i="2" s="1"/>
  <c r="W147" i="2" a="1"/>
  <c r="W147" i="2" s="1"/>
  <c r="HN20" i="2" s="1" a="1"/>
  <c r="HN20" i="2" s="1"/>
  <c r="HR5" i="2" a="1"/>
  <c r="HR5" i="2" s="1"/>
  <c r="W151" i="2" a="1"/>
  <c r="W151" i="2" s="1"/>
  <c r="HR20" i="2" s="1" a="1"/>
  <c r="HR20" i="2" s="1"/>
  <c r="HV5" i="2" a="1"/>
  <c r="HV5" i="2" s="1"/>
  <c r="W155" i="2" a="1"/>
  <c r="W155" i="2" s="1"/>
  <c r="HV20" i="2" s="1" a="1"/>
  <c r="HV20" i="2" s="1"/>
  <c r="HZ5" i="2" a="1"/>
  <c r="HZ5" i="2" s="1"/>
  <c r="W159" i="2" a="1"/>
  <c r="W159" i="2" s="1"/>
  <c r="HZ20" i="2" s="1" a="1"/>
  <c r="HZ20" i="2" s="1"/>
  <c r="ID5" i="2" a="1"/>
  <c r="ID5" i="2" s="1"/>
  <c r="W163" i="2" a="1"/>
  <c r="W163" i="2" s="1"/>
  <c r="ID20" i="2" s="1" a="1"/>
  <c r="ID20" i="2" s="1"/>
  <c r="W167" i="2" a="1"/>
  <c r="W167" i="2" s="1"/>
  <c r="IH20" i="2" s="1" a="1"/>
  <c r="IH20" i="2" s="1"/>
  <c r="IH5" i="2" a="1"/>
  <c r="IH5" i="2" s="1"/>
  <c r="IL5" i="2" a="1"/>
  <c r="IL5" i="2" s="1"/>
  <c r="W171" i="2" a="1"/>
  <c r="W171" i="2" s="1"/>
  <c r="IL20" i="2" s="1" a="1"/>
  <c r="IL20" i="2" s="1"/>
  <c r="IP5" i="2" a="1"/>
  <c r="IP5" i="2" s="1"/>
  <c r="W175" i="2" a="1"/>
  <c r="W175" i="2" s="1"/>
  <c r="IP20" i="2" s="1" a="1"/>
  <c r="IP20" i="2" s="1"/>
  <c r="IT5" i="2" a="1"/>
  <c r="IT5" i="2" s="1"/>
  <c r="W179" i="2" a="1"/>
  <c r="W179" i="2" s="1"/>
  <c r="IT20" i="2" s="1" a="1"/>
  <c r="IT20" i="2" s="1"/>
  <c r="IX5" i="2" a="1"/>
  <c r="IX5" i="2" s="1"/>
  <c r="W183" i="2" a="1"/>
  <c r="W183" i="2" s="1"/>
  <c r="IX20" i="2" s="1" a="1"/>
  <c r="IX20" i="2" s="1"/>
  <c r="JB5" i="2" a="1"/>
  <c r="JB5" i="2" s="1"/>
  <c r="W187" i="2" a="1"/>
  <c r="W187" i="2" s="1"/>
  <c r="JB20" i="2" s="1" a="1"/>
  <c r="JB20" i="2" s="1"/>
  <c r="JF5" i="2" a="1"/>
  <c r="JF5" i="2" s="1"/>
  <c r="W191" i="2" a="1"/>
  <c r="W191" i="2" s="1"/>
  <c r="JF20" i="2" s="1" a="1"/>
  <c r="JF20" i="2" s="1"/>
  <c r="AF5" i="2" a="1"/>
  <c r="AF5" i="2" s="1"/>
  <c r="AF20" i="2" a="1"/>
  <c r="AF20" i="2" s="1"/>
  <c r="AD88" i="2" s="1"/>
  <c r="AN5" i="2" a="1"/>
  <c r="AN5" i="2" s="1"/>
  <c r="AN20" i="2" a="1"/>
  <c r="AN20" i="2" s="1"/>
  <c r="AD256" i="2" s="1"/>
  <c r="AR5" i="2" a="1"/>
  <c r="AR5" i="2" s="1"/>
  <c r="W10" i="2" a="1"/>
  <c r="W10" i="2" s="1"/>
  <c r="AR20" i="2" s="1" a="1"/>
  <c r="AR20" i="2" s="1"/>
  <c r="AD340" i="2" s="1"/>
  <c r="BA5" i="2" a="1"/>
  <c r="BA5" i="2" s="1"/>
  <c r="W17" i="2" a="1"/>
  <c r="W17" i="2" s="1"/>
  <c r="BA20" i="2" s="1" a="1"/>
  <c r="BA20" i="2" s="1"/>
  <c r="AD529" i="2" s="1"/>
  <c r="BE5" i="2" a="1"/>
  <c r="BE5" i="2" s="1"/>
  <c r="W21" i="2" a="1"/>
  <c r="W21" i="2" s="1"/>
  <c r="BE20" i="2" s="1" a="1"/>
  <c r="BE20" i="2" s="1"/>
  <c r="AD613" i="2" s="1"/>
  <c r="BI5" i="2" a="1"/>
  <c r="BI5" i="2" s="1"/>
  <c r="W24" i="2" a="1"/>
  <c r="W24" i="2" s="1"/>
  <c r="BI20" i="2" s="1" a="1"/>
  <c r="BI20" i="2" s="1"/>
  <c r="AD697" i="2" s="1"/>
  <c r="BK5" i="2" a="1"/>
  <c r="BK5" i="2" s="1"/>
  <c r="W25" i="2" a="1"/>
  <c r="W25" i="2" s="1"/>
  <c r="BK20" i="2" s="1" a="1"/>
  <c r="BK20" i="2" s="1"/>
  <c r="AD739" i="2" s="1"/>
  <c r="CA5" i="2" a="1"/>
  <c r="CA5" i="2" s="1"/>
  <c r="CA20" i="2" a="1"/>
  <c r="CA20" i="2" s="1"/>
  <c r="AD1075" i="2" s="1"/>
  <c r="CE5" i="2" a="1"/>
  <c r="CE5" i="2" s="1"/>
  <c r="W40" i="2" a="1"/>
  <c r="W40" i="2" s="1"/>
  <c r="CE20" i="2" s="1" a="1"/>
  <c r="CE20" i="2" s="1"/>
  <c r="AD1159" i="2" s="1"/>
  <c r="CQ5" i="2" a="1"/>
  <c r="CQ5" i="2" s="1"/>
  <c r="W51" i="2" a="1"/>
  <c r="W51" i="2" s="1"/>
  <c r="CQ20" i="2" s="1" a="1"/>
  <c r="CQ20" i="2" s="1"/>
  <c r="AD1411" i="2" s="1"/>
  <c r="CU5" i="2" a="1"/>
  <c r="CU5" i="2" s="1"/>
  <c r="W55" i="2" a="1"/>
  <c r="W55" i="2" s="1"/>
  <c r="CU20" i="2" s="1" a="1"/>
  <c r="CU20" i="2" s="1"/>
  <c r="AD1495" i="2" s="1"/>
  <c r="DG5" i="2" a="1"/>
  <c r="DG5" i="2" s="1"/>
  <c r="W65" i="2" a="1"/>
  <c r="W65" i="2" s="1"/>
  <c r="DG20" i="2" s="1" a="1"/>
  <c r="DG20" i="2" s="1"/>
  <c r="AD1747" i="2" s="1"/>
  <c r="EA5" i="2" a="1"/>
  <c r="EA5" i="2" s="1"/>
  <c r="EA20" i="2" a="1"/>
  <c r="EA20" i="2" s="1"/>
  <c r="AD2167" i="2" s="1"/>
  <c r="EE5" i="2" a="1"/>
  <c r="EE5" i="2" s="1"/>
  <c r="W78" i="2" a="1"/>
  <c r="W78" i="2" s="1"/>
  <c r="EE20" i="2" s="1" a="1"/>
  <c r="EE20" i="2" s="1"/>
  <c r="AD2251" i="2" s="1"/>
  <c r="EI5" i="2" a="1"/>
  <c r="EI5" i="2" s="1"/>
  <c r="EI20" i="2" a="1"/>
  <c r="EI20" i="2" s="1"/>
  <c r="AD2335" i="2" s="1"/>
  <c r="FC5" i="2" a="1"/>
  <c r="FC5" i="2" s="1"/>
  <c r="W93" i="2" a="1"/>
  <c r="W93" i="2" s="1"/>
  <c r="FK5" i="2" a="1"/>
  <c r="FK5" i="2" s="1"/>
  <c r="W100" i="2" a="1"/>
  <c r="W100" i="2" s="1"/>
  <c r="GA5" i="2" a="1"/>
  <c r="GA5" i="2" s="1"/>
  <c r="W114" i="2" a="1"/>
  <c r="W114" i="2" s="1"/>
  <c r="GA20" i="2" s="1" a="1"/>
  <c r="GA20" i="2" s="1"/>
  <c r="GY5" i="2" a="1"/>
  <c r="GY5" i="2" s="1"/>
  <c r="W132" i="2" a="1"/>
  <c r="W132" i="2" s="1"/>
  <c r="GY20" i="2" s="1" a="1"/>
  <c r="GY20" i="2" s="1"/>
  <c r="HG5" i="2" a="1"/>
  <c r="HG5" i="2" s="1"/>
  <c r="W140" i="2" a="1"/>
  <c r="W140" i="2" s="1"/>
  <c r="AK5" i="2" a="1"/>
  <c r="AK5" i="2" s="1"/>
  <c r="AK20" i="2" a="1"/>
  <c r="AK20" i="2" s="1"/>
  <c r="AD193" i="2" s="1"/>
  <c r="AM5" i="2" a="1"/>
  <c r="AM5" i="2" s="1"/>
  <c r="AM20" i="2" a="1"/>
  <c r="AM20" i="2" s="1"/>
  <c r="AD235" i="2" s="1"/>
  <c r="W8" i="2" a="1"/>
  <c r="W8" i="2" s="1"/>
  <c r="AO20" i="2" s="1" a="1"/>
  <c r="AO20" i="2" s="1"/>
  <c r="AD277" i="2" s="1"/>
  <c r="AO5" i="2" a="1"/>
  <c r="AO5" i="2" s="1"/>
  <c r="AQ5" i="2" a="1"/>
  <c r="AQ5" i="2" s="1"/>
  <c r="W9" i="2" a="1"/>
  <c r="W9" i="2" s="1"/>
  <c r="AQ20" i="2" s="1" a="1"/>
  <c r="AQ20" i="2" s="1"/>
  <c r="AD319" i="2" s="1"/>
  <c r="AS5" i="2" a="1"/>
  <c r="AS5" i="2" s="1"/>
  <c r="W11" i="2" a="1"/>
  <c r="W11" i="2" s="1"/>
  <c r="AS20" i="2" s="1" a="1"/>
  <c r="AS20" i="2" s="1"/>
  <c r="AD361" i="2" s="1"/>
  <c r="AU5" i="2" a="1"/>
  <c r="AU5" i="2" s="1"/>
  <c r="AU20" i="2" a="1"/>
  <c r="AU20" i="2" s="1"/>
  <c r="AD403" i="2" s="1"/>
  <c r="AY5" i="2" a="1"/>
  <c r="AY5" i="2" s="1"/>
  <c r="W15" i="2" a="1"/>
  <c r="W15" i="2" s="1"/>
  <c r="AY20" i="2" s="1" a="1"/>
  <c r="AY20" i="2" s="1"/>
  <c r="AD487" i="2" s="1"/>
  <c r="BC5" i="2" a="1"/>
  <c r="BC5" i="2" s="1"/>
  <c r="W19" i="2" a="1"/>
  <c r="W19" i="2" s="1"/>
  <c r="BC20" i="2" s="1" a="1"/>
  <c r="BC20" i="2" s="1"/>
  <c r="AD571" i="2" s="1"/>
  <c r="BG5" i="2" a="1"/>
  <c r="BG5" i="2" s="1"/>
  <c r="W23" i="2" a="1"/>
  <c r="W23" i="2" s="1"/>
  <c r="BG20" i="2" s="1" a="1"/>
  <c r="BG20" i="2" s="1"/>
  <c r="AD655" i="2" s="1"/>
  <c r="BM5" i="2" a="1"/>
  <c r="BM5" i="2" s="1"/>
  <c r="W26" i="2" a="1"/>
  <c r="W26" i="2" s="1"/>
  <c r="BM20" i="2" s="1" a="1"/>
  <c r="BM20" i="2" s="1"/>
  <c r="AD781" i="2" s="1"/>
  <c r="BQ5" i="2" a="1"/>
  <c r="BQ5" i="2" s="1"/>
  <c r="BQ20" i="2" a="1"/>
  <c r="BQ20" i="2" s="1"/>
  <c r="AD865" i="2" s="1"/>
  <c r="BU5" i="2" a="1"/>
  <c r="BU5" i="2" s="1"/>
  <c r="W31" i="2" a="1"/>
  <c r="W31" i="2" s="1"/>
  <c r="BU20" i="2" s="1" a="1"/>
  <c r="BU20" i="2" s="1"/>
  <c r="AD949" i="2" s="1"/>
  <c r="BY5" i="2" a="1"/>
  <c r="BY5" i="2" s="1"/>
  <c r="W35" i="2" a="1"/>
  <c r="W35" i="2" s="1"/>
  <c r="BY20" i="2" s="1" a="1"/>
  <c r="BY20" i="2" s="1"/>
  <c r="AD1033" i="2" s="1"/>
  <c r="W38" i="2" a="1"/>
  <c r="W38" i="2" s="1"/>
  <c r="CC20" i="2" s="1" a="1"/>
  <c r="CC20" i="2" s="1"/>
  <c r="AD1117" i="2" s="1"/>
  <c r="CC5" i="2" a="1"/>
  <c r="CC5" i="2" s="1"/>
  <c r="CG5" i="2" a="1"/>
  <c r="CG5" i="2" s="1"/>
  <c r="W42" i="2" a="1"/>
  <c r="W42" i="2" s="1"/>
  <c r="CG20" i="2" s="1" a="1"/>
  <c r="CG20" i="2" s="1"/>
  <c r="AD1201" i="2" s="1"/>
  <c r="CK5" i="2" a="1"/>
  <c r="CK5" i="2" s="1"/>
  <c r="W45" i="2" a="1"/>
  <c r="W45" i="2" s="1"/>
  <c r="CK20" i="2" s="1" a="1"/>
  <c r="CK20" i="2" s="1"/>
  <c r="AD1285" i="2" s="1"/>
  <c r="CO5" i="2" a="1"/>
  <c r="CO5" i="2" s="1"/>
  <c r="W49" i="2" a="1"/>
  <c r="W49" i="2" s="1"/>
  <c r="CO20" i="2" s="1" a="1"/>
  <c r="CO20" i="2" s="1"/>
  <c r="AD1369" i="2" s="1"/>
  <c r="W53" i="2" a="1"/>
  <c r="W53" i="2" s="1"/>
  <c r="CS20" i="2" s="1" a="1"/>
  <c r="CS20" i="2" s="1"/>
  <c r="AD1453" i="2" s="1"/>
  <c r="CS5" i="2" a="1"/>
  <c r="CS5" i="2" s="1"/>
  <c r="CW5" i="2" a="1"/>
  <c r="CW5" i="2" s="1"/>
  <c r="W57" i="2" a="1"/>
  <c r="W57" i="2" s="1"/>
  <c r="CW20" i="2" s="1" a="1"/>
  <c r="CW20" i="2" s="1"/>
  <c r="AD1537" i="2" s="1"/>
  <c r="DA5" i="2" a="1"/>
  <c r="DA5" i="2" s="1"/>
  <c r="DA20" i="2" a="1"/>
  <c r="DA20" i="2" s="1"/>
  <c r="AD1621" i="2" s="1"/>
  <c r="DE5" i="2" a="1"/>
  <c r="DE5" i="2" s="1"/>
  <c r="W63" i="2" a="1"/>
  <c r="W63" i="2" s="1"/>
  <c r="DE20" i="2" s="1" a="1"/>
  <c r="DE20" i="2" s="1"/>
  <c r="AD1705" i="2" s="1"/>
  <c r="W66" i="2" a="1"/>
  <c r="W66" i="2" s="1"/>
  <c r="DI20" i="2" s="1" a="1"/>
  <c r="DI20" i="2" s="1"/>
  <c r="AD1789" i="2" s="1"/>
  <c r="DI5" i="2" a="1"/>
  <c r="DI5" i="2" s="1"/>
  <c r="DM5" i="2" a="1"/>
  <c r="DM5" i="2" s="1"/>
  <c r="DM20" i="2" a="1"/>
  <c r="DM20" i="2" s="1"/>
  <c r="AD1873" i="2" s="1"/>
  <c r="DQ5" i="2" a="1"/>
  <c r="DQ5" i="2" s="1"/>
  <c r="W71" i="2" a="1"/>
  <c r="W71" i="2" s="1"/>
  <c r="DQ20" i="2" s="1" a="1"/>
  <c r="DQ20" i="2" s="1"/>
  <c r="AD1957" i="2" s="1"/>
  <c r="DU5" i="2" a="1"/>
  <c r="DU5" i="2" s="1"/>
  <c r="W73" i="2" a="1"/>
  <c r="W73" i="2" s="1"/>
  <c r="DU20" i="2" s="1" a="1"/>
  <c r="DU20" i="2" s="1"/>
  <c r="AD2041" i="2" s="1"/>
  <c r="DY20" i="2" a="1"/>
  <c r="DY20" i="2" s="1"/>
  <c r="AD2125" i="2" s="1"/>
  <c r="DY5" i="2" a="1"/>
  <c r="DY5" i="2" s="1"/>
  <c r="EC5" i="2" a="1"/>
  <c r="EC5" i="2" s="1"/>
  <c r="EC20" i="2" a="1"/>
  <c r="EC20" i="2" s="1"/>
  <c r="AD2209" i="2" s="1"/>
  <c r="EG5" i="2" a="1"/>
  <c r="EG5" i="2" s="1"/>
  <c r="W79" i="2" a="1"/>
  <c r="W79" i="2" s="1"/>
  <c r="EG20" i="2" s="1" a="1"/>
  <c r="EG20" i="2" s="1"/>
  <c r="AD2293" i="2" s="1"/>
  <c r="EK5" i="2" a="1"/>
  <c r="EK5" i="2" s="1"/>
  <c r="EK20" i="2" a="1"/>
  <c r="EK20" i="2" s="1"/>
  <c r="AD2377" i="2" s="1"/>
  <c r="W83" i="2" a="1"/>
  <c r="W83" i="2" s="1"/>
  <c r="EO20" i="2" s="1" a="1"/>
  <c r="EO20" i="2" s="1"/>
  <c r="AD2461" i="2" s="1"/>
  <c r="EO5" i="2" a="1"/>
  <c r="EO5" i="2" s="1"/>
  <c r="ES5" i="2" a="1"/>
  <c r="ES5" i="2" s="1"/>
  <c r="W87" i="2" a="1"/>
  <c r="W87" i="2" s="1"/>
  <c r="ES20" i="2" s="1" a="1"/>
  <c r="ES20" i="2" s="1"/>
  <c r="AD2545" i="2" s="1"/>
  <c r="EW5" i="2" a="1"/>
  <c r="EW5" i="2" s="1"/>
  <c r="FA5" i="2" a="1"/>
  <c r="FA5" i="2" s="1"/>
  <c r="W92" i="2" a="1"/>
  <c r="W92" i="2" s="1"/>
  <c r="W95" i="2" a="1"/>
  <c r="W95" i="2" s="1"/>
  <c r="FE5" i="2" a="1"/>
  <c r="FE5" i="2" s="1"/>
  <c r="FI5" i="2" a="1"/>
  <c r="FI5" i="2" s="1"/>
  <c r="W98" i="2" a="1"/>
  <c r="W98" i="2" s="1"/>
  <c r="FM5" i="2" a="1"/>
  <c r="FM5" i="2" s="1"/>
  <c r="W102" i="2" a="1"/>
  <c r="W102" i="2" s="1"/>
  <c r="FQ5" i="2" a="1"/>
  <c r="FQ5" i="2" s="1"/>
  <c r="FQ20" i="2" a="1"/>
  <c r="FQ20" i="2" s="1"/>
  <c r="W109" i="2" a="1"/>
  <c r="W109" i="2" s="1"/>
  <c r="FU5" i="2" a="1"/>
  <c r="FU5" i="2" s="1"/>
  <c r="FY5" i="2" a="1"/>
  <c r="FY5" i="2" s="1"/>
  <c r="W112" i="2" a="1"/>
  <c r="W112" i="2" s="1"/>
  <c r="GC5" i="2" a="1"/>
  <c r="GC5" i="2" s="1"/>
  <c r="GG5" i="2" a="1"/>
  <c r="GG5" i="2" s="1"/>
  <c r="W118" i="2" a="1"/>
  <c r="W118" i="2" s="1"/>
  <c r="GK5" i="2" a="1"/>
  <c r="GK5" i="2" s="1"/>
  <c r="GO5" i="2" a="1"/>
  <c r="GO5" i="2" s="1"/>
  <c r="W122" i="2" a="1"/>
  <c r="W122" i="2" s="1"/>
  <c r="GS5" i="2" a="1"/>
  <c r="GS5" i="2" s="1"/>
  <c r="W126" i="2" a="1"/>
  <c r="W126" i="2" s="1"/>
  <c r="GW5" i="2" a="1"/>
  <c r="GW5" i="2" s="1"/>
  <c r="W130" i="2" a="1"/>
  <c r="W130" i="2" s="1"/>
  <c r="GW20" i="2" s="1" a="1"/>
  <c r="GW20" i="2" s="1"/>
  <c r="W134" i="2" a="1"/>
  <c r="W134" i="2" s="1"/>
  <c r="HA5" i="2" a="1"/>
  <c r="HA5" i="2" s="1"/>
  <c r="HE5" i="2" a="1"/>
  <c r="HE5" i="2" s="1"/>
  <c r="W138" i="2" a="1"/>
  <c r="W138" i="2" s="1"/>
  <c r="HI5" i="2" a="1"/>
  <c r="HI5" i="2" s="1"/>
  <c r="W142" i="2" a="1"/>
  <c r="W142" i="2" s="1"/>
  <c r="W146" i="2" a="1"/>
  <c r="W146" i="2" s="1"/>
  <c r="HM20" i="2" s="1" a="1"/>
  <c r="HM20" i="2" s="1"/>
  <c r="HM5" i="2" a="1"/>
  <c r="HM5" i="2" s="1"/>
  <c r="HQ5" i="2" a="1"/>
  <c r="HQ5" i="2" s="1"/>
  <c r="W150" i="2" a="1"/>
  <c r="W150" i="2" s="1"/>
  <c r="HQ20" i="2" s="1" a="1"/>
  <c r="HQ20" i="2" s="1"/>
  <c r="HU5" i="2" a="1"/>
  <c r="HU5" i="2" s="1"/>
  <c r="W154" i="2" a="1"/>
  <c r="W154" i="2" s="1"/>
  <c r="HU20" i="2" s="1" a="1"/>
  <c r="HU20" i="2" s="1"/>
  <c r="HY5" i="2" a="1"/>
  <c r="HY5" i="2" s="1"/>
  <c r="W158" i="2" a="1"/>
  <c r="W158" i="2" s="1"/>
  <c r="HY20" i="2" s="1" a="1"/>
  <c r="HY20" i="2" s="1"/>
  <c r="IC5" i="2" a="1"/>
  <c r="IC5" i="2" s="1"/>
  <c r="W162" i="2" a="1"/>
  <c r="W162" i="2" s="1"/>
  <c r="IC20" i="2" s="1" a="1"/>
  <c r="IC20" i="2" s="1"/>
  <c r="IG5" i="2" a="1"/>
  <c r="IG5" i="2" s="1"/>
  <c r="W166" i="2" a="1"/>
  <c r="W166" i="2" s="1"/>
  <c r="IG20" i="2" s="1" a="1"/>
  <c r="IG20" i="2" s="1"/>
  <c r="IK5" i="2" a="1"/>
  <c r="IK5" i="2" s="1"/>
  <c r="W170" i="2" a="1"/>
  <c r="W170" i="2" s="1"/>
  <c r="IK20" i="2" s="1" a="1"/>
  <c r="IK20" i="2" s="1"/>
  <c r="IO5" i="2" a="1"/>
  <c r="IO5" i="2" s="1"/>
  <c r="W174" i="2" a="1"/>
  <c r="W174" i="2" s="1"/>
  <c r="IO20" i="2" s="1" a="1"/>
  <c r="IO20" i="2" s="1"/>
  <c r="W178" i="2" a="1"/>
  <c r="W178" i="2" s="1"/>
  <c r="IS20" i="2" s="1" a="1"/>
  <c r="IS20" i="2" s="1"/>
  <c r="IS5" i="2" a="1"/>
  <c r="IS5" i="2" s="1"/>
  <c r="IW5" i="2" a="1"/>
  <c r="IW5" i="2" s="1"/>
  <c r="W182" i="2" a="1"/>
  <c r="W182" i="2" s="1"/>
  <c r="IW20" i="2" s="1" a="1"/>
  <c r="IW20" i="2" s="1"/>
  <c r="JA5" i="2" a="1"/>
  <c r="JA5" i="2" s="1"/>
  <c r="W186" i="2" a="1"/>
  <c r="W186" i="2" s="1"/>
  <c r="JA20" i="2" s="1" a="1"/>
  <c r="JA20" i="2" s="1"/>
  <c r="JE5" i="2" a="1"/>
  <c r="JE5" i="2" s="1"/>
  <c r="W190" i="2" a="1"/>
  <c r="W190" i="2" s="1"/>
  <c r="JE20" i="2" s="1" a="1"/>
  <c r="JE20" i="2" s="1"/>
  <c r="AH5" i="2" a="1"/>
  <c r="AH5" i="2" s="1"/>
  <c r="AH20" i="2" a="1"/>
  <c r="AH20" i="2" s="1"/>
  <c r="AD130" i="2" s="1"/>
  <c r="AP5" i="2" a="1"/>
  <c r="AP5" i="2" s="1"/>
  <c r="AP20" i="2" a="1"/>
  <c r="AP20" i="2" s="1"/>
  <c r="AD298" i="2" s="1"/>
  <c r="BO5" i="2" a="1"/>
  <c r="BO5" i="2" s="1"/>
  <c r="W27" i="2" a="1"/>
  <c r="W27" i="2" s="1"/>
  <c r="BO20" i="2" s="1" a="1"/>
  <c r="BO20" i="2" s="1"/>
  <c r="AD823" i="2" s="1"/>
  <c r="BW5" i="2" a="1"/>
  <c r="BW5" i="2" s="1"/>
  <c r="W33" i="2" a="1"/>
  <c r="W33" i="2" s="1"/>
  <c r="BW20" i="2" s="1" a="1"/>
  <c r="BW20" i="2" s="1"/>
  <c r="AD991" i="2" s="1"/>
  <c r="DW5" i="2" a="1"/>
  <c r="DW5" i="2" s="1"/>
  <c r="W74" i="2" a="1"/>
  <c r="W74" i="2" s="1"/>
  <c r="DW20" i="2" s="1" a="1"/>
  <c r="DW20" i="2" s="1"/>
  <c r="AD2083" i="2" s="1"/>
  <c r="EQ5" i="2" a="1"/>
  <c r="EQ5" i="2" s="1"/>
  <c r="W85" i="2" a="1"/>
  <c r="W85" i="2" s="1"/>
  <c r="EQ20" i="2" s="1" a="1"/>
  <c r="EQ20" i="2" s="1"/>
  <c r="AD2503" i="2" s="1"/>
  <c r="EU5" i="2" a="1"/>
  <c r="EU5" i="2" s="1"/>
  <c r="EU20" i="2" a="1"/>
  <c r="EU20" i="2" s="1"/>
  <c r="AD2587" i="2" s="1"/>
  <c r="FO5" i="2" a="1"/>
  <c r="FO5" i="2" s="1"/>
  <c r="W104" i="2" a="1"/>
  <c r="W104" i="2" s="1"/>
  <c r="FO20" i="2" s="1" a="1"/>
  <c r="FO20" i="2" s="1"/>
  <c r="AD3007" i="2" s="1"/>
  <c r="FW5" i="2" a="1"/>
  <c r="FW5" i="2" s="1"/>
  <c r="W111" i="2" a="1"/>
  <c r="W111" i="2" s="1"/>
  <c r="FW20" i="2" s="1" a="1"/>
  <c r="FW20" i="2" s="1"/>
  <c r="GE5" i="2" a="1"/>
  <c r="GE5" i="2" s="1"/>
  <c r="GE20" i="2" a="1"/>
  <c r="GE20" i="2" s="1"/>
  <c r="GI5" i="2" a="1"/>
  <c r="GI5" i="2" s="1"/>
  <c r="GU5" i="2" a="1"/>
  <c r="GU5" i="2" s="1"/>
  <c r="W128" i="2" a="1"/>
  <c r="W128" i="2" s="1"/>
  <c r="GU20" i="2" s="1" a="1"/>
  <c r="GU20" i="2" s="1"/>
  <c r="HC5" i="2" a="1"/>
  <c r="HC5" i="2" s="1"/>
  <c r="W136" i="2" a="1"/>
  <c r="W136" i="2" s="1"/>
  <c r="HC20" i="2" s="1" a="1"/>
  <c r="HC20" i="2" s="1"/>
  <c r="HO5" i="2" a="1"/>
  <c r="HO5" i="2" s="1"/>
  <c r="W148" i="2" a="1"/>
  <c r="W148" i="2" s="1"/>
  <c r="HO20" i="2" s="1" a="1"/>
  <c r="HO20" i="2" s="1"/>
  <c r="IE5" i="2" a="1"/>
  <c r="IE5" i="2" s="1"/>
  <c r="W164" i="2" a="1"/>
  <c r="W164" i="2" s="1"/>
  <c r="IE20" i="2" s="1" a="1"/>
  <c r="IE20" i="2" s="1"/>
  <c r="II5" i="2" a="1"/>
  <c r="II5" i="2" s="1"/>
  <c r="W168" i="2" a="1"/>
  <c r="W168" i="2" s="1"/>
  <c r="II20" i="2" s="1" a="1"/>
  <c r="II20" i="2" s="1"/>
  <c r="W188" i="2" a="1"/>
  <c r="W188" i="2" s="1"/>
  <c r="JC20" i="2" s="1" a="1"/>
  <c r="JC20" i="2" s="1"/>
  <c r="JC5" i="2" a="1"/>
  <c r="JC5" i="2" s="1"/>
  <c r="AE5" i="2" a="1"/>
  <c r="AE5" i="2" s="1"/>
  <c r="W4" i="2" a="1"/>
  <c r="W4" i="2" s="1"/>
  <c r="AE20" i="2" s="1" a="1"/>
  <c r="AE20" i="2" s="1"/>
  <c r="AD67" i="2" s="1"/>
  <c r="AG5" i="2" a="1"/>
  <c r="AG5" i="2" s="1"/>
  <c r="W5" i="2" a="1"/>
  <c r="W5" i="2" s="1"/>
  <c r="AG20" i="2" s="1" a="1"/>
  <c r="AG20" i="2" s="1"/>
  <c r="AD109" i="2" s="1"/>
  <c r="AI5" i="2" a="1"/>
  <c r="AI5" i="2" s="1"/>
  <c r="W6" i="2" a="1"/>
  <c r="W6" i="2" s="1"/>
  <c r="AI20" i="2" s="1" a="1"/>
  <c r="AI20" i="2" s="1"/>
  <c r="AD151" i="2" s="1"/>
  <c r="AX5" i="2" a="1"/>
  <c r="AX5" i="2" s="1"/>
  <c r="AX20" i="2" a="1"/>
  <c r="AX20" i="2" s="1"/>
  <c r="AD466" i="2" s="1"/>
  <c r="BB5" i="2" a="1"/>
  <c r="BB5" i="2" s="1"/>
  <c r="W18" i="2" a="1"/>
  <c r="W18" i="2" s="1"/>
  <c r="BB20" i="2" s="1" a="1"/>
  <c r="BB20" i="2" s="1"/>
  <c r="AD550" i="2" s="1"/>
  <c r="BF5" i="2" a="1"/>
  <c r="BF5" i="2" s="1"/>
  <c r="W22" i="2" a="1"/>
  <c r="W22" i="2" s="1"/>
  <c r="BF20" i="2" s="1" a="1"/>
  <c r="BF20" i="2" s="1"/>
  <c r="AD634" i="2" s="1"/>
  <c r="BJ20" i="2" a="1"/>
  <c r="BJ20" i="2" s="1"/>
  <c r="AD718" i="2" s="1"/>
  <c r="BJ5" i="2" a="1"/>
  <c r="BJ5" i="2" s="1"/>
  <c r="BN5" i="2" a="1"/>
  <c r="BN5" i="2" s="1"/>
  <c r="BN20" i="2" a="1"/>
  <c r="BN20" i="2" s="1"/>
  <c r="AD802" i="2" s="1"/>
  <c r="BR5" i="2" a="1"/>
  <c r="BR5" i="2" s="1"/>
  <c r="W28" i="2" a="1"/>
  <c r="W28" i="2" s="1"/>
  <c r="BR20" i="2" s="1" a="1"/>
  <c r="BR20" i="2" s="1"/>
  <c r="AD886" i="2" s="1"/>
  <c r="BV5" i="2" a="1"/>
  <c r="BV5" i="2" s="1"/>
  <c r="W32" i="2" a="1"/>
  <c r="W32" i="2" s="1"/>
  <c r="BV20" i="2" s="1" a="1"/>
  <c r="BV20" i="2" s="1"/>
  <c r="AD970" i="2" s="1"/>
  <c r="CB5" i="2" a="1"/>
  <c r="CB5" i="2" s="1"/>
  <c r="W37" i="2" a="1"/>
  <c r="W37" i="2" s="1"/>
  <c r="CB20" i="2" s="1" a="1"/>
  <c r="CB20" i="2" s="1"/>
  <c r="AD1096" i="2" s="1"/>
  <c r="CF5" i="2" a="1"/>
  <c r="CF5" i="2" s="1"/>
  <c r="W41" i="2" a="1"/>
  <c r="W41" i="2" s="1"/>
  <c r="CF20" i="2" s="1" a="1"/>
  <c r="CF20" i="2" s="1"/>
  <c r="AD1180" i="2" s="1"/>
  <c r="CJ5" i="2" a="1"/>
  <c r="CJ5" i="2" s="1"/>
  <c r="W44" i="2" a="1"/>
  <c r="W44" i="2" s="1"/>
  <c r="CJ20" i="2" s="1" a="1"/>
  <c r="CJ20" i="2" s="1"/>
  <c r="AD1264" i="2" s="1"/>
  <c r="CN5" i="2" a="1"/>
  <c r="CN5" i="2" s="1"/>
  <c r="W48" i="2" a="1"/>
  <c r="W48" i="2" s="1"/>
  <c r="CN20" i="2" s="1" a="1"/>
  <c r="CN20" i="2" s="1"/>
  <c r="AD1348" i="2" s="1"/>
  <c r="CR5" i="2" a="1"/>
  <c r="CR5" i="2" s="1"/>
  <c r="W52" i="2" a="1"/>
  <c r="W52" i="2" s="1"/>
  <c r="CR20" i="2" s="1" a="1"/>
  <c r="CR20" i="2" s="1"/>
  <c r="AD1432" i="2" s="1"/>
  <c r="CV5" i="2" a="1"/>
  <c r="CV5" i="2" s="1"/>
  <c r="W56" i="2" a="1"/>
  <c r="W56" i="2" s="1"/>
  <c r="CV20" i="2" s="1" a="1"/>
  <c r="CV20" i="2" s="1"/>
  <c r="AD1516" i="2" s="1"/>
  <c r="CZ5" i="2" a="1"/>
  <c r="CZ5" i="2" s="1"/>
  <c r="W60" i="2" a="1"/>
  <c r="W60" i="2" s="1"/>
  <c r="CZ20" i="2" s="1" a="1"/>
  <c r="CZ20" i="2" s="1"/>
  <c r="AD1600" i="2" s="1"/>
  <c r="DD5" i="2" a="1"/>
  <c r="DD5" i="2" s="1"/>
  <c r="W62" i="2" a="1"/>
  <c r="W62" i="2" s="1"/>
  <c r="DD20" i="2" s="1" a="1"/>
  <c r="DD20" i="2" s="1"/>
  <c r="AD1684" i="2" s="1"/>
  <c r="DH5" i="2" a="1"/>
  <c r="DH5" i="2" s="1"/>
  <c r="DH20" i="2" a="1"/>
  <c r="DH20" i="2" s="1"/>
  <c r="AD1768" i="2" s="1"/>
  <c r="DL5" i="2" a="1"/>
  <c r="DL5" i="2" s="1"/>
  <c r="W69" i="2" a="1"/>
  <c r="W69" i="2" s="1"/>
  <c r="DL20" i="2" s="1" a="1"/>
  <c r="DL20" i="2" s="1"/>
  <c r="AD1852" i="2" s="1"/>
  <c r="DP5" i="2" a="1"/>
  <c r="DP5" i="2" s="1"/>
  <c r="DP20" i="2" a="1"/>
  <c r="DP20" i="2" s="1"/>
  <c r="AD1936" i="2" s="1"/>
  <c r="DT5" i="2" a="1"/>
  <c r="DT5" i="2" s="1"/>
  <c r="DT20" i="2" a="1"/>
  <c r="DT20" i="2" s="1"/>
  <c r="AD2020" i="2" s="1"/>
  <c r="DX5" i="2" a="1"/>
  <c r="DX5" i="2" s="1"/>
  <c r="DX20" i="2" a="1"/>
  <c r="DX20" i="2" s="1"/>
  <c r="AD2104" i="2" s="1"/>
  <c r="EB5" i="2" a="1"/>
  <c r="EB5" i="2" s="1"/>
  <c r="W76" i="2" a="1"/>
  <c r="W76" i="2" s="1"/>
  <c r="EB20" i="2" s="1" a="1"/>
  <c r="EB20" i="2" s="1"/>
  <c r="AD2188" i="2" s="1"/>
  <c r="EF5" i="2" a="1"/>
  <c r="EF5" i="2" s="1"/>
  <c r="EF20" i="2" a="1"/>
  <c r="EF20" i="2" s="1"/>
  <c r="AD2272" i="2" s="1"/>
  <c r="EJ5" i="2" a="1"/>
  <c r="EJ5" i="2" s="1"/>
  <c r="W80" i="2" a="1"/>
  <c r="W80" i="2" s="1"/>
  <c r="EJ20" i="2" s="1" a="1"/>
  <c r="EJ20" i="2" s="1"/>
  <c r="AD2356" i="2" s="1"/>
  <c r="EN5" i="2" a="1"/>
  <c r="EN5" i="2" s="1"/>
  <c r="W82" i="2" a="1"/>
  <c r="W82" i="2" s="1"/>
  <c r="EN20" i="2" s="1" a="1"/>
  <c r="EN20" i="2" s="1"/>
  <c r="AD2440" i="2" s="1"/>
  <c r="ER5" i="2" a="1"/>
  <c r="ER5" i="2" s="1"/>
  <c r="W86" i="2" a="1"/>
  <c r="W86" i="2" s="1"/>
  <c r="ER20" i="2" s="1" a="1"/>
  <c r="ER20" i="2" s="1"/>
  <c r="AD2524" i="2" s="1"/>
  <c r="EV5" i="2" a="1"/>
  <c r="EV5" i="2" s="1"/>
  <c r="W89" i="2" a="1"/>
  <c r="W89" i="2" s="1"/>
  <c r="EZ5" i="2" a="1"/>
  <c r="EZ5" i="2" s="1"/>
  <c r="W91" i="2" a="1"/>
  <c r="W91" i="2" s="1"/>
  <c r="FD5" i="2" a="1"/>
  <c r="FD5" i="2" s="1"/>
  <c r="W94" i="2" a="1"/>
  <c r="W94" i="2" s="1"/>
  <c r="FH5" i="2" a="1"/>
  <c r="FH5" i="2" s="1"/>
  <c r="FL5" i="2" a="1"/>
  <c r="FL5" i="2" s="1"/>
  <c r="W101" i="2" a="1"/>
  <c r="W101" i="2" s="1"/>
  <c r="FP5" i="2" a="1"/>
  <c r="FP5" i="2" s="1"/>
  <c r="W105" i="2" a="1"/>
  <c r="W105" i="2" s="1"/>
  <c r="FT5" i="2" a="1"/>
  <c r="FT5" i="2" s="1"/>
  <c r="W108" i="2" a="1"/>
  <c r="W108" i="2" s="1"/>
  <c r="FX5" i="2" a="1"/>
  <c r="FX5" i="2" s="1"/>
  <c r="GB5" i="2" a="1"/>
  <c r="GB5" i="2" s="1"/>
  <c r="W115" i="2" a="1"/>
  <c r="W115" i="2" s="1"/>
  <c r="GB20" i="2" s="1" a="1"/>
  <c r="GB20" i="2" s="1"/>
  <c r="GF5" i="2" a="1"/>
  <c r="GF5" i="2" s="1"/>
  <c r="W117" i="2" a="1"/>
  <c r="W117" i="2" s="1"/>
  <c r="GJ5" i="2" a="1"/>
  <c r="GJ5" i="2" s="1"/>
  <c r="W120" i="2" a="1"/>
  <c r="W120" i="2" s="1"/>
  <c r="GN5" i="2" a="1"/>
  <c r="GN5" i="2" s="1"/>
  <c r="W121" i="2" a="1"/>
  <c r="W121" i="2" s="1"/>
  <c r="GR5" i="2" a="1"/>
  <c r="GR5" i="2" s="1"/>
  <c r="W125" i="2" a="1"/>
  <c r="W125" i="2" s="1"/>
  <c r="GV5" i="2" a="1"/>
  <c r="GV5" i="2" s="1"/>
  <c r="W129" i="2" a="1"/>
  <c r="W129" i="2" s="1"/>
  <c r="GZ5" i="2" a="1"/>
  <c r="GZ5" i="2" s="1"/>
  <c r="W133" i="2" a="1"/>
  <c r="W133" i="2" s="1"/>
  <c r="HD5" i="2" a="1"/>
  <c r="HD5" i="2" s="1"/>
  <c r="W137" i="2" a="1"/>
  <c r="W137" i="2" s="1"/>
  <c r="HH5" i="2" a="1"/>
  <c r="HH5" i="2" s="1"/>
  <c r="W141" i="2" a="1"/>
  <c r="W141" i="2" s="1"/>
  <c r="HH20" i="2" s="1" a="1"/>
  <c r="HH20" i="2" s="1"/>
  <c r="HL5" i="2" a="1"/>
  <c r="HL5" i="2" s="1"/>
  <c r="W145" i="2" a="1"/>
  <c r="W145" i="2" s="1"/>
  <c r="HP5" i="2" a="1"/>
  <c r="HP5" i="2" s="1"/>
  <c r="W149" i="2" a="1"/>
  <c r="W149" i="2" s="1"/>
  <c r="HP20" i="2" s="1" a="1"/>
  <c r="HP20" i="2" s="1"/>
  <c r="HT5" i="2" a="1"/>
  <c r="HT5" i="2" s="1"/>
  <c r="W153" i="2" a="1"/>
  <c r="W153" i="2" s="1"/>
  <c r="HT20" i="2" s="1" a="1"/>
  <c r="HT20" i="2" s="1"/>
  <c r="W157" i="2" a="1"/>
  <c r="W157" i="2" s="1"/>
  <c r="HX20" i="2" s="1" a="1"/>
  <c r="HX20" i="2" s="1"/>
  <c r="HX5" i="2" a="1"/>
  <c r="HX5" i="2" s="1"/>
  <c r="IB5" i="2" a="1"/>
  <c r="IB5" i="2" s="1"/>
  <c r="W161" i="2" a="1"/>
  <c r="W161" i="2" s="1"/>
  <c r="IB20" i="2" s="1" a="1"/>
  <c r="IB20" i="2" s="1"/>
  <c r="IF5" i="2" a="1"/>
  <c r="IF5" i="2" s="1"/>
  <c r="W165" i="2" a="1"/>
  <c r="W165" i="2" s="1"/>
  <c r="IF20" i="2" s="1" a="1"/>
  <c r="IF20" i="2" s="1"/>
  <c r="IJ5" i="2" a="1"/>
  <c r="IJ5" i="2" s="1"/>
  <c r="W169" i="2" a="1"/>
  <c r="W169" i="2" s="1"/>
  <c r="IJ20" i="2" s="1" a="1"/>
  <c r="IJ20" i="2" s="1"/>
  <c r="IN5" i="2" a="1"/>
  <c r="IN5" i="2" s="1"/>
  <c r="W173" i="2" a="1"/>
  <c r="W173" i="2" s="1"/>
  <c r="IN20" i="2" s="1" a="1"/>
  <c r="IN20" i="2" s="1"/>
  <c r="IR5" i="2" a="1"/>
  <c r="IR5" i="2" s="1"/>
  <c r="W177" i="2" a="1"/>
  <c r="W177" i="2" s="1"/>
  <c r="IR20" i="2" s="1" a="1"/>
  <c r="IR20" i="2" s="1"/>
  <c r="IV5" i="2" a="1"/>
  <c r="IV5" i="2" s="1"/>
  <c r="W181" i="2" a="1"/>
  <c r="W181" i="2" s="1"/>
  <c r="IV20" i="2" s="1" a="1"/>
  <c r="IV20" i="2" s="1"/>
  <c r="IZ5" i="2" a="1"/>
  <c r="IZ5" i="2" s="1"/>
  <c r="W185" i="2" a="1"/>
  <c r="W185" i="2" s="1"/>
  <c r="IZ20" i="2" s="1" a="1"/>
  <c r="IZ20" i="2" s="1"/>
  <c r="W189" i="2" a="1"/>
  <c r="W189" i="2" s="1"/>
  <c r="JD20" i="2" s="1" a="1"/>
  <c r="JD20" i="2" s="1"/>
  <c r="JD5" i="2" a="1"/>
  <c r="JD5" i="2" s="1"/>
  <c r="JH5" i="2" a="1"/>
  <c r="JH5" i="2" s="1"/>
  <c r="W193" i="2" a="1"/>
  <c r="W193" i="2" s="1"/>
  <c r="JH20" i="2" s="1" a="1"/>
  <c r="JH20" i="2" s="1"/>
  <c r="C49" i="5"/>
  <c r="C53" i="5"/>
  <c r="GZ20" i="2" l="1" a="1"/>
  <c r="GZ20" i="2" s="1"/>
  <c r="GJ20" i="2" a="1"/>
  <c r="GJ20" i="2" s="1"/>
  <c r="FT20" i="2" a="1"/>
  <c r="FT20" i="2" s="1"/>
  <c r="FL20" i="2" a="1"/>
  <c r="FL20" i="2" s="1"/>
  <c r="AD2944" i="2" s="1"/>
  <c r="FD20" i="2" a="1"/>
  <c r="FD20" i="2" s="1"/>
  <c r="AD2776" i="2" s="1"/>
  <c r="EV20" i="2" a="1"/>
  <c r="EV20" i="2" s="1"/>
  <c r="AD2608" i="2" s="1"/>
  <c r="HI20" i="2" a="1"/>
  <c r="HI20" i="2" s="1"/>
  <c r="GS20" i="2" a="1"/>
  <c r="GS20" i="2" s="1"/>
  <c r="GC20" i="2" a="1"/>
  <c r="GC20" i="2" s="1"/>
  <c r="FM20" i="2" a="1"/>
  <c r="FM20" i="2" s="1"/>
  <c r="AD2965" i="2" s="1"/>
  <c r="EW20" i="2" a="1"/>
  <c r="EW20" i="2" s="1"/>
  <c r="AD2629" i="2" s="1"/>
  <c r="HG20" i="2" a="1"/>
  <c r="HG20" i="2" s="1"/>
  <c r="FC20" i="2" a="1"/>
  <c r="FC20" i="2" s="1"/>
  <c r="AD2755" i="2" s="1"/>
  <c r="HJ20" i="2" a="1"/>
  <c r="HJ20" i="2" s="1"/>
  <c r="HB20" i="2" a="1"/>
  <c r="HB20" i="2" s="1"/>
  <c r="GT20" i="2" a="1"/>
  <c r="GT20" i="2" s="1"/>
  <c r="GL20" i="2" a="1"/>
  <c r="GL20" i="2" s="1"/>
  <c r="GD20" i="2" a="1"/>
  <c r="GD20" i="2" s="1"/>
  <c r="FV20" i="2" a="1"/>
  <c r="FV20" i="2" s="1"/>
  <c r="FN20" i="2" a="1"/>
  <c r="FN20" i="2" s="1"/>
  <c r="AD2986" i="2" s="1"/>
  <c r="FF20" i="2" a="1"/>
  <c r="FF20" i="2" s="1"/>
  <c r="AD2818" i="2" s="1"/>
  <c r="EX20" i="2" a="1"/>
  <c r="EX20" i="2" s="1"/>
  <c r="AD2650" i="2" s="1"/>
  <c r="HK20" i="2" a="1"/>
  <c r="HK20" i="2" s="1"/>
  <c r="GM20" i="2" a="1"/>
  <c r="GM20" i="2" s="1"/>
  <c r="FG20" i="2" a="1"/>
  <c r="FG20" i="2" s="1"/>
  <c r="AD2839" i="2" s="1"/>
  <c r="HK21" i="2" a="1"/>
  <c r="HK21" i="2" s="1"/>
  <c r="HG21" i="2" a="1"/>
  <c r="HG21" i="2" s="1"/>
  <c r="HC22" i="2" a="1"/>
  <c r="HC22" i="2" s="1"/>
  <c r="GY21" i="2" a="1"/>
  <c r="GY21" i="2" s="1"/>
  <c r="GU21" i="2" a="1"/>
  <c r="GU21" i="2" s="1"/>
  <c r="GQ21" i="2" a="1"/>
  <c r="GQ21" i="2" s="1"/>
  <c r="GM21" i="2" a="1"/>
  <c r="GM21" i="2" s="1"/>
  <c r="GI21" i="2" a="1"/>
  <c r="GI21" i="2" s="1"/>
  <c r="GE22" i="2" a="1"/>
  <c r="GE22" i="2" s="1"/>
  <c r="GA21" i="2" a="1"/>
  <c r="GA21" i="2" s="1"/>
  <c r="FW21" i="2" a="1"/>
  <c r="FW21" i="2" s="1"/>
  <c r="FS22" i="2" a="1"/>
  <c r="FS22" i="2" s="1"/>
  <c r="FO21" i="2" a="1"/>
  <c r="FO21" i="2" s="1"/>
  <c r="AD3008" i="2" s="1"/>
  <c r="FK21" i="2" a="1"/>
  <c r="FK21" i="2" s="1"/>
  <c r="AD2924" i="2" s="1"/>
  <c r="FG21" i="2" a="1"/>
  <c r="FG21" i="2" s="1"/>
  <c r="AD2840" i="2" s="1"/>
  <c r="FC21" i="2" a="1"/>
  <c r="FC21" i="2" s="1"/>
  <c r="AD2756" i="2" s="1"/>
  <c r="EY21" i="2" a="1"/>
  <c r="EY21" i="2" s="1"/>
  <c r="AD2672" i="2" s="1"/>
  <c r="EU21" i="2" a="1"/>
  <c r="EU21" i="2" s="1"/>
  <c r="AD2588" i="2" s="1"/>
  <c r="HJ21" i="2" a="1"/>
  <c r="HJ21" i="2" s="1"/>
  <c r="HF21" i="2" a="1"/>
  <c r="HF21" i="2" s="1"/>
  <c r="HB21" i="2" a="1"/>
  <c r="HB21" i="2" s="1"/>
  <c r="GX22" i="2" a="1"/>
  <c r="GX22" i="2" s="1"/>
  <c r="GT21" i="2" a="1"/>
  <c r="GT21" i="2" s="1"/>
  <c r="GP21" i="2" a="1"/>
  <c r="GP21" i="2" s="1"/>
  <c r="GL21" i="2" a="1"/>
  <c r="GL21" i="2" s="1"/>
  <c r="GH21" i="2" a="1"/>
  <c r="GH21" i="2" s="1"/>
  <c r="GD21" i="2" a="1"/>
  <c r="GD21" i="2" s="1"/>
  <c r="FZ22" i="2" a="1"/>
  <c r="FZ22" i="2" s="1"/>
  <c r="FV22" i="2" a="1"/>
  <c r="FV22" i="2" s="1"/>
  <c r="FR21" i="2" a="1"/>
  <c r="FR21" i="2" s="1"/>
  <c r="FN21" i="2" a="1"/>
  <c r="FN21" i="2" s="1"/>
  <c r="AD2987" i="2" s="1"/>
  <c r="FJ21" i="2" a="1"/>
  <c r="FJ21" i="2" s="1"/>
  <c r="AD2903" i="2" s="1"/>
  <c r="FF21" i="2" a="1"/>
  <c r="FF21" i="2" s="1"/>
  <c r="AD2819" i="2" s="1"/>
  <c r="EX21" i="2" a="1"/>
  <c r="EX21" i="2" s="1"/>
  <c r="AD2651" i="2" s="1"/>
  <c r="GR20" i="2" a="1"/>
  <c r="GR20" i="2" s="1"/>
  <c r="HA20" i="2" a="1"/>
  <c r="HA20" i="2" s="1"/>
  <c r="GK20" i="2" a="1"/>
  <c r="GK20" i="2" s="1"/>
  <c r="FU20" i="2" a="1"/>
  <c r="FU20" i="2" s="1"/>
  <c r="FE20" i="2" a="1"/>
  <c r="FE20" i="2" s="1"/>
  <c r="AD2797" i="2" s="1"/>
  <c r="HK22" i="2" a="1"/>
  <c r="HK22" i="2" s="1"/>
  <c r="HG22" i="2" a="1"/>
  <c r="HG22" i="2" s="1"/>
  <c r="HC21" i="2" a="1"/>
  <c r="HC21" i="2" s="1"/>
  <c r="GY22" i="2" a="1"/>
  <c r="GY22" i="2" s="1"/>
  <c r="GU22" i="2" a="1"/>
  <c r="GU22" i="2" s="1"/>
  <c r="GQ22" i="2" a="1"/>
  <c r="GQ22" i="2" s="1"/>
  <c r="GM22" i="2" a="1"/>
  <c r="GM22" i="2" s="1"/>
  <c r="GI22" i="2" a="1"/>
  <c r="GI22" i="2" s="1"/>
  <c r="GE21" i="2" a="1"/>
  <c r="GE21" i="2" s="1"/>
  <c r="GA22" i="2" a="1"/>
  <c r="GA22" i="2" s="1"/>
  <c r="FW22" i="2" a="1"/>
  <c r="FW22" i="2" s="1"/>
  <c r="FS21" i="2" a="1"/>
  <c r="FS21" i="2" s="1"/>
  <c r="FO22" i="2" a="1"/>
  <c r="FO22" i="2" s="1"/>
  <c r="AD3009" i="2" s="1"/>
  <c r="FK22" i="2" a="1"/>
  <c r="FK22" i="2" s="1"/>
  <c r="AD2925" i="2" s="1"/>
  <c r="FG22" i="2" a="1"/>
  <c r="FG22" i="2" s="1"/>
  <c r="AD2841" i="2" s="1"/>
  <c r="FC22" i="2" a="1"/>
  <c r="FC22" i="2" s="1"/>
  <c r="AD2757" i="2" s="1"/>
  <c r="EY22" i="2" a="1"/>
  <c r="EY22" i="2" s="1"/>
  <c r="AD2673" i="2" s="1"/>
  <c r="EU22" i="2" a="1"/>
  <c r="EU22" i="2" s="1"/>
  <c r="AD2589" i="2" s="1"/>
  <c r="HJ22" i="2" a="1"/>
  <c r="HJ22" i="2" s="1"/>
  <c r="HF22" i="2" a="1"/>
  <c r="HF22" i="2" s="1"/>
  <c r="HB22" i="2" a="1"/>
  <c r="HB22" i="2" s="1"/>
  <c r="GX21" i="2" a="1"/>
  <c r="GX21" i="2" s="1"/>
  <c r="GT22" i="2" a="1"/>
  <c r="GT22" i="2" s="1"/>
  <c r="GP22" i="2" a="1"/>
  <c r="GP22" i="2" s="1"/>
  <c r="GL22" i="2" a="1"/>
  <c r="GL22" i="2" s="1"/>
  <c r="GH22" i="2" a="1"/>
  <c r="GH22" i="2" s="1"/>
  <c r="GD22" i="2" a="1"/>
  <c r="GD22" i="2" s="1"/>
  <c r="FZ21" i="2" a="1"/>
  <c r="FZ21" i="2" s="1"/>
  <c r="FV21" i="2" a="1"/>
  <c r="FV21" i="2" s="1"/>
  <c r="FR22" i="2" a="1"/>
  <c r="FR22" i="2" s="1"/>
  <c r="FN22" i="2" a="1"/>
  <c r="FN22" i="2" s="1"/>
  <c r="AD2988" i="2" s="1"/>
  <c r="FJ22" i="2" a="1"/>
  <c r="FJ22" i="2" s="1"/>
  <c r="AD2904" i="2" s="1"/>
  <c r="FF22" i="2" a="1"/>
  <c r="FF22" i="2" s="1"/>
  <c r="AD2820" i="2" s="1"/>
  <c r="FB22" i="2" a="1"/>
  <c r="FB22" i="2" s="1"/>
  <c r="AD2736" i="2" s="1"/>
  <c r="EX22" i="2" a="1"/>
  <c r="EX22" i="2" s="1"/>
  <c r="AD2652" i="2" s="1"/>
  <c r="HD20" i="2" a="1"/>
  <c r="HD20" i="2" s="1"/>
  <c r="GN20" i="2" a="1"/>
  <c r="GN20" i="2" s="1"/>
  <c r="FX20" i="2" a="1"/>
  <c r="FX20" i="2" s="1"/>
  <c r="FH20" i="2" a="1"/>
  <c r="FH20" i="2" s="1"/>
  <c r="AD2860" i="2" s="1"/>
  <c r="GI20" i="2" a="1"/>
  <c r="GI20" i="2" s="1"/>
  <c r="HE20" i="2" a="1"/>
  <c r="HE20" i="2" s="1"/>
  <c r="GO20" i="2" a="1"/>
  <c r="GO20" i="2" s="1"/>
  <c r="GG20" i="2" a="1"/>
  <c r="GG20" i="2" s="1"/>
  <c r="FY20" i="2" a="1"/>
  <c r="FY20" i="2" s="1"/>
  <c r="FI20" i="2" a="1"/>
  <c r="FI20" i="2" s="1"/>
  <c r="AD2881" i="2" s="1"/>
  <c r="FA20" i="2" a="1"/>
  <c r="FA20" i="2" s="1"/>
  <c r="AD2713" i="2" s="1"/>
  <c r="FK20" i="2" a="1"/>
  <c r="FK20" i="2" s="1"/>
  <c r="AD2923" i="2" s="1"/>
  <c r="HF20" i="2" a="1"/>
  <c r="HF20" i="2" s="1"/>
  <c r="GX20" i="2" a="1"/>
  <c r="GX20" i="2" s="1"/>
  <c r="GP20" i="2" a="1"/>
  <c r="GP20" i="2" s="1"/>
  <c r="GH20" i="2" a="1"/>
  <c r="GH20" i="2" s="1"/>
  <c r="FZ20" i="2" a="1"/>
  <c r="FZ20" i="2" s="1"/>
  <c r="FR20" i="2" a="1"/>
  <c r="FR20" i="2" s="1"/>
  <c r="FJ20" i="2" a="1"/>
  <c r="FJ20" i="2" s="1"/>
  <c r="AD2902" i="2" s="1"/>
  <c r="FB20" i="2" a="1"/>
  <c r="FB20" i="2" s="1"/>
  <c r="AD2734" i="2" s="1"/>
  <c r="EY20" i="2" a="1"/>
  <c r="EY20" i="2" s="1"/>
  <c r="AD2671" i="2" s="1"/>
  <c r="GQ20" i="2" a="1"/>
  <c r="GQ20" i="2" s="1"/>
  <c r="FS20" i="2" a="1"/>
  <c r="FS20" i="2" s="1"/>
  <c r="HI21" i="2" a="1"/>
  <c r="HI21" i="2" s="1"/>
  <c r="HE21" i="2" a="1"/>
  <c r="HE21" i="2" s="1"/>
  <c r="HA21" i="2" a="1"/>
  <c r="HA21" i="2" s="1"/>
  <c r="GW21" i="2" a="1"/>
  <c r="GW21" i="2" s="1"/>
  <c r="GS21" i="2" a="1"/>
  <c r="GS21" i="2" s="1"/>
  <c r="GO21" i="2" a="1"/>
  <c r="GO21" i="2" s="1"/>
  <c r="GK21" i="2" a="1"/>
  <c r="GK21" i="2" s="1"/>
  <c r="GG21" i="2" a="1"/>
  <c r="GG21" i="2" s="1"/>
  <c r="GC21" i="2" a="1"/>
  <c r="GC21" i="2" s="1"/>
  <c r="FY22" i="2" a="1"/>
  <c r="FY22" i="2" s="1"/>
  <c r="FU21" i="2" a="1"/>
  <c r="FU21" i="2" s="1"/>
  <c r="FQ21" i="2" a="1"/>
  <c r="FQ21" i="2" s="1"/>
  <c r="FM21" i="2" a="1"/>
  <c r="FM21" i="2" s="1"/>
  <c r="AD2966" i="2" s="1"/>
  <c r="FI21" i="2" a="1"/>
  <c r="FI21" i="2" s="1"/>
  <c r="AD2882" i="2" s="1"/>
  <c r="FE21" i="2" a="1"/>
  <c r="FE21" i="2" s="1"/>
  <c r="AD2798" i="2" s="1"/>
  <c r="FA21" i="2" a="1"/>
  <c r="FA21" i="2" s="1"/>
  <c r="AD2714" i="2" s="1"/>
  <c r="EW21" i="2" a="1"/>
  <c r="EW21" i="2" s="1"/>
  <c r="AD2630" i="2" s="1"/>
  <c r="HL21" i="2" a="1"/>
  <c r="HL21" i="2" s="1"/>
  <c r="HH21" i="2" a="1"/>
  <c r="HH21" i="2" s="1"/>
  <c r="HD21" i="2" a="1"/>
  <c r="HD21" i="2" s="1"/>
  <c r="GZ21" i="2" a="1"/>
  <c r="GZ21" i="2" s="1"/>
  <c r="GV21" i="2" a="1"/>
  <c r="GV21" i="2" s="1"/>
  <c r="GR21" i="2" a="1"/>
  <c r="GR21" i="2" s="1"/>
  <c r="GN21" i="2" a="1"/>
  <c r="GN21" i="2" s="1"/>
  <c r="GJ21" i="2" a="1"/>
  <c r="GJ21" i="2" s="1"/>
  <c r="GF22" i="2" a="1"/>
  <c r="GF22" i="2" s="1"/>
  <c r="GB21" i="2" a="1"/>
  <c r="GB21" i="2" s="1"/>
  <c r="FX21" i="2" a="1"/>
  <c r="FX21" i="2" s="1"/>
  <c r="FT21" i="2" a="1"/>
  <c r="FT21" i="2" s="1"/>
  <c r="FP22" i="2" a="1"/>
  <c r="FP22" i="2" s="1"/>
  <c r="AD3030" i="2" s="1"/>
  <c r="FL21" i="2" a="1"/>
  <c r="FL21" i="2" s="1"/>
  <c r="AD2945" i="2" s="1"/>
  <c r="FH21" i="2" a="1"/>
  <c r="FH21" i="2" s="1"/>
  <c r="AD2861" i="2" s="1"/>
  <c r="FD21" i="2" a="1"/>
  <c r="FD21" i="2" s="1"/>
  <c r="AD2777" i="2" s="1"/>
  <c r="EZ21" i="2" a="1"/>
  <c r="EZ21" i="2" s="1"/>
  <c r="AD2693" i="2" s="1"/>
  <c r="EV22" i="2" a="1"/>
  <c r="EV22" i="2" s="1"/>
  <c r="AD2610" i="2" s="1"/>
  <c r="HL20" i="2" a="1"/>
  <c r="HL20" i="2" s="1"/>
  <c r="GV20" i="2" a="1"/>
  <c r="GV20" i="2" s="1"/>
  <c r="GF20" i="2" a="1"/>
  <c r="GF20" i="2" s="1"/>
  <c r="FP20" i="2" a="1"/>
  <c r="FP20" i="2" s="1"/>
  <c r="AD3028" i="2" s="1"/>
  <c r="EZ20" i="2" a="1"/>
  <c r="EZ20" i="2" s="1"/>
  <c r="AD2692" i="2" s="1"/>
  <c r="HI22" i="2" a="1"/>
  <c r="HI22" i="2" s="1"/>
  <c r="HE22" i="2" a="1"/>
  <c r="HE22" i="2" s="1"/>
  <c r="HA22" i="2" a="1"/>
  <c r="HA22" i="2" s="1"/>
  <c r="GW22" i="2" a="1"/>
  <c r="GW22" i="2" s="1"/>
  <c r="GS22" i="2" a="1"/>
  <c r="GS22" i="2" s="1"/>
  <c r="GO22" i="2" a="1"/>
  <c r="GO22" i="2" s="1"/>
  <c r="GK22" i="2" a="1"/>
  <c r="GK22" i="2" s="1"/>
  <c r="GG22" i="2" a="1"/>
  <c r="GG22" i="2" s="1"/>
  <c r="GC22" i="2" a="1"/>
  <c r="GC22" i="2" s="1"/>
  <c r="FY21" i="2" a="1"/>
  <c r="FY21" i="2" s="1"/>
  <c r="FU22" i="2" a="1"/>
  <c r="FU22" i="2" s="1"/>
  <c r="FQ22" i="2" a="1"/>
  <c r="FQ22" i="2" s="1"/>
  <c r="FM22" i="2" a="1"/>
  <c r="FM22" i="2" s="1"/>
  <c r="AD2967" i="2" s="1"/>
  <c r="FI22" i="2" a="1"/>
  <c r="FI22" i="2" s="1"/>
  <c r="AD2883" i="2" s="1"/>
  <c r="FE22" i="2" a="1"/>
  <c r="FE22" i="2" s="1"/>
  <c r="AD2799" i="2" s="1"/>
  <c r="FA22" i="2" a="1"/>
  <c r="FA22" i="2" s="1"/>
  <c r="AD2715" i="2" s="1"/>
  <c r="EW22" i="2" a="1"/>
  <c r="EW22" i="2" s="1"/>
  <c r="AD2631" i="2" s="1"/>
  <c r="HL22" i="2" a="1"/>
  <c r="HL22" i="2" s="1"/>
  <c r="HH22" i="2" a="1"/>
  <c r="HH22" i="2" s="1"/>
  <c r="HD22" i="2" a="1"/>
  <c r="HD22" i="2" s="1"/>
  <c r="GZ22" i="2" a="1"/>
  <c r="GZ22" i="2" s="1"/>
  <c r="GV22" i="2" a="1"/>
  <c r="GV22" i="2" s="1"/>
  <c r="GR22" i="2" a="1"/>
  <c r="GR22" i="2" s="1"/>
  <c r="GN22" i="2" a="1"/>
  <c r="GN22" i="2" s="1"/>
  <c r="GJ22" i="2" a="1"/>
  <c r="GJ22" i="2" s="1"/>
  <c r="GF21" i="2" a="1"/>
  <c r="GF21" i="2" s="1"/>
  <c r="GB22" i="2" a="1"/>
  <c r="GB22" i="2" s="1"/>
  <c r="FX22" i="2" a="1"/>
  <c r="FX22" i="2" s="1"/>
  <c r="FT22" i="2" a="1"/>
  <c r="FT22" i="2" s="1"/>
  <c r="FP21" i="2" a="1"/>
  <c r="FP21" i="2" s="1"/>
  <c r="AD3029" i="2" s="1"/>
  <c r="FL22" i="2" a="1"/>
  <c r="FL22" i="2" s="1"/>
  <c r="AD2946" i="2" s="1"/>
  <c r="FH22" i="2" a="1"/>
  <c r="FH22" i="2" s="1"/>
  <c r="AD2862" i="2" s="1"/>
  <c r="FD22" i="2" a="1"/>
  <c r="FD22" i="2" s="1"/>
  <c r="AD2778" i="2" s="1"/>
  <c r="EZ22" i="2" a="1"/>
  <c r="EZ22" i="2" s="1"/>
  <c r="AD2694" i="2" s="1"/>
  <c r="EV21" i="2" a="1"/>
  <c r="EV21" i="2" s="1"/>
  <c r="AD2609" i="2" s="1"/>
  <c r="AD4960" i="2"/>
  <c r="AD3952" i="2"/>
  <c r="AD3616" i="2"/>
  <c r="AD4624" i="2"/>
  <c r="AD4288" i="2"/>
  <c r="AD3280" i="2"/>
  <c r="AD4120" i="2"/>
  <c r="AD3112" i="2"/>
  <c r="AD709" i="2"/>
  <c r="AD703" i="2"/>
  <c r="AD3679" i="2"/>
  <c r="AD4687" i="2"/>
  <c r="AD4351" i="2"/>
  <c r="AD3343" i="2"/>
  <c r="AD3973" i="2"/>
  <c r="AD4981" i="2"/>
  <c r="AD3790" i="2"/>
  <c r="AD3796" i="2"/>
  <c r="AD4798" i="2"/>
  <c r="AD4804" i="2"/>
  <c r="AD3637" i="2"/>
  <c r="AD4645" i="2"/>
  <c r="AD3454" i="2"/>
  <c r="AD3460" i="2"/>
  <c r="AD4462" i="2"/>
  <c r="AD4468" i="2"/>
  <c r="AD4309" i="2"/>
  <c r="AD3301" i="2"/>
  <c r="AD3124" i="2"/>
  <c r="AD4126" i="2"/>
  <c r="AD4132" i="2"/>
  <c r="AD3118" i="2"/>
  <c r="AD2782" i="2"/>
  <c r="AD2788" i="2"/>
  <c r="AD2446" i="2"/>
  <c r="AD2452" i="2"/>
  <c r="AD2116" i="2"/>
  <c r="AD2110" i="2"/>
  <c r="AD1780" i="2"/>
  <c r="AD1774" i="2"/>
  <c r="AD1444" i="2"/>
  <c r="AD1438" i="2"/>
  <c r="AD1108" i="2"/>
  <c r="AD1102" i="2"/>
  <c r="AD4939" i="2"/>
  <c r="AD3931" i="2"/>
  <c r="AD4267" i="2"/>
  <c r="AD3259" i="2"/>
  <c r="AD3994" i="2"/>
  <c r="AD5002" i="2"/>
  <c r="AD3826" i="2"/>
  <c r="AD4834" i="2"/>
  <c r="AD3658" i="2"/>
  <c r="AD4666" i="2"/>
  <c r="AD3490" i="2"/>
  <c r="AD4498" i="2"/>
  <c r="AD3322" i="2"/>
  <c r="AD4330" i="2"/>
  <c r="AD4162" i="2"/>
  <c r="AD3154" i="2"/>
  <c r="AD31" i="2"/>
  <c r="AD37" i="2"/>
  <c r="AD4015" i="2"/>
  <c r="AD5023" i="2"/>
  <c r="AD4519" i="2"/>
  <c r="AD3511" i="2"/>
  <c r="AD5024" i="2"/>
  <c r="AD4016" i="2"/>
  <c r="AD4940" i="2"/>
  <c r="AD3932" i="2"/>
  <c r="AD3849" i="2"/>
  <c r="AD4857" i="2"/>
  <c r="AD3764" i="2"/>
  <c r="AD4772" i="2"/>
  <c r="AD3680" i="2"/>
  <c r="AD4688" i="2"/>
  <c r="AD4604" i="2"/>
  <c r="AD3596" i="2"/>
  <c r="AD4520" i="2"/>
  <c r="AD3512" i="2"/>
  <c r="AD3428" i="2"/>
  <c r="AD4436" i="2"/>
  <c r="AD4353" i="2"/>
  <c r="AD3345" i="2"/>
  <c r="AD3260" i="2"/>
  <c r="AD4268" i="2"/>
  <c r="AD4184" i="2"/>
  <c r="AD3176" i="2"/>
  <c r="AD3093" i="2"/>
  <c r="AD4101" i="2"/>
  <c r="AD3995" i="2"/>
  <c r="AD5003" i="2"/>
  <c r="AD4919" i="2"/>
  <c r="AD3911" i="2"/>
  <c r="AD3827" i="2"/>
  <c r="AD4835" i="2"/>
  <c r="AD3744" i="2"/>
  <c r="AD4752" i="2"/>
  <c r="AD3659" i="2"/>
  <c r="AD4667" i="2"/>
  <c r="AD4583" i="2"/>
  <c r="AD3575" i="2"/>
  <c r="AD4499" i="2"/>
  <c r="AD3491" i="2"/>
  <c r="AD4415" i="2"/>
  <c r="AD3407" i="2"/>
  <c r="AD3323" i="2"/>
  <c r="AD4331" i="2"/>
  <c r="AD4248" i="2"/>
  <c r="AD3240" i="2"/>
  <c r="AD3156" i="2"/>
  <c r="AD4164" i="2"/>
  <c r="AD4079" i="2"/>
  <c r="AD3071" i="2"/>
  <c r="ET21" i="2" a="1"/>
  <c r="ET21" i="2" s="1"/>
  <c r="AD2567" i="2" s="1"/>
  <c r="AD3784" i="2"/>
  <c r="AD4792" i="2"/>
  <c r="AD3448" i="2"/>
  <c r="AD4456" i="2"/>
  <c r="AD4945" i="2"/>
  <c r="AD4951" i="2"/>
  <c r="AD3937" i="2"/>
  <c r="AD3943" i="2"/>
  <c r="AD3769" i="2"/>
  <c r="AD3775" i="2"/>
  <c r="AD4777" i="2"/>
  <c r="AD4783" i="2"/>
  <c r="AD4609" i="2"/>
  <c r="AD4615" i="2"/>
  <c r="AD3601" i="2"/>
  <c r="AD3607" i="2"/>
  <c r="AD4447" i="2"/>
  <c r="AD4441" i="2"/>
  <c r="AD3433" i="2"/>
  <c r="AD3439" i="2"/>
  <c r="AD4273" i="2"/>
  <c r="AD3271" i="2"/>
  <c r="AD3265" i="2"/>
  <c r="AD4279" i="2"/>
  <c r="AD3103" i="2"/>
  <c r="AD3097" i="2"/>
  <c r="AD4111" i="2"/>
  <c r="AD4105" i="2"/>
  <c r="AD2929" i="2"/>
  <c r="AD2935" i="2"/>
  <c r="AD2767" i="2"/>
  <c r="AD2761" i="2"/>
  <c r="AD2593" i="2"/>
  <c r="AD2599" i="2"/>
  <c r="AD2431" i="2"/>
  <c r="AD2425" i="2"/>
  <c r="AD2263" i="2"/>
  <c r="AD2257" i="2"/>
  <c r="AD2095" i="2"/>
  <c r="AD2089" i="2"/>
  <c r="AD1927" i="2"/>
  <c r="AD1921" i="2"/>
  <c r="AD1753" i="2"/>
  <c r="AD1759" i="2"/>
  <c r="AD1585" i="2"/>
  <c r="AD1591" i="2"/>
  <c r="AD1423" i="2"/>
  <c r="AD1417" i="2"/>
  <c r="AD1255" i="2"/>
  <c r="AD1249" i="2"/>
  <c r="AD1081" i="2"/>
  <c r="AD1087" i="2"/>
  <c r="AD877" i="2"/>
  <c r="AD871" i="2"/>
  <c r="AD535" i="2"/>
  <c r="AD541" i="2"/>
  <c r="AD136" i="2"/>
  <c r="AD142" i="2"/>
  <c r="AD58" i="2"/>
  <c r="AD52" i="2"/>
  <c r="AD3670" i="2"/>
  <c r="AD3664" i="2"/>
  <c r="AD4678" i="2"/>
  <c r="AD4672" i="2"/>
  <c r="AD3334" i="2"/>
  <c r="AD4342" i="2"/>
  <c r="AD4336" i="2"/>
  <c r="AD3328" i="2"/>
  <c r="AD2998" i="2"/>
  <c r="AD2992" i="2"/>
  <c r="AD2494" i="2"/>
  <c r="AD2488" i="2"/>
  <c r="AD976" i="2"/>
  <c r="AD982" i="2"/>
  <c r="AD289" i="2"/>
  <c r="AD283" i="2"/>
  <c r="AD3958" i="2"/>
  <c r="AD4966" i="2"/>
  <c r="AD4972" i="2"/>
  <c r="AD3964" i="2"/>
  <c r="AD3805" i="2"/>
  <c r="AD4813" i="2"/>
  <c r="AD3628" i="2"/>
  <c r="AD3622" i="2"/>
  <c r="AD4630" i="2"/>
  <c r="AD4636" i="2"/>
  <c r="AD4477" i="2"/>
  <c r="AD3469" i="2"/>
  <c r="AD4294" i="2"/>
  <c r="AD3292" i="2"/>
  <c r="AD3286" i="2"/>
  <c r="AD4300" i="2"/>
  <c r="AD4141" i="2"/>
  <c r="AD3133" i="2"/>
  <c r="AD2956" i="2"/>
  <c r="AD2950" i="2"/>
  <c r="AD2620" i="2"/>
  <c r="AD2614" i="2"/>
  <c r="AD2284" i="2"/>
  <c r="AD2278" i="2"/>
  <c r="AD1942" i="2"/>
  <c r="AD1948" i="2"/>
  <c r="AD1612" i="2"/>
  <c r="AD1606" i="2"/>
  <c r="AD1270" i="2"/>
  <c r="AD1276" i="2"/>
  <c r="AD934" i="2"/>
  <c r="AD940" i="2"/>
  <c r="AD766" i="2"/>
  <c r="AD772" i="2"/>
  <c r="AD556" i="2"/>
  <c r="AD562" i="2"/>
  <c r="AD394" i="2"/>
  <c r="AD388" i="2"/>
  <c r="AD304" i="2"/>
  <c r="AD310" i="2"/>
  <c r="AD220" i="2"/>
  <c r="AD226" i="2"/>
  <c r="AD4930" i="2"/>
  <c r="AD4924" i="2"/>
  <c r="AD3916" i="2"/>
  <c r="AD3922" i="2"/>
  <c r="AD3244" i="2"/>
  <c r="AD3250" i="2"/>
  <c r="AD4258" i="2"/>
  <c r="AD4252" i="2"/>
  <c r="AD2740" i="2"/>
  <c r="AD2746" i="2"/>
  <c r="AD2242" i="2"/>
  <c r="AD2236" i="2"/>
  <c r="AD1738" i="2"/>
  <c r="AD1732" i="2"/>
  <c r="AD1402" i="2"/>
  <c r="AD1396" i="2"/>
  <c r="AD1066" i="2"/>
  <c r="AD1060" i="2"/>
  <c r="AD688" i="2"/>
  <c r="AD682" i="2"/>
  <c r="AD520" i="2"/>
  <c r="AD514" i="2"/>
  <c r="AD247" i="2"/>
  <c r="AD241" i="2"/>
  <c r="AD3985" i="2"/>
  <c r="AD4987" i="2"/>
  <c r="AD3979" i="2"/>
  <c r="AD4993" i="2"/>
  <c r="AD3817" i="2"/>
  <c r="AD3811" i="2"/>
  <c r="AD4819" i="2"/>
  <c r="AD4825" i="2"/>
  <c r="AD3643" i="2"/>
  <c r="AD3649" i="2"/>
  <c r="AD4651" i="2"/>
  <c r="AD4657" i="2"/>
  <c r="AD4483" i="2"/>
  <c r="AD4489" i="2"/>
  <c r="AD3475" i="2"/>
  <c r="AD3481" i="2"/>
  <c r="AD4321" i="2"/>
  <c r="AD3313" i="2"/>
  <c r="AD3307" i="2"/>
  <c r="AD4315" i="2"/>
  <c r="AD4153" i="2"/>
  <c r="AD4147" i="2"/>
  <c r="AD3145" i="2"/>
  <c r="AD3139" i="2"/>
  <c r="AD2977" i="2"/>
  <c r="AD2971" i="2"/>
  <c r="AD2803" i="2"/>
  <c r="AD2809" i="2"/>
  <c r="AD2635" i="2"/>
  <c r="AD2641" i="2"/>
  <c r="AD2467" i="2"/>
  <c r="AD2473" i="2"/>
  <c r="AD2305" i="2"/>
  <c r="AD2299" i="2"/>
  <c r="AD2137" i="2"/>
  <c r="AD2131" i="2"/>
  <c r="AD1969" i="2"/>
  <c r="AD1963" i="2"/>
  <c r="AD1795" i="2"/>
  <c r="AD1801" i="2"/>
  <c r="AD1633" i="2"/>
  <c r="AD1627" i="2"/>
  <c r="AD1465" i="2"/>
  <c r="AD1459" i="2"/>
  <c r="AD1291" i="2"/>
  <c r="AD1297" i="2"/>
  <c r="AD1123" i="2"/>
  <c r="AD1129" i="2"/>
  <c r="AD997" i="2"/>
  <c r="AD1003" i="2"/>
  <c r="AD829" i="2"/>
  <c r="AD835" i="2"/>
  <c r="AD667" i="2"/>
  <c r="AD661" i="2"/>
  <c r="AD499" i="2"/>
  <c r="AD493" i="2"/>
  <c r="AD1906" i="2"/>
  <c r="AD1900" i="2"/>
  <c r="AD373" i="2"/>
  <c r="AD367" i="2"/>
  <c r="AD5008" i="2"/>
  <c r="AD4006" i="2"/>
  <c r="AD4000" i="2"/>
  <c r="AD5014" i="2"/>
  <c r="AD3502" i="2"/>
  <c r="AD3496" i="2"/>
  <c r="AD4504" i="2"/>
  <c r="AD4510" i="2"/>
  <c r="AD2830" i="2"/>
  <c r="AD2824" i="2"/>
  <c r="AD1984" i="2"/>
  <c r="AD1990" i="2"/>
  <c r="AD1564" i="2"/>
  <c r="AD1570" i="2"/>
  <c r="AD1234" i="2"/>
  <c r="AD1228" i="2"/>
  <c r="AD430" i="2"/>
  <c r="AD436" i="2"/>
  <c r="AD4017" i="2"/>
  <c r="AD5025" i="2"/>
  <c r="AD4941" i="2"/>
  <c r="AD3933" i="2"/>
  <c r="AD3848" i="2"/>
  <c r="AD4856" i="2"/>
  <c r="AD3765" i="2"/>
  <c r="AD4773" i="2"/>
  <c r="AD3681" i="2"/>
  <c r="AD4689" i="2"/>
  <c r="AD4605" i="2"/>
  <c r="AD3597" i="2"/>
  <c r="AD3513" i="2"/>
  <c r="AD4521" i="2"/>
  <c r="AD4437" i="2"/>
  <c r="AD3429" i="2"/>
  <c r="AD4352" i="2"/>
  <c r="AD3344" i="2"/>
  <c r="AD4269" i="2"/>
  <c r="AD3261" i="2"/>
  <c r="AD4185" i="2"/>
  <c r="AD3177" i="2"/>
  <c r="AD4100" i="2"/>
  <c r="AD3092" i="2"/>
  <c r="AD5004" i="2"/>
  <c r="AD3996" i="2"/>
  <c r="AD4920" i="2"/>
  <c r="AD3912" i="2"/>
  <c r="AD3828" i="2"/>
  <c r="AD4836" i="2"/>
  <c r="AD3743" i="2"/>
  <c r="AD4751" i="2"/>
  <c r="AD3660" i="2"/>
  <c r="AD4668" i="2"/>
  <c r="AD4584" i="2"/>
  <c r="AD3576" i="2"/>
  <c r="AD3492" i="2"/>
  <c r="AD4500" i="2"/>
  <c r="AD4416" i="2"/>
  <c r="AD3408" i="2"/>
  <c r="AD3324" i="2"/>
  <c r="AD4332" i="2"/>
  <c r="AD4247" i="2"/>
  <c r="AD3239" i="2"/>
  <c r="AD4163" i="2"/>
  <c r="AD3155" i="2"/>
  <c r="AD4080" i="2"/>
  <c r="AD3072" i="2"/>
  <c r="ET22" i="2" a="1"/>
  <c r="ET22" i="2" s="1"/>
  <c r="AD2568" i="2" s="1"/>
  <c r="AD4036" i="2"/>
  <c r="AD5044" i="2"/>
  <c r="AD3700" i="2"/>
  <c r="AD4708" i="2"/>
  <c r="AD4372" i="2"/>
  <c r="AD3364" i="2"/>
  <c r="AD3847" i="2"/>
  <c r="AD4855" i="2"/>
  <c r="AD3427" i="2"/>
  <c r="AD4435" i="2"/>
  <c r="AD3175" i="2"/>
  <c r="AD4183" i="2"/>
  <c r="AD3889" i="2"/>
  <c r="AD4897" i="2"/>
  <c r="AD3721" i="2"/>
  <c r="AD4729" i="2"/>
  <c r="AD3553" i="2"/>
  <c r="AD4561" i="2"/>
  <c r="AD3385" i="2"/>
  <c r="AD4393" i="2"/>
  <c r="AD4225" i="2"/>
  <c r="AD3217" i="2"/>
  <c r="AD3049" i="2"/>
  <c r="AD4057" i="2"/>
  <c r="AD262" i="2"/>
  <c r="AD268" i="2"/>
  <c r="AD3763" i="2"/>
  <c r="AD4771" i="2"/>
  <c r="AD3910" i="2"/>
  <c r="AD4918" i="2"/>
  <c r="AD3742" i="2"/>
  <c r="AD4750" i="2"/>
  <c r="AD3574" i="2"/>
  <c r="AD4582" i="2"/>
  <c r="AD3406" i="2"/>
  <c r="AD4414" i="2"/>
  <c r="AD3238" i="2"/>
  <c r="AD4246" i="2"/>
  <c r="AD4078" i="2"/>
  <c r="AD3070" i="2"/>
  <c r="ET20" i="2" a="1"/>
  <c r="ET20" i="2" s="1"/>
  <c r="AD2566" i="2" s="1"/>
  <c r="AD4603" i="2"/>
  <c r="AD3595" i="2"/>
  <c r="AD4099" i="2"/>
  <c r="AD3091" i="2"/>
  <c r="AD3974" i="2"/>
  <c r="AD4982" i="2"/>
  <c r="AD3890" i="2"/>
  <c r="AD4898" i="2"/>
  <c r="AD3806" i="2"/>
  <c r="AD4814" i="2"/>
  <c r="AD3722" i="2"/>
  <c r="AD4730" i="2"/>
  <c r="AD3638" i="2"/>
  <c r="AD4646" i="2"/>
  <c r="AD4562" i="2"/>
  <c r="AD3554" i="2"/>
  <c r="AD3470" i="2"/>
  <c r="AD4478" i="2"/>
  <c r="AD3386" i="2"/>
  <c r="AD4394" i="2"/>
  <c r="AD4310" i="2"/>
  <c r="AD3302" i="2"/>
  <c r="AD4227" i="2"/>
  <c r="AD3219" i="2"/>
  <c r="AD3134" i="2"/>
  <c r="AD4142" i="2"/>
  <c r="AD4058" i="2"/>
  <c r="AD3050" i="2"/>
  <c r="AD5045" i="2"/>
  <c r="AD4037" i="2"/>
  <c r="AD4961" i="2"/>
  <c r="AD3953" i="2"/>
  <c r="AD3869" i="2"/>
  <c r="AD4877" i="2"/>
  <c r="AD3785" i="2"/>
  <c r="AD4793" i="2"/>
  <c r="AD3701" i="2"/>
  <c r="AD4709" i="2"/>
  <c r="AD4625" i="2"/>
  <c r="AD3617" i="2"/>
  <c r="AD4541" i="2"/>
  <c r="AD3533" i="2"/>
  <c r="AD4457" i="2"/>
  <c r="AD3449" i="2"/>
  <c r="AD3366" i="2"/>
  <c r="AD4374" i="2"/>
  <c r="AD4289" i="2"/>
  <c r="AD3281" i="2"/>
  <c r="AD4205" i="2"/>
  <c r="AD3197" i="2"/>
  <c r="AD3113" i="2"/>
  <c r="AD4121" i="2"/>
  <c r="AD3868" i="2"/>
  <c r="AD4876" i="2"/>
  <c r="AD4540" i="2"/>
  <c r="AD3532" i="2"/>
  <c r="AD3196" i="2"/>
  <c r="AD4204" i="2"/>
  <c r="AD4027" i="2"/>
  <c r="AD4021" i="2"/>
  <c r="AD5029" i="2"/>
  <c r="AD5035" i="2"/>
  <c r="AD3853" i="2"/>
  <c r="AD3859" i="2"/>
  <c r="AD4867" i="2"/>
  <c r="AD4861" i="2"/>
  <c r="AD3691" i="2"/>
  <c r="AD3685" i="2"/>
  <c r="AD4693" i="2"/>
  <c r="AD4699" i="2"/>
  <c r="AD4531" i="2"/>
  <c r="AD3517" i="2"/>
  <c r="AD3523" i="2"/>
  <c r="AD4525" i="2"/>
  <c r="AD4357" i="2"/>
  <c r="AD4363" i="2"/>
  <c r="AD3355" i="2"/>
  <c r="AD3349" i="2"/>
  <c r="AD4189" i="2"/>
  <c r="AD3187" i="2"/>
  <c r="AD3181" i="2"/>
  <c r="AD4195" i="2"/>
  <c r="AD3019" i="2"/>
  <c r="AD3013" i="2"/>
  <c r="AD2851" i="2"/>
  <c r="AD2845" i="2"/>
  <c r="AD2683" i="2"/>
  <c r="AD2677" i="2"/>
  <c r="AD2509" i="2"/>
  <c r="AD2515" i="2"/>
  <c r="AD2341" i="2"/>
  <c r="AD2347" i="2"/>
  <c r="AD2179" i="2"/>
  <c r="AD2173" i="2"/>
  <c r="AD2005" i="2"/>
  <c r="AD2011" i="2"/>
  <c r="AD1843" i="2"/>
  <c r="AD1837" i="2"/>
  <c r="AD1669" i="2"/>
  <c r="AD1675" i="2"/>
  <c r="AD1501" i="2"/>
  <c r="AD1507" i="2"/>
  <c r="AD1333" i="2"/>
  <c r="AD1339" i="2"/>
  <c r="AD1165" i="2"/>
  <c r="AD1171" i="2"/>
  <c r="AD961" i="2"/>
  <c r="AD955" i="2"/>
  <c r="AD793" i="2"/>
  <c r="AD787" i="2"/>
  <c r="AD619" i="2"/>
  <c r="AD625" i="2"/>
  <c r="AD451" i="2"/>
  <c r="AD457" i="2"/>
  <c r="AD100" i="2"/>
  <c r="AD94" i="2"/>
  <c r="AD3838" i="2"/>
  <c r="AD3832" i="2"/>
  <c r="AD4846" i="2"/>
  <c r="AD4840" i="2"/>
  <c r="AD3412" i="2"/>
  <c r="AD3418" i="2"/>
  <c r="AD4426" i="2"/>
  <c r="AD4420" i="2"/>
  <c r="AD3166" i="2"/>
  <c r="AD4168" i="2"/>
  <c r="AD4174" i="2"/>
  <c r="AD3160" i="2"/>
  <c r="AD2578" i="2"/>
  <c r="AD2572" i="2"/>
  <c r="AD2068" i="2"/>
  <c r="AD2074" i="2"/>
  <c r="AD814" i="2"/>
  <c r="AD808" i="2"/>
  <c r="AD121" i="2"/>
  <c r="AD115" i="2"/>
  <c r="AD3880" i="2"/>
  <c r="AD3874" i="2"/>
  <c r="AD4888" i="2"/>
  <c r="AD4882" i="2"/>
  <c r="AD3706" i="2"/>
  <c r="AD3712" i="2"/>
  <c r="AD4714" i="2"/>
  <c r="AD4720" i="2"/>
  <c r="AD4546" i="2"/>
  <c r="AD4552" i="2"/>
  <c r="AD3544" i="2"/>
  <c r="AD3538" i="2"/>
  <c r="AD3376" i="2"/>
  <c r="AD3370" i="2"/>
  <c r="AD4378" i="2"/>
  <c r="AD4384" i="2"/>
  <c r="AD3202" i="2"/>
  <c r="AD3208" i="2"/>
  <c r="AD4210" i="2"/>
  <c r="AD4216" i="2"/>
  <c r="AD4042" i="2"/>
  <c r="AD4048" i="2"/>
  <c r="AD3034" i="2"/>
  <c r="AD3040" i="2"/>
  <c r="AD2872" i="2"/>
  <c r="AD2866" i="2"/>
  <c r="AD2704" i="2"/>
  <c r="AD2698" i="2"/>
  <c r="AD2530" i="2"/>
  <c r="AD2536" i="2"/>
  <c r="AD2362" i="2"/>
  <c r="AD2368" i="2"/>
  <c r="AD2194" i="2"/>
  <c r="AD2200" i="2"/>
  <c r="AD2032" i="2"/>
  <c r="AD2026" i="2"/>
  <c r="AD1864" i="2"/>
  <c r="AD1858" i="2"/>
  <c r="AD1696" i="2"/>
  <c r="AD1690" i="2"/>
  <c r="AD1528" i="2"/>
  <c r="AD1522" i="2"/>
  <c r="AD1354" i="2"/>
  <c r="AD1360" i="2"/>
  <c r="AD1186" i="2"/>
  <c r="AD1192" i="2"/>
  <c r="AD1018" i="2"/>
  <c r="AD1024" i="2"/>
  <c r="AD856" i="2"/>
  <c r="AD850" i="2"/>
  <c r="AD640" i="2"/>
  <c r="AD646" i="2"/>
  <c r="AD472" i="2"/>
  <c r="AD478" i="2"/>
  <c r="AD352" i="2"/>
  <c r="AD346" i="2"/>
  <c r="AD178" i="2"/>
  <c r="AD184" i="2"/>
  <c r="AD3754" i="2"/>
  <c r="AD3748" i="2"/>
  <c r="AD4762" i="2"/>
  <c r="AD4756" i="2"/>
  <c r="AD2914" i="2"/>
  <c r="AD2908" i="2"/>
  <c r="AD2326" i="2"/>
  <c r="AD2320" i="2"/>
  <c r="AD2152" i="2"/>
  <c r="AD2158" i="2"/>
  <c r="AD1480" i="2"/>
  <c r="AD1486" i="2"/>
  <c r="AD1150" i="2"/>
  <c r="AD1144" i="2"/>
  <c r="AD730" i="2"/>
  <c r="AD724" i="2"/>
  <c r="AD604" i="2"/>
  <c r="AD598" i="2"/>
  <c r="AD325" i="2"/>
  <c r="AD331" i="2"/>
  <c r="AD73" i="2"/>
  <c r="AD79" i="2"/>
  <c r="AD3901" i="2"/>
  <c r="AD3895" i="2"/>
  <c r="AD4903" i="2"/>
  <c r="AD4909" i="2"/>
  <c r="AD3733" i="2"/>
  <c r="AD3727" i="2"/>
  <c r="AD4741" i="2"/>
  <c r="AD4735" i="2"/>
  <c r="AD4573" i="2"/>
  <c r="AD3559" i="2"/>
  <c r="AD4567" i="2"/>
  <c r="AD3565" i="2"/>
  <c r="AD4405" i="2"/>
  <c r="AD3397" i="2"/>
  <c r="AD4399" i="2"/>
  <c r="AD3391" i="2"/>
  <c r="AD4237" i="2"/>
  <c r="AD3229" i="2"/>
  <c r="AD3223" i="2"/>
  <c r="AD4231" i="2"/>
  <c r="AD3061" i="2"/>
  <c r="AD3055" i="2"/>
  <c r="AD4069" i="2"/>
  <c r="AD4063" i="2"/>
  <c r="AD2887" i="2"/>
  <c r="AD2893" i="2"/>
  <c r="AD2725" i="2"/>
  <c r="AD2719" i="2"/>
  <c r="AD2551" i="2"/>
  <c r="AD2557" i="2"/>
  <c r="AD2389" i="2"/>
  <c r="AD2383" i="2"/>
  <c r="AD2215" i="2"/>
  <c r="AD2221" i="2"/>
  <c r="AD2047" i="2"/>
  <c r="AD2053" i="2"/>
  <c r="AD1885" i="2"/>
  <c r="AD1879" i="2"/>
  <c r="AD1717" i="2"/>
  <c r="AD1711" i="2"/>
  <c r="AD1549" i="2"/>
  <c r="AD1543" i="2"/>
  <c r="AD1381" i="2"/>
  <c r="AD1375" i="2"/>
  <c r="AD1213" i="2"/>
  <c r="AD1207" i="2"/>
  <c r="AD1039" i="2"/>
  <c r="AD1045" i="2"/>
  <c r="AD913" i="2"/>
  <c r="AD919" i="2"/>
  <c r="AD751" i="2"/>
  <c r="AD745" i="2"/>
  <c r="AD583" i="2"/>
  <c r="AD577" i="2"/>
  <c r="AD409" i="2"/>
  <c r="AD415" i="2"/>
  <c r="AD2662" i="2"/>
  <c r="AD2656" i="2"/>
  <c r="AD1816" i="2"/>
  <c r="AD1822" i="2"/>
  <c r="AD199" i="2"/>
  <c r="AD205" i="2"/>
  <c r="AD4594" i="2"/>
  <c r="AD4588" i="2"/>
  <c r="AD3580" i="2"/>
  <c r="AD3586" i="2"/>
  <c r="AD4090" i="2"/>
  <c r="AD3076" i="2"/>
  <c r="AD4084" i="2"/>
  <c r="AD3082" i="2"/>
  <c r="AD2410" i="2"/>
  <c r="AD2404" i="2"/>
  <c r="AD1654" i="2"/>
  <c r="AD1648" i="2"/>
  <c r="AD1318" i="2"/>
  <c r="AD1312" i="2"/>
  <c r="AD892" i="2"/>
  <c r="AD898" i="2"/>
  <c r="AD157" i="2"/>
  <c r="AD163" i="2"/>
  <c r="AD4983" i="2"/>
  <c r="AD3975" i="2"/>
  <c r="AD3891" i="2"/>
  <c r="AD4899" i="2"/>
  <c r="AD3807" i="2"/>
  <c r="AD4815" i="2"/>
  <c r="AD3723" i="2"/>
  <c r="AD4731" i="2"/>
  <c r="AD3639" i="2"/>
  <c r="AD4647" i="2"/>
  <c r="AD4563" i="2"/>
  <c r="AD3555" i="2"/>
  <c r="AD4479" i="2"/>
  <c r="AD3471" i="2"/>
  <c r="AD3387" i="2"/>
  <c r="AD4395" i="2"/>
  <c r="AD4311" i="2"/>
  <c r="AD3303" i="2"/>
  <c r="AD3218" i="2"/>
  <c r="AD4226" i="2"/>
  <c r="AD3135" i="2"/>
  <c r="AD4143" i="2"/>
  <c r="AD4059" i="2"/>
  <c r="AD3051" i="2"/>
  <c r="AD4038" i="2"/>
  <c r="AD5046" i="2"/>
  <c r="AD4962" i="2"/>
  <c r="AD3954" i="2"/>
  <c r="AD3870" i="2"/>
  <c r="AD4878" i="2"/>
  <c r="AD3786" i="2"/>
  <c r="AD4794" i="2"/>
  <c r="AD3702" i="2"/>
  <c r="AD4710" i="2"/>
  <c r="AD3618" i="2"/>
  <c r="AD4626" i="2"/>
  <c r="AD4542" i="2"/>
  <c r="AD3534" i="2"/>
  <c r="AD4458" i="2"/>
  <c r="AD3450" i="2"/>
  <c r="AD4373" i="2"/>
  <c r="AD3365" i="2"/>
  <c r="AD4290" i="2"/>
  <c r="AD3282" i="2"/>
  <c r="AD3198" i="2"/>
  <c r="AD4206" i="2"/>
  <c r="AD4122" i="2"/>
  <c r="AD3114" i="2"/>
  <c r="AC676" i="2"/>
  <c r="AC692" i="2"/>
  <c r="AC700" i="2"/>
  <c r="AC660" i="2"/>
  <c r="AC644" i="2"/>
  <c r="AC708" i="2"/>
  <c r="AC704" i="2"/>
  <c r="AC688" i="2"/>
  <c r="AC648" i="2"/>
  <c r="AC691" i="2"/>
  <c r="AC720" i="2"/>
  <c r="AC800" i="2"/>
  <c r="AC684" i="2"/>
  <c r="AC696" i="2"/>
  <c r="AC656" i="2"/>
  <c r="AC640" i="2"/>
  <c r="AC680" i="2"/>
  <c r="AC664" i="2"/>
  <c r="AC652" i="2"/>
  <c r="AC672" i="2"/>
  <c r="AC668" i="2"/>
  <c r="AD20" i="2" a="1"/>
  <c r="AD20" i="2" s="1"/>
  <c r="AD46" i="2" s="1"/>
  <c r="AC712" i="2" l="1"/>
  <c r="AC693" i="2"/>
  <c r="AC685" i="2"/>
  <c r="AC661" i="2"/>
  <c r="AC717" i="2"/>
  <c r="AC821" i="2"/>
  <c r="AC709" i="2"/>
  <c r="AC729" i="2"/>
  <c r="AC681" i="2"/>
  <c r="AC713" i="2"/>
  <c r="AC689" i="2"/>
  <c r="AC673" i="2"/>
  <c r="AC701" i="2"/>
  <c r="AC677" i="2"/>
  <c r="AC705" i="2"/>
  <c r="AC741" i="2"/>
  <c r="AC669" i="2"/>
  <c r="AC725" i="2"/>
  <c r="AC665" i="2"/>
  <c r="AC721" i="2"/>
  <c r="AC697" i="2"/>
  <c r="AC742" i="2" l="1"/>
  <c r="AC746" i="2"/>
  <c r="AC762" i="2"/>
  <c r="AC698" i="2"/>
  <c r="AC694" i="2"/>
  <c r="AC734" i="2"/>
  <c r="AC750" i="2"/>
  <c r="AC682" i="2"/>
  <c r="AC714" i="2"/>
  <c r="AC842" i="2"/>
  <c r="AC718" i="2"/>
  <c r="AC686" i="2"/>
  <c r="AC690" i="2"/>
  <c r="AC726" i="2"/>
  <c r="AC722" i="2"/>
  <c r="AC710" i="2"/>
  <c r="AC702" i="2"/>
  <c r="AC730" i="2"/>
  <c r="AC738" i="2"/>
  <c r="AC706" i="2"/>
  <c r="AC733" i="2"/>
  <c r="AC751" i="2" l="1"/>
  <c r="AC755" i="2"/>
  <c r="AC727" i="2"/>
  <c r="AC731" i="2"/>
  <c r="AC707" i="2"/>
  <c r="AC863" i="2"/>
  <c r="AC703" i="2"/>
  <c r="AC719" i="2"/>
  <c r="AC767" i="2"/>
  <c r="AC747" i="2"/>
  <c r="AC754" i="2"/>
  <c r="AC759" i="2"/>
  <c r="AC763" i="2"/>
  <c r="AC723" i="2"/>
  <c r="AC743" i="2"/>
  <c r="AC711" i="2"/>
  <c r="AC739" i="2"/>
  <c r="AC735" i="2"/>
  <c r="AC771" i="2"/>
  <c r="AC715" i="2"/>
  <c r="AC783" i="2"/>
  <c r="AC736" i="2" l="1"/>
  <c r="AC756" i="2"/>
  <c r="AC732" i="2"/>
  <c r="AC744" i="2"/>
  <c r="AC780" i="2"/>
  <c r="AC768" i="2"/>
  <c r="AC740" i="2"/>
  <c r="AC884" i="2"/>
  <c r="AC752" i="2"/>
  <c r="AC776" i="2"/>
  <c r="AC804" i="2"/>
  <c r="AC792" i="2"/>
  <c r="AC760" i="2"/>
  <c r="AC764" i="2"/>
  <c r="AC784" i="2"/>
  <c r="AC788" i="2"/>
  <c r="AC724" i="2"/>
  <c r="AC728" i="2"/>
  <c r="AC748" i="2"/>
  <c r="AC772" i="2"/>
  <c r="AC775" i="2"/>
  <c r="AC809" i="2" l="1"/>
  <c r="AC813" i="2"/>
  <c r="AC905" i="2"/>
  <c r="AC789" i="2"/>
  <c r="AC777" i="2"/>
  <c r="AC796" i="2"/>
  <c r="AC793" i="2"/>
  <c r="AC749" i="2"/>
  <c r="AC785" i="2"/>
  <c r="AC797" i="2"/>
  <c r="AC765" i="2"/>
  <c r="AC769" i="2"/>
  <c r="AC745" i="2"/>
  <c r="AC805" i="2"/>
  <c r="AC781" i="2"/>
  <c r="AC825" i="2"/>
  <c r="AC773" i="2"/>
  <c r="AC761" i="2"/>
  <c r="AC801" i="2"/>
  <c r="AC753" i="2"/>
  <c r="AC757" i="2"/>
  <c r="AC782" i="2" l="1"/>
  <c r="AC826" i="2"/>
  <c r="AC770" i="2"/>
  <c r="AC926" i="2"/>
  <c r="AC774" i="2"/>
  <c r="AC846" i="2"/>
  <c r="AC790" i="2"/>
  <c r="AC818" i="2"/>
  <c r="AC817" i="2"/>
  <c r="AC810" i="2"/>
  <c r="AC834" i="2"/>
  <c r="AC778" i="2"/>
  <c r="AC822" i="2"/>
  <c r="AC794" i="2"/>
  <c r="AC802" i="2"/>
  <c r="AC766" i="2"/>
  <c r="AC786" i="2"/>
  <c r="AC806" i="2"/>
  <c r="AC814" i="2"/>
  <c r="AC798" i="2"/>
  <c r="AC830" i="2"/>
  <c r="AC947" i="2" l="1"/>
  <c r="AC819" i="2"/>
  <c r="AC827" i="2"/>
  <c r="AC787" i="2"/>
  <c r="AC815" i="2"/>
  <c r="AC799" i="2"/>
  <c r="AC831" i="2"/>
  <c r="AC839" i="2"/>
  <c r="AC867" i="2"/>
  <c r="AC847" i="2"/>
  <c r="AC851" i="2"/>
  <c r="AC835" i="2"/>
  <c r="AC807" i="2"/>
  <c r="AC823" i="2"/>
  <c r="AC843" i="2"/>
  <c r="AC855" i="2"/>
  <c r="AC838" i="2"/>
  <c r="AC811" i="2"/>
  <c r="AC795" i="2"/>
  <c r="AC791" i="2"/>
  <c r="AC803" i="2"/>
  <c r="AC859" i="2" l="1"/>
  <c r="AC812" i="2"/>
  <c r="AC832" i="2"/>
  <c r="AC876" i="2"/>
  <c r="AC844" i="2"/>
  <c r="AC856" i="2"/>
  <c r="AC868" i="2"/>
  <c r="AC860" i="2"/>
  <c r="AC820" i="2"/>
  <c r="AC808" i="2"/>
  <c r="AC840" i="2"/>
  <c r="AC824" i="2"/>
  <c r="AC816" i="2"/>
  <c r="AC864" i="2"/>
  <c r="AC828" i="2"/>
  <c r="AC872" i="2"/>
  <c r="AC888" i="2"/>
  <c r="AC852" i="2"/>
  <c r="AC836" i="2"/>
  <c r="AC848" i="2"/>
  <c r="AC968" i="2"/>
  <c r="AC893" i="2" l="1"/>
  <c r="AC897" i="2"/>
  <c r="AC989" i="2"/>
  <c r="AC885" i="2"/>
  <c r="AC869" i="2"/>
  <c r="AC873" i="2"/>
  <c r="AC845" i="2"/>
  <c r="AC829" i="2"/>
  <c r="AC881" i="2"/>
  <c r="AC877" i="2"/>
  <c r="AC833" i="2"/>
  <c r="AC889" i="2"/>
  <c r="AC880" i="2"/>
  <c r="AC857" i="2"/>
  <c r="AC909" i="2"/>
  <c r="AC849" i="2"/>
  <c r="AC837" i="2"/>
  <c r="AC861" i="2"/>
  <c r="AC841" i="2"/>
  <c r="AC865" i="2"/>
  <c r="AC853" i="2"/>
  <c r="AC930" i="2" l="1"/>
  <c r="AC910" i="2"/>
  <c r="AC906" i="2"/>
  <c r="AC918" i="2"/>
  <c r="AC901" i="2"/>
  <c r="AC886" i="2"/>
  <c r="AC882" i="2"/>
  <c r="AC870" i="2"/>
  <c r="AC878" i="2"/>
  <c r="AC898" i="2"/>
  <c r="AC850" i="2"/>
  <c r="AC894" i="2"/>
  <c r="AC1010" i="2"/>
  <c r="AC914" i="2"/>
  <c r="AC874" i="2"/>
  <c r="AC862" i="2"/>
  <c r="AC858" i="2"/>
  <c r="AC854" i="2"/>
  <c r="AC902" i="2"/>
  <c r="AC866" i="2"/>
  <c r="AC890" i="2"/>
  <c r="AC935" i="2" l="1"/>
  <c r="AC915" i="2"/>
  <c r="AC919" i="2"/>
  <c r="AC907" i="2"/>
  <c r="AC939" i="2"/>
  <c r="AC931" i="2"/>
  <c r="AC891" i="2"/>
  <c r="AC887" i="2"/>
  <c r="AC875" i="2"/>
  <c r="AC883" i="2"/>
  <c r="AC911" i="2"/>
  <c r="AC923" i="2"/>
  <c r="AC1031" i="2"/>
  <c r="AC922" i="2"/>
  <c r="AC927" i="2"/>
  <c r="AC951" i="2"/>
  <c r="AC879" i="2"/>
  <c r="AC895" i="2"/>
  <c r="AC871" i="2"/>
  <c r="AC899" i="2"/>
  <c r="AC903" i="2"/>
  <c r="AC943" i="2" l="1"/>
  <c r="AC904" i="2"/>
  <c r="AC920" i="2"/>
  <c r="AC916" i="2"/>
  <c r="AC972" i="2"/>
  <c r="AC944" i="2"/>
  <c r="AC908" i="2"/>
  <c r="AC952" i="2"/>
  <c r="AC928" i="2"/>
  <c r="AC936" i="2"/>
  <c r="AC1052" i="2"/>
  <c r="AC896" i="2"/>
  <c r="AC892" i="2"/>
  <c r="AC900" i="2"/>
  <c r="AC924" i="2"/>
  <c r="AC948" i="2"/>
  <c r="AC932" i="2"/>
  <c r="AC912" i="2"/>
  <c r="AC960" i="2"/>
  <c r="AC940" i="2"/>
  <c r="AC956" i="2"/>
  <c r="AC961" i="2" l="1"/>
  <c r="AC933" i="2"/>
  <c r="AC969" i="2"/>
  <c r="AC921" i="2"/>
  <c r="AC917" i="2"/>
  <c r="AC957" i="2"/>
  <c r="AC973" i="2"/>
  <c r="AC965" i="2"/>
  <c r="AC937" i="2"/>
  <c r="AC925" i="2"/>
  <c r="AC1073" i="2"/>
  <c r="AC977" i="2"/>
  <c r="AC981" i="2"/>
  <c r="AC953" i="2"/>
  <c r="AC945" i="2"/>
  <c r="AC913" i="2"/>
  <c r="AC949" i="2"/>
  <c r="AC929" i="2"/>
  <c r="AC993" i="2"/>
  <c r="AC941" i="2"/>
  <c r="AC964" i="2"/>
  <c r="AC1094" i="2" l="1"/>
  <c r="AC962" i="2"/>
  <c r="AC950" i="2"/>
  <c r="AC934" i="2"/>
  <c r="AC974" i="2"/>
  <c r="AC998" i="2"/>
  <c r="AC946" i="2"/>
  <c r="AC986" i="2"/>
  <c r="AC978" i="2"/>
  <c r="AC942" i="2"/>
  <c r="AC954" i="2"/>
  <c r="AC985" i="2"/>
  <c r="AC1014" i="2"/>
  <c r="AC970" i="2"/>
  <c r="AC966" i="2"/>
  <c r="AC1002" i="2"/>
  <c r="AC958" i="2"/>
  <c r="AC994" i="2"/>
  <c r="AC938" i="2"/>
  <c r="AC990" i="2"/>
  <c r="AC982" i="2"/>
  <c r="AC1011" i="2" l="1"/>
  <c r="AC1015" i="2"/>
  <c r="AC1023" i="2"/>
  <c r="AC991" i="2"/>
  <c r="AC1006" i="2"/>
  <c r="AC963" i="2"/>
  <c r="AC1007" i="2"/>
  <c r="AC1019" i="2"/>
  <c r="AC955" i="2"/>
  <c r="AC983" i="2"/>
  <c r="AC1003" i="2"/>
  <c r="AC959" i="2"/>
  <c r="AC979" i="2"/>
  <c r="AC987" i="2"/>
  <c r="AC1035" i="2"/>
  <c r="AC975" i="2"/>
  <c r="AC999" i="2"/>
  <c r="AC967" i="2"/>
  <c r="AC995" i="2"/>
  <c r="AC971" i="2"/>
  <c r="AC1115" i="2"/>
  <c r="AC1040" i="2" l="1"/>
  <c r="AC1012" i="2"/>
  <c r="AC1036" i="2"/>
  <c r="AC1008" i="2"/>
  <c r="AC992" i="2"/>
  <c r="AC988" i="2"/>
  <c r="AC996" i="2"/>
  <c r="AC980" i="2"/>
  <c r="AC1004" i="2"/>
  <c r="AC984" i="2"/>
  <c r="AC1136" i="2"/>
  <c r="AC1016" i="2"/>
  <c r="AC1020" i="2"/>
  <c r="AC1056" i="2"/>
  <c r="AC1024" i="2"/>
  <c r="AC1028" i="2"/>
  <c r="AC1027" i="2"/>
  <c r="AC1044" i="2"/>
  <c r="AC1032" i="2"/>
  <c r="AC1000" i="2"/>
  <c r="AC976" i="2"/>
  <c r="AC1065" i="2" l="1"/>
  <c r="AC1049" i="2"/>
  <c r="AC1077" i="2"/>
  <c r="AC1037" i="2"/>
  <c r="AC1029" i="2"/>
  <c r="AC1033" i="2"/>
  <c r="AC997" i="2"/>
  <c r="AC1021" i="2"/>
  <c r="AC1005" i="2"/>
  <c r="AC1001" i="2"/>
  <c r="AC1009" i="2"/>
  <c r="AC1053" i="2"/>
  <c r="AC1048" i="2"/>
  <c r="AC1045" i="2"/>
  <c r="AC1041" i="2"/>
  <c r="AC1157" i="2"/>
  <c r="AC1057" i="2"/>
  <c r="AC1061" i="2"/>
  <c r="AC1025" i="2"/>
  <c r="AC1017" i="2"/>
  <c r="AC1013" i="2"/>
  <c r="AC1038" i="2" l="1"/>
  <c r="AC1066" i="2"/>
  <c r="AC1074" i="2"/>
  <c r="AC1022" i="2"/>
  <c r="AC1042" i="2"/>
  <c r="AC1054" i="2"/>
  <c r="AC1058" i="2"/>
  <c r="AC1070" i="2"/>
  <c r="AC1082" i="2"/>
  <c r="AC1178" i="2"/>
  <c r="AC1034" i="2"/>
  <c r="AC1046" i="2"/>
  <c r="AC1078" i="2"/>
  <c r="AC1062" i="2"/>
  <c r="AC1069" i="2"/>
  <c r="AC1030" i="2"/>
  <c r="AC1026" i="2"/>
  <c r="AC1018" i="2"/>
  <c r="AC1050" i="2"/>
  <c r="AC1098" i="2"/>
  <c r="AC1086" i="2"/>
  <c r="AC1090" i="2" l="1"/>
  <c r="AC1119" i="2"/>
  <c r="AC1039" i="2"/>
  <c r="AC1051" i="2"/>
  <c r="AC1083" i="2"/>
  <c r="AC1067" i="2"/>
  <c r="AC1199" i="2"/>
  <c r="AC1091" i="2"/>
  <c r="AC1075" i="2"/>
  <c r="AC1043" i="2"/>
  <c r="AC1087" i="2"/>
  <c r="AC1107" i="2"/>
  <c r="AC1071" i="2"/>
  <c r="AC1047" i="2"/>
  <c r="AC1099" i="2"/>
  <c r="AC1055" i="2"/>
  <c r="AC1103" i="2"/>
  <c r="AC1079" i="2"/>
  <c r="AC1063" i="2"/>
  <c r="AC1095" i="2"/>
  <c r="AC1059" i="2"/>
  <c r="AC1076" i="2" l="1"/>
  <c r="AC1080" i="2"/>
  <c r="AC1124" i="2"/>
  <c r="AC1116" i="2"/>
  <c r="AC1100" i="2"/>
  <c r="AC1068" i="2"/>
  <c r="AC1128" i="2"/>
  <c r="AC1064" i="2"/>
  <c r="AC1112" i="2"/>
  <c r="AC1088" i="2"/>
  <c r="AC1072" i="2"/>
  <c r="AC1140" i="2"/>
  <c r="AC1060" i="2"/>
  <c r="AC1111" i="2"/>
  <c r="AC1084" i="2"/>
  <c r="AC1120" i="2"/>
  <c r="AC1092" i="2"/>
  <c r="AC1108" i="2"/>
  <c r="AC1096" i="2"/>
  <c r="AC1220" i="2"/>
  <c r="AC1104" i="2"/>
  <c r="AC1241" i="2" l="1"/>
  <c r="AC1129" i="2"/>
  <c r="AC1141" i="2"/>
  <c r="AC1161" i="2"/>
  <c r="AC1109" i="2"/>
  <c r="AC1085" i="2"/>
  <c r="AC1089" i="2"/>
  <c r="AC1137" i="2"/>
  <c r="AC1101" i="2"/>
  <c r="AC1132" i="2"/>
  <c r="AC1125" i="2"/>
  <c r="AC1117" i="2"/>
  <c r="AC1113" i="2"/>
  <c r="AC1105" i="2"/>
  <c r="AC1081" i="2"/>
  <c r="AC1093" i="2"/>
  <c r="AC1133" i="2"/>
  <c r="AC1149" i="2"/>
  <c r="AC1121" i="2"/>
  <c r="AC1145" i="2"/>
  <c r="AC1097" i="2"/>
  <c r="AC1153" i="2" l="1"/>
  <c r="AC1166" i="2"/>
  <c r="AC1170" i="2"/>
  <c r="AC1114" i="2"/>
  <c r="AC1126" i="2"/>
  <c r="AC1138" i="2"/>
  <c r="AC1158" i="2"/>
  <c r="AC1106" i="2"/>
  <c r="AC1182" i="2"/>
  <c r="AC1150" i="2"/>
  <c r="AC1118" i="2"/>
  <c r="AC1142" i="2"/>
  <c r="AC1154" i="2"/>
  <c r="AC1102" i="2"/>
  <c r="AC1134" i="2"/>
  <c r="AC1146" i="2"/>
  <c r="AC1122" i="2"/>
  <c r="AC1110" i="2"/>
  <c r="AC1130" i="2"/>
  <c r="AC1162" i="2"/>
  <c r="AC1262" i="2"/>
  <c r="AC1183" i="2" l="1"/>
  <c r="AC1131" i="2"/>
  <c r="AC1167" i="2"/>
  <c r="AC1123" i="2"/>
  <c r="AC1163" i="2"/>
  <c r="AC1171" i="2"/>
  <c r="AC1127" i="2"/>
  <c r="AC1159" i="2"/>
  <c r="AC1135" i="2"/>
  <c r="AC1187" i="2"/>
  <c r="AC1283" i="2"/>
  <c r="AC1151" i="2"/>
  <c r="AC1143" i="2"/>
  <c r="AC1155" i="2"/>
  <c r="AC1175" i="2"/>
  <c r="AC1139" i="2"/>
  <c r="AC1203" i="2"/>
  <c r="AC1179" i="2"/>
  <c r="AC1147" i="2"/>
  <c r="AC1191" i="2"/>
  <c r="AC1174" i="2"/>
  <c r="AC1195" i="2" l="1"/>
  <c r="AC1212" i="2"/>
  <c r="AC1200" i="2"/>
  <c r="AC1160" i="2"/>
  <c r="AC1176" i="2"/>
  <c r="AC1172" i="2"/>
  <c r="AC1208" i="2"/>
  <c r="AC1180" i="2"/>
  <c r="AC1192" i="2"/>
  <c r="AC1144" i="2"/>
  <c r="AC1152" i="2"/>
  <c r="AC1168" i="2"/>
  <c r="AC1224" i="2"/>
  <c r="AC1196" i="2"/>
  <c r="AC1164" i="2"/>
  <c r="AC1304" i="2"/>
  <c r="AC1156" i="2"/>
  <c r="AC1148" i="2"/>
  <c r="AC1184" i="2"/>
  <c r="AC1188" i="2"/>
  <c r="AC1204" i="2"/>
  <c r="AC1209" i="2" l="1"/>
  <c r="AC1169" i="2"/>
  <c r="AC1325" i="2"/>
  <c r="AC1217" i="2"/>
  <c r="AC1189" i="2"/>
  <c r="AC1165" i="2"/>
  <c r="AC1201" i="2"/>
  <c r="AC1193" i="2"/>
  <c r="AC1181" i="2"/>
  <c r="AC1233" i="2"/>
  <c r="AC1225" i="2"/>
  <c r="AC1205" i="2"/>
  <c r="AC1177" i="2"/>
  <c r="AC1185" i="2"/>
  <c r="AC1245" i="2"/>
  <c r="AC1173" i="2"/>
  <c r="AC1213" i="2"/>
  <c r="AC1229" i="2"/>
  <c r="AC1197" i="2"/>
  <c r="AC1221" i="2"/>
  <c r="AC1216" i="2"/>
  <c r="AC1242" i="2" l="1"/>
  <c r="AC1250" i="2"/>
  <c r="AC1194" i="2"/>
  <c r="AC1206" i="2"/>
  <c r="AC1226" i="2"/>
  <c r="AC1254" i="2"/>
  <c r="AC1214" i="2"/>
  <c r="AC1186" i="2"/>
  <c r="AC1238" i="2"/>
  <c r="AC1190" i="2"/>
  <c r="AC1237" i="2"/>
  <c r="AC1218" i="2"/>
  <c r="AC1234" i="2"/>
  <c r="AC1266" i="2"/>
  <c r="AC1198" i="2"/>
  <c r="AC1246" i="2"/>
  <c r="AC1202" i="2"/>
  <c r="AC1222" i="2"/>
  <c r="AC1210" i="2"/>
  <c r="AC1346" i="2"/>
  <c r="AC1230" i="2"/>
  <c r="AC1367" i="2" l="1"/>
  <c r="AC1243" i="2"/>
  <c r="AC1267" i="2"/>
  <c r="AC1287" i="2"/>
  <c r="AC1239" i="2"/>
  <c r="AC1211" i="2"/>
  <c r="AC1207" i="2"/>
  <c r="AC1275" i="2"/>
  <c r="AC1227" i="2"/>
  <c r="AC1271" i="2"/>
  <c r="AC1251" i="2"/>
  <c r="AC1231" i="2"/>
  <c r="AC1223" i="2"/>
  <c r="AC1219" i="2"/>
  <c r="AC1255" i="2"/>
  <c r="AC1259" i="2"/>
  <c r="AC1235" i="2"/>
  <c r="AC1247" i="2"/>
  <c r="AC1215" i="2"/>
  <c r="AC1263" i="2"/>
  <c r="AC1258" i="2"/>
  <c r="AC1279" i="2" l="1"/>
  <c r="AC1284" i="2"/>
  <c r="AC1268" i="2"/>
  <c r="AC1280" i="2"/>
  <c r="AC1240" i="2"/>
  <c r="AC1252" i="2"/>
  <c r="AC1292" i="2"/>
  <c r="AC1296" i="2"/>
  <c r="AC1232" i="2"/>
  <c r="AC1308" i="2"/>
  <c r="AC1264" i="2"/>
  <c r="AC1236" i="2"/>
  <c r="AC1256" i="2"/>
  <c r="AC1276" i="2"/>
  <c r="AC1244" i="2"/>
  <c r="AC1272" i="2"/>
  <c r="AC1248" i="2"/>
  <c r="AC1228" i="2"/>
  <c r="AC1260" i="2"/>
  <c r="AC1288" i="2"/>
  <c r="AC1388" i="2"/>
  <c r="AC1309" i="2" l="1"/>
  <c r="AC1249" i="2"/>
  <c r="AC1293" i="2"/>
  <c r="AC1297" i="2"/>
  <c r="AC1257" i="2"/>
  <c r="AC1329" i="2"/>
  <c r="AC1317" i="2"/>
  <c r="AC1273" i="2"/>
  <c r="AC1301" i="2"/>
  <c r="AC1305" i="2"/>
  <c r="AC1409" i="2"/>
  <c r="AC1281" i="2"/>
  <c r="AC1269" i="2"/>
  <c r="AC1265" i="2"/>
  <c r="AC1277" i="2"/>
  <c r="AC1285" i="2"/>
  <c r="AC1253" i="2"/>
  <c r="AC1313" i="2"/>
  <c r="AC1261" i="2"/>
  <c r="AC1289" i="2"/>
  <c r="AC1300" i="2"/>
  <c r="AC1310" i="2" l="1"/>
  <c r="AC1334" i="2"/>
  <c r="AC1306" i="2"/>
  <c r="AC1286" i="2"/>
  <c r="AC1302" i="2"/>
  <c r="AC1326" i="2"/>
  <c r="AC1294" i="2"/>
  <c r="AC1350" i="2"/>
  <c r="AC1318" i="2"/>
  <c r="AC1270" i="2"/>
  <c r="AC1321" i="2"/>
  <c r="AC1282" i="2"/>
  <c r="AC1274" i="2"/>
  <c r="AC1298" i="2"/>
  <c r="AC1290" i="2"/>
  <c r="AC1430" i="2"/>
  <c r="AC1322" i="2"/>
  <c r="AC1338" i="2"/>
  <c r="AC1278" i="2"/>
  <c r="AC1314" i="2"/>
  <c r="AC1330" i="2"/>
  <c r="AC1335" i="2" l="1"/>
  <c r="AC1359" i="2"/>
  <c r="AC1451" i="2"/>
  <c r="AC1319" i="2"/>
  <c r="AC1303" i="2"/>
  <c r="AC1291" i="2"/>
  <c r="AC1371" i="2"/>
  <c r="AC1347" i="2"/>
  <c r="AC1307" i="2"/>
  <c r="AC1355" i="2"/>
  <c r="AC1351" i="2"/>
  <c r="AC1299" i="2"/>
  <c r="AC1343" i="2"/>
  <c r="AC1311" i="2"/>
  <c r="AC1295" i="2"/>
  <c r="AC1339" i="2"/>
  <c r="AC1315" i="2"/>
  <c r="AC1323" i="2"/>
  <c r="AC1327" i="2"/>
  <c r="AC1331" i="2"/>
  <c r="AC1342" i="2"/>
  <c r="AC1352" i="2" l="1"/>
  <c r="AC1344" i="2"/>
  <c r="AC1360" i="2"/>
  <c r="AC1332" i="2"/>
  <c r="AC1320" i="2"/>
  <c r="AC1376" i="2"/>
  <c r="AC1368" i="2"/>
  <c r="AC1312" i="2"/>
  <c r="AC1340" i="2"/>
  <c r="AC1380" i="2"/>
  <c r="AC1363" i="2"/>
  <c r="AC1348" i="2"/>
  <c r="AC1336" i="2"/>
  <c r="AC1316" i="2"/>
  <c r="AC1364" i="2"/>
  <c r="AC1372" i="2"/>
  <c r="AC1328" i="2"/>
  <c r="AC1392" i="2"/>
  <c r="AC1324" i="2"/>
  <c r="AC1472" i="2"/>
  <c r="AC1356" i="2"/>
  <c r="AC1361" i="2" l="1"/>
  <c r="AC1389" i="2"/>
  <c r="AC1384" i="2"/>
  <c r="AC1493" i="2"/>
  <c r="AC1413" i="2"/>
  <c r="AC1393" i="2"/>
  <c r="AC1337" i="2"/>
  <c r="AC1369" i="2"/>
  <c r="AC1401" i="2"/>
  <c r="AC1333" i="2"/>
  <c r="AC1397" i="2"/>
  <c r="AC1353" i="2"/>
  <c r="AC1365" i="2"/>
  <c r="AC1341" i="2"/>
  <c r="AC1381" i="2"/>
  <c r="AC1373" i="2"/>
  <c r="AC1377" i="2"/>
  <c r="AC1345" i="2"/>
  <c r="AC1349" i="2"/>
  <c r="AC1385" i="2"/>
  <c r="AC1357" i="2"/>
  <c r="AC1406" i="2" l="1"/>
  <c r="AC1366" i="2"/>
  <c r="AC1394" i="2"/>
  <c r="AC1362" i="2"/>
  <c r="AC1374" i="2"/>
  <c r="AC1354" i="2"/>
  <c r="AC1390" i="2"/>
  <c r="AC1414" i="2"/>
  <c r="AC1514" i="2"/>
  <c r="AC1410" i="2"/>
  <c r="AC1405" i="2"/>
  <c r="AC1378" i="2"/>
  <c r="AC1370" i="2"/>
  <c r="AC1398" i="2"/>
  <c r="AC1402" i="2"/>
  <c r="AC1386" i="2"/>
  <c r="AC1418" i="2"/>
  <c r="AC1422" i="2"/>
  <c r="AC1358" i="2"/>
  <c r="AC1434" i="2"/>
  <c r="AC1382" i="2"/>
  <c r="AC1455" i="2" l="1"/>
  <c r="AC1443" i="2"/>
  <c r="AC1407" i="2"/>
  <c r="AC1419" i="2"/>
  <c r="AC1399" i="2"/>
  <c r="AC1431" i="2"/>
  <c r="AC1435" i="2"/>
  <c r="AC1375" i="2"/>
  <c r="AC1383" i="2"/>
  <c r="AC1387" i="2"/>
  <c r="AC1403" i="2"/>
  <c r="AC1379" i="2"/>
  <c r="AC1439" i="2"/>
  <c r="AC1423" i="2"/>
  <c r="AC1391" i="2"/>
  <c r="AC1411" i="2"/>
  <c r="AC1395" i="2"/>
  <c r="AC1415" i="2"/>
  <c r="AC1427" i="2"/>
  <c r="AC1426" i="2"/>
  <c r="AC1535" i="2"/>
  <c r="AC1447" i="2" l="1"/>
  <c r="AC1444" i="2"/>
  <c r="AC1452" i="2"/>
  <c r="AC1436" i="2"/>
  <c r="AC1432" i="2"/>
  <c r="AC1400" i="2"/>
  <c r="AC1408" i="2"/>
  <c r="AC1396" i="2"/>
  <c r="AC1440" i="2"/>
  <c r="AC1464" i="2"/>
  <c r="AC1456" i="2"/>
  <c r="AC1556" i="2"/>
  <c r="AC1448" i="2"/>
  <c r="AC1460" i="2"/>
  <c r="AC1416" i="2"/>
  <c r="AC1412" i="2"/>
  <c r="AC1424" i="2"/>
  <c r="AC1404" i="2"/>
  <c r="AC1420" i="2"/>
  <c r="AC1428" i="2"/>
  <c r="AC1476" i="2"/>
  <c r="AC1449" i="2" l="1"/>
  <c r="AC1425" i="2"/>
  <c r="AC1433" i="2"/>
  <c r="AC1481" i="2"/>
  <c r="AC1485" i="2"/>
  <c r="AC1417" i="2"/>
  <c r="AC1421" i="2"/>
  <c r="AC1457" i="2"/>
  <c r="AC1465" i="2"/>
  <c r="AC1577" i="2"/>
  <c r="AC1497" i="2"/>
  <c r="AC1441" i="2"/>
  <c r="AC1445" i="2"/>
  <c r="AC1437" i="2"/>
  <c r="AC1469" i="2"/>
  <c r="AC1477" i="2"/>
  <c r="AC1461" i="2"/>
  <c r="AC1429" i="2"/>
  <c r="AC1453" i="2"/>
  <c r="AC1473" i="2"/>
  <c r="AC1468" i="2"/>
  <c r="AC1598" i="2" l="1"/>
  <c r="AC1489" i="2"/>
  <c r="AC1494" i="2"/>
  <c r="AC1450" i="2"/>
  <c r="AC1498" i="2"/>
  <c r="AC1458" i="2"/>
  <c r="AC1462" i="2"/>
  <c r="AC1478" i="2"/>
  <c r="AC1438" i="2"/>
  <c r="AC1502" i="2"/>
  <c r="AC1446" i="2"/>
  <c r="AC1474" i="2"/>
  <c r="AC1482" i="2"/>
  <c r="AC1490" i="2"/>
  <c r="AC1466" i="2"/>
  <c r="AC1518" i="2"/>
  <c r="AC1486" i="2"/>
  <c r="AC1442" i="2"/>
  <c r="AC1506" i="2"/>
  <c r="AC1454" i="2"/>
  <c r="AC1470" i="2"/>
  <c r="AC1475" i="2" l="1"/>
  <c r="AC1463" i="2"/>
  <c r="AC1539" i="2"/>
  <c r="AC1511" i="2"/>
  <c r="AC1495" i="2"/>
  <c r="AC1523" i="2"/>
  <c r="AC1499" i="2"/>
  <c r="AC1479" i="2"/>
  <c r="AC1471" i="2"/>
  <c r="AC1510" i="2"/>
  <c r="AC1459" i="2"/>
  <c r="AC1491" i="2"/>
  <c r="AC1527" i="2"/>
  <c r="AC1507" i="2"/>
  <c r="AC1487" i="2"/>
  <c r="AC1503" i="2"/>
  <c r="AC1467" i="2"/>
  <c r="AC1483" i="2"/>
  <c r="AC1519" i="2"/>
  <c r="AC1515" i="2"/>
  <c r="AC1619" i="2"/>
  <c r="AC1640" i="2" l="1"/>
  <c r="AC1540" i="2"/>
  <c r="AC1528" i="2"/>
  <c r="AC1544" i="2"/>
  <c r="AC1532" i="2"/>
  <c r="AC1536" i="2"/>
  <c r="AC1524" i="2"/>
  <c r="AC1504" i="2"/>
  <c r="AC1512" i="2"/>
  <c r="AC1531" i="2"/>
  <c r="AC1500" i="2"/>
  <c r="AC1484" i="2"/>
  <c r="AC1520" i="2"/>
  <c r="AC1560" i="2"/>
  <c r="AC1548" i="2"/>
  <c r="AC1488" i="2"/>
  <c r="AC1508" i="2"/>
  <c r="AC1480" i="2"/>
  <c r="AC1492" i="2"/>
  <c r="AC1516" i="2"/>
  <c r="AC1496" i="2"/>
  <c r="AC1552" i="2" l="1"/>
  <c r="AC1517" i="2"/>
  <c r="AC1513" i="2"/>
  <c r="AC1501" i="2"/>
  <c r="AC1509" i="2"/>
  <c r="AC1505" i="2"/>
  <c r="AC1537" i="2"/>
  <c r="AC1581" i="2"/>
  <c r="AC1525" i="2"/>
  <c r="AC1557" i="2"/>
  <c r="AC1565" i="2"/>
  <c r="AC1561" i="2"/>
  <c r="AC1529" i="2"/>
  <c r="AC1569" i="2"/>
  <c r="AC1541" i="2"/>
  <c r="AC1521" i="2"/>
  <c r="AC1533" i="2"/>
  <c r="AC1545" i="2"/>
  <c r="AC1553" i="2"/>
  <c r="AC1549" i="2"/>
  <c r="AC1661" i="2"/>
  <c r="AC1570" i="2" l="1"/>
  <c r="AC1566" i="2"/>
  <c r="AC1542" i="2"/>
  <c r="AC1590" i="2"/>
  <c r="AC1582" i="2"/>
  <c r="AC1578" i="2"/>
  <c r="AC1602" i="2"/>
  <c r="AC1526" i="2"/>
  <c r="AC1522" i="2"/>
  <c r="AC1538" i="2"/>
  <c r="AC1682" i="2"/>
  <c r="AC1574" i="2"/>
  <c r="AC1554" i="2"/>
  <c r="AC1562" i="2"/>
  <c r="AC1550" i="2"/>
  <c r="AC1586" i="2"/>
  <c r="AC1546" i="2"/>
  <c r="AC1558" i="2"/>
  <c r="AC1530" i="2"/>
  <c r="AC1534" i="2"/>
  <c r="AC1573" i="2"/>
  <c r="AC1555" i="2" l="1"/>
  <c r="AC1579" i="2"/>
  <c r="AC1607" i="2"/>
  <c r="AC1583" i="2"/>
  <c r="AC1595" i="2"/>
  <c r="AC1559" i="2"/>
  <c r="AC1547" i="2"/>
  <c r="AC1599" i="2"/>
  <c r="AC1611" i="2"/>
  <c r="AC1587" i="2"/>
  <c r="AC1594" i="2"/>
  <c r="AC1551" i="2"/>
  <c r="AC1567" i="2"/>
  <c r="AC1571" i="2"/>
  <c r="AC1575" i="2"/>
  <c r="AC1703" i="2"/>
  <c r="AC1543" i="2"/>
  <c r="AC1623" i="2"/>
  <c r="AC1603" i="2"/>
  <c r="AC1563" i="2"/>
  <c r="AC1591" i="2"/>
  <c r="AC1584" i="2" l="1"/>
  <c r="AC1644" i="2"/>
  <c r="AC1724" i="2"/>
  <c r="AC1592" i="2"/>
  <c r="AC1572" i="2"/>
  <c r="AC1608" i="2"/>
  <c r="AC1620" i="2"/>
  <c r="AC1580" i="2"/>
  <c r="AC1604" i="2"/>
  <c r="AC1600" i="2"/>
  <c r="AC1612" i="2"/>
  <c r="AC1624" i="2"/>
  <c r="AC1564" i="2"/>
  <c r="AC1596" i="2"/>
  <c r="AC1588" i="2"/>
  <c r="AC1632" i="2"/>
  <c r="AC1568" i="2"/>
  <c r="AC1616" i="2"/>
  <c r="AC1628" i="2"/>
  <c r="AC1576" i="2"/>
  <c r="AC1615" i="2"/>
  <c r="AC1597" i="2" l="1"/>
  <c r="AC1637" i="2"/>
  <c r="AC1653" i="2"/>
  <c r="AC1617" i="2"/>
  <c r="AC1645" i="2"/>
  <c r="AC1621" i="2"/>
  <c r="AC1601" i="2"/>
  <c r="AC1629" i="2"/>
  <c r="AC1613" i="2"/>
  <c r="AC1665" i="2"/>
  <c r="AC1636" i="2"/>
  <c r="AC1649" i="2"/>
  <c r="AC1589" i="2"/>
  <c r="AC1609" i="2"/>
  <c r="AC1585" i="2"/>
  <c r="AC1633" i="2"/>
  <c r="AC1625" i="2"/>
  <c r="AC1641" i="2"/>
  <c r="AC1593" i="2"/>
  <c r="AC1745" i="2"/>
  <c r="AC1605" i="2"/>
  <c r="AC1766" i="2" l="1"/>
  <c r="AC1662" i="2"/>
  <c r="AC1654" i="2"/>
  <c r="AC1630" i="2"/>
  <c r="AC1670" i="2"/>
  <c r="AC1686" i="2"/>
  <c r="AC1650" i="2"/>
  <c r="AC1642" i="2"/>
  <c r="AC1638" i="2"/>
  <c r="AC1658" i="2"/>
  <c r="AC1626" i="2"/>
  <c r="AC1614" i="2"/>
  <c r="AC1646" i="2"/>
  <c r="AC1606" i="2"/>
  <c r="AC1610" i="2"/>
  <c r="AC1634" i="2"/>
  <c r="AC1622" i="2"/>
  <c r="AC1666" i="2"/>
  <c r="AC1674" i="2"/>
  <c r="AC1618" i="2"/>
  <c r="AC1657" i="2"/>
  <c r="AC1678" i="2" l="1"/>
  <c r="AC1639" i="2"/>
  <c r="AC1687" i="2"/>
  <c r="AC1655" i="2"/>
  <c r="AC1627" i="2"/>
  <c r="AC1635" i="2"/>
  <c r="AC1679" i="2"/>
  <c r="AC1663" i="2"/>
  <c r="AC1707" i="2"/>
  <c r="AC1651" i="2"/>
  <c r="AC1683" i="2"/>
  <c r="AC1695" i="2"/>
  <c r="AC1643" i="2"/>
  <c r="AC1631" i="2"/>
  <c r="AC1667" i="2"/>
  <c r="AC1647" i="2"/>
  <c r="AC1659" i="2"/>
  <c r="AC1671" i="2"/>
  <c r="AC1691" i="2"/>
  <c r="AC1675" i="2"/>
  <c r="AC1787" i="2"/>
  <c r="AC1696" i="2" l="1"/>
  <c r="AC1692" i="2"/>
  <c r="AC1668" i="2"/>
  <c r="AC1652" i="2"/>
  <c r="AC1716" i="2"/>
  <c r="AC1672" i="2"/>
  <c r="AC1684" i="2"/>
  <c r="AC1656" i="2"/>
  <c r="AC1676" i="2"/>
  <c r="AC1660" i="2"/>
  <c r="AC1808" i="2"/>
  <c r="AC1712" i="2"/>
  <c r="AC1680" i="2"/>
  <c r="AC1688" i="2"/>
  <c r="AC1664" i="2"/>
  <c r="AC1704" i="2"/>
  <c r="AC1728" i="2"/>
  <c r="AC1700" i="2"/>
  <c r="AC1648" i="2"/>
  <c r="AC1708" i="2"/>
  <c r="AC1699" i="2"/>
  <c r="AC1729" i="2" l="1"/>
  <c r="AC1721" i="2"/>
  <c r="AC1725" i="2"/>
  <c r="AC1709" i="2"/>
  <c r="AC1733" i="2"/>
  <c r="AC1681" i="2"/>
  <c r="AC1677" i="2"/>
  <c r="AC1693" i="2"/>
  <c r="AC1673" i="2"/>
  <c r="AC1713" i="2"/>
  <c r="AC1720" i="2"/>
  <c r="AC1669" i="2"/>
  <c r="AC1749" i="2"/>
  <c r="AC1685" i="2"/>
  <c r="AC1701" i="2"/>
  <c r="AC1829" i="2"/>
  <c r="AC1697" i="2"/>
  <c r="AC1705" i="2"/>
  <c r="AC1737" i="2"/>
  <c r="AC1689" i="2"/>
  <c r="AC1717" i="2"/>
  <c r="AC1741" i="2" l="1"/>
  <c r="AC1710" i="2"/>
  <c r="AC1726" i="2"/>
  <c r="AC1850" i="2"/>
  <c r="AC1706" i="2"/>
  <c r="AC1690" i="2"/>
  <c r="AC1734" i="2"/>
  <c r="AC1714" i="2"/>
  <c r="AC1702" i="2"/>
  <c r="AC1730" i="2"/>
  <c r="AC1742" i="2"/>
  <c r="AC1738" i="2"/>
  <c r="AC1758" i="2"/>
  <c r="AC1718" i="2"/>
  <c r="AC1722" i="2"/>
  <c r="AC1770" i="2"/>
  <c r="AC1694" i="2"/>
  <c r="AC1698" i="2"/>
  <c r="AC1754" i="2"/>
  <c r="AC1746" i="2"/>
  <c r="AC1750" i="2"/>
  <c r="AC1767" i="2" l="1"/>
  <c r="AC1719" i="2"/>
  <c r="AC1791" i="2"/>
  <c r="AC1739" i="2"/>
  <c r="AC1759" i="2"/>
  <c r="AC1751" i="2"/>
  <c r="AC1735" i="2"/>
  <c r="AC1711" i="2"/>
  <c r="AC1871" i="2"/>
  <c r="AC1731" i="2"/>
  <c r="AC1762" i="2"/>
  <c r="AC1771" i="2"/>
  <c r="AC1775" i="2"/>
  <c r="AC1715" i="2"/>
  <c r="AC1743" i="2"/>
  <c r="AC1779" i="2"/>
  <c r="AC1763" i="2"/>
  <c r="AC1723" i="2"/>
  <c r="AC1755" i="2"/>
  <c r="AC1727" i="2"/>
  <c r="AC1747" i="2"/>
  <c r="AC1783" i="2" l="1"/>
  <c r="AC1748" i="2"/>
  <c r="AC1744" i="2"/>
  <c r="AC1800" i="2"/>
  <c r="AC1736" i="2"/>
  <c r="AC1792" i="2"/>
  <c r="AC1752" i="2"/>
  <c r="AC1732" i="2"/>
  <c r="AC1772" i="2"/>
  <c r="AC1760" i="2"/>
  <c r="AC1740" i="2"/>
  <c r="AC1768" i="2"/>
  <c r="AC1776" i="2"/>
  <c r="AC1784" i="2"/>
  <c r="AC1764" i="2"/>
  <c r="AC1796" i="2"/>
  <c r="AC1892" i="2"/>
  <c r="AC1756" i="2"/>
  <c r="AC1780" i="2"/>
  <c r="AC1812" i="2"/>
  <c r="AC1788" i="2"/>
  <c r="AC1833" i="2" l="1"/>
  <c r="AC1777" i="2"/>
  <c r="AC1817" i="2"/>
  <c r="AC1805" i="2"/>
  <c r="AC1789" i="2"/>
  <c r="AC1781" i="2"/>
  <c r="AC1753" i="2"/>
  <c r="AC1813" i="2"/>
  <c r="AC1821" i="2"/>
  <c r="AC1769" i="2"/>
  <c r="AC1804" i="2"/>
  <c r="AC1809" i="2"/>
  <c r="AC1801" i="2"/>
  <c r="AC1913" i="2"/>
  <c r="AC1785" i="2"/>
  <c r="AC1797" i="2"/>
  <c r="AC1761" i="2"/>
  <c r="AC1793" i="2"/>
  <c r="AC1773" i="2"/>
  <c r="AC1757" i="2"/>
  <c r="AC1765" i="2"/>
  <c r="AC1825" i="2" l="1"/>
  <c r="AC1778" i="2"/>
  <c r="AC1814" i="2"/>
  <c r="AC1818" i="2"/>
  <c r="AC1934" i="2"/>
  <c r="AC1830" i="2"/>
  <c r="AC1790" i="2"/>
  <c r="AC1834" i="2"/>
  <c r="AC1802" i="2"/>
  <c r="AC1826" i="2"/>
  <c r="AC1798" i="2"/>
  <c r="AC1786" i="2"/>
  <c r="AC1794" i="2"/>
  <c r="AC1782" i="2"/>
  <c r="AC1806" i="2"/>
  <c r="AC1822" i="2"/>
  <c r="AC1842" i="2"/>
  <c r="AC1774" i="2"/>
  <c r="AC1810" i="2"/>
  <c r="AC1838" i="2"/>
  <c r="AC1854" i="2"/>
  <c r="AC1859" i="2" l="1"/>
  <c r="AC1795" i="2"/>
  <c r="AC1843" i="2"/>
  <c r="AC1803" i="2"/>
  <c r="AC1807" i="2"/>
  <c r="AC1847" i="2"/>
  <c r="AC1855" i="2"/>
  <c r="AC1851" i="2"/>
  <c r="AC1839" i="2"/>
  <c r="AC1799" i="2"/>
  <c r="AC1846" i="2"/>
  <c r="AC1875" i="2"/>
  <c r="AC1831" i="2"/>
  <c r="AC1863" i="2"/>
  <c r="AC1827" i="2"/>
  <c r="AC1815" i="2"/>
  <c r="AC1819" i="2"/>
  <c r="AC1823" i="2"/>
  <c r="AC1811" i="2"/>
  <c r="AC1955" i="2"/>
  <c r="AC1835" i="2"/>
  <c r="AC1867" i="2" l="1"/>
  <c r="AC1976" i="2"/>
  <c r="AC1844" i="2"/>
  <c r="AC1836" i="2"/>
  <c r="AC1884" i="2"/>
  <c r="AC1896" i="2"/>
  <c r="AC1820" i="2"/>
  <c r="AC1872" i="2"/>
  <c r="AC1868" i="2"/>
  <c r="AC1824" i="2"/>
  <c r="AC1816" i="2"/>
  <c r="AC1856" i="2"/>
  <c r="AC1832" i="2"/>
  <c r="AC1840" i="2"/>
  <c r="AC1848" i="2"/>
  <c r="AC1852" i="2"/>
  <c r="AC1860" i="2"/>
  <c r="AC1876" i="2"/>
  <c r="AC1828" i="2"/>
  <c r="AC1864" i="2"/>
  <c r="AC1880" i="2"/>
  <c r="AC1885" i="2" l="1"/>
  <c r="AC1897" i="2"/>
  <c r="AC1873" i="2"/>
  <c r="AC1861" i="2"/>
  <c r="AC1877" i="2"/>
  <c r="AC1845" i="2"/>
  <c r="AC1893" i="2"/>
  <c r="AC1917" i="2"/>
  <c r="AC1857" i="2"/>
  <c r="AC1997" i="2"/>
  <c r="AC1888" i="2"/>
  <c r="AC1901" i="2"/>
  <c r="AC1849" i="2"/>
  <c r="AC1881" i="2"/>
  <c r="AC1869" i="2"/>
  <c r="AC1853" i="2"/>
  <c r="AC1837" i="2"/>
  <c r="AC1889" i="2"/>
  <c r="AC1841" i="2"/>
  <c r="AC1905" i="2"/>
  <c r="AC1865" i="2"/>
  <c r="AC1926" i="2" l="1"/>
  <c r="AC1910" i="2"/>
  <c r="AC1874" i="2"/>
  <c r="AC1902" i="2"/>
  <c r="AC1922" i="2"/>
  <c r="AC1938" i="2"/>
  <c r="AC1866" i="2"/>
  <c r="AC1882" i="2"/>
  <c r="AC1918" i="2"/>
  <c r="AC2018" i="2"/>
  <c r="AC1886" i="2"/>
  <c r="AC1862" i="2"/>
  <c r="AC1858" i="2"/>
  <c r="AC1890" i="2"/>
  <c r="AC1870" i="2"/>
  <c r="AC1878" i="2"/>
  <c r="AC1914" i="2"/>
  <c r="AC1898" i="2"/>
  <c r="AC1894" i="2"/>
  <c r="AC1906" i="2"/>
  <c r="AC1909" i="2"/>
  <c r="AC1930" i="2" l="1"/>
  <c r="AC1927" i="2"/>
  <c r="AC1919" i="2"/>
  <c r="AC1899" i="2"/>
  <c r="AC1911" i="2"/>
  <c r="AC1883" i="2"/>
  <c r="AC2039" i="2"/>
  <c r="AC1903" i="2"/>
  <c r="AC1959" i="2"/>
  <c r="AC1923" i="2"/>
  <c r="AC1931" i="2"/>
  <c r="AC1915" i="2"/>
  <c r="AC1935" i="2"/>
  <c r="AC1891" i="2"/>
  <c r="AC1879" i="2"/>
  <c r="AC1907" i="2"/>
  <c r="AC1939" i="2"/>
  <c r="AC1887" i="2"/>
  <c r="AC1943" i="2"/>
  <c r="AC1895" i="2"/>
  <c r="AC1947" i="2"/>
  <c r="AC1916" i="2" l="1"/>
  <c r="AC1908" i="2"/>
  <c r="AC1928" i="2"/>
  <c r="AC1912" i="2"/>
  <c r="AC1936" i="2"/>
  <c r="AC1944" i="2"/>
  <c r="AC1924" i="2"/>
  <c r="AC1904" i="2"/>
  <c r="AC1920" i="2"/>
  <c r="AC1948" i="2"/>
  <c r="AC1968" i="2"/>
  <c r="AC1964" i="2"/>
  <c r="AC1960" i="2"/>
  <c r="AC1900" i="2"/>
  <c r="AC1956" i="2"/>
  <c r="AC1952" i="2"/>
  <c r="AC1980" i="2"/>
  <c r="AC2060" i="2"/>
  <c r="AC1932" i="2"/>
  <c r="AC1940" i="2"/>
  <c r="AC1951" i="2"/>
  <c r="AC1972" i="2" l="1"/>
  <c r="AC1961" i="2"/>
  <c r="AC2081" i="2"/>
  <c r="AC1973" i="2"/>
  <c r="AC1921" i="2"/>
  <c r="AC1985" i="2"/>
  <c r="AC1969" i="2"/>
  <c r="AC1925" i="2"/>
  <c r="AC1965" i="2"/>
  <c r="AC1933" i="2"/>
  <c r="AC1929" i="2"/>
  <c r="AC1953" i="2"/>
  <c r="AC2001" i="2"/>
  <c r="AC1977" i="2"/>
  <c r="AC1981" i="2"/>
  <c r="AC1989" i="2"/>
  <c r="AC1941" i="2"/>
  <c r="AC1945" i="2"/>
  <c r="AC1957" i="2"/>
  <c r="AC1949" i="2"/>
  <c r="AC1937" i="2"/>
  <c r="AC1970" i="2" l="1"/>
  <c r="AC1966" i="2"/>
  <c r="AC2010" i="2"/>
  <c r="AC1998" i="2"/>
  <c r="AC1974" i="2"/>
  <c r="AC1954" i="2"/>
  <c r="AC1946" i="2"/>
  <c r="AC2006" i="2"/>
  <c r="AC1994" i="2"/>
  <c r="AC1982" i="2"/>
  <c r="AC1958" i="2"/>
  <c r="AC1978" i="2"/>
  <c r="AC1962" i="2"/>
  <c r="AC2002" i="2"/>
  <c r="AC2022" i="2"/>
  <c r="AC1950" i="2"/>
  <c r="AC1986" i="2"/>
  <c r="AC1990" i="2"/>
  <c r="AC1942" i="2"/>
  <c r="AC2102" i="2"/>
  <c r="AC1993" i="2"/>
  <c r="AC2123" i="2" l="1"/>
  <c r="AC2011" i="2"/>
  <c r="AC1971" i="2"/>
  <c r="AC2023" i="2"/>
  <c r="AC1999" i="2"/>
  <c r="AC2003" i="2"/>
  <c r="AC2027" i="2"/>
  <c r="AC1975" i="2"/>
  <c r="AC2019" i="2"/>
  <c r="AC1987" i="2"/>
  <c r="AC2014" i="2"/>
  <c r="AC1963" i="2"/>
  <c r="AC2007" i="2"/>
  <c r="AC2043" i="2"/>
  <c r="AC1983" i="2"/>
  <c r="AC1979" i="2"/>
  <c r="AC2015" i="2"/>
  <c r="AC1967" i="2"/>
  <c r="AC1995" i="2"/>
  <c r="AC2031" i="2"/>
  <c r="AC1991" i="2"/>
  <c r="AC2052" i="2" l="1"/>
  <c r="AC1988" i="2"/>
  <c r="AC2000" i="2"/>
  <c r="AC2064" i="2"/>
  <c r="AC1984" i="2"/>
  <c r="AC2008" i="2"/>
  <c r="AC1996" i="2"/>
  <c r="AC2024" i="2"/>
  <c r="AC2044" i="2"/>
  <c r="AC2032" i="2"/>
  <c r="AC2012" i="2"/>
  <c r="AC2016" i="2"/>
  <c r="AC2036" i="2"/>
  <c r="AC2004" i="2"/>
  <c r="AC2028" i="2"/>
  <c r="AC2040" i="2"/>
  <c r="AC2048" i="2"/>
  <c r="AC2020" i="2"/>
  <c r="AC1992" i="2"/>
  <c r="AC2144" i="2"/>
  <c r="AC2035" i="2"/>
  <c r="AC2165" i="2" l="1"/>
  <c r="AC2041" i="2"/>
  <c r="AC2061" i="2"/>
  <c r="AC2025" i="2"/>
  <c r="AC2037" i="2"/>
  <c r="AC2053" i="2"/>
  <c r="AC2045" i="2"/>
  <c r="AC2029" i="2"/>
  <c r="AC2085" i="2"/>
  <c r="AC2009" i="2"/>
  <c r="AC2056" i="2"/>
  <c r="AC2013" i="2"/>
  <c r="AC2069" i="2"/>
  <c r="AC2049" i="2"/>
  <c r="AC2057" i="2"/>
  <c r="AC2033" i="2"/>
  <c r="AC2065" i="2"/>
  <c r="AC2017" i="2"/>
  <c r="AC2005" i="2"/>
  <c r="AC2021" i="2"/>
  <c r="AC2073" i="2"/>
  <c r="AC2042" i="2" l="1"/>
  <c r="AC2038" i="2"/>
  <c r="AC2054" i="2"/>
  <c r="AC2070" i="2"/>
  <c r="AC2034" i="2"/>
  <c r="AC2030" i="2"/>
  <c r="AC2050" i="2"/>
  <c r="AC2074" i="2"/>
  <c r="AC2046" i="2"/>
  <c r="AC2062" i="2"/>
  <c r="AC2094" i="2"/>
  <c r="AC2026" i="2"/>
  <c r="AC2086" i="2"/>
  <c r="AC2078" i="2"/>
  <c r="AC2090" i="2"/>
  <c r="AC2077" i="2"/>
  <c r="AC2106" i="2"/>
  <c r="AC2066" i="2"/>
  <c r="AC2058" i="2"/>
  <c r="AC2082" i="2"/>
  <c r="AC2186" i="2"/>
  <c r="AC2103" i="2" l="1"/>
  <c r="AC2087" i="2"/>
  <c r="AC2098" i="2"/>
  <c r="AC2099" i="2"/>
  <c r="AC2047" i="2"/>
  <c r="AC2083" i="2"/>
  <c r="AC2095" i="2"/>
  <c r="AC2051" i="2"/>
  <c r="AC2091" i="2"/>
  <c r="AC2059" i="2"/>
  <c r="AC2207" i="2"/>
  <c r="AC2079" i="2"/>
  <c r="AC2127" i="2"/>
  <c r="AC2111" i="2"/>
  <c r="AC2107" i="2"/>
  <c r="AC2115" i="2"/>
  <c r="AC2067" i="2"/>
  <c r="AC2071" i="2"/>
  <c r="AC2055" i="2"/>
  <c r="AC2075" i="2"/>
  <c r="AC2063" i="2"/>
  <c r="AC2096" i="2" l="1"/>
  <c r="AC2092" i="2"/>
  <c r="AC2136" i="2"/>
  <c r="AC2132" i="2"/>
  <c r="AC2100" i="2"/>
  <c r="AC2080" i="2"/>
  <c r="AC2072" i="2"/>
  <c r="AC2104" i="2"/>
  <c r="AC2120" i="2"/>
  <c r="AC2108" i="2"/>
  <c r="AC2084" i="2"/>
  <c r="AC2076" i="2"/>
  <c r="AC2088" i="2"/>
  <c r="AC2128" i="2"/>
  <c r="AC2148" i="2"/>
  <c r="AC2228" i="2"/>
  <c r="AC2112" i="2"/>
  <c r="AC2116" i="2"/>
  <c r="AC2068" i="2"/>
  <c r="AC2124" i="2"/>
  <c r="AC2119" i="2"/>
  <c r="AC2145" i="2" l="1"/>
  <c r="AC2137" i="2"/>
  <c r="AC2249" i="2"/>
  <c r="AC2149" i="2"/>
  <c r="AC2097" i="2"/>
  <c r="AC2129" i="2"/>
  <c r="AC2125" i="2"/>
  <c r="AC2101" i="2"/>
  <c r="AC2153" i="2"/>
  <c r="AC2113" i="2"/>
  <c r="AC2140" i="2"/>
  <c r="AC2089" i="2"/>
  <c r="AC2133" i="2"/>
  <c r="AC2169" i="2"/>
  <c r="AC2109" i="2"/>
  <c r="AC2105" i="2"/>
  <c r="AC2141" i="2"/>
  <c r="AC2093" i="2"/>
  <c r="AC2121" i="2"/>
  <c r="AC2157" i="2"/>
  <c r="AC2117" i="2"/>
  <c r="AC2178" i="2" l="1"/>
  <c r="AC2114" i="2"/>
  <c r="AC2126" i="2"/>
  <c r="AC2190" i="2"/>
  <c r="AC2110" i="2"/>
  <c r="AC2134" i="2"/>
  <c r="AC2122" i="2"/>
  <c r="AC2150" i="2"/>
  <c r="AC2170" i="2"/>
  <c r="AC2158" i="2"/>
  <c r="AC2270" i="2"/>
  <c r="AC2138" i="2"/>
  <c r="AC2142" i="2"/>
  <c r="AC2162" i="2"/>
  <c r="AC2130" i="2"/>
  <c r="AC2154" i="2"/>
  <c r="AC2161" i="2"/>
  <c r="AC2174" i="2"/>
  <c r="AC2146" i="2"/>
  <c r="AC2118" i="2"/>
  <c r="AC2166" i="2"/>
  <c r="AC2139" i="2" l="1"/>
  <c r="AC2195" i="2"/>
  <c r="AC2175" i="2"/>
  <c r="AC2183" i="2"/>
  <c r="AC2159" i="2"/>
  <c r="AC2179" i="2"/>
  <c r="AC2171" i="2"/>
  <c r="AC2155" i="2"/>
  <c r="AC2211" i="2"/>
  <c r="AC2135" i="2"/>
  <c r="AC2291" i="2"/>
  <c r="AC2187" i="2"/>
  <c r="AC2167" i="2"/>
  <c r="AC2182" i="2"/>
  <c r="AC2151" i="2"/>
  <c r="AC2163" i="2"/>
  <c r="AC2191" i="2"/>
  <c r="AC2143" i="2"/>
  <c r="AC2131" i="2"/>
  <c r="AC2147" i="2"/>
  <c r="AC2199" i="2"/>
  <c r="AC2168" i="2" l="1"/>
  <c r="AC2164" i="2"/>
  <c r="AC2184" i="2"/>
  <c r="AC2208" i="2"/>
  <c r="AC2156" i="2"/>
  <c r="AC2176" i="2"/>
  <c r="AC2200" i="2"/>
  <c r="AC2204" i="2"/>
  <c r="AC2216" i="2"/>
  <c r="AC2203" i="2"/>
  <c r="AC2220" i="2"/>
  <c r="AC2152" i="2"/>
  <c r="AC2212" i="2"/>
  <c r="AC2172" i="2"/>
  <c r="AC2188" i="2"/>
  <c r="AC2312" i="2"/>
  <c r="AC2232" i="2"/>
  <c r="AC2192" i="2"/>
  <c r="AC2180" i="2"/>
  <c r="AC2196" i="2"/>
  <c r="AC2160" i="2"/>
  <c r="AC2333" i="2" l="1"/>
  <c r="AC2224" i="2"/>
  <c r="AC2217" i="2"/>
  <c r="AC2213" i="2"/>
  <c r="AC2193" i="2"/>
  <c r="AC2173" i="2"/>
  <c r="AC2225" i="2"/>
  <c r="AC2197" i="2"/>
  <c r="AC2229" i="2"/>
  <c r="AC2185" i="2"/>
  <c r="AC2181" i="2"/>
  <c r="AC2201" i="2"/>
  <c r="AC2253" i="2"/>
  <c r="AC2209" i="2"/>
  <c r="AC2233" i="2"/>
  <c r="AC2241" i="2"/>
  <c r="AC2237" i="2"/>
  <c r="AC2221" i="2"/>
  <c r="AC2177" i="2"/>
  <c r="AC2205" i="2"/>
  <c r="AC2189" i="2"/>
  <c r="AC2242" i="2" l="1"/>
  <c r="AC2262" i="2"/>
  <c r="AC2210" i="2"/>
  <c r="AC2198" i="2"/>
  <c r="AC2226" i="2"/>
  <c r="AC2230" i="2"/>
  <c r="AC2222" i="2"/>
  <c r="AC2206" i="2"/>
  <c r="AC2218" i="2"/>
  <c r="AC2194" i="2"/>
  <c r="AC2234" i="2"/>
  <c r="AC2245" i="2"/>
  <c r="AC2258" i="2"/>
  <c r="AC2254" i="2"/>
  <c r="AC2274" i="2"/>
  <c r="AC2250" i="2"/>
  <c r="AC2246" i="2"/>
  <c r="AC2354" i="2"/>
  <c r="AC2202" i="2"/>
  <c r="AC2214" i="2"/>
  <c r="AC2238" i="2"/>
  <c r="AC2223" i="2" l="1"/>
  <c r="AC2375" i="2"/>
  <c r="AC2271" i="2"/>
  <c r="AC2275" i="2"/>
  <c r="AC2266" i="2"/>
  <c r="AC2251" i="2"/>
  <c r="AC2283" i="2"/>
  <c r="AC2235" i="2"/>
  <c r="AC2215" i="2"/>
  <c r="AC2227" i="2"/>
  <c r="AC2219" i="2"/>
  <c r="AC2259" i="2"/>
  <c r="AC2267" i="2"/>
  <c r="AC2295" i="2"/>
  <c r="AC2279" i="2"/>
  <c r="AC2243" i="2"/>
  <c r="AC2247" i="2"/>
  <c r="AC2263" i="2"/>
  <c r="AC2255" i="2"/>
  <c r="AC2239" i="2"/>
  <c r="AC2231" i="2"/>
  <c r="AC2260" i="2" l="1"/>
  <c r="AC2284" i="2"/>
  <c r="AC2264" i="2"/>
  <c r="AC2316" i="2"/>
  <c r="AC2280" i="2"/>
  <c r="AC2248" i="2"/>
  <c r="AC2256" i="2"/>
  <c r="AC2272" i="2"/>
  <c r="AC2296" i="2"/>
  <c r="AC2396" i="2"/>
  <c r="AC2252" i="2"/>
  <c r="AC2276" i="2"/>
  <c r="AC2268" i="2"/>
  <c r="AC2300" i="2"/>
  <c r="AC2288" i="2"/>
  <c r="AC2240" i="2"/>
  <c r="AC2236" i="2"/>
  <c r="AC2304" i="2"/>
  <c r="AC2287" i="2"/>
  <c r="AC2292" i="2"/>
  <c r="AC2244" i="2"/>
  <c r="AC2257" i="2" l="1"/>
  <c r="AC2313" i="2"/>
  <c r="AC2325" i="2"/>
  <c r="AC2321" i="2"/>
  <c r="AC2297" i="2"/>
  <c r="AC2417" i="2"/>
  <c r="AC2293" i="2"/>
  <c r="AC2269" i="2"/>
  <c r="AC2337" i="2"/>
  <c r="AC2305" i="2"/>
  <c r="AC2261" i="2"/>
  <c r="AC2265" i="2"/>
  <c r="AC2308" i="2"/>
  <c r="AC2309" i="2"/>
  <c r="AC2289" i="2"/>
  <c r="AC2273" i="2"/>
  <c r="AC2317" i="2"/>
  <c r="AC2277" i="2"/>
  <c r="AC2301" i="2"/>
  <c r="AC2285" i="2"/>
  <c r="AC2281" i="2"/>
  <c r="AC2306" i="2" l="1"/>
  <c r="AC2298" i="2"/>
  <c r="AC2294" i="2"/>
  <c r="AC2330" i="2"/>
  <c r="AC2286" i="2"/>
  <c r="AC2326" i="2"/>
  <c r="AC2290" i="2"/>
  <c r="AC2438" i="2"/>
  <c r="AC2342" i="2"/>
  <c r="AC2334" i="2"/>
  <c r="AC2302" i="2"/>
  <c r="AC2322" i="2"/>
  <c r="AC2338" i="2"/>
  <c r="AC2310" i="2"/>
  <c r="AC2329" i="2"/>
  <c r="AC2282" i="2"/>
  <c r="AC2358" i="2"/>
  <c r="AC2314" i="2"/>
  <c r="AC2318" i="2"/>
  <c r="AC2346" i="2"/>
  <c r="AC2278" i="2"/>
  <c r="AC2367" i="2" l="1"/>
  <c r="AC2335" i="2"/>
  <c r="AC2303" i="2"/>
  <c r="AC2331" i="2"/>
  <c r="AC2343" i="2"/>
  <c r="AC2355" i="2"/>
  <c r="AC2459" i="2"/>
  <c r="AC2347" i="2"/>
  <c r="AC2351" i="2"/>
  <c r="AC2319" i="2"/>
  <c r="AC2299" i="2"/>
  <c r="AC2339" i="2"/>
  <c r="AC2379" i="2"/>
  <c r="AC2350" i="2"/>
  <c r="AC2359" i="2"/>
  <c r="AC2323" i="2"/>
  <c r="AC2363" i="2"/>
  <c r="AC2311" i="2"/>
  <c r="AC2307" i="2"/>
  <c r="AC2315" i="2"/>
  <c r="AC2327" i="2"/>
  <c r="AC2336" i="2" l="1"/>
  <c r="AC2332" i="2"/>
  <c r="AC2344" i="2"/>
  <c r="AC2371" i="2"/>
  <c r="AC2360" i="2"/>
  <c r="AC2340" i="2"/>
  <c r="AC2368" i="2"/>
  <c r="AC2376" i="2"/>
  <c r="AC2352" i="2"/>
  <c r="AC2356" i="2"/>
  <c r="AC2348" i="2"/>
  <c r="AC2328" i="2"/>
  <c r="AC2384" i="2"/>
  <c r="AC2380" i="2"/>
  <c r="AC2400" i="2"/>
  <c r="AC2320" i="2"/>
  <c r="AC2372" i="2"/>
  <c r="AC2480" i="2"/>
  <c r="AC2364" i="2"/>
  <c r="AC2324" i="2"/>
  <c r="AC2388" i="2"/>
  <c r="AC2345" i="2" l="1"/>
  <c r="AC2501" i="2"/>
  <c r="AC2341" i="2"/>
  <c r="AC2401" i="2"/>
  <c r="AC2349" i="2"/>
  <c r="AC2377" i="2"/>
  <c r="AC2397" i="2"/>
  <c r="AC2361" i="2"/>
  <c r="AC2392" i="2"/>
  <c r="AC2353" i="2"/>
  <c r="AC2409" i="2"/>
  <c r="AC2385" i="2"/>
  <c r="AC2393" i="2"/>
  <c r="AC2421" i="2"/>
  <c r="AC2405" i="2"/>
  <c r="AC2369" i="2"/>
  <c r="AC2373" i="2"/>
  <c r="AC2389" i="2"/>
  <c r="AC2381" i="2"/>
  <c r="AC2365" i="2"/>
  <c r="AC2357" i="2"/>
  <c r="AC2386" i="2" l="1"/>
  <c r="AC2410" i="2"/>
  <c r="AC2390" i="2"/>
  <c r="AC2442" i="2"/>
  <c r="AC2406" i="2"/>
  <c r="AC2374" i="2"/>
  <c r="AC2382" i="2"/>
  <c r="AC2398" i="2"/>
  <c r="AC2422" i="2"/>
  <c r="AC2522" i="2"/>
  <c r="AC2378" i="2"/>
  <c r="AC2402" i="2"/>
  <c r="AC2394" i="2"/>
  <c r="AC2426" i="2"/>
  <c r="AC2414" i="2"/>
  <c r="AC2430" i="2"/>
  <c r="AC2413" i="2"/>
  <c r="AC2418" i="2"/>
  <c r="AC2370" i="2"/>
  <c r="AC2362" i="2"/>
  <c r="AC2366" i="2"/>
  <c r="AC2383" i="2" l="1"/>
  <c r="AC2439" i="2"/>
  <c r="AC2451" i="2"/>
  <c r="AC2447" i="2"/>
  <c r="AC2423" i="2"/>
  <c r="AC2543" i="2"/>
  <c r="AC2419" i="2"/>
  <c r="AC2395" i="2"/>
  <c r="AC2463" i="2"/>
  <c r="AC2431" i="2"/>
  <c r="AC2387" i="2"/>
  <c r="AC2391" i="2"/>
  <c r="AC2434" i="2"/>
  <c r="AC2435" i="2"/>
  <c r="AC2415" i="2"/>
  <c r="AC2399" i="2"/>
  <c r="AC2443" i="2"/>
  <c r="AC2403" i="2"/>
  <c r="AC2427" i="2"/>
  <c r="AC2411" i="2"/>
  <c r="AC2407" i="2"/>
  <c r="AC2432" i="2" l="1"/>
  <c r="AC2424" i="2"/>
  <c r="AC2420" i="2"/>
  <c r="AC2456" i="2"/>
  <c r="AC2412" i="2"/>
  <c r="AC2452" i="2"/>
  <c r="AC2416" i="2"/>
  <c r="AC2564" i="2"/>
  <c r="AC2468" i="2"/>
  <c r="AC2460" i="2"/>
  <c r="AC2428" i="2"/>
  <c r="AC2448" i="2"/>
  <c r="AC2464" i="2"/>
  <c r="AC2436" i="2"/>
  <c r="AC2455" i="2"/>
  <c r="AC2408" i="2"/>
  <c r="AC2484" i="2"/>
  <c r="AC2440" i="2"/>
  <c r="AC2444" i="2"/>
  <c r="AC2472" i="2"/>
  <c r="AC2404" i="2"/>
  <c r="AC2493" i="2" l="1"/>
  <c r="AC2461" i="2"/>
  <c r="AC2429" i="2"/>
  <c r="AC2457" i="2"/>
  <c r="AC2469" i="2"/>
  <c r="AC2481" i="2"/>
  <c r="AC2585" i="2"/>
  <c r="AC2473" i="2"/>
  <c r="AC2477" i="2"/>
  <c r="AC2445" i="2"/>
  <c r="AC2425" i="2"/>
  <c r="AC2465" i="2"/>
  <c r="AC2505" i="2"/>
  <c r="AC2476" i="2"/>
  <c r="AC2485" i="2"/>
  <c r="AC2449" i="2"/>
  <c r="AC2489" i="2"/>
  <c r="AC2437" i="2"/>
  <c r="AC2433" i="2"/>
  <c r="AC2441" i="2"/>
  <c r="AC2453" i="2"/>
  <c r="AC2462" i="2" l="1"/>
  <c r="AC2458" i="2"/>
  <c r="AC2470" i="2"/>
  <c r="AC2497" i="2"/>
  <c r="AC2486" i="2"/>
  <c r="AC2466" i="2"/>
  <c r="AC2494" i="2"/>
  <c r="AC2502" i="2"/>
  <c r="AC2478" i="2"/>
  <c r="AC2482" i="2"/>
  <c r="AC2474" i="2"/>
  <c r="AC2454" i="2"/>
  <c r="AC2510" i="2"/>
  <c r="AC2506" i="2"/>
  <c r="AC2526" i="2"/>
  <c r="AC2446" i="2"/>
  <c r="AC2498" i="2"/>
  <c r="AC2606" i="2"/>
  <c r="AC2490" i="2"/>
  <c r="AC2450" i="2"/>
  <c r="AC2514" i="2"/>
  <c r="AC2471" i="2" l="1"/>
  <c r="AC2627" i="2"/>
  <c r="AC2467" i="2"/>
  <c r="AC2527" i="2"/>
  <c r="AC2475" i="2"/>
  <c r="AC2503" i="2"/>
  <c r="AC2523" i="2"/>
  <c r="AC2487" i="2"/>
  <c r="AC2518" i="2"/>
  <c r="AC2479" i="2"/>
  <c r="AC2535" i="2"/>
  <c r="AC2511" i="2"/>
  <c r="AC2519" i="2"/>
  <c r="AC2547" i="2"/>
  <c r="AC2531" i="2"/>
  <c r="AC2495" i="2"/>
  <c r="AC2499" i="2"/>
  <c r="AC2515" i="2"/>
  <c r="AC2507" i="2"/>
  <c r="AC2491" i="2"/>
  <c r="AC2483" i="2"/>
  <c r="AC2512" i="2" l="1"/>
  <c r="AC2536" i="2"/>
  <c r="AC2516" i="2"/>
  <c r="AC2568" i="2"/>
  <c r="AC2532" i="2"/>
  <c r="AC2500" i="2"/>
  <c r="AC2508" i="2"/>
  <c r="AC2524" i="2"/>
  <c r="AC2548" i="2"/>
  <c r="AC2648" i="2"/>
  <c r="AC2504" i="2"/>
  <c r="AC2528" i="2"/>
  <c r="AC2520" i="2"/>
  <c r="AC2552" i="2"/>
  <c r="AC2540" i="2"/>
  <c r="AC2556" i="2"/>
  <c r="AC2539" i="2"/>
  <c r="AC2544" i="2"/>
  <c r="AC2496" i="2"/>
  <c r="AC2488" i="2"/>
  <c r="AC2492" i="2"/>
  <c r="AC2509" i="2" l="1"/>
  <c r="AC2565" i="2"/>
  <c r="AC2577" i="2"/>
  <c r="AC2573" i="2"/>
  <c r="AC2549" i="2"/>
  <c r="AC2669" i="2"/>
  <c r="AC2545" i="2"/>
  <c r="AC2521" i="2"/>
  <c r="AC2589" i="2"/>
  <c r="AC2557" i="2"/>
  <c r="AC2513" i="2"/>
  <c r="AC2517" i="2"/>
  <c r="AC2560" i="2"/>
  <c r="AC2561" i="2"/>
  <c r="AC2541" i="2"/>
  <c r="AC2525" i="2"/>
  <c r="AC2569" i="2"/>
  <c r="AC2529" i="2"/>
  <c r="AC2553" i="2"/>
  <c r="AC2537" i="2"/>
  <c r="AC2533" i="2"/>
  <c r="AC2558" i="2" l="1"/>
  <c r="AC2550" i="2"/>
  <c r="AC2546" i="2"/>
  <c r="AC2582" i="2"/>
  <c r="AC2538" i="2"/>
  <c r="AC2578" i="2"/>
  <c r="AC2542" i="2"/>
  <c r="AC2690" i="2"/>
  <c r="AC2594" i="2"/>
  <c r="AC2586" i="2"/>
  <c r="AC2554" i="2"/>
  <c r="AC2574" i="2"/>
  <c r="AC2590" i="2"/>
  <c r="AC2562" i="2"/>
  <c r="AC2581" i="2"/>
  <c r="AC2534" i="2"/>
  <c r="AC2610" i="2"/>
  <c r="AC2566" i="2"/>
  <c r="AC2570" i="2"/>
  <c r="AC2598" i="2"/>
  <c r="AC2530" i="2"/>
  <c r="AC2619" i="2" l="1"/>
  <c r="AC2587" i="2"/>
  <c r="AC2555" i="2"/>
  <c r="AC2583" i="2"/>
  <c r="AC2595" i="2"/>
  <c r="AC2607" i="2"/>
  <c r="AC2711" i="2"/>
  <c r="AC2599" i="2"/>
  <c r="AC2603" i="2"/>
  <c r="AC2571" i="2"/>
  <c r="AC2551" i="2"/>
  <c r="AC2591" i="2"/>
  <c r="AC2631" i="2"/>
  <c r="AC2602" i="2"/>
  <c r="AC2611" i="2"/>
  <c r="AC2575" i="2"/>
  <c r="AC2615" i="2"/>
  <c r="AC2563" i="2"/>
  <c r="AC2559" i="2"/>
  <c r="AC2567" i="2"/>
  <c r="AC2579" i="2"/>
  <c r="AC2588" i="2" l="1"/>
  <c r="AC2584" i="2"/>
  <c r="AC2596" i="2"/>
  <c r="AC2623" i="2"/>
  <c r="AC2612" i="2"/>
  <c r="AC2592" i="2"/>
  <c r="AC2620" i="2"/>
  <c r="AC2628" i="2"/>
  <c r="AC2604" i="2"/>
  <c r="AC2608" i="2"/>
  <c r="AC2600" i="2"/>
  <c r="AC2580" i="2"/>
  <c r="AC2636" i="2"/>
  <c r="AC2632" i="2"/>
  <c r="AC2652" i="2"/>
  <c r="AC2572" i="2"/>
  <c r="AC2624" i="2"/>
  <c r="AC2732" i="2"/>
  <c r="AC2616" i="2"/>
  <c r="AC2576" i="2"/>
  <c r="AC2640" i="2"/>
  <c r="AC2597" i="2" l="1"/>
  <c r="AC2753" i="2"/>
  <c r="AC2593" i="2"/>
  <c r="AC2653" i="2"/>
  <c r="AC2601" i="2"/>
  <c r="AC2629" i="2"/>
  <c r="AC2649" i="2"/>
  <c r="AC2613" i="2"/>
  <c r="AC2644" i="2"/>
  <c r="AC2605" i="2"/>
  <c r="AC2661" i="2"/>
  <c r="AC2637" i="2"/>
  <c r="AC2645" i="2"/>
  <c r="AC2673" i="2"/>
  <c r="AC2657" i="2"/>
  <c r="AC2621" i="2"/>
  <c r="AC2625" i="2"/>
  <c r="AC2641" i="2"/>
  <c r="AC2633" i="2"/>
  <c r="AC2617" i="2"/>
  <c r="AC2609" i="2"/>
  <c r="AC2638" i="2" l="1"/>
  <c r="AC2662" i="2"/>
  <c r="AC2642" i="2"/>
  <c r="AC2694" i="2"/>
  <c r="AC2658" i="2"/>
  <c r="AC2626" i="2"/>
  <c r="AC2634" i="2"/>
  <c r="AC2650" i="2"/>
  <c r="AC2674" i="2"/>
  <c r="AC2774" i="2"/>
  <c r="AC2630" i="2"/>
  <c r="AC2654" i="2"/>
  <c r="AC2646" i="2"/>
  <c r="AC2678" i="2"/>
  <c r="AC2666" i="2"/>
  <c r="AC2682" i="2"/>
  <c r="AC2665" i="2"/>
  <c r="AC2670" i="2"/>
  <c r="AC2622" i="2"/>
  <c r="AC2614" i="2"/>
  <c r="AC2618" i="2"/>
  <c r="AC2635" i="2" l="1"/>
  <c r="AC2691" i="2"/>
  <c r="AC2703" i="2"/>
  <c r="AC2699" i="2"/>
  <c r="AC2675" i="2"/>
  <c r="AC2795" i="2"/>
  <c r="AC2671" i="2"/>
  <c r="AC2647" i="2"/>
  <c r="AC2715" i="2"/>
  <c r="AC2683" i="2"/>
  <c r="AC2639" i="2"/>
  <c r="AC2643" i="2"/>
  <c r="AC2686" i="2"/>
  <c r="AC2687" i="2"/>
  <c r="AC2667" i="2"/>
  <c r="AC2651" i="2"/>
  <c r="AC2695" i="2"/>
  <c r="AC2655" i="2"/>
  <c r="AC2679" i="2"/>
  <c r="AC2663" i="2"/>
  <c r="AC2659" i="2"/>
  <c r="AC2684" i="2" l="1"/>
  <c r="AC2676" i="2"/>
  <c r="AC2672" i="2"/>
  <c r="AC2708" i="2"/>
  <c r="AC2664" i="2"/>
  <c r="AC2704" i="2"/>
  <c r="AC2668" i="2"/>
  <c r="AC2816" i="2"/>
  <c r="AC2720" i="2"/>
  <c r="AC2712" i="2"/>
  <c r="AC2680" i="2"/>
  <c r="AC2700" i="2"/>
  <c r="AC2716" i="2"/>
  <c r="AC2688" i="2"/>
  <c r="AC2707" i="2"/>
  <c r="AC2660" i="2"/>
  <c r="AC2736" i="2"/>
  <c r="AC2692" i="2"/>
  <c r="AC2696" i="2"/>
  <c r="AC2724" i="2"/>
  <c r="AC2656" i="2"/>
  <c r="AC2745" i="2" l="1"/>
  <c r="AC2713" i="2"/>
  <c r="AC2681" i="2"/>
  <c r="AC2709" i="2"/>
  <c r="AC2721" i="2"/>
  <c r="AC2733" i="2"/>
  <c r="AC2837" i="2"/>
  <c r="AC2725" i="2"/>
  <c r="AC2729" i="2"/>
  <c r="AC2697" i="2"/>
  <c r="AC2677" i="2"/>
  <c r="AC2717" i="2"/>
  <c r="AC2757" i="2"/>
  <c r="AC2728" i="2"/>
  <c r="AC2737" i="2"/>
  <c r="AC2701" i="2"/>
  <c r="AC2741" i="2"/>
  <c r="AC2689" i="2"/>
  <c r="AC2685" i="2"/>
  <c r="AC2693" i="2"/>
  <c r="AC2705" i="2"/>
  <c r="AC2714" i="2" l="1"/>
  <c r="AC2710" i="2"/>
  <c r="AC2722" i="2"/>
  <c r="AC2749" i="2"/>
  <c r="AC2738" i="2"/>
  <c r="AC2718" i="2"/>
  <c r="AC2746" i="2"/>
  <c r="AC2754" i="2"/>
  <c r="AC2730" i="2"/>
  <c r="AC2734" i="2"/>
  <c r="AC2726" i="2"/>
  <c r="AC2706" i="2"/>
  <c r="AC2762" i="2"/>
  <c r="AC2758" i="2"/>
  <c r="AC2778" i="2"/>
  <c r="AC2698" i="2"/>
  <c r="AC2750" i="2"/>
  <c r="AC2858" i="2"/>
  <c r="AC2742" i="2"/>
  <c r="AC2702" i="2"/>
  <c r="AC2766" i="2"/>
  <c r="AC2723" i="2" l="1"/>
  <c r="AC2879" i="2"/>
  <c r="AC2719" i="2"/>
  <c r="AC2779" i="2"/>
  <c r="AC2727" i="2"/>
  <c r="AC2755" i="2"/>
  <c r="AC2775" i="2"/>
  <c r="AC2739" i="2"/>
  <c r="AC2770" i="2"/>
  <c r="AC2731" i="2"/>
  <c r="AC2787" i="2"/>
  <c r="AC2763" i="2"/>
  <c r="AC2771" i="2"/>
  <c r="AC2799" i="2"/>
  <c r="AC2783" i="2"/>
  <c r="AC2747" i="2"/>
  <c r="AC2751" i="2"/>
  <c r="AC2767" i="2"/>
  <c r="AC2759" i="2"/>
  <c r="AC2743" i="2"/>
  <c r="AC2735" i="2"/>
  <c r="AC2764" i="2" l="1"/>
  <c r="AC2788" i="2"/>
  <c r="AC2768" i="2"/>
  <c r="AC2820" i="2"/>
  <c r="AC2784" i="2"/>
  <c r="AC2752" i="2"/>
  <c r="AC2760" i="2"/>
  <c r="AC2776" i="2"/>
  <c r="AC2800" i="2"/>
  <c r="AC2900" i="2"/>
  <c r="AC2756" i="2"/>
  <c r="AC2780" i="2"/>
  <c r="AC2772" i="2"/>
  <c r="AC2804" i="2"/>
  <c r="AC2792" i="2"/>
  <c r="AC2808" i="2"/>
  <c r="AC2791" i="2"/>
  <c r="AC2796" i="2"/>
  <c r="AC2748" i="2"/>
  <c r="AC2740" i="2"/>
  <c r="AC2744" i="2"/>
  <c r="AC2761" i="2" l="1"/>
  <c r="AC2817" i="2"/>
  <c r="AC2829" i="2"/>
  <c r="AC2825" i="2"/>
  <c r="AC2801" i="2"/>
  <c r="AC2921" i="2"/>
  <c r="AC2797" i="2"/>
  <c r="AC2773" i="2"/>
  <c r="AC2841" i="2"/>
  <c r="AC2809" i="2"/>
  <c r="AC2765" i="2"/>
  <c r="AC2769" i="2"/>
  <c r="AC2812" i="2"/>
  <c r="AC2813" i="2"/>
  <c r="AC2793" i="2"/>
  <c r="AC2777" i="2"/>
  <c r="AC2821" i="2"/>
  <c r="AC2781" i="2"/>
  <c r="AC2805" i="2"/>
  <c r="AC2789" i="2"/>
  <c r="AC2785" i="2"/>
  <c r="AC2810" i="2" l="1"/>
  <c r="AC2802" i="2"/>
  <c r="AC2798" i="2"/>
  <c r="AC2834" i="2"/>
  <c r="AC2790" i="2"/>
  <c r="AC2830" i="2"/>
  <c r="AC2794" i="2"/>
  <c r="AC2942" i="2"/>
  <c r="AC2846" i="2"/>
  <c r="AC2838" i="2"/>
  <c r="AC2806" i="2"/>
  <c r="AC2826" i="2"/>
  <c r="AC2842" i="2"/>
  <c r="AC2814" i="2"/>
  <c r="AC2833" i="2"/>
  <c r="AC2786" i="2"/>
  <c r="AC2862" i="2"/>
  <c r="AC2818" i="2"/>
  <c r="AC2822" i="2"/>
  <c r="AC2850" i="2"/>
  <c r="AC2782" i="2"/>
  <c r="AC2871" i="2" l="1"/>
  <c r="AC2839" i="2"/>
  <c r="AC2807" i="2"/>
  <c r="AC2835" i="2"/>
  <c r="AC2847" i="2"/>
  <c r="AC2859" i="2"/>
  <c r="AC2963" i="2"/>
  <c r="AC2851" i="2"/>
  <c r="AC2855" i="2"/>
  <c r="AC2823" i="2"/>
  <c r="AC2803" i="2"/>
  <c r="AC2843" i="2"/>
  <c r="AC2883" i="2"/>
  <c r="AC2854" i="2"/>
  <c r="AC2863" i="2"/>
  <c r="AC2827" i="2"/>
  <c r="AC2867" i="2"/>
  <c r="AC2815" i="2"/>
  <c r="AC2811" i="2"/>
  <c r="AC2819" i="2"/>
  <c r="AC2831" i="2"/>
  <c r="AC2840" i="2" l="1"/>
  <c r="AC2836" i="2"/>
  <c r="AC2848" i="2"/>
  <c r="AC2875" i="2"/>
  <c r="AC2864" i="2"/>
  <c r="AC2844" i="2"/>
  <c r="AC2872" i="2"/>
  <c r="AC2880" i="2"/>
  <c r="AC2856" i="2"/>
  <c r="AC2860" i="2"/>
  <c r="AC2852" i="2"/>
  <c r="AC2832" i="2"/>
  <c r="AC2888" i="2"/>
  <c r="AC2884" i="2"/>
  <c r="AC2904" i="2"/>
  <c r="AC2824" i="2"/>
  <c r="AC2876" i="2"/>
  <c r="AC2868" i="2"/>
  <c r="AC2828" i="2"/>
  <c r="AC2892" i="2"/>
  <c r="AC2984" i="2"/>
  <c r="AC2913" i="2" l="1"/>
  <c r="AC2889" i="2"/>
  <c r="AC2845" i="2"/>
  <c r="AC2905" i="2"/>
  <c r="AC2853" i="2"/>
  <c r="AC2881" i="2"/>
  <c r="AC2901" i="2"/>
  <c r="AC2865" i="2"/>
  <c r="AC2896" i="2"/>
  <c r="AC2857" i="2"/>
  <c r="AC3005" i="2"/>
  <c r="AC2849" i="2"/>
  <c r="AC2897" i="2"/>
  <c r="AC2925" i="2"/>
  <c r="AC2909" i="2"/>
  <c r="AC2873" i="2"/>
  <c r="AC2877" i="2"/>
  <c r="AC2893" i="2"/>
  <c r="AC2885" i="2"/>
  <c r="AC2869" i="2"/>
  <c r="AC2861" i="2"/>
  <c r="AC2890" i="2" l="1"/>
  <c r="AC2914" i="2"/>
  <c r="AC2894" i="2"/>
  <c r="AC2946" i="2"/>
  <c r="AC2870" i="2"/>
  <c r="AC2878" i="2"/>
  <c r="AC2886" i="2"/>
  <c r="AC2902" i="2"/>
  <c r="AC2926" i="2"/>
  <c r="AC2910" i="2"/>
  <c r="AC2882" i="2"/>
  <c r="AC2906" i="2"/>
  <c r="AC2898" i="2"/>
  <c r="AC2930" i="2"/>
  <c r="AC2918" i="2"/>
  <c r="AC3026" i="2"/>
  <c r="AC2917" i="2"/>
  <c r="AC2922" i="2"/>
  <c r="AC2874" i="2"/>
  <c r="AC2866" i="2"/>
  <c r="AC2934" i="2"/>
  <c r="AC2887" i="2" l="1"/>
  <c r="AC2943" i="2"/>
  <c r="AC3047" i="2"/>
  <c r="AC2951" i="2"/>
  <c r="AC2927" i="2"/>
  <c r="AC2931" i="2"/>
  <c r="AC2923" i="2"/>
  <c r="AC2899" i="2"/>
  <c r="AC2967" i="2"/>
  <c r="AC2935" i="2"/>
  <c r="AC2955" i="2"/>
  <c r="AC2895" i="2"/>
  <c r="AC2938" i="2"/>
  <c r="AC2939" i="2"/>
  <c r="AC2919" i="2"/>
  <c r="AC2903" i="2"/>
  <c r="AC2947" i="2"/>
  <c r="AC2907" i="2"/>
  <c r="AC2891" i="2"/>
  <c r="AC2915" i="2"/>
  <c r="AC2911" i="2"/>
  <c r="AC2936" i="2" l="1"/>
  <c r="AC2928" i="2"/>
  <c r="AC2924" i="2"/>
  <c r="AC2916" i="2"/>
  <c r="AC2920" i="2"/>
  <c r="AC2952" i="2"/>
  <c r="AC2960" i="2"/>
  <c r="AC2956" i="2"/>
  <c r="AC2972" i="2"/>
  <c r="AC2964" i="2"/>
  <c r="AC2932" i="2"/>
  <c r="AC2912" i="2"/>
  <c r="AC2940" i="2"/>
  <c r="AC2959" i="2"/>
  <c r="AC2944" i="2"/>
  <c r="AC2948" i="2"/>
  <c r="AC2908" i="2"/>
  <c r="AC2968" i="2"/>
  <c r="AC2976" i="2"/>
  <c r="AC2988" i="2"/>
  <c r="AC3068" i="2"/>
  <c r="AC3009" i="2" l="1"/>
  <c r="AC2989" i="2"/>
  <c r="AC2969" i="2"/>
  <c r="AC2933" i="2"/>
  <c r="AC2985" i="2"/>
  <c r="AC2977" i="2"/>
  <c r="AC2973" i="2"/>
  <c r="AC2937" i="2"/>
  <c r="AC2949" i="2"/>
  <c r="AC2980" i="2"/>
  <c r="AC3089" i="2"/>
  <c r="AC2997" i="2"/>
  <c r="AC2929" i="2"/>
  <c r="AC2965" i="2"/>
  <c r="AC2961" i="2"/>
  <c r="AC2953" i="2"/>
  <c r="AC2993" i="2"/>
  <c r="AC2981" i="2"/>
  <c r="AC2941" i="2"/>
  <c r="AC2945" i="2"/>
  <c r="AC2957" i="2"/>
  <c r="AC2966" i="2" l="1"/>
  <c r="AC3002" i="2"/>
  <c r="AC2974" i="2"/>
  <c r="AC2986" i="2"/>
  <c r="AC3018" i="2"/>
  <c r="AC3001" i="2"/>
  <c r="AC2958" i="2"/>
  <c r="AC2998" i="2"/>
  <c r="AC2954" i="2"/>
  <c r="AC3010" i="2"/>
  <c r="AC2978" i="2"/>
  <c r="AC2962" i="2"/>
  <c r="AC3014" i="2"/>
  <c r="AC2982" i="2"/>
  <c r="AC2950" i="2"/>
  <c r="AC3110" i="2"/>
  <c r="AC2970" i="2"/>
  <c r="AC2994" i="2"/>
  <c r="AC3006" i="2"/>
  <c r="AC2990" i="2"/>
  <c r="AC3030" i="2"/>
  <c r="AC3011" i="2" l="1"/>
  <c r="AC3015" i="2"/>
  <c r="AC3131" i="2"/>
  <c r="AC3003" i="2"/>
  <c r="AC2983" i="2"/>
  <c r="AC3031" i="2"/>
  <c r="AC3019" i="2"/>
  <c r="AC3022" i="2"/>
  <c r="AC3007" i="2"/>
  <c r="AC3023" i="2"/>
  <c r="AC3051" i="2"/>
  <c r="AC3027" i="2"/>
  <c r="AC2991" i="2"/>
  <c r="AC2971" i="2"/>
  <c r="AC3035" i="2"/>
  <c r="AC2999" i="2"/>
  <c r="AC2975" i="2"/>
  <c r="AC2979" i="2"/>
  <c r="AC3039" i="2"/>
  <c r="AC2995" i="2"/>
  <c r="AC2987" i="2"/>
  <c r="AC3043" i="2" l="1"/>
  <c r="AC3016" i="2"/>
  <c r="AC3000" i="2"/>
  <c r="AC3020" i="2"/>
  <c r="AC2992" i="2"/>
  <c r="AC3048" i="2"/>
  <c r="AC3044" i="2"/>
  <c r="AC3052" i="2"/>
  <c r="AC3024" i="2"/>
  <c r="AC3036" i="2"/>
  <c r="AC3008" i="2"/>
  <c r="AC3060" i="2"/>
  <c r="AC2996" i="2"/>
  <c r="AC3056" i="2"/>
  <c r="AC3012" i="2"/>
  <c r="AC3072" i="2"/>
  <c r="AC3028" i="2"/>
  <c r="AC3040" i="2"/>
  <c r="AC3004" i="2"/>
  <c r="AC3152" i="2"/>
  <c r="AC3032" i="2"/>
  <c r="AC3173" i="2" l="1"/>
  <c r="AC3061" i="2"/>
  <c r="AC3093" i="2"/>
  <c r="AC3077" i="2"/>
  <c r="AC3081" i="2"/>
  <c r="AC3057" i="2"/>
  <c r="AC3073" i="2"/>
  <c r="AC3069" i="2"/>
  <c r="AC3041" i="2"/>
  <c r="AC3037" i="2"/>
  <c r="AC3053" i="2"/>
  <c r="AC3025" i="2"/>
  <c r="AC3049" i="2"/>
  <c r="AC3033" i="2"/>
  <c r="AC3017" i="2"/>
  <c r="AC3029" i="2"/>
  <c r="AC3045" i="2"/>
  <c r="AC3065" i="2"/>
  <c r="AC3013" i="2"/>
  <c r="AC3021" i="2"/>
  <c r="AC3064" i="2"/>
  <c r="AC3042" i="2" l="1"/>
  <c r="AC3086" i="2"/>
  <c r="AC3050" i="2"/>
  <c r="AC3054" i="2"/>
  <c r="AC3046" i="2"/>
  <c r="AC3058" i="2"/>
  <c r="AC3090" i="2"/>
  <c r="AC3078" i="2"/>
  <c r="AC3098" i="2"/>
  <c r="AC3082" i="2"/>
  <c r="AC3085" i="2"/>
  <c r="AC3034" i="2"/>
  <c r="AC3066" i="2"/>
  <c r="AC3038" i="2"/>
  <c r="AC3070" i="2"/>
  <c r="AC3074" i="2"/>
  <c r="AC3062" i="2"/>
  <c r="AC3094" i="2"/>
  <c r="AC3102" i="2"/>
  <c r="AC3114" i="2"/>
  <c r="AC3194" i="2"/>
  <c r="AC3135" i="2" l="1"/>
  <c r="AC3115" i="2"/>
  <c r="AC3095" i="2"/>
  <c r="AC3059" i="2"/>
  <c r="AC3055" i="2"/>
  <c r="AC3103" i="2"/>
  <c r="AC3099" i="2"/>
  <c r="AC3079" i="2"/>
  <c r="AC3075" i="2"/>
  <c r="AC3107" i="2"/>
  <c r="AC3215" i="2"/>
  <c r="AC3123" i="2"/>
  <c r="AC3083" i="2"/>
  <c r="AC3091" i="2"/>
  <c r="AC3087" i="2"/>
  <c r="AC3106" i="2"/>
  <c r="AC3119" i="2"/>
  <c r="AC3111" i="2"/>
  <c r="AC3067" i="2"/>
  <c r="AC3071" i="2"/>
  <c r="AC3063" i="2"/>
  <c r="AC3127" i="2" l="1"/>
  <c r="AC3092" i="2"/>
  <c r="AC3132" i="2"/>
  <c r="AC3112" i="2"/>
  <c r="AC3144" i="2"/>
  <c r="AC3128" i="2"/>
  <c r="AC3100" i="2"/>
  <c r="AC3124" i="2"/>
  <c r="AC3080" i="2"/>
  <c r="AC3136" i="2"/>
  <c r="AC3236" i="2"/>
  <c r="AC3084" i="2"/>
  <c r="AC3088" i="2"/>
  <c r="AC3140" i="2"/>
  <c r="AC3108" i="2"/>
  <c r="AC3104" i="2"/>
  <c r="AC3096" i="2"/>
  <c r="AC3120" i="2"/>
  <c r="AC3076" i="2"/>
  <c r="AC3116" i="2"/>
  <c r="AC3156" i="2"/>
  <c r="AC3137" i="2" l="1"/>
  <c r="AC3141" i="2"/>
  <c r="AC3125" i="2"/>
  <c r="AC3161" i="2"/>
  <c r="AC3105" i="2"/>
  <c r="AC3157" i="2"/>
  <c r="AC3145" i="2"/>
  <c r="AC3149" i="2"/>
  <c r="AC3133" i="2"/>
  <c r="AC3113" i="2"/>
  <c r="AC3177" i="2"/>
  <c r="AC3097" i="2"/>
  <c r="AC3117" i="2"/>
  <c r="AC3129" i="2"/>
  <c r="AC3109" i="2"/>
  <c r="AC3257" i="2"/>
  <c r="AC3101" i="2"/>
  <c r="AC3121" i="2"/>
  <c r="AC3165" i="2"/>
  <c r="AC3153" i="2"/>
  <c r="AC3148" i="2"/>
  <c r="AC3174" i="2" l="1"/>
  <c r="AC3142" i="2"/>
  <c r="AC3150" i="2"/>
  <c r="AC3118" i="2"/>
  <c r="AC3134" i="2"/>
  <c r="AC3170" i="2"/>
  <c r="AC3178" i="2"/>
  <c r="AC3182" i="2"/>
  <c r="AC3162" i="2"/>
  <c r="AC3278" i="2"/>
  <c r="AC3169" i="2"/>
  <c r="AC3186" i="2"/>
  <c r="AC3122" i="2"/>
  <c r="AC3130" i="2"/>
  <c r="AC3138" i="2"/>
  <c r="AC3198" i="2"/>
  <c r="AC3154" i="2"/>
  <c r="AC3166" i="2"/>
  <c r="AC3126" i="2"/>
  <c r="AC3146" i="2"/>
  <c r="AC3158" i="2"/>
  <c r="AC3167" i="2" l="1"/>
  <c r="AC3187" i="2"/>
  <c r="AC3219" i="2"/>
  <c r="AC3151" i="2"/>
  <c r="AC3207" i="2"/>
  <c r="AC3299" i="2"/>
  <c r="AC3203" i="2"/>
  <c r="AC3191" i="2"/>
  <c r="AC3139" i="2"/>
  <c r="AC3163" i="2"/>
  <c r="AC3179" i="2"/>
  <c r="AC3147" i="2"/>
  <c r="AC3175" i="2"/>
  <c r="AC3159" i="2"/>
  <c r="AC3143" i="2"/>
  <c r="AC3190" i="2"/>
  <c r="AC3183" i="2"/>
  <c r="AC3199" i="2"/>
  <c r="AC3155" i="2"/>
  <c r="AC3171" i="2"/>
  <c r="AC3195" i="2"/>
  <c r="AC3220" i="2" l="1"/>
  <c r="AC3211" i="2"/>
  <c r="AC3212" i="2"/>
  <c r="AC3320" i="2"/>
  <c r="AC3208" i="2"/>
  <c r="AC3192" i="2"/>
  <c r="AC3180" i="2"/>
  <c r="AC3168" i="2"/>
  <c r="AC3184" i="2"/>
  <c r="AC3172" i="2"/>
  <c r="AC3216" i="2"/>
  <c r="AC3204" i="2"/>
  <c r="AC3200" i="2"/>
  <c r="AC3224" i="2"/>
  <c r="AC3228" i="2"/>
  <c r="AC3240" i="2"/>
  <c r="AC3176" i="2"/>
  <c r="AC3164" i="2"/>
  <c r="AC3196" i="2"/>
  <c r="AC3160" i="2"/>
  <c r="AC3188" i="2"/>
  <c r="AC3181" i="2" l="1"/>
  <c r="AC3185" i="2"/>
  <c r="AC3261" i="2"/>
  <c r="AC3245" i="2"/>
  <c r="AC3225" i="2"/>
  <c r="AC3193" i="2"/>
  <c r="AC3189" i="2"/>
  <c r="AC3213" i="2"/>
  <c r="AC3341" i="2"/>
  <c r="AC3232" i="2"/>
  <c r="AC3209" i="2"/>
  <c r="AC3217" i="2"/>
  <c r="AC3197" i="2"/>
  <c r="AC3249" i="2"/>
  <c r="AC3221" i="2"/>
  <c r="AC3237" i="2"/>
  <c r="AC3205" i="2"/>
  <c r="AC3201" i="2"/>
  <c r="AC3229" i="2"/>
  <c r="AC3233" i="2"/>
  <c r="AC3241" i="2"/>
  <c r="AC3253" i="2" l="1"/>
  <c r="AC3214" i="2"/>
  <c r="AC3206" i="2"/>
  <c r="AC3254" i="2"/>
  <c r="AC3222" i="2"/>
  <c r="AC3258" i="2"/>
  <c r="AC3270" i="2"/>
  <c r="AC3238" i="2"/>
  <c r="AC3234" i="2"/>
  <c r="AC3266" i="2"/>
  <c r="AC3262" i="2"/>
  <c r="AC3250" i="2"/>
  <c r="AC3226" i="2"/>
  <c r="AC3242" i="2"/>
  <c r="AC3218" i="2"/>
  <c r="AC3230" i="2"/>
  <c r="AC3362" i="2"/>
  <c r="AC3210" i="2"/>
  <c r="AC3246" i="2"/>
  <c r="AC3282" i="2"/>
  <c r="AC3202" i="2"/>
  <c r="AC3303" i="2" l="1"/>
  <c r="AC3231" i="2"/>
  <c r="AC3251" i="2"/>
  <c r="AC3263" i="2"/>
  <c r="AC3271" i="2"/>
  <c r="AC3287" i="2"/>
  <c r="AC3259" i="2"/>
  <c r="AC3279" i="2"/>
  <c r="AC3275" i="2"/>
  <c r="AC3235" i="2"/>
  <c r="AC3223" i="2"/>
  <c r="AC3267" i="2"/>
  <c r="AC3383" i="2"/>
  <c r="AC3239" i="2"/>
  <c r="AC3247" i="2"/>
  <c r="AC3283" i="2"/>
  <c r="AC3255" i="2"/>
  <c r="AC3291" i="2"/>
  <c r="AC3243" i="2"/>
  <c r="AC3227" i="2"/>
  <c r="AC3274" i="2"/>
  <c r="AC3248" i="2" l="1"/>
  <c r="AC3312" i="2"/>
  <c r="AC3304" i="2"/>
  <c r="AC3260" i="2"/>
  <c r="AC3288" i="2"/>
  <c r="AC3256" i="2"/>
  <c r="AC3300" i="2"/>
  <c r="AC3308" i="2"/>
  <c r="AC3284" i="2"/>
  <c r="AC3252" i="2"/>
  <c r="AC3295" i="2"/>
  <c r="AC3264" i="2"/>
  <c r="AC3276" i="2"/>
  <c r="AC3268" i="2"/>
  <c r="AC3404" i="2"/>
  <c r="AC3244" i="2"/>
  <c r="AC3296" i="2"/>
  <c r="AC3280" i="2"/>
  <c r="AC3292" i="2"/>
  <c r="AC3272" i="2"/>
  <c r="AC3324" i="2"/>
  <c r="AC3293" i="2" l="1"/>
  <c r="AC3301" i="2"/>
  <c r="AC3265" i="2"/>
  <c r="AC3289" i="2"/>
  <c r="AC3285" i="2"/>
  <c r="AC3273" i="2"/>
  <c r="AC3329" i="2"/>
  <c r="AC3277" i="2"/>
  <c r="AC3281" i="2"/>
  <c r="AC3333" i="2"/>
  <c r="AC3345" i="2"/>
  <c r="AC3313" i="2"/>
  <c r="AC3317" i="2"/>
  <c r="AC3425" i="2"/>
  <c r="AC3297" i="2"/>
  <c r="AC3316" i="2"/>
  <c r="AC3305" i="2"/>
  <c r="AC3321" i="2"/>
  <c r="AC3309" i="2"/>
  <c r="AC3325" i="2"/>
  <c r="AC3269" i="2"/>
  <c r="AC3337" i="2" l="1"/>
  <c r="AC3346" i="2"/>
  <c r="AC3342" i="2"/>
  <c r="AC3446" i="2"/>
  <c r="AC3334" i="2"/>
  <c r="AC3354" i="2"/>
  <c r="AC3298" i="2"/>
  <c r="AC3294" i="2"/>
  <c r="AC3310" i="2"/>
  <c r="AC3322" i="2"/>
  <c r="AC3290" i="2"/>
  <c r="AC3330" i="2"/>
  <c r="AC3326" i="2"/>
  <c r="AC3318" i="2"/>
  <c r="AC3338" i="2"/>
  <c r="AC3366" i="2"/>
  <c r="AC3302" i="2"/>
  <c r="AC3350" i="2"/>
  <c r="AC3306" i="2"/>
  <c r="AC3286" i="2"/>
  <c r="AC3314" i="2"/>
  <c r="AC3307" i="2" l="1"/>
  <c r="AC3371" i="2"/>
  <c r="AC3387" i="2"/>
  <c r="AC3339" i="2"/>
  <c r="AC3351" i="2"/>
  <c r="AC3343" i="2"/>
  <c r="AC3315" i="2"/>
  <c r="AC3375" i="2"/>
  <c r="AC3467" i="2"/>
  <c r="AC3367" i="2"/>
  <c r="AC3335" i="2"/>
  <c r="AC3327" i="2"/>
  <c r="AC3323" i="2"/>
  <c r="AC3359" i="2"/>
  <c r="AC3347" i="2"/>
  <c r="AC3311" i="2"/>
  <c r="AC3331" i="2"/>
  <c r="AC3319" i="2"/>
  <c r="AC3355" i="2"/>
  <c r="AC3363" i="2"/>
  <c r="AC3358" i="2"/>
  <c r="AC3384" i="2" l="1"/>
  <c r="AC3340" i="2"/>
  <c r="AC3332" i="2"/>
  <c r="AC3380" i="2"/>
  <c r="AC3348" i="2"/>
  <c r="AC3388" i="2"/>
  <c r="AC3396" i="2"/>
  <c r="AC3364" i="2"/>
  <c r="AC3360" i="2"/>
  <c r="AC3392" i="2"/>
  <c r="AC3379" i="2"/>
  <c r="AC3376" i="2"/>
  <c r="AC3352" i="2"/>
  <c r="AC3368" i="2"/>
  <c r="AC3344" i="2"/>
  <c r="AC3356" i="2"/>
  <c r="AC3488" i="2"/>
  <c r="AC3336" i="2"/>
  <c r="AC3372" i="2"/>
  <c r="AC3328" i="2"/>
  <c r="AC3408" i="2"/>
  <c r="AC3349" i="2" l="1"/>
  <c r="AC3357" i="2"/>
  <c r="AC3377" i="2"/>
  <c r="AC3389" i="2"/>
  <c r="AC3397" i="2"/>
  <c r="AC3413" i="2"/>
  <c r="AC3385" i="2"/>
  <c r="AC3409" i="2"/>
  <c r="AC3401" i="2"/>
  <c r="AC3361" i="2"/>
  <c r="AC3429" i="2"/>
  <c r="AC3393" i="2"/>
  <c r="AC3509" i="2"/>
  <c r="AC3365" i="2"/>
  <c r="AC3373" i="2"/>
  <c r="AC3381" i="2"/>
  <c r="AC3417" i="2"/>
  <c r="AC3369" i="2"/>
  <c r="AC3353" i="2"/>
  <c r="AC3405" i="2"/>
  <c r="AC3400" i="2"/>
  <c r="AC3421" i="2" l="1"/>
  <c r="AC3426" i="2"/>
  <c r="AC3390" i="2"/>
  <c r="AC3402" i="2"/>
  <c r="AC3386" i="2"/>
  <c r="AC3414" i="2"/>
  <c r="AC3382" i="2"/>
  <c r="AC3430" i="2"/>
  <c r="AC3434" i="2"/>
  <c r="AC3410" i="2"/>
  <c r="AC3378" i="2"/>
  <c r="AC3450" i="2"/>
  <c r="AC3374" i="2"/>
  <c r="AC3438" i="2"/>
  <c r="AC3394" i="2"/>
  <c r="AC3530" i="2"/>
  <c r="AC3422" i="2"/>
  <c r="AC3406" i="2"/>
  <c r="AC3418" i="2"/>
  <c r="AC3398" i="2"/>
  <c r="AC3370" i="2"/>
  <c r="AC3419" i="2" l="1"/>
  <c r="AC3427" i="2"/>
  <c r="AC3459" i="2"/>
  <c r="AC3431" i="2"/>
  <c r="AC3451" i="2"/>
  <c r="AC3435" i="2"/>
  <c r="AC3423" i="2"/>
  <c r="AC3447" i="2"/>
  <c r="AC3551" i="2"/>
  <c r="AC3471" i="2"/>
  <c r="AC3391" i="2"/>
  <c r="AC3439" i="2"/>
  <c r="AC3443" i="2"/>
  <c r="AC3415" i="2"/>
  <c r="AC3395" i="2"/>
  <c r="AC3399" i="2"/>
  <c r="AC3455" i="2"/>
  <c r="AC3403" i="2"/>
  <c r="AC3407" i="2"/>
  <c r="AC3411" i="2"/>
  <c r="AC3442" i="2"/>
  <c r="AC3420" i="2" l="1"/>
  <c r="AC3436" i="2"/>
  <c r="AC3460" i="2"/>
  <c r="AC3492" i="2"/>
  <c r="AC3456" i="2"/>
  <c r="AC3448" i="2"/>
  <c r="AC3468" i="2"/>
  <c r="AC3452" i="2"/>
  <c r="AC3432" i="2"/>
  <c r="AC3424" i="2"/>
  <c r="AC3463" i="2"/>
  <c r="AC3428" i="2"/>
  <c r="AC3476" i="2"/>
  <c r="AC3464" i="2"/>
  <c r="AC3412" i="2"/>
  <c r="AC3572" i="2"/>
  <c r="AC3444" i="2"/>
  <c r="AC3472" i="2"/>
  <c r="AC3416" i="2"/>
  <c r="AC3480" i="2"/>
  <c r="AC3440" i="2"/>
  <c r="AC3484" i="2" l="1"/>
  <c r="AC3501" i="2"/>
  <c r="AC3493" i="2"/>
  <c r="AC3593" i="2"/>
  <c r="AC3485" i="2"/>
  <c r="AC3449" i="2"/>
  <c r="AC3445" i="2"/>
  <c r="AC3473" i="2"/>
  <c r="AC3469" i="2"/>
  <c r="AC3513" i="2"/>
  <c r="AC3457" i="2"/>
  <c r="AC3461" i="2"/>
  <c r="AC3437" i="2"/>
  <c r="AC3465" i="2"/>
  <c r="AC3433" i="2"/>
  <c r="AC3497" i="2"/>
  <c r="AC3453" i="2"/>
  <c r="AC3489" i="2"/>
  <c r="AC3477" i="2"/>
  <c r="AC3481" i="2"/>
  <c r="AC3441" i="2"/>
  <c r="AC3510" i="2" l="1"/>
  <c r="AC3494" i="2"/>
  <c r="AC3502" i="2"/>
  <c r="AC3518" i="2"/>
  <c r="AC3486" i="2"/>
  <c r="AC3482" i="2"/>
  <c r="AC3534" i="2"/>
  <c r="AC3470" i="2"/>
  <c r="AC3614" i="2"/>
  <c r="AC3522" i="2"/>
  <c r="AC3462" i="2"/>
  <c r="AC3458" i="2"/>
  <c r="AC3478" i="2"/>
  <c r="AC3505" i="2"/>
  <c r="AC3474" i="2"/>
  <c r="AC3498" i="2"/>
  <c r="AC3454" i="2"/>
  <c r="AC3490" i="2"/>
  <c r="AC3466" i="2"/>
  <c r="AC3506" i="2"/>
  <c r="AC3514" i="2"/>
  <c r="AC3526" i="2" l="1"/>
  <c r="AC3515" i="2"/>
  <c r="AC3511" i="2"/>
  <c r="AC3527" i="2"/>
  <c r="AC3519" i="2"/>
  <c r="AC3479" i="2"/>
  <c r="AC3543" i="2"/>
  <c r="AC3491" i="2"/>
  <c r="AC3503" i="2"/>
  <c r="AC3539" i="2"/>
  <c r="AC3495" i="2"/>
  <c r="AC3499" i="2"/>
  <c r="AC3483" i="2"/>
  <c r="AC3531" i="2"/>
  <c r="AC3535" i="2"/>
  <c r="AC3487" i="2"/>
  <c r="AC3475" i="2"/>
  <c r="AC3635" i="2"/>
  <c r="AC3555" i="2"/>
  <c r="AC3507" i="2"/>
  <c r="AC3523" i="2"/>
  <c r="AC3508" i="2" l="1"/>
  <c r="AC3552" i="2"/>
  <c r="AC3520" i="2"/>
  <c r="AC3560" i="2"/>
  <c r="AC3536" i="2"/>
  <c r="AC3512" i="2"/>
  <c r="AC3500" i="2"/>
  <c r="AC3548" i="2"/>
  <c r="AC3528" i="2"/>
  <c r="AC3656" i="2"/>
  <c r="AC3544" i="2"/>
  <c r="AC3576" i="2"/>
  <c r="AC3496" i="2"/>
  <c r="AC3556" i="2"/>
  <c r="AC3504" i="2"/>
  <c r="AC3524" i="2"/>
  <c r="AC3540" i="2"/>
  <c r="AC3547" i="2"/>
  <c r="AC3516" i="2"/>
  <c r="AC3564" i="2"/>
  <c r="AC3532" i="2"/>
  <c r="AC3585" i="2" l="1"/>
  <c r="AC3568" i="2"/>
  <c r="AC3545" i="2"/>
  <c r="AC3577" i="2"/>
  <c r="AC3597" i="2"/>
  <c r="AC3677" i="2"/>
  <c r="AC3569" i="2"/>
  <c r="AC3533" i="2"/>
  <c r="AC3581" i="2"/>
  <c r="AC3573" i="2"/>
  <c r="AC3553" i="2"/>
  <c r="AC3537" i="2"/>
  <c r="AC3561" i="2"/>
  <c r="AC3525" i="2"/>
  <c r="AC3517" i="2"/>
  <c r="AC3565" i="2"/>
  <c r="AC3549" i="2"/>
  <c r="AC3521" i="2"/>
  <c r="AC3557" i="2"/>
  <c r="AC3541" i="2"/>
  <c r="AC3529" i="2"/>
  <c r="AC3550" i="2" l="1"/>
  <c r="AC3578" i="2"/>
  <c r="AC3542" i="2"/>
  <c r="AC3586" i="2"/>
  <c r="AC3558" i="2"/>
  <c r="AC3554" i="2"/>
  <c r="AC3698" i="2"/>
  <c r="AC3589" i="2"/>
  <c r="AC3562" i="2"/>
  <c r="AC3594" i="2"/>
  <c r="AC3598" i="2"/>
  <c r="AC3546" i="2"/>
  <c r="AC3570" i="2"/>
  <c r="AC3574" i="2"/>
  <c r="AC3590" i="2"/>
  <c r="AC3618" i="2"/>
  <c r="AC3606" i="2"/>
  <c r="AC3538" i="2"/>
  <c r="AC3582" i="2"/>
  <c r="AC3602" i="2"/>
  <c r="AC3566" i="2"/>
  <c r="AC3587" i="2" l="1"/>
  <c r="AC3603" i="2"/>
  <c r="AC3623" i="2"/>
  <c r="AC3559" i="2"/>
  <c r="AC3639" i="2"/>
  <c r="AC3595" i="2"/>
  <c r="AC3575" i="2"/>
  <c r="AC3607" i="2"/>
  <c r="AC3567" i="2"/>
  <c r="AC3615" i="2"/>
  <c r="AC3610" i="2"/>
  <c r="AC3599" i="2"/>
  <c r="AC3627" i="2"/>
  <c r="AC3611" i="2"/>
  <c r="AC3591" i="2"/>
  <c r="AC3719" i="2"/>
  <c r="AC3579" i="2"/>
  <c r="AC3563" i="2"/>
  <c r="AC3619" i="2"/>
  <c r="AC3583" i="2"/>
  <c r="AC3571" i="2"/>
  <c r="AC3600" i="2" l="1"/>
  <c r="AC3604" i="2"/>
  <c r="AC3584" i="2"/>
  <c r="AC3632" i="2"/>
  <c r="AC3620" i="2"/>
  <c r="AC3636" i="2"/>
  <c r="AC3616" i="2"/>
  <c r="AC3624" i="2"/>
  <c r="AC3628" i="2"/>
  <c r="AC3580" i="2"/>
  <c r="AC3740" i="2"/>
  <c r="AC3648" i="2"/>
  <c r="AC3588" i="2"/>
  <c r="AC3592" i="2"/>
  <c r="AC3640" i="2"/>
  <c r="AC3612" i="2"/>
  <c r="AC3631" i="2"/>
  <c r="AC3596" i="2"/>
  <c r="AC3660" i="2"/>
  <c r="AC3644" i="2"/>
  <c r="AC3608" i="2"/>
  <c r="AC3665" i="2" l="1"/>
  <c r="AC3617" i="2"/>
  <c r="AC3633" i="2"/>
  <c r="AC3613" i="2"/>
  <c r="AC3669" i="2"/>
  <c r="AC3601" i="2"/>
  <c r="AC3645" i="2"/>
  <c r="AC3657" i="2"/>
  <c r="AC3653" i="2"/>
  <c r="AC3625" i="2"/>
  <c r="AC3629" i="2"/>
  <c r="AC3681" i="2"/>
  <c r="AC3652" i="2"/>
  <c r="AC3661" i="2"/>
  <c r="AC3609" i="2"/>
  <c r="AC3761" i="2"/>
  <c r="AC3649" i="2"/>
  <c r="AC3637" i="2"/>
  <c r="AC3641" i="2"/>
  <c r="AC3605" i="2"/>
  <c r="AC3621" i="2"/>
  <c r="AC3626" i="2" l="1"/>
  <c r="AC3782" i="2"/>
  <c r="AC3702" i="2"/>
  <c r="AC3622" i="2"/>
  <c r="AC3634" i="2"/>
  <c r="AC3638" i="2"/>
  <c r="AC3682" i="2"/>
  <c r="AC3646" i="2"/>
  <c r="AC3678" i="2"/>
  <c r="AC3658" i="2"/>
  <c r="AC3670" i="2"/>
  <c r="AC3673" i="2"/>
  <c r="AC3666" i="2"/>
  <c r="AC3654" i="2"/>
  <c r="AC3686" i="2"/>
  <c r="AC3642" i="2"/>
  <c r="AC3662" i="2"/>
  <c r="AC3630" i="2"/>
  <c r="AC3650" i="2"/>
  <c r="AC3674" i="2"/>
  <c r="AC3690" i="2"/>
  <c r="AC3671" i="2" l="1"/>
  <c r="AC3675" i="2"/>
  <c r="AC3659" i="2"/>
  <c r="AC3643" i="2"/>
  <c r="AC3803" i="2"/>
  <c r="AC3695" i="2"/>
  <c r="AC3651" i="2"/>
  <c r="AC3663" i="2"/>
  <c r="AC3694" i="2"/>
  <c r="AC3679" i="2"/>
  <c r="AC3667" i="2"/>
  <c r="AC3707" i="2"/>
  <c r="AC3691" i="2"/>
  <c r="AC3703" i="2"/>
  <c r="AC3723" i="2"/>
  <c r="AC3711" i="2"/>
  <c r="AC3683" i="2"/>
  <c r="AC3687" i="2"/>
  <c r="AC3699" i="2"/>
  <c r="AC3655" i="2"/>
  <c r="AC3647" i="2"/>
  <c r="AC3724" i="2" l="1"/>
  <c r="AC3668" i="2"/>
  <c r="AC3720" i="2"/>
  <c r="AC3704" i="2"/>
  <c r="AC3732" i="2"/>
  <c r="AC3728" i="2"/>
  <c r="AC3700" i="2"/>
  <c r="AC3684" i="2"/>
  <c r="AC3716" i="2"/>
  <c r="AC3664" i="2"/>
  <c r="AC3696" i="2"/>
  <c r="AC3744" i="2"/>
  <c r="AC3712" i="2"/>
  <c r="AC3824" i="2"/>
  <c r="AC3680" i="2"/>
  <c r="AC3676" i="2"/>
  <c r="AC3708" i="2"/>
  <c r="AC3688" i="2"/>
  <c r="AC3715" i="2"/>
  <c r="AC3672" i="2"/>
  <c r="AC3692" i="2"/>
  <c r="AC3693" i="2" l="1"/>
  <c r="AC3709" i="2"/>
  <c r="AC3697" i="2"/>
  <c r="AC3845" i="2"/>
  <c r="AC3765" i="2"/>
  <c r="AC3685" i="2"/>
  <c r="AC3705" i="2"/>
  <c r="AC3749" i="2"/>
  <c r="AC3725" i="2"/>
  <c r="AC3689" i="2"/>
  <c r="AC3713" i="2"/>
  <c r="AC3736" i="2"/>
  <c r="AC3729" i="2"/>
  <c r="AC3701" i="2"/>
  <c r="AC3733" i="2"/>
  <c r="AC3717" i="2"/>
  <c r="AC3737" i="2"/>
  <c r="AC3721" i="2"/>
  <c r="AC3753" i="2"/>
  <c r="AC3741" i="2"/>
  <c r="AC3745" i="2"/>
  <c r="AC3730" i="2" l="1"/>
  <c r="AC3757" i="2"/>
  <c r="AC3762" i="2"/>
  <c r="AC3742" i="2"/>
  <c r="AC3738" i="2"/>
  <c r="AC3722" i="2"/>
  <c r="AC3710" i="2"/>
  <c r="AC3770" i="2"/>
  <c r="AC3706" i="2"/>
  <c r="AC3866" i="2"/>
  <c r="AC3766" i="2"/>
  <c r="AC3750" i="2"/>
  <c r="AC3734" i="2"/>
  <c r="AC3718" i="2"/>
  <c r="AC3774" i="2"/>
  <c r="AC3758" i="2"/>
  <c r="AC3754" i="2"/>
  <c r="AC3746" i="2"/>
  <c r="AC3726" i="2"/>
  <c r="AC3786" i="2"/>
  <c r="AC3714" i="2"/>
  <c r="AC3739" i="2" l="1"/>
  <c r="AC3771" i="2"/>
  <c r="AC3778" i="2"/>
  <c r="AC3807" i="2"/>
  <c r="AC3779" i="2"/>
  <c r="AC3887" i="2"/>
  <c r="AC3791" i="2"/>
  <c r="AC3743" i="2"/>
  <c r="AC3763" i="2"/>
  <c r="AC3767" i="2"/>
  <c r="AC3735" i="2"/>
  <c r="AC3755" i="2"/>
  <c r="AC3787" i="2"/>
  <c r="AC3747" i="2"/>
  <c r="AC3775" i="2"/>
  <c r="AC3795" i="2"/>
  <c r="AC3727" i="2"/>
  <c r="AC3731" i="2"/>
  <c r="AC3759" i="2"/>
  <c r="AC3783" i="2"/>
  <c r="AC3751" i="2"/>
  <c r="AC3772" i="2" l="1"/>
  <c r="AC3768" i="2"/>
  <c r="AC3776" i="2"/>
  <c r="AC3764" i="2"/>
  <c r="AC3908" i="2"/>
  <c r="AC3828" i="2"/>
  <c r="AC3792" i="2"/>
  <c r="AC3816" i="2"/>
  <c r="AC3804" i="2"/>
  <c r="AC3752" i="2"/>
  <c r="AC3788" i="2"/>
  <c r="AC3780" i="2"/>
  <c r="AC3748" i="2"/>
  <c r="AC3796" i="2"/>
  <c r="AC3808" i="2"/>
  <c r="AC3812" i="2"/>
  <c r="AC3800" i="2"/>
  <c r="AC3799" i="2"/>
  <c r="AC3760" i="2"/>
  <c r="AC3756" i="2"/>
  <c r="AC3784" i="2"/>
  <c r="AC3777" i="2" l="1"/>
  <c r="AC3833" i="2"/>
  <c r="AC3817" i="2"/>
  <c r="AC3801" i="2"/>
  <c r="AC3773" i="2"/>
  <c r="AC3837" i="2"/>
  <c r="AC3849" i="2"/>
  <c r="AC3785" i="2"/>
  <c r="AC3789" i="2"/>
  <c r="AC3820" i="2"/>
  <c r="AC3805" i="2"/>
  <c r="AC3781" i="2"/>
  <c r="AC3821" i="2"/>
  <c r="AC3829" i="2"/>
  <c r="AC3769" i="2"/>
  <c r="AC3809" i="2"/>
  <c r="AC3825" i="2"/>
  <c r="AC3813" i="2"/>
  <c r="AC3929" i="2"/>
  <c r="AC3797" i="2"/>
  <c r="AC3793" i="2"/>
  <c r="AC3841" i="2" l="1"/>
  <c r="AC3858" i="2"/>
  <c r="AC3830" i="2"/>
  <c r="AC3818" i="2"/>
  <c r="AC3834" i="2"/>
  <c r="AC3850" i="2"/>
  <c r="AC3802" i="2"/>
  <c r="AC3806" i="2"/>
  <c r="AC3822" i="2"/>
  <c r="AC3854" i="2"/>
  <c r="AC3846" i="2"/>
  <c r="AC3842" i="2"/>
  <c r="AC3798" i="2"/>
  <c r="AC3814" i="2"/>
  <c r="AC3950" i="2"/>
  <c r="AC3790" i="2"/>
  <c r="AC3826" i="2"/>
  <c r="AC3810" i="2"/>
  <c r="AC3870" i="2"/>
  <c r="AC3794" i="2"/>
  <c r="AC3838" i="2"/>
  <c r="AC3835" i="2" l="1"/>
  <c r="AC3879" i="2"/>
  <c r="AC3831" i="2"/>
  <c r="AC3811" i="2"/>
  <c r="AC3863" i="2"/>
  <c r="AC3875" i="2"/>
  <c r="AC3827" i="2"/>
  <c r="AC3871" i="2"/>
  <c r="AC3839" i="2"/>
  <c r="AC3815" i="2"/>
  <c r="AC3819" i="2"/>
  <c r="AC3867" i="2"/>
  <c r="AC3851" i="2"/>
  <c r="AC3862" i="2"/>
  <c r="AC3859" i="2"/>
  <c r="AC3891" i="2"/>
  <c r="AC3847" i="2"/>
  <c r="AC3971" i="2"/>
  <c r="AC3843" i="2"/>
  <c r="AC3823" i="2"/>
  <c r="AC3855" i="2"/>
  <c r="AC3864" i="2" l="1"/>
  <c r="AC3844" i="2"/>
  <c r="AC3883" i="2"/>
  <c r="AC3888" i="2"/>
  <c r="AC3892" i="2"/>
  <c r="AC3992" i="2"/>
  <c r="AC3836" i="2"/>
  <c r="AC3896" i="2"/>
  <c r="AC3832" i="2"/>
  <c r="AC3900" i="2"/>
  <c r="AC3912" i="2"/>
  <c r="AC3876" i="2"/>
  <c r="AC3880" i="2"/>
  <c r="AC3872" i="2"/>
  <c r="AC3840" i="2"/>
  <c r="AC3860" i="2"/>
  <c r="AC3848" i="2"/>
  <c r="AC3856" i="2"/>
  <c r="AC3868" i="2"/>
  <c r="AC3884" i="2"/>
  <c r="AC3852" i="2"/>
  <c r="AC3905" i="2" l="1"/>
  <c r="AC3877" i="2"/>
  <c r="AC3881" i="2"/>
  <c r="AC3893" i="2"/>
  <c r="AC3897" i="2"/>
  <c r="AC3921" i="2"/>
  <c r="AC3917" i="2"/>
  <c r="AC4013" i="2"/>
  <c r="AC3909" i="2"/>
  <c r="AC3865" i="2"/>
  <c r="AC3873" i="2"/>
  <c r="AC3889" i="2"/>
  <c r="AC3869" i="2"/>
  <c r="AC3861" i="2"/>
  <c r="AC3901" i="2"/>
  <c r="AC3933" i="2"/>
  <c r="AC3853" i="2"/>
  <c r="AC3857" i="2"/>
  <c r="AC3913" i="2"/>
  <c r="AC3904" i="2"/>
  <c r="AC3885" i="2"/>
  <c r="AC3934" i="2" l="1"/>
  <c r="AC3925" i="2"/>
  <c r="AC3878" i="2"/>
  <c r="AC3954" i="2"/>
  <c r="AC3910" i="2"/>
  <c r="AC4034" i="2"/>
  <c r="AC3942" i="2"/>
  <c r="AC3882" i="2"/>
  <c r="AC3886" i="2"/>
  <c r="AC3914" i="2"/>
  <c r="AC3898" i="2"/>
  <c r="AC3874" i="2"/>
  <c r="AC3890" i="2"/>
  <c r="AC3894" i="2"/>
  <c r="AC3938" i="2"/>
  <c r="AC3926" i="2"/>
  <c r="AC3906" i="2"/>
  <c r="AC3922" i="2"/>
  <c r="AC3930" i="2"/>
  <c r="AC3918" i="2"/>
  <c r="AC3902" i="2"/>
  <c r="AC3943" i="2" l="1"/>
  <c r="AC3947" i="2"/>
  <c r="AC3915" i="2"/>
  <c r="AC3895" i="2"/>
  <c r="AC3975" i="2"/>
  <c r="AC3939" i="2"/>
  <c r="AC3935" i="2"/>
  <c r="AC3903" i="2"/>
  <c r="AC4055" i="2"/>
  <c r="AC3946" i="2"/>
  <c r="AC3911" i="2"/>
  <c r="AC3963" i="2"/>
  <c r="AC3931" i="2"/>
  <c r="AC3899" i="2"/>
  <c r="AC3923" i="2"/>
  <c r="AC3951" i="2"/>
  <c r="AC3927" i="2"/>
  <c r="AC3959" i="2"/>
  <c r="AC3919" i="2"/>
  <c r="AC3907" i="2"/>
  <c r="AC3955" i="2"/>
  <c r="AC3940" i="2" l="1"/>
  <c r="AC3944" i="2"/>
  <c r="AC3952" i="2"/>
  <c r="AC3976" i="2"/>
  <c r="AC3972" i="2"/>
  <c r="AC3920" i="2"/>
  <c r="AC3984" i="2"/>
  <c r="AC3924" i="2"/>
  <c r="AC3960" i="2"/>
  <c r="AC3968" i="2"/>
  <c r="AC3928" i="2"/>
  <c r="AC3980" i="2"/>
  <c r="AC3967" i="2"/>
  <c r="AC3916" i="2"/>
  <c r="AC3956" i="2"/>
  <c r="AC3936" i="2"/>
  <c r="AC3948" i="2"/>
  <c r="AC3932" i="2"/>
  <c r="AC4076" i="2"/>
  <c r="AC3996" i="2"/>
  <c r="AC3964" i="2"/>
  <c r="AC4017" i="2" l="1"/>
  <c r="AC3953" i="2"/>
  <c r="AC3957" i="2"/>
  <c r="AC3937" i="2"/>
  <c r="AC4001" i="2"/>
  <c r="AC3989" i="2"/>
  <c r="AC3945" i="2"/>
  <c r="AC3941" i="2"/>
  <c r="AC3997" i="2"/>
  <c r="AC3965" i="2"/>
  <c r="AC3985" i="2"/>
  <c r="AC4097" i="2"/>
  <c r="AC3969" i="2"/>
  <c r="AC3977" i="2"/>
  <c r="AC3988" i="2"/>
  <c r="AC3949" i="2"/>
  <c r="AC3981" i="2"/>
  <c r="AC4005" i="2"/>
  <c r="AC3993" i="2"/>
  <c r="AC3973" i="2"/>
  <c r="AC3961" i="2"/>
  <c r="AC3994" i="2" l="1"/>
  <c r="AC4026" i="2"/>
  <c r="AC3970" i="2"/>
  <c r="AC4118" i="2"/>
  <c r="AC3986" i="2"/>
  <c r="AC3958" i="2"/>
  <c r="AC3974" i="2"/>
  <c r="AC3998" i="2"/>
  <c r="AC3962" i="2"/>
  <c r="AC4010" i="2"/>
  <c r="AC4009" i="2"/>
  <c r="AC3990" i="2"/>
  <c r="AC4006" i="2"/>
  <c r="AC4022" i="2"/>
  <c r="AC4038" i="2"/>
  <c r="AC3982" i="2"/>
  <c r="AC4014" i="2"/>
  <c r="AC4002" i="2"/>
  <c r="AC4018" i="2"/>
  <c r="AC3966" i="2"/>
  <c r="AC3978" i="2"/>
  <c r="AC4043" i="2" l="1"/>
  <c r="AC4011" i="2"/>
  <c r="AC3979" i="2"/>
  <c r="AC4139" i="2"/>
  <c r="AC4023" i="2"/>
  <c r="AC4003" i="2"/>
  <c r="AC4031" i="2"/>
  <c r="AC4019" i="2"/>
  <c r="AC4047" i="2"/>
  <c r="AC4059" i="2"/>
  <c r="AC4027" i="2"/>
  <c r="AC3995" i="2"/>
  <c r="AC4007" i="2"/>
  <c r="AC3991" i="2"/>
  <c r="AC3987" i="2"/>
  <c r="AC3999" i="2"/>
  <c r="AC4039" i="2"/>
  <c r="AC4035" i="2"/>
  <c r="AC4030" i="2"/>
  <c r="AC3983" i="2"/>
  <c r="AC4015" i="2"/>
  <c r="AC4012" i="2" l="1"/>
  <c r="AC4060" i="2"/>
  <c r="AC4008" i="2"/>
  <c r="AC4028" i="2"/>
  <c r="AC4004" i="2"/>
  <c r="AC4020" i="2"/>
  <c r="AC4016" i="2"/>
  <c r="AC4080" i="2"/>
  <c r="AC4040" i="2"/>
  <c r="AC4024" i="2"/>
  <c r="AC4160" i="2"/>
  <c r="AC4032" i="2"/>
  <c r="AC4036" i="2"/>
  <c r="AC4048" i="2"/>
  <c r="AC4052" i="2"/>
  <c r="AC4000" i="2"/>
  <c r="AC4064" i="2"/>
  <c r="AC4056" i="2"/>
  <c r="AC4051" i="2"/>
  <c r="AC4068" i="2"/>
  <c r="AC4044" i="2"/>
  <c r="AC4089" i="2" l="1"/>
  <c r="AC4077" i="2"/>
  <c r="AC4021" i="2"/>
  <c r="AC4069" i="2"/>
  <c r="AC4053" i="2"/>
  <c r="AC4045" i="2"/>
  <c r="AC4101" i="2"/>
  <c r="AC4041" i="2"/>
  <c r="AC4049" i="2"/>
  <c r="AC4081" i="2"/>
  <c r="AC4065" i="2"/>
  <c r="AC4085" i="2"/>
  <c r="AC4073" i="2"/>
  <c r="AC4057" i="2"/>
  <c r="AC4181" i="2"/>
  <c r="AC4061" i="2"/>
  <c r="AC4037" i="2"/>
  <c r="AC4025" i="2"/>
  <c r="AC4029" i="2"/>
  <c r="AC4033" i="2"/>
  <c r="AC4072" i="2"/>
  <c r="AC4082" i="2" l="1"/>
  <c r="AC4078" i="2"/>
  <c r="AC4102" i="2"/>
  <c r="AC4098" i="2"/>
  <c r="AC4054" i="2"/>
  <c r="AC4106" i="2"/>
  <c r="AC4062" i="2"/>
  <c r="AC4066" i="2"/>
  <c r="AC4090" i="2"/>
  <c r="AC4050" i="2"/>
  <c r="AC4058" i="2"/>
  <c r="AC4046" i="2"/>
  <c r="AC4093" i="2"/>
  <c r="AC4202" i="2"/>
  <c r="AC4094" i="2"/>
  <c r="AC4086" i="2"/>
  <c r="AC4070" i="2"/>
  <c r="AC4122" i="2"/>
  <c r="AC4074" i="2"/>
  <c r="AC4110" i="2"/>
  <c r="AC4042" i="2"/>
  <c r="AC4063" i="2" l="1"/>
  <c r="AC4091" i="2"/>
  <c r="AC4131" i="2"/>
  <c r="AC4143" i="2"/>
  <c r="AC4223" i="2"/>
  <c r="AC4067" i="2"/>
  <c r="AC4071" i="2"/>
  <c r="AC4087" i="2"/>
  <c r="AC4127" i="2"/>
  <c r="AC4119" i="2"/>
  <c r="AC4099" i="2"/>
  <c r="AC4115" i="2"/>
  <c r="AC4079" i="2"/>
  <c r="AC4111" i="2"/>
  <c r="AC4083" i="2"/>
  <c r="AC4075" i="2"/>
  <c r="AC4123" i="2"/>
  <c r="AC4107" i="2"/>
  <c r="AC4095" i="2"/>
  <c r="AC4114" i="2"/>
  <c r="AC4103" i="2"/>
  <c r="AC4104" i="2" l="1"/>
  <c r="AC4135" i="2"/>
  <c r="AC4128" i="2"/>
  <c r="AC4132" i="2"/>
  <c r="AC4136" i="2"/>
  <c r="AC4140" i="2"/>
  <c r="AC4108" i="2"/>
  <c r="AC4088" i="2"/>
  <c r="AC4164" i="2"/>
  <c r="AC4112" i="2"/>
  <c r="AC4096" i="2"/>
  <c r="AC4124" i="2"/>
  <c r="AC4116" i="2"/>
  <c r="AC4144" i="2"/>
  <c r="AC4100" i="2"/>
  <c r="AC4120" i="2"/>
  <c r="AC4148" i="2"/>
  <c r="AC4092" i="2"/>
  <c r="AC4244" i="2"/>
  <c r="AC4152" i="2"/>
  <c r="AC4084" i="2"/>
  <c r="AC4173" i="2" l="1"/>
  <c r="AC4113" i="2"/>
  <c r="AC4141" i="2"/>
  <c r="AC4165" i="2"/>
  <c r="AC4145" i="2"/>
  <c r="AC4133" i="2"/>
  <c r="AC4109" i="2"/>
  <c r="AC4161" i="2"/>
  <c r="AC4153" i="2"/>
  <c r="AC4156" i="2"/>
  <c r="AC4105" i="2"/>
  <c r="AC4265" i="2"/>
  <c r="AC4169" i="2"/>
  <c r="AC4121" i="2"/>
  <c r="AC4137" i="2"/>
  <c r="AC4117" i="2"/>
  <c r="AC4185" i="2"/>
  <c r="AC4129" i="2"/>
  <c r="AC4157" i="2"/>
  <c r="AC4149" i="2"/>
  <c r="AC4125" i="2"/>
  <c r="AC4170" i="2" l="1"/>
  <c r="AC4150" i="2"/>
  <c r="AC4138" i="2"/>
  <c r="AC4142" i="2"/>
  <c r="AC4286" i="2"/>
  <c r="AC4177" i="2"/>
  <c r="AC4154" i="2"/>
  <c r="AC4182" i="2"/>
  <c r="AC4186" i="2"/>
  <c r="AC4134" i="2"/>
  <c r="AC4146" i="2"/>
  <c r="AC4178" i="2"/>
  <c r="AC4206" i="2"/>
  <c r="AC4158" i="2"/>
  <c r="AC4174" i="2"/>
  <c r="AC4130" i="2"/>
  <c r="AC4162" i="2"/>
  <c r="AC4190" i="2"/>
  <c r="AC4126" i="2"/>
  <c r="AC4166" i="2"/>
  <c r="AC4194" i="2"/>
  <c r="AC4187" i="2" l="1"/>
  <c r="AC4211" i="2"/>
  <c r="AC4151" i="2"/>
  <c r="AC4179" i="2"/>
  <c r="AC4199" i="2"/>
  <c r="AC4155" i="2"/>
  <c r="AC4203" i="2"/>
  <c r="AC4198" i="2"/>
  <c r="AC4163" i="2"/>
  <c r="AC4171" i="2"/>
  <c r="AC4215" i="2"/>
  <c r="AC4147" i="2"/>
  <c r="AC4183" i="2"/>
  <c r="AC4195" i="2"/>
  <c r="AC4227" i="2"/>
  <c r="AC4167" i="2"/>
  <c r="AC4207" i="2"/>
  <c r="AC4175" i="2"/>
  <c r="AC4307" i="2"/>
  <c r="AC4159" i="2"/>
  <c r="AC4191" i="2"/>
  <c r="AC4180" i="2" l="1"/>
  <c r="AC4196" i="2"/>
  <c r="AC4188" i="2"/>
  <c r="AC4216" i="2"/>
  <c r="AC4168" i="2"/>
  <c r="AC4192" i="2"/>
  <c r="AC4219" i="2"/>
  <c r="AC4176" i="2"/>
  <c r="AC4200" i="2"/>
  <c r="AC4232" i="2"/>
  <c r="AC4212" i="2"/>
  <c r="AC4328" i="2"/>
  <c r="AC4228" i="2"/>
  <c r="AC4248" i="2"/>
  <c r="AC4204" i="2"/>
  <c r="AC4236" i="2"/>
  <c r="AC4184" i="2"/>
  <c r="AC4224" i="2"/>
  <c r="AC4220" i="2"/>
  <c r="AC4172" i="2"/>
  <c r="AC4208" i="2"/>
  <c r="AC4193" i="2" l="1"/>
  <c r="AC4245" i="2"/>
  <c r="AC4257" i="2"/>
  <c r="AC4269" i="2"/>
  <c r="AC4349" i="2"/>
  <c r="AC4253" i="2"/>
  <c r="AC4197" i="2"/>
  <c r="AC4213" i="2"/>
  <c r="AC4237" i="2"/>
  <c r="AC4217" i="2"/>
  <c r="AC4229" i="2"/>
  <c r="AC4241" i="2"/>
  <c r="AC4205" i="2"/>
  <c r="AC4225" i="2"/>
  <c r="AC4249" i="2"/>
  <c r="AC4233" i="2"/>
  <c r="AC4221" i="2"/>
  <c r="AC4240" i="2"/>
  <c r="AC4189" i="2"/>
  <c r="AC4209" i="2"/>
  <c r="AC4201" i="2"/>
  <c r="AC4254" i="2" l="1"/>
  <c r="AC4266" i="2"/>
  <c r="AC4261" i="2"/>
  <c r="AC4230" i="2"/>
  <c r="AC4246" i="2"/>
  <c r="AC4262" i="2"/>
  <c r="AC4238" i="2"/>
  <c r="AC4234" i="2"/>
  <c r="AC4274" i="2"/>
  <c r="AC4290" i="2"/>
  <c r="AC4218" i="2"/>
  <c r="AC4270" i="2"/>
  <c r="AC4222" i="2"/>
  <c r="AC4210" i="2"/>
  <c r="AC4242" i="2"/>
  <c r="AC4226" i="2"/>
  <c r="AC4250" i="2"/>
  <c r="AC4258" i="2"/>
  <c r="AC4370" i="2"/>
  <c r="AC4278" i="2"/>
  <c r="AC4214" i="2"/>
  <c r="AC4299" i="2" l="1"/>
  <c r="AC4279" i="2"/>
  <c r="AC4247" i="2"/>
  <c r="AC4231" i="2"/>
  <c r="AC4291" i="2"/>
  <c r="AC4311" i="2"/>
  <c r="AC4255" i="2"/>
  <c r="AC4283" i="2"/>
  <c r="AC4251" i="2"/>
  <c r="AC4287" i="2"/>
  <c r="AC4235" i="2"/>
  <c r="AC4391" i="2"/>
  <c r="AC4271" i="2"/>
  <c r="AC4263" i="2"/>
  <c r="AC4243" i="2"/>
  <c r="AC4239" i="2"/>
  <c r="AC4295" i="2"/>
  <c r="AC4259" i="2"/>
  <c r="AC4267" i="2"/>
  <c r="AC4282" i="2"/>
  <c r="AC4275" i="2"/>
  <c r="AC4303" i="2" l="1"/>
  <c r="AC4280" i="2"/>
  <c r="AC4260" i="2"/>
  <c r="AC4284" i="2"/>
  <c r="AC4412" i="2"/>
  <c r="AC4308" i="2"/>
  <c r="AC4304" i="2"/>
  <c r="AC4332" i="2"/>
  <c r="AC4252" i="2"/>
  <c r="AC4300" i="2"/>
  <c r="AC4296" i="2"/>
  <c r="AC4288" i="2"/>
  <c r="AC4316" i="2"/>
  <c r="AC4264" i="2"/>
  <c r="AC4292" i="2"/>
  <c r="AC4256" i="2"/>
  <c r="AC4272" i="2"/>
  <c r="AC4276" i="2"/>
  <c r="AC4312" i="2"/>
  <c r="AC4268" i="2"/>
  <c r="AC4320" i="2"/>
  <c r="AC4289" i="2" l="1"/>
  <c r="AC4297" i="2"/>
  <c r="AC4277" i="2"/>
  <c r="AC4285" i="2"/>
  <c r="AC4309" i="2"/>
  <c r="AC4321" i="2"/>
  <c r="AC4353" i="2"/>
  <c r="AC4329" i="2"/>
  <c r="AC4305" i="2"/>
  <c r="AC4301" i="2"/>
  <c r="AC4341" i="2"/>
  <c r="AC4333" i="2"/>
  <c r="AC4293" i="2"/>
  <c r="AC4313" i="2"/>
  <c r="AC4337" i="2"/>
  <c r="AC4317" i="2"/>
  <c r="AC4273" i="2"/>
  <c r="AC4325" i="2"/>
  <c r="AC4433" i="2"/>
  <c r="AC4281" i="2"/>
  <c r="AC4324" i="2"/>
  <c r="AC4345" i="2" l="1"/>
  <c r="AC4350" i="2"/>
  <c r="AC4334" i="2"/>
  <c r="AC4302" i="2"/>
  <c r="AC4346" i="2"/>
  <c r="AC4338" i="2"/>
  <c r="AC4354" i="2"/>
  <c r="AC4322" i="2"/>
  <c r="AC4342" i="2"/>
  <c r="AC4306" i="2"/>
  <c r="AC4318" i="2"/>
  <c r="AC4298" i="2"/>
  <c r="AC4362" i="2"/>
  <c r="AC4454" i="2"/>
  <c r="AC4294" i="2"/>
  <c r="AC4358" i="2"/>
  <c r="AC4314" i="2"/>
  <c r="AC4326" i="2"/>
  <c r="AC4374" i="2"/>
  <c r="AC4330" i="2"/>
  <c r="AC4310" i="2"/>
  <c r="AC4351" i="2" l="1"/>
  <c r="AC4347" i="2"/>
  <c r="AC4379" i="2"/>
  <c r="AC4475" i="2"/>
  <c r="AC4319" i="2"/>
  <c r="AC4327" i="2"/>
  <c r="AC4343" i="2"/>
  <c r="AC4359" i="2"/>
  <c r="AC4323" i="2"/>
  <c r="AC4371" i="2"/>
  <c r="AC4331" i="2"/>
  <c r="AC4395" i="2"/>
  <c r="AC4335" i="2"/>
  <c r="AC4315" i="2"/>
  <c r="AC4383" i="2"/>
  <c r="AC4339" i="2"/>
  <c r="AC4363" i="2"/>
  <c r="AC4375" i="2"/>
  <c r="AC4367" i="2"/>
  <c r="AC4355" i="2"/>
  <c r="AC4366" i="2"/>
  <c r="AC4376" i="2" l="1"/>
  <c r="AC4396" i="2"/>
  <c r="AC4360" i="2"/>
  <c r="AC4336" i="2"/>
  <c r="AC4416" i="2"/>
  <c r="AC4392" i="2"/>
  <c r="AC4380" i="2"/>
  <c r="AC4348" i="2"/>
  <c r="AC4496" i="2"/>
  <c r="AC4368" i="2"/>
  <c r="AC4387" i="2"/>
  <c r="AC4388" i="2"/>
  <c r="AC4384" i="2"/>
  <c r="AC4404" i="2"/>
  <c r="AC4356" i="2"/>
  <c r="AC4352" i="2"/>
  <c r="AC4344" i="2"/>
  <c r="AC4364" i="2"/>
  <c r="AC4340" i="2"/>
  <c r="AC4400" i="2"/>
  <c r="AC4372" i="2"/>
  <c r="AC4421" i="2" l="1"/>
  <c r="AC4385" i="2"/>
  <c r="AC4373" i="2"/>
  <c r="AC4425" i="2"/>
  <c r="AC4409" i="2"/>
  <c r="AC4389" i="2"/>
  <c r="AC4369" i="2"/>
  <c r="AC4413" i="2"/>
  <c r="AC4357" i="2"/>
  <c r="AC4417" i="2"/>
  <c r="AC4393" i="2"/>
  <c r="AC4361" i="2"/>
  <c r="AC4365" i="2"/>
  <c r="AC4377" i="2"/>
  <c r="AC4405" i="2"/>
  <c r="AC4408" i="2"/>
  <c r="AC4517" i="2"/>
  <c r="AC4401" i="2"/>
  <c r="AC4437" i="2"/>
  <c r="AC4381" i="2"/>
  <c r="AC4397" i="2"/>
  <c r="AC4429" i="2" l="1"/>
  <c r="AC4382" i="2"/>
  <c r="AC4446" i="2"/>
  <c r="AC4398" i="2"/>
  <c r="AC4402" i="2"/>
  <c r="AC4422" i="2"/>
  <c r="AC4438" i="2"/>
  <c r="AC4434" i="2"/>
  <c r="AC4410" i="2"/>
  <c r="AC4406" i="2"/>
  <c r="AC4418" i="2"/>
  <c r="AC4458" i="2"/>
  <c r="AC4538" i="2"/>
  <c r="AC4414" i="2"/>
  <c r="AC4430" i="2"/>
  <c r="AC4394" i="2"/>
  <c r="AC4442" i="2"/>
  <c r="AC4426" i="2"/>
  <c r="AC4386" i="2"/>
  <c r="AC4378" i="2"/>
  <c r="AC4390" i="2"/>
  <c r="AC4399" i="2" l="1"/>
  <c r="AC4447" i="2"/>
  <c r="AC4415" i="2"/>
  <c r="AC4435" i="2"/>
  <c r="AC4479" i="2"/>
  <c r="AC4427" i="2"/>
  <c r="AC4455" i="2"/>
  <c r="AC4443" i="2"/>
  <c r="AC4419" i="2"/>
  <c r="AC4403" i="2"/>
  <c r="AC4411" i="2"/>
  <c r="AC4407" i="2"/>
  <c r="AC4463" i="2"/>
  <c r="AC4451" i="2"/>
  <c r="AC4559" i="2"/>
  <c r="AC4439" i="2"/>
  <c r="AC4431" i="2"/>
  <c r="AC4459" i="2"/>
  <c r="AC4423" i="2"/>
  <c r="AC4467" i="2"/>
  <c r="AC4450" i="2"/>
  <c r="AC4488" i="2" l="1"/>
  <c r="AC4480" i="2"/>
  <c r="AC4460" i="2"/>
  <c r="AC4472" i="2"/>
  <c r="AC4428" i="2"/>
  <c r="AC4424" i="2"/>
  <c r="AC4464" i="2"/>
  <c r="AC4448" i="2"/>
  <c r="AC4456" i="2"/>
  <c r="AC4468" i="2"/>
  <c r="AC4471" i="2"/>
  <c r="AC4444" i="2"/>
  <c r="AC4452" i="2"/>
  <c r="AC4484" i="2"/>
  <c r="AC4432" i="2"/>
  <c r="AC4440" i="2"/>
  <c r="AC4476" i="2"/>
  <c r="AC4500" i="2"/>
  <c r="AC4436" i="2"/>
  <c r="AC4420" i="2"/>
  <c r="AC4441" i="2" l="1"/>
  <c r="AC4521" i="2"/>
  <c r="AC4461" i="2"/>
  <c r="AC4505" i="2"/>
  <c r="AC4465" i="2"/>
  <c r="AC4489" i="2"/>
  <c r="AC4469" i="2"/>
  <c r="AC4445" i="2"/>
  <c r="AC4493" i="2"/>
  <c r="AC4501" i="2"/>
  <c r="AC4457" i="2"/>
  <c r="AC4497" i="2"/>
  <c r="AC4453" i="2"/>
  <c r="AC4473" i="2"/>
  <c r="AC4492" i="2"/>
  <c r="AC4477" i="2"/>
  <c r="AC4485" i="2"/>
  <c r="AC4449" i="2"/>
  <c r="AC4481" i="2"/>
  <c r="AC4509" i="2"/>
  <c r="AC4494" i="2" l="1"/>
  <c r="AC4510" i="2"/>
  <c r="AC4526" i="2"/>
  <c r="AC4542" i="2"/>
  <c r="AC4530" i="2"/>
  <c r="AC4470" i="2"/>
  <c r="AC4498" i="2"/>
  <c r="AC4518" i="2"/>
  <c r="AC4522" i="2"/>
  <c r="AC4466" i="2"/>
  <c r="AC4506" i="2"/>
  <c r="AC4513" i="2"/>
  <c r="AC4478" i="2"/>
  <c r="AC4490" i="2"/>
  <c r="AC4462" i="2"/>
  <c r="AC4502" i="2"/>
  <c r="AC4474" i="2"/>
  <c r="AC4514" i="2"/>
  <c r="AC4486" i="2"/>
  <c r="AC4482" i="2"/>
  <c r="AC4503" i="2" l="1"/>
  <c r="AC4535" i="2"/>
  <c r="AC4523" i="2"/>
  <c r="AC4511" i="2"/>
  <c r="AC4487" i="2"/>
  <c r="AC4539" i="2"/>
  <c r="AC4491" i="2"/>
  <c r="AC4563" i="2"/>
  <c r="AC4531" i="2"/>
  <c r="AC4534" i="2"/>
  <c r="AC4507" i="2"/>
  <c r="AC4495" i="2"/>
  <c r="AC4483" i="2"/>
  <c r="AC4499" i="2"/>
  <c r="AC4527" i="2"/>
  <c r="AC4543" i="2"/>
  <c r="AC4519" i="2"/>
  <c r="AC4551" i="2"/>
  <c r="AC4547" i="2"/>
  <c r="AC4515" i="2"/>
  <c r="AC4536" i="2" l="1"/>
  <c r="AC4564" i="2"/>
  <c r="AC4520" i="2"/>
  <c r="AC4516" i="2"/>
  <c r="AC4555" i="2"/>
  <c r="AC4560" i="2"/>
  <c r="AC4532" i="2"/>
  <c r="AC4556" i="2"/>
  <c r="AC4568" i="2"/>
  <c r="AC4540" i="2"/>
  <c r="AC4548" i="2"/>
  <c r="AC4504" i="2"/>
  <c r="AC4528" i="2"/>
  <c r="AC4552" i="2"/>
  <c r="AC4512" i="2"/>
  <c r="AC4508" i="2"/>
  <c r="AC4544" i="2"/>
  <c r="AC4524" i="2"/>
  <c r="AC4545" i="2" l="1"/>
  <c r="AC4529" i="2"/>
  <c r="AC4561" i="2"/>
  <c r="AC4537" i="2"/>
  <c r="AC4525" i="2"/>
  <c r="AC4565" i="2"/>
  <c r="AC4533" i="2"/>
  <c r="AC4569" i="2"/>
  <c r="AC4557" i="2"/>
  <c r="AC4549" i="2"/>
  <c r="AC4553" i="2"/>
  <c r="AC4541" i="2"/>
  <c r="AC4570" i="2" l="1"/>
  <c r="AC4558" i="2"/>
  <c r="AC4562" i="2"/>
  <c r="AC4550" i="2"/>
  <c r="AC4554" i="2"/>
  <c r="AC4546" i="2"/>
  <c r="AC4566" i="2"/>
  <c r="AC4567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<sst xmlns="http://schemas.openxmlformats.org/spreadsheetml/2006/main" count="3468" uniqueCount="487">
  <si>
    <t>External Scaffolding</t>
  </si>
  <si>
    <t>Loading Bay</t>
  </si>
  <si>
    <t>Scaffolding Platform</t>
  </si>
  <si>
    <t>Garage 1</t>
  </si>
  <si>
    <t>Garage 14-15</t>
  </si>
  <si>
    <t>Garage 16</t>
  </si>
  <si>
    <t>Garage 19</t>
  </si>
  <si>
    <t>Garage 22</t>
  </si>
  <si>
    <t>Garage 23</t>
  </si>
  <si>
    <t>Garage 24</t>
  </si>
  <si>
    <t>Garage 25</t>
  </si>
  <si>
    <t>Garage 26-27</t>
  </si>
  <si>
    <t>Garage 28</t>
  </si>
  <si>
    <t>Garage 29</t>
  </si>
  <si>
    <t>Garage 45</t>
  </si>
  <si>
    <t>Garage 46</t>
  </si>
  <si>
    <t>Garage 47</t>
  </si>
  <si>
    <t>Garage 48</t>
  </si>
  <si>
    <t>Garage 49</t>
  </si>
  <si>
    <t>Garage 50</t>
  </si>
  <si>
    <t>Garage 51</t>
  </si>
  <si>
    <t>Garage 52</t>
  </si>
  <si>
    <t>Garage 55-56</t>
  </si>
  <si>
    <t>Garage 57</t>
  </si>
  <si>
    <t>Garage 58</t>
  </si>
  <si>
    <t>Garage 59</t>
  </si>
  <si>
    <t>Garage 60</t>
  </si>
  <si>
    <t>Garage 63</t>
  </si>
  <si>
    <t>Garage 64</t>
  </si>
  <si>
    <t>Garage 65-72</t>
  </si>
  <si>
    <t>Garage 66</t>
  </si>
  <si>
    <t>Garage 67</t>
  </si>
  <si>
    <t>Garage 68</t>
  </si>
  <si>
    <t>Garage 69</t>
  </si>
  <si>
    <t>Garage 70</t>
  </si>
  <si>
    <t>Garage 71</t>
  </si>
  <si>
    <t>Garage 73</t>
  </si>
  <si>
    <t>Garage 74</t>
  </si>
  <si>
    <t>Garage 75</t>
  </si>
  <si>
    <t>Garage 76</t>
  </si>
  <si>
    <t>Garage 77</t>
  </si>
  <si>
    <t>Garage 78-79</t>
  </si>
  <si>
    <t>Garage 83</t>
  </si>
  <si>
    <t>Garage 84</t>
  </si>
  <si>
    <t>Garage 85</t>
  </si>
  <si>
    <t>Garage 88-89</t>
  </si>
  <si>
    <t>Garage 90</t>
  </si>
  <si>
    <t>Garage 109</t>
  </si>
  <si>
    <t>Garage 120</t>
  </si>
  <si>
    <t>Garage 121</t>
  </si>
  <si>
    <t>Garage 122</t>
  </si>
  <si>
    <t>Garage 123</t>
  </si>
  <si>
    <t>Garage 124</t>
  </si>
  <si>
    <t>Garage 125</t>
  </si>
  <si>
    <t>Garage 132</t>
  </si>
  <si>
    <t>Garage 135</t>
  </si>
  <si>
    <t>Garage 136-137</t>
  </si>
  <si>
    <t>Garage 138</t>
  </si>
  <si>
    <t>Garage 141</t>
  </si>
  <si>
    <t>Garage 142-143</t>
  </si>
  <si>
    <t>Garage 144</t>
  </si>
  <si>
    <t>Garage 145-146</t>
  </si>
  <si>
    <t>Garage 147</t>
  </si>
  <si>
    <t>Garage 150</t>
  </si>
  <si>
    <t>Garage 151</t>
  </si>
  <si>
    <t>Garage 152</t>
  </si>
  <si>
    <t>Garage 153</t>
  </si>
  <si>
    <t>Garage 154</t>
  </si>
  <si>
    <t>Garage 157</t>
  </si>
  <si>
    <t>Garage 158-159</t>
  </si>
  <si>
    <t>Garage 164-165</t>
  </si>
  <si>
    <t>Garage 168-169-172</t>
  </si>
  <si>
    <t>Garage 170-171</t>
  </si>
  <si>
    <t>Garage 173</t>
  </si>
  <si>
    <t>Plot</t>
  </si>
  <si>
    <t>Storeys</t>
  </si>
  <si>
    <t>Lifts</t>
  </si>
  <si>
    <t>Lift 1</t>
  </si>
  <si>
    <t>Lift 2</t>
  </si>
  <si>
    <t>Lift 3</t>
  </si>
  <si>
    <t>Lift 4</t>
  </si>
  <si>
    <t>Lift 5</t>
  </si>
  <si>
    <t>Lift 6</t>
  </si>
  <si>
    <t>Loading bay Lift 1</t>
  </si>
  <si>
    <t>Loading bay Lift 2</t>
  </si>
  <si>
    <t>Loading bay Lift 3</t>
  </si>
  <si>
    <t>Loading bay LIft 4</t>
  </si>
  <si>
    <t>Loading bay LIft 5</t>
  </si>
  <si>
    <t>Loading bay Lift 6</t>
  </si>
  <si>
    <t>Ground Floor</t>
  </si>
  <si>
    <t>First Floor</t>
  </si>
  <si>
    <t>Second Floor</t>
  </si>
  <si>
    <t>Scaffold Name</t>
  </si>
  <si>
    <t>Scaffold Description</t>
  </si>
  <si>
    <t>TF</t>
  </si>
  <si>
    <t>Area</t>
  </si>
  <si>
    <t>Doc. Ref</t>
  </si>
  <si>
    <t>Customer</t>
  </si>
  <si>
    <t>Scaffold Type</t>
  </si>
  <si>
    <t>Loading Limit</t>
  </si>
  <si>
    <t>Method of Cladding</t>
  </si>
  <si>
    <t>Method of Tying</t>
  </si>
  <si>
    <t>Quote Number</t>
  </si>
  <si>
    <t>Item Number</t>
  </si>
  <si>
    <t>Item Name</t>
  </si>
  <si>
    <t>Scaffolding System</t>
  </si>
  <si>
    <t>Maximum Tonnage</t>
  </si>
  <si>
    <t>Hire Period</t>
  </si>
  <si>
    <t>Design Type</t>
  </si>
  <si>
    <t>Next Inspection Date</t>
  </si>
  <si>
    <t>On Hire Date</t>
  </si>
  <si>
    <t>Affected by Adverse Weather</t>
  </si>
  <si>
    <t>David Wilson Homes</t>
  </si>
  <si>
    <t>No Hire</t>
  </si>
  <si>
    <t>No</t>
  </si>
  <si>
    <t>Handover Certificate</t>
  </si>
  <si>
    <t>Site:</t>
  </si>
  <si>
    <t>Customer:</t>
  </si>
  <si>
    <t>Site Address:</t>
  </si>
  <si>
    <t>Document Ref:</t>
  </si>
  <si>
    <t>Scaffold Specification</t>
  </si>
  <si>
    <t>Description of the Section Handed Over</t>
  </si>
  <si>
    <t>Scaffold Type:</t>
  </si>
  <si>
    <t>Scaffold Name:</t>
  </si>
  <si>
    <t xml:space="preserve">Design No: </t>
  </si>
  <si>
    <t xml:space="preserve">Loading: </t>
  </si>
  <si>
    <t>Cladding:</t>
  </si>
  <si>
    <t xml:space="preserve">Ties: </t>
  </si>
  <si>
    <t>One platform at 2.0 kN/m² and one 50% loaded platform at 1.0 kN/m²</t>
  </si>
  <si>
    <t>Please note all inside boards will have a loading limit of 0.75 kN/m². All anchors, where installed and where required,</t>
  </si>
  <si>
    <t>have been tested in accordance with manufacturer recommendations and / or NASC TG 4:11</t>
  </si>
  <si>
    <t>Handover</t>
  </si>
  <si>
    <t>The scaffold as described above has now been completed and complies with the requirement of The Work at Height Regulations</t>
  </si>
  <si>
    <t>2005 and the current issue of the NASC TG20 and must only be used and loaded in accordance with the above specification.</t>
  </si>
  <si>
    <t>Acceptance Of The Scaffold</t>
  </si>
  <si>
    <t>specifications and regulations detailed above.</t>
  </si>
  <si>
    <t xml:space="preserve">Name: </t>
  </si>
  <si>
    <t xml:space="preserve">Date: </t>
  </si>
  <si>
    <t>Time:</t>
  </si>
  <si>
    <t>Important Health and Safety Information</t>
  </si>
  <si>
    <t>Project Name</t>
  </si>
  <si>
    <t>Bishop Lydeard</t>
  </si>
  <si>
    <t>Project:</t>
  </si>
  <si>
    <t>The detailed requirements of the Work at Height Regulations 2005 with regard to guardrails - working platforms - toeboards - bracing and ties have been complied with.</t>
  </si>
  <si>
    <t>YES</t>
  </si>
  <si>
    <t>NO</t>
  </si>
  <si>
    <t>Supporting Scaffold</t>
  </si>
  <si>
    <t>Hop-ups</t>
  </si>
  <si>
    <t>Second Floor Prop.</t>
  </si>
  <si>
    <t>Ground Floor Prop.</t>
  </si>
  <si>
    <t>First Floor Prop.</t>
  </si>
  <si>
    <t>Taunton, TA4 3BN</t>
  </si>
  <si>
    <r>
      <rPr>
        <b/>
        <sz val="16"/>
        <color rgb="FF000000"/>
        <rFont val="Calibri"/>
        <family val="2"/>
        <scheme val="minor"/>
      </rPr>
      <t>Description:</t>
    </r>
    <r>
      <rPr>
        <sz val="16"/>
        <color theme="1"/>
        <rFont val="Calibri"/>
        <family val="2"/>
        <scheme val="minor"/>
      </rPr>
      <t xml:space="preserve">    </t>
    </r>
  </si>
  <si>
    <r>
      <rPr>
        <b/>
        <sz val="16"/>
        <color rgb="FF000000"/>
        <rFont val="Calibri"/>
        <family val="2"/>
        <scheme val="minor"/>
      </rPr>
      <t>Area:</t>
    </r>
    <r>
      <rPr>
        <sz val="16"/>
        <color theme="1"/>
        <rFont val="Calibri"/>
        <family val="2"/>
        <scheme val="minor"/>
      </rPr>
      <t xml:space="preserve">         </t>
    </r>
  </si>
  <si>
    <r>
      <t>As authorised signatory's for ‘</t>
    </r>
    <r>
      <rPr>
        <b/>
        <i/>
        <sz val="16"/>
        <color rgb="FF000000"/>
        <rFont val="Calibri"/>
        <family val="2"/>
        <scheme val="minor"/>
      </rPr>
      <t>Davis and Barrett</t>
    </r>
    <r>
      <rPr>
        <sz val="16"/>
        <color rgb="FF000000"/>
        <rFont val="Calibri"/>
        <family val="2"/>
        <scheme val="minor"/>
      </rPr>
      <t>’, I confirm that the scaffold has been completed in accordance with the</t>
    </r>
  </si>
  <si>
    <r>
      <rPr>
        <b/>
        <sz val="16"/>
        <color rgb="FF000000"/>
        <rFont val="Calibri"/>
        <family val="2"/>
        <scheme val="minor"/>
      </rPr>
      <t>Signature:</t>
    </r>
  </si>
  <si>
    <r>
      <rPr>
        <sz val="16"/>
        <color rgb="FF000000"/>
        <rFont val="Calibri"/>
        <family val="2"/>
        <scheme val="minor"/>
      </rPr>
      <t>• Before being taken into use for the first time</t>
    </r>
  </si>
  <si>
    <r>
      <rPr>
        <sz val="16"/>
        <color rgb="FF000000"/>
        <rFont val="Calibri"/>
        <family val="2"/>
        <scheme val="minor"/>
      </rPr>
      <t>• After any event likely to have affected its strength or stability</t>
    </r>
  </si>
  <si>
    <r>
      <rPr>
        <sz val="16"/>
        <color rgb="FF000000"/>
        <rFont val="Calibri"/>
        <family val="2"/>
        <scheme val="minor"/>
      </rPr>
      <t>• After substantial addition, dismantling or other alterations</t>
    </r>
  </si>
  <si>
    <r>
      <rPr>
        <sz val="16"/>
        <color rgb="FF000000"/>
        <rFont val="Calibri"/>
        <family val="2"/>
        <scheme val="minor"/>
      </rPr>
      <t>• At regular intervals not exceeding 7 days</t>
    </r>
  </si>
  <si>
    <t>Variation Ref:</t>
  </si>
  <si>
    <t>Description of works</t>
  </si>
  <si>
    <t>Adaptions</t>
  </si>
  <si>
    <t>Adaption Tower</t>
  </si>
  <si>
    <t>Det</t>
  </si>
  <si>
    <t>End</t>
  </si>
  <si>
    <t>2-3</t>
  </si>
  <si>
    <t>4-5</t>
  </si>
  <si>
    <t>6-8</t>
  </si>
  <si>
    <t>9-11</t>
  </si>
  <si>
    <t>12-13</t>
  </si>
  <si>
    <t>17-18</t>
  </si>
  <si>
    <t>20-21</t>
  </si>
  <si>
    <t>30-31</t>
  </si>
  <si>
    <t>32-33</t>
  </si>
  <si>
    <t>34-35</t>
  </si>
  <si>
    <t>36-37</t>
  </si>
  <si>
    <t>38-44</t>
  </si>
  <si>
    <t>53-54</t>
  </si>
  <si>
    <t>61-62</t>
  </si>
  <si>
    <t>79-80</t>
  </si>
  <si>
    <t>81-82</t>
  </si>
  <si>
    <t>86-87</t>
  </si>
  <si>
    <t>91-92</t>
  </si>
  <si>
    <t>93-95</t>
  </si>
  <si>
    <t>96-97</t>
  </si>
  <si>
    <t>98-99</t>
  </si>
  <si>
    <t>100-101</t>
  </si>
  <si>
    <t>102-104</t>
  </si>
  <si>
    <t>105-106</t>
  </si>
  <si>
    <t>107-108</t>
  </si>
  <si>
    <t>110-111</t>
  </si>
  <si>
    <t>112-115</t>
  </si>
  <si>
    <t>116-117</t>
  </si>
  <si>
    <t>118-119</t>
  </si>
  <si>
    <t>126-127</t>
  </si>
  <si>
    <t>128-129</t>
  </si>
  <si>
    <t>130-131</t>
  </si>
  <si>
    <t>133-134</t>
  </si>
  <si>
    <t>139-140</t>
  </si>
  <si>
    <t>148-149</t>
  </si>
  <si>
    <t>155-156</t>
  </si>
  <si>
    <t>160-161</t>
  </si>
  <si>
    <t>162-163</t>
  </si>
  <si>
    <t>166-167</t>
  </si>
  <si>
    <t>168-171</t>
  </si>
  <si>
    <t>1334-AR-005</t>
  </si>
  <si>
    <t>Bays</t>
  </si>
  <si>
    <t>4 Bays with 2 boarded levels</t>
  </si>
  <si>
    <t>-</t>
  </si>
  <si>
    <t>D/2012/297</t>
  </si>
  <si>
    <t>1334-2473</t>
  </si>
  <si>
    <t>1334-2474</t>
  </si>
  <si>
    <t>1334-2475</t>
  </si>
  <si>
    <t>1334-2476</t>
  </si>
  <si>
    <t>1334-2477</t>
  </si>
  <si>
    <t>1334-2478</t>
  </si>
  <si>
    <t>1334-2479</t>
  </si>
  <si>
    <t>1334-2480</t>
  </si>
  <si>
    <t>1334-2481</t>
  </si>
  <si>
    <t>1334-2482</t>
  </si>
  <si>
    <t>1334-2483</t>
  </si>
  <si>
    <t>1334-2484</t>
  </si>
  <si>
    <t>1334-2485</t>
  </si>
  <si>
    <t>1334-2486</t>
  </si>
  <si>
    <t>1334-2487</t>
  </si>
  <si>
    <t>1334-2488</t>
  </si>
  <si>
    <t>1334-2489</t>
  </si>
  <si>
    <t>1334-2490</t>
  </si>
  <si>
    <t>1334-2491</t>
  </si>
  <si>
    <t>1334-2492</t>
  </si>
  <si>
    <t>1334-2493</t>
  </si>
  <si>
    <t>1334-2494</t>
  </si>
  <si>
    <t>1334-2495</t>
  </si>
  <si>
    <t>1334-2496</t>
  </si>
  <si>
    <t>1334-2497</t>
  </si>
  <si>
    <t>1334-2498</t>
  </si>
  <si>
    <t>1334-2499</t>
  </si>
  <si>
    <t>1334-2500</t>
  </si>
  <si>
    <t>1334-2501</t>
  </si>
  <si>
    <t>1334-2502</t>
  </si>
  <si>
    <t>1334-2503</t>
  </si>
  <si>
    <t>1334-2504</t>
  </si>
  <si>
    <t>1334-2505</t>
  </si>
  <si>
    <t>1334-2506</t>
  </si>
  <si>
    <t>1334-2507</t>
  </si>
  <si>
    <t>1334-2508</t>
  </si>
  <si>
    <t>1334-2509</t>
  </si>
  <si>
    <t>1334-2510</t>
  </si>
  <si>
    <t>1334-2511</t>
  </si>
  <si>
    <t>1334-2512</t>
  </si>
  <si>
    <t>1334-2513</t>
  </si>
  <si>
    <t>1334-2514</t>
  </si>
  <si>
    <t>1334-2515</t>
  </si>
  <si>
    <t>1334-2516</t>
  </si>
  <si>
    <t>1334-2517</t>
  </si>
  <si>
    <t>1334-2518</t>
  </si>
  <si>
    <t>1334-2519</t>
  </si>
  <si>
    <t>1334-2520</t>
  </si>
  <si>
    <t>1334-2521</t>
  </si>
  <si>
    <t>1334-2522</t>
  </si>
  <si>
    <t>1334-2523</t>
  </si>
  <si>
    <t>1334-2524</t>
  </si>
  <si>
    <t>1334-2525</t>
  </si>
  <si>
    <t>1334-2526</t>
  </si>
  <si>
    <t>1334-2527</t>
  </si>
  <si>
    <t>1334-2528</t>
  </si>
  <si>
    <t>1334-2529</t>
  </si>
  <si>
    <t>1334-2530</t>
  </si>
  <si>
    <t>1334-2531</t>
  </si>
  <si>
    <t>1334-2532</t>
  </si>
  <si>
    <t>1334-2533</t>
  </si>
  <si>
    <t>1334-2534</t>
  </si>
  <si>
    <t>1334-2535</t>
  </si>
  <si>
    <t>1334-2536</t>
  </si>
  <si>
    <t>1334-2537</t>
  </si>
  <si>
    <t>1334-2538</t>
  </si>
  <si>
    <t>1334-2539</t>
  </si>
  <si>
    <t>1334-2540</t>
  </si>
  <si>
    <t>1334-2541</t>
  </si>
  <si>
    <t>1334-2542</t>
  </si>
  <si>
    <t>1334-2543</t>
  </si>
  <si>
    <t>1334-2544</t>
  </si>
  <si>
    <t>1334-2545</t>
  </si>
  <si>
    <t>1334-2546</t>
  </si>
  <si>
    <t>1334-2547</t>
  </si>
  <si>
    <t>1334-2548</t>
  </si>
  <si>
    <t>1334-2549</t>
  </si>
  <si>
    <t>1334-2550</t>
  </si>
  <si>
    <t>1334-2551</t>
  </si>
  <si>
    <t>1334-2552</t>
  </si>
  <si>
    <t>1334-2553</t>
  </si>
  <si>
    <t>1334-2554</t>
  </si>
  <si>
    <t>1334-2555</t>
  </si>
  <si>
    <t>1334-2556</t>
  </si>
  <si>
    <t>1334-2557</t>
  </si>
  <si>
    <t>1334-2558</t>
  </si>
  <si>
    <t>1334-2559</t>
  </si>
  <si>
    <t>1334-2560</t>
  </si>
  <si>
    <t>1334-2561</t>
  </si>
  <si>
    <t>1334-2562</t>
  </si>
  <si>
    <t>1334-2563</t>
  </si>
  <si>
    <t>1334-2564</t>
  </si>
  <si>
    <t>1334-2565</t>
  </si>
  <si>
    <t>1334-2566</t>
  </si>
  <si>
    <t>1334-2567</t>
  </si>
  <si>
    <t>1334-2568</t>
  </si>
  <si>
    <t>1334-2569</t>
  </si>
  <si>
    <t>1334-2570</t>
  </si>
  <si>
    <t>1334-2571</t>
  </si>
  <si>
    <t>1334-2572</t>
  </si>
  <si>
    <t>1334-2573</t>
  </si>
  <si>
    <t>1334-2574</t>
  </si>
  <si>
    <t>1334-2575</t>
  </si>
  <si>
    <t>1334-2576</t>
  </si>
  <si>
    <t>1334-2577</t>
  </si>
  <si>
    <t>1334-2578</t>
  </si>
  <si>
    <t>1334-2579</t>
  </si>
  <si>
    <t>1334-2580</t>
  </si>
  <si>
    <t>1334-2581</t>
  </si>
  <si>
    <t>1334-2582</t>
  </si>
  <si>
    <t>1334-2583</t>
  </si>
  <si>
    <t>1334-2584</t>
  </si>
  <si>
    <t>1334-2585</t>
  </si>
  <si>
    <t>1334-2586</t>
  </si>
  <si>
    <t>1334-2587</t>
  </si>
  <si>
    <t>1334-2588</t>
  </si>
  <si>
    <t>1334-2589</t>
  </si>
  <si>
    <t>1334-2590</t>
  </si>
  <si>
    <t>1334-2591</t>
  </si>
  <si>
    <t>1334-2592</t>
  </si>
  <si>
    <t>1334-2593</t>
  </si>
  <si>
    <t>1334-2594</t>
  </si>
  <si>
    <t>1334-2595</t>
  </si>
  <si>
    <t>1334-2596</t>
  </si>
  <si>
    <t>1334-2597</t>
  </si>
  <si>
    <t>1334-2598</t>
  </si>
  <si>
    <t>1334-2599</t>
  </si>
  <si>
    <t>1334-2600</t>
  </si>
  <si>
    <t>1334-2601</t>
  </si>
  <si>
    <t>1334-2602</t>
  </si>
  <si>
    <t>1334-2603</t>
  </si>
  <si>
    <t>1334-2604</t>
  </si>
  <si>
    <t>1334-2605</t>
  </si>
  <si>
    <t>1334-2606</t>
  </si>
  <si>
    <t>1334-2607</t>
  </si>
  <si>
    <t>1334-2608</t>
  </si>
  <si>
    <t>1334-2609</t>
  </si>
  <si>
    <t>1334-2610</t>
  </si>
  <si>
    <t>1334-2611</t>
  </si>
  <si>
    <t>1334-2612</t>
  </si>
  <si>
    <t>1334-2613</t>
  </si>
  <si>
    <t>1334-2614</t>
  </si>
  <si>
    <t>1334-2615</t>
  </si>
  <si>
    <t>1334-2616</t>
  </si>
  <si>
    <t>1334-2617</t>
  </si>
  <si>
    <t>1334-2618</t>
  </si>
  <si>
    <t>1334-2619</t>
  </si>
  <si>
    <t>1334-2620</t>
  </si>
  <si>
    <t>1334-2621</t>
  </si>
  <si>
    <t>1334-2622</t>
  </si>
  <si>
    <t>1334-2623</t>
  </si>
  <si>
    <t>1334-2624</t>
  </si>
  <si>
    <t>1334-2625</t>
  </si>
  <si>
    <t>1334-2626</t>
  </si>
  <si>
    <t>1334-2627</t>
  </si>
  <si>
    <t>1334-2628</t>
  </si>
  <si>
    <t>1334-2629</t>
  </si>
  <si>
    <t>1334-2630</t>
  </si>
  <si>
    <t>1334-2631</t>
  </si>
  <si>
    <t>1334-2632</t>
  </si>
  <si>
    <t>1334-2633</t>
  </si>
  <si>
    <t>1334-2634</t>
  </si>
  <si>
    <t>1334-2635</t>
  </si>
  <si>
    <t>1334-2636</t>
  </si>
  <si>
    <t>1334-2637</t>
  </si>
  <si>
    <t>1334-2638</t>
  </si>
  <si>
    <t>1334-2639</t>
  </si>
  <si>
    <t>1334-2640</t>
  </si>
  <si>
    <t>1334-2641</t>
  </si>
  <si>
    <t>1334-2642</t>
  </si>
  <si>
    <t>1334-2643</t>
  </si>
  <si>
    <t>1334-2644</t>
  </si>
  <si>
    <t>1334-2645</t>
  </si>
  <si>
    <t>1334-2646</t>
  </si>
  <si>
    <t>1334-2647</t>
  </si>
  <si>
    <t>1334-2648</t>
  </si>
  <si>
    <t>1334-2649</t>
  </si>
  <si>
    <t>1334-2650</t>
  </si>
  <si>
    <t>1334-2651</t>
  </si>
  <si>
    <t>1334-2652</t>
  </si>
  <si>
    <t>1334-2653</t>
  </si>
  <si>
    <t>1334-2654</t>
  </si>
  <si>
    <t>1334-2655</t>
  </si>
  <si>
    <t>1334-2656</t>
  </si>
  <si>
    <t>1334-2657</t>
  </si>
  <si>
    <t>1334-2658</t>
  </si>
  <si>
    <t>1334-2659</t>
  </si>
  <si>
    <t>1334-2660</t>
  </si>
  <si>
    <t>1334-2661</t>
  </si>
  <si>
    <t>1334-2662</t>
  </si>
  <si>
    <t>1334-2663</t>
  </si>
  <si>
    <t>1334-2664</t>
  </si>
  <si>
    <t>1334-2665</t>
  </si>
  <si>
    <t>1334-2666</t>
  </si>
  <si>
    <t>1334-2667</t>
  </si>
  <si>
    <t>1334-2668</t>
  </si>
  <si>
    <t>1334-2669</t>
  </si>
  <si>
    <t>1334-2670</t>
  </si>
  <si>
    <t>1334-2671</t>
  </si>
  <si>
    <t>1334-2672</t>
  </si>
  <si>
    <t>1334-2673</t>
  </si>
  <si>
    <t>1334-2674</t>
  </si>
  <si>
    <t>1334-2675</t>
  </si>
  <si>
    <t>1334-2676</t>
  </si>
  <si>
    <t>1334-2677</t>
  </si>
  <si>
    <t>1334-2678</t>
  </si>
  <si>
    <t>1334-2679</t>
  </si>
  <si>
    <t>1334-2680</t>
  </si>
  <si>
    <t>1334-2681</t>
  </si>
  <si>
    <t>1334-2682</t>
  </si>
  <si>
    <t>1334-2683</t>
  </si>
  <si>
    <t>1334-2684</t>
  </si>
  <si>
    <t>1334-2685</t>
  </si>
  <si>
    <t>1334-2686</t>
  </si>
  <si>
    <t>1334-2687</t>
  </si>
  <si>
    <t>1334-2688</t>
  </si>
  <si>
    <t>1334-2689</t>
  </si>
  <si>
    <t>1334-2690</t>
  </si>
  <si>
    <t>1334-2691</t>
  </si>
  <si>
    <t>1334-2692</t>
  </si>
  <si>
    <t>1334-2693</t>
  </si>
  <si>
    <t>1334-2694</t>
  </si>
  <si>
    <t>1334-2695</t>
  </si>
  <si>
    <t>1334-2696</t>
  </si>
  <si>
    <t>1334-2697</t>
  </si>
  <si>
    <t>1334-2698</t>
  </si>
  <si>
    <t>1334-2699</t>
  </si>
  <si>
    <t>1334-2700</t>
  </si>
  <si>
    <t>1334-2701</t>
  </si>
  <si>
    <t>1334-2702</t>
  </si>
  <si>
    <t>1334-2703</t>
  </si>
  <si>
    <t>1334-2704</t>
  </si>
  <si>
    <t>1334-2705</t>
  </si>
  <si>
    <t>1334-2706</t>
  </si>
  <si>
    <t>1334-2707</t>
  </si>
  <si>
    <t>1334-2708</t>
  </si>
  <si>
    <t>1334-2709</t>
  </si>
  <si>
    <t>1334-2710</t>
  </si>
  <si>
    <t>SW41</t>
  </si>
  <si>
    <t>SW42</t>
  </si>
  <si>
    <t>SW43</t>
  </si>
  <si>
    <t>SW44</t>
  </si>
  <si>
    <t>SW45</t>
  </si>
  <si>
    <t>SW46</t>
  </si>
  <si>
    <t>SW47</t>
  </si>
  <si>
    <t>SW48</t>
  </si>
  <si>
    <t>SW49</t>
  </si>
  <si>
    <t>SW50</t>
  </si>
  <si>
    <t>SW51</t>
  </si>
  <si>
    <t>SW52</t>
  </si>
  <si>
    <t>SW53</t>
  </si>
  <si>
    <t>SW54</t>
  </si>
  <si>
    <t>SW55</t>
  </si>
  <si>
    <t>SW58</t>
  </si>
  <si>
    <t>Plot 47</t>
  </si>
  <si>
    <t>Plot 66</t>
  </si>
  <si>
    <t>Plot 55</t>
  </si>
  <si>
    <t>Plot 60</t>
  </si>
  <si>
    <t>Plot 38-39</t>
  </si>
  <si>
    <t>Plot 61</t>
  </si>
  <si>
    <t>Plot 27</t>
  </si>
  <si>
    <t>Plot 65</t>
  </si>
  <si>
    <t>Plot 72</t>
  </si>
  <si>
    <t>Plot 24</t>
  </si>
  <si>
    <t>Plot 16</t>
  </si>
  <si>
    <t>Plot 14</t>
  </si>
  <si>
    <t>Plot 3</t>
  </si>
  <si>
    <t>Plot 1</t>
  </si>
  <si>
    <t>Plot 86</t>
  </si>
  <si>
    <t>Plot 141</t>
  </si>
  <si>
    <t>TG20:13 Scaffold</t>
  </si>
  <si>
    <t>2.0 kN/m² (General Purpose)</t>
  </si>
  <si>
    <t>Brick Guards</t>
  </si>
  <si>
    <t>Butted</t>
  </si>
  <si>
    <t>Screen Wall Lift 1</t>
  </si>
  <si>
    <t>1334-SW58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</si>
</sst>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rgb="FF000000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b/>
      <sz val="18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u/>
      <sz val="16"/>
      <color rgb="FF000000"/>
      <name val="Calibri"/>
      <family val="2"/>
      <scheme val="minor"/>
    </font>
    <font>
      <b/>
      <u/>
      <sz val="16"/>
      <color rgb="FF000000"/>
      <name val="Calibri"/>
      <family val="2"/>
      <scheme val="minor"/>
    </font>
    <font>
      <b/>
      <sz val="19"/>
      <color rgb="FF000000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26"/>
      <color rgb="FF00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0000"/>
      <name val="Calibri"/>
      <family val="2"/>
      <scheme val="minor"/>
    </font>
    <font>
      <i/>
      <sz val="16"/>
      <color rgb="FF000000"/>
      <name val="Calibri"/>
      <family val="2"/>
      <scheme val="minor"/>
    </font>
    <font>
      <b/>
      <i/>
      <sz val="16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8">
    <xf numFmtId="0" fontId="0" fillId="0" borderId="0" xfId="0"/>
    <xf numFmtId="0" fontId="0" fillId="0" borderId="0" xfId="0" quotePrefix="1"/>
    <xf numFmtId="0" fontId="2" fillId="2" borderId="0" xfId="0" applyFont="1" applyFill="1"/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0" fillId="0" borderId="4" xfId="0" applyBorder="1"/>
    <xf numFmtId="0" fontId="0" fillId="0" borderId="6" xfId="0" applyBorder="1"/>
    <xf numFmtId="0" fontId="4" fillId="0" borderId="4" xfId="0" applyFont="1" applyBorder="1"/>
    <xf numFmtId="0" fontId="4" fillId="0" borderId="6" xfId="0" applyFont="1" applyBorder="1"/>
    <xf numFmtId="0" fontId="10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9" fillId="0" borderId="0" xfId="0" quotePrefix="1" applyFont="1" applyAlignment="1">
      <alignment vertical="center"/>
    </xf>
    <xf numFmtId="0" fontId="9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13" fillId="0" borderId="0" xfId="0" applyFont="1" applyAlignment="1">
      <alignment horizontal="left" vertical="center"/>
    </xf>
    <xf numFmtId="0" fontId="0" fillId="0" borderId="0" xfId="0" applyBorder="1"/>
    <xf numFmtId="0" fontId="0" fillId="0" borderId="0" xfId="0" applyFill="1"/>
    <xf numFmtId="0" fontId="0" fillId="0" borderId="4" xfId="0" applyFill="1" applyBorder="1"/>
    <xf numFmtId="0" fontId="0" fillId="0" borderId="0" xfId="0" applyFill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8" fillId="0" borderId="5" xfId="0" applyFont="1" applyBorder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8" fillId="0" borderId="0" xfId="0" applyFont="1" applyFill="1" applyAlignment="1">
      <alignment horizontal="left" vertical="center"/>
    </xf>
    <xf numFmtId="0" fontId="18" fillId="0" borderId="0" xfId="0" applyFont="1" applyFill="1" applyAlignment="1">
      <alignment vertical="center"/>
    </xf>
    <xf numFmtId="0" fontId="18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18" fillId="0" borderId="5" xfId="0" applyFont="1" applyBorder="1" applyAlignment="1">
      <alignment vertical="center"/>
    </xf>
    <xf numFmtId="0" fontId="18" fillId="0" borderId="5" xfId="0" applyFont="1" applyBorder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8" fillId="0" borderId="0" xfId="0" applyFont="1" applyFill="1" applyAlignment="1">
      <alignment horizontal="left" vertical="center"/>
    </xf>
    <xf numFmtId="0" fontId="19" fillId="0" borderId="0" xfId="0" applyFont="1" applyFill="1" applyAlignment="1">
      <alignment horizontal="left" vertical="center"/>
    </xf>
    <xf numFmtId="0" fontId="18" fillId="0" borderId="5" xfId="0" applyFont="1" applyFill="1" applyBorder="1" applyAlignment="1">
      <alignment horizontal="left" vertical="center"/>
    </xf>
    <xf numFmtId="0" fontId="8" fillId="0" borderId="9" xfId="0" applyFont="1" applyBorder="1" applyAlignment="1">
      <alignment horizontal="center" vertical="center"/>
    </xf>
    <xf numFmtId="0" fontId="18" fillId="0" borderId="4" xfId="0" applyFont="1" applyBorder="1"/>
    <xf numFmtId="0" fontId="18" fillId="0" borderId="5" xfId="0" applyFont="1" applyBorder="1"/>
    <xf numFmtId="0" fontId="18" fillId="0" borderId="4" xfId="0" applyFont="1" applyBorder="1" applyAlignment="1">
      <alignment vertical="center"/>
    </xf>
    <xf numFmtId="0" fontId="8" fillId="0" borderId="0" xfId="0" quotePrefix="1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8" fillId="0" borderId="0" xfId="0" applyFont="1" applyFill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8" fillId="0" borderId="5" xfId="0" applyFont="1" applyBorder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18" fillId="0" borderId="5" xfId="0" applyFont="1" applyBorder="1" applyAlignment="1">
      <alignment horizontal="left" vertical="center"/>
    </xf>
    <xf numFmtId="0" fontId="18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 wrapText="1"/>
    </xf>
    <xf numFmtId="0" fontId="8" fillId="0" borderId="0" xfId="0" applyFont="1" applyBorder="1" applyAlignment="1">
      <alignment horizontal="center" vertical="center"/>
    </xf>
    <xf numFmtId="49" fontId="0" fillId="0" borderId="0" xfId="0" applyNumberFormat="1"/>
    <xf numFmtId="0" fontId="18" fillId="0" borderId="0" xfId="0" applyFont="1" applyFill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8" fillId="0" borderId="5" xfId="0" applyFont="1" applyBorder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18" fillId="0" borderId="5" xfId="0" applyFont="1" applyBorder="1" applyAlignment="1">
      <alignment horizontal="left" vertical="center"/>
    </xf>
    <xf numFmtId="0" fontId="18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 wrapText="1"/>
    </xf>
    <xf numFmtId="0" fontId="19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8" fillId="0" borderId="5" xfId="0" applyFont="1" applyBorder="1" applyAlignment="1">
      <alignment horizontal="left" vertical="center"/>
    </xf>
    <xf numFmtId="0" fontId="18" fillId="0" borderId="0" xfId="0" applyFont="1" applyFill="1" applyAlignment="1">
      <alignment horizontal="left" vertical="center"/>
    </xf>
    <xf numFmtId="0" fontId="8" fillId="0" borderId="0" xfId="0" applyFont="1" applyAlignment="1">
      <alignment horizontal="left" vertical="center" wrapText="1"/>
    </xf>
    <xf numFmtId="0" fontId="18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8" fillId="0" borderId="5" xfId="0" applyFont="1" applyBorder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8" fillId="0" borderId="5" xfId="0" applyFont="1" applyBorder="1" applyAlignment="1">
      <alignment horizontal="left" vertical="center"/>
    </xf>
    <xf numFmtId="0" fontId="18" fillId="0" borderId="0" xfId="0" applyFont="1" applyFill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20" fillId="0" borderId="5" xfId="0" applyFont="1" applyBorder="1" applyAlignment="1">
      <alignment horizontal="left" vertical="center"/>
    </xf>
    <xf numFmtId="0" fontId="7" fillId="3" borderId="1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/>
    </xf>
    <xf numFmtId="0" fontId="7" fillId="3" borderId="3" xfId="0" applyFont="1" applyFill="1" applyBorder="1" applyAlignment="1">
      <alignment horizontal="center" vertical="center"/>
    </xf>
    <xf numFmtId="0" fontId="19" fillId="0" borderId="7" xfId="0" applyFont="1" applyBorder="1" applyAlignment="1">
      <alignment horizontal="left" vertical="center"/>
    </xf>
    <xf numFmtId="0" fontId="18" fillId="0" borderId="7" xfId="0" applyFont="1" applyBorder="1" applyAlignment="1">
      <alignment horizontal="left" vertical="center"/>
    </xf>
    <xf numFmtId="0" fontId="18" fillId="0" borderId="8" xfId="0" applyFont="1" applyBorder="1" applyAlignment="1">
      <alignment horizontal="left" vertical="center"/>
    </xf>
    <xf numFmtId="0" fontId="21" fillId="0" borderId="0" xfId="0" applyFont="1" applyAlignment="1">
      <alignment horizontal="left" vertical="center"/>
    </xf>
    <xf numFmtId="0" fontId="21" fillId="0" borderId="5" xfId="0" applyFont="1" applyBorder="1" applyAlignment="1">
      <alignment horizontal="left" vertical="center"/>
    </xf>
    <xf numFmtId="0" fontId="21" fillId="0" borderId="7" xfId="0" applyFont="1" applyBorder="1" applyAlignment="1">
      <alignment horizontal="left" vertical="center"/>
    </xf>
    <xf numFmtId="0" fontId="21" fillId="0" borderId="8" xfId="0" applyFont="1" applyBorder="1" applyAlignment="1">
      <alignment horizontal="left" vertical="center"/>
    </xf>
    <xf numFmtId="0" fontId="8" fillId="0" borderId="0" xfId="0" applyFont="1" applyAlignment="1">
      <alignment horizontal="left" vertical="center" wrapText="1"/>
    </xf>
    <xf numFmtId="0" fontId="18" fillId="0" borderId="0" xfId="0" applyFont="1" applyFill="1" applyAlignment="1">
      <alignment horizontal="center" vertical="center"/>
    </xf>
    <xf numFmtId="0" fontId="18" fillId="0" borderId="5" xfId="0" applyFont="1" applyFill="1" applyBorder="1" applyAlignment="1">
      <alignment horizontal="center" vertical="center"/>
    </xf>
    <xf numFmtId="0" fontId="19" fillId="0" borderId="0" xfId="0" applyFont="1" applyFill="1" applyAlignment="1">
      <alignment horizontal="left" vertical="center" wrapText="1"/>
    </xf>
    <xf numFmtId="0" fontId="18" fillId="0" borderId="0" xfId="0" applyFont="1" applyFill="1" applyAlignment="1">
      <alignment horizontal="left" vertical="center" wrapText="1"/>
    </xf>
    <xf numFmtId="0" fontId="18" fillId="0" borderId="5" xfId="0" applyFont="1" applyFill="1" applyBorder="1" applyAlignment="1">
      <alignment horizontal="left" vertical="center" wrapText="1"/>
    </xf>
    <xf numFmtId="0" fontId="11" fillId="0" borderId="0" xfId="0" applyFont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8" fillId="0" borderId="6" xfId="0" quotePrefix="1" applyFont="1" applyBorder="1" applyAlignment="1">
      <alignment horizontal="center" vertical="center"/>
    </xf>
    <xf numFmtId="0" fontId="8" fillId="0" borderId="7" xfId="0" quotePrefix="1" applyFont="1" applyBorder="1" applyAlignment="1">
      <alignment horizontal="center" vertical="center"/>
    </xf>
    <xf numFmtId="0" fontId="8" fillId="0" borderId="8" xfId="0" quotePrefix="1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 wrapText="1"/>
    </xf>
    <xf numFmtId="0" fontId="19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7" fillId="0" borderId="0" xfId="0" applyFont="1" applyAlignment="1">
      <alignment horizontal="left" vertical="center"/>
    </xf>
    <xf numFmtId="0" fontId="0" fillId="0" borderId="0" xfId="0" applyBorder="1" applyAlignment="1">
      <alignment horizontal="center"/>
    </xf>
    <xf numFmtId="0" fontId="16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8" fillId="0" borderId="5" xfId="0" applyFont="1" applyBorder="1" applyAlignment="1">
      <alignment horizontal="left" vertical="center"/>
    </xf>
    <xf numFmtId="0" fontId="8" fillId="0" borderId="9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314325</xdr:colOff>
          <xdr:row>5</xdr:row>
          <xdr:rowOff>142875</xdr:rowOff>
        </xdr:from>
        <xdr:to>
          <xdr:col>15</xdr:col>
          <xdr:colOff>257175</xdr:colOff>
          <xdr:row>9</xdr:row>
          <xdr:rowOff>171450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3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Handovers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4</xdr:col>
      <xdr:colOff>942932</xdr:colOff>
      <xdr:row>3</xdr:row>
      <xdr:rowOff>44249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895682" cy="61574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314325</xdr:colOff>
          <xdr:row>5</xdr:row>
          <xdr:rowOff>142875</xdr:rowOff>
        </xdr:from>
        <xdr:to>
          <xdr:col>15</xdr:col>
          <xdr:colOff>257175</xdr:colOff>
          <xdr:row>9</xdr:row>
          <xdr:rowOff>171450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Handovers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4</xdr:col>
      <xdr:colOff>942932</xdr:colOff>
      <xdr:row>3</xdr:row>
      <xdr:rowOff>44249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895682" cy="61574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314325</xdr:colOff>
          <xdr:row>5</xdr:row>
          <xdr:rowOff>142875</xdr:rowOff>
        </xdr:from>
        <xdr:to>
          <xdr:col>15</xdr:col>
          <xdr:colOff>257175</xdr:colOff>
          <xdr:row>9</xdr:row>
          <xdr:rowOff>171450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Handovers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4</xdr:col>
      <xdr:colOff>942932</xdr:colOff>
      <xdr:row>3</xdr:row>
      <xdr:rowOff>44249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895682" cy="61574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314325</xdr:colOff>
          <xdr:row>5</xdr:row>
          <xdr:rowOff>142875</xdr:rowOff>
        </xdr:from>
        <xdr:to>
          <xdr:col>15</xdr:col>
          <xdr:colOff>257175</xdr:colOff>
          <xdr:row>9</xdr:row>
          <xdr:rowOff>171450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SW Handovers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4</xdr:col>
      <xdr:colOff>942932</xdr:colOff>
      <xdr:row>3</xdr:row>
      <xdr:rowOff>44249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895682" cy="61574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241CE-35D1-4067-9378-3EE0BE6B9BCF}">
  <sheetPr codeName="Sheet1"/>
  <dimension ref="A1:JH5236"/>
  <sheetViews>
    <sheetView topLeftCell="R5003" zoomScale="85" zoomScaleNormal="85" workbookViewId="0">
      <selection activeCell="AB2548" sqref="AB2548:AF5046"/>
    </sheetView>
  </sheetViews>
  <sheetFormatPr defaultRowHeight="15" x14ac:dyDescent="0.25"/>
  <cols>
    <col min="2" max="2" width="12.5703125" style="51" customWidth="1"/>
    <col min="5" max="5" width="10.85546875" customWidth="1"/>
    <col min="11" max="11" width="16.42578125" customWidth="1"/>
    <col min="19" max="19" width="18.7109375" bestFit="1" customWidth="1"/>
    <col min="20" max="25" width="18.7109375" customWidth="1"/>
    <col min="26" max="26" width="4.140625" customWidth="1"/>
    <col min="28" max="28" width="19.7109375" customWidth="1"/>
    <col min="29" max="29" width="19" bestFit="1" customWidth="1"/>
    <col min="31" max="31" width="14" bestFit="1" customWidth="1"/>
    <col min="32" max="32" width="19" bestFit="1" customWidth="1"/>
    <col min="33" max="33" width="5.140625" bestFit="1" customWidth="1"/>
    <col min="34" max="34" width="12.85546875" bestFit="1" customWidth="1"/>
    <col min="35" max="35" width="12.7109375" bestFit="1" customWidth="1"/>
    <col min="36" max="36" width="18.7109375" bestFit="1" customWidth="1"/>
    <col min="37" max="37" width="15.5703125" bestFit="1" customWidth="1"/>
    <col min="38" max="38" width="14.42578125" bestFit="1" customWidth="1"/>
    <col min="39" max="39" width="12.85546875" bestFit="1" customWidth="1"/>
    <col min="40" max="40" width="10.85546875" bestFit="1" customWidth="1"/>
    <col min="41" max="41" width="18" bestFit="1" customWidth="1"/>
    <col min="42" max="42" width="18.140625" bestFit="1" customWidth="1"/>
    <col min="43" max="43" width="11" bestFit="1" customWidth="1"/>
    <col min="44" max="44" width="11.7109375" bestFit="1" customWidth="1"/>
    <col min="45" max="45" width="19.85546875" bestFit="1" customWidth="1"/>
    <col min="46" max="46" width="12.28515625" bestFit="1" customWidth="1"/>
    <col min="47" max="47" width="27.7109375" bestFit="1" customWidth="1"/>
    <col min="150" max="150" width="17.5703125" customWidth="1"/>
    <col min="153" max="153" width="15" customWidth="1"/>
  </cols>
  <sheetData>
    <row r="1" spans="1:268" x14ac:dyDescent="0.25">
      <c r="E1" t="s">
        <v>0</v>
      </c>
      <c r="F1" t="s">
        <v>0</v>
      </c>
      <c r="G1" t="s">
        <v>0</v>
      </c>
      <c r="H1" t="s">
        <v>0</v>
      </c>
      <c r="I1" t="s">
        <v>0</v>
      </c>
      <c r="J1" t="s">
        <v>0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2</v>
      </c>
      <c r="R1" t="s">
        <v>2</v>
      </c>
      <c r="S1" t="s">
        <v>2</v>
      </c>
      <c r="T1" t="s">
        <v>146</v>
      </c>
      <c r="U1" t="s">
        <v>146</v>
      </c>
      <c r="V1" t="s">
        <v>146</v>
      </c>
      <c r="W1" t="s">
        <v>0</v>
      </c>
      <c r="X1" t="s">
        <v>0</v>
      </c>
      <c r="Y1" t="s">
        <v>0</v>
      </c>
      <c r="AD1" s="51">
        <v>1</v>
      </c>
      <c r="AE1" s="51" t="s">
        <v>166</v>
      </c>
      <c r="AF1" s="51" t="s">
        <v>167</v>
      </c>
      <c r="AG1" s="51" t="s">
        <v>168</v>
      </c>
      <c r="AH1" s="51" t="s">
        <v>169</v>
      </c>
      <c r="AI1" s="51" t="s">
        <v>170</v>
      </c>
      <c r="AJ1" s="51">
        <v>14</v>
      </c>
      <c r="AK1" s="51">
        <v>15</v>
      </c>
      <c r="AL1" s="51">
        <v>16</v>
      </c>
      <c r="AM1" s="51" t="s">
        <v>171</v>
      </c>
      <c r="AN1" s="51">
        <v>19</v>
      </c>
      <c r="AO1" s="51" t="s">
        <v>172</v>
      </c>
      <c r="AP1" s="51">
        <v>22</v>
      </c>
      <c r="AQ1" s="51">
        <v>23</v>
      </c>
      <c r="AR1" s="51">
        <v>24</v>
      </c>
      <c r="AS1" s="51">
        <v>25</v>
      </c>
      <c r="AT1" s="51">
        <v>26</v>
      </c>
      <c r="AU1" s="51">
        <v>27</v>
      </c>
      <c r="AV1" s="51">
        <v>28</v>
      </c>
      <c r="AW1" s="51">
        <v>29</v>
      </c>
      <c r="AX1" s="51" t="s">
        <v>173</v>
      </c>
      <c r="AY1" s="51" t="s">
        <v>174</v>
      </c>
      <c r="AZ1" s="51" t="s">
        <v>175</v>
      </c>
      <c r="BA1" s="51" t="s">
        <v>176</v>
      </c>
      <c r="BB1" s="51" t="s">
        <v>177</v>
      </c>
      <c r="BC1" s="51">
        <v>45</v>
      </c>
      <c r="BD1" s="51">
        <v>46</v>
      </c>
      <c r="BE1" s="51">
        <v>47</v>
      </c>
      <c r="BF1" s="51">
        <v>48</v>
      </c>
      <c r="BG1" s="51">
        <v>49</v>
      </c>
      <c r="BH1" s="51">
        <v>50</v>
      </c>
      <c r="BI1" s="51">
        <v>51</v>
      </c>
      <c r="BJ1" s="51">
        <v>52</v>
      </c>
      <c r="BK1" s="51" t="s">
        <v>178</v>
      </c>
      <c r="BL1" s="51">
        <v>55</v>
      </c>
      <c r="BM1" s="51">
        <v>56</v>
      </c>
      <c r="BN1" s="51">
        <v>57</v>
      </c>
      <c r="BO1" s="51">
        <v>58</v>
      </c>
      <c r="BP1" s="51">
        <v>59</v>
      </c>
      <c r="BQ1" s="51">
        <v>60</v>
      </c>
      <c r="BR1" s="51" t="s">
        <v>179</v>
      </c>
      <c r="BS1" s="51">
        <v>63</v>
      </c>
      <c r="BT1" s="51">
        <v>64</v>
      </c>
      <c r="BU1" s="51">
        <v>65</v>
      </c>
      <c r="BV1" s="51">
        <v>66</v>
      </c>
      <c r="BW1" s="51">
        <v>67</v>
      </c>
      <c r="BX1" s="51">
        <v>68</v>
      </c>
      <c r="BY1" s="51">
        <v>69</v>
      </c>
      <c r="BZ1" s="51">
        <v>70</v>
      </c>
      <c r="CA1" s="51">
        <v>71</v>
      </c>
      <c r="CB1" s="51">
        <v>72</v>
      </c>
      <c r="CC1" s="51">
        <v>73</v>
      </c>
      <c r="CD1" s="51">
        <v>74</v>
      </c>
      <c r="CE1" s="51">
        <v>75</v>
      </c>
      <c r="CF1" s="51">
        <v>76</v>
      </c>
      <c r="CG1" s="51">
        <v>77</v>
      </c>
      <c r="CH1" s="51">
        <v>78</v>
      </c>
      <c r="CI1" s="51" t="s">
        <v>180</v>
      </c>
      <c r="CJ1" s="51" t="s">
        <v>181</v>
      </c>
      <c r="CK1" s="51">
        <v>83</v>
      </c>
      <c r="CL1" s="51">
        <v>84</v>
      </c>
      <c r="CM1" s="51">
        <v>85</v>
      </c>
      <c r="CN1" s="51" t="s">
        <v>182</v>
      </c>
      <c r="CO1" s="51">
        <v>88</v>
      </c>
      <c r="CP1" s="51">
        <v>89</v>
      </c>
      <c r="CQ1" s="51">
        <v>90</v>
      </c>
      <c r="CR1" s="51" t="s">
        <v>183</v>
      </c>
      <c r="CS1" s="51" t="s">
        <v>184</v>
      </c>
      <c r="CT1" s="51" t="s">
        <v>185</v>
      </c>
      <c r="CU1" s="51" t="s">
        <v>186</v>
      </c>
      <c r="CV1" s="51" t="s">
        <v>187</v>
      </c>
      <c r="CW1" s="51" t="s">
        <v>188</v>
      </c>
      <c r="CX1" s="51" t="s">
        <v>189</v>
      </c>
      <c r="CY1" s="51" t="s">
        <v>190</v>
      </c>
      <c r="CZ1" s="51">
        <v>109</v>
      </c>
      <c r="DA1" s="51" t="s">
        <v>191</v>
      </c>
      <c r="DB1" s="51" t="s">
        <v>192</v>
      </c>
      <c r="DC1" s="51" t="s">
        <v>193</v>
      </c>
      <c r="DD1" s="51" t="s">
        <v>194</v>
      </c>
      <c r="DE1" s="51">
        <v>120</v>
      </c>
      <c r="DF1" s="51">
        <v>121</v>
      </c>
      <c r="DG1" s="51">
        <v>122</v>
      </c>
      <c r="DH1" s="51">
        <v>123</v>
      </c>
      <c r="DI1" s="51">
        <v>124</v>
      </c>
      <c r="DJ1" s="51">
        <v>125</v>
      </c>
      <c r="DK1" s="51" t="s">
        <v>195</v>
      </c>
      <c r="DL1" s="51" t="s">
        <v>196</v>
      </c>
      <c r="DM1" s="51" t="s">
        <v>197</v>
      </c>
      <c r="DN1" s="51">
        <v>132</v>
      </c>
      <c r="DO1" s="51" t="s">
        <v>198</v>
      </c>
      <c r="DP1" s="51">
        <v>135</v>
      </c>
      <c r="DQ1" s="51">
        <v>136</v>
      </c>
      <c r="DR1" s="51">
        <v>137</v>
      </c>
      <c r="DS1" s="51">
        <v>138</v>
      </c>
      <c r="DT1" s="51" t="s">
        <v>199</v>
      </c>
      <c r="DU1" s="51">
        <v>141</v>
      </c>
      <c r="DV1" s="51">
        <v>142</v>
      </c>
      <c r="DW1" s="51">
        <v>143</v>
      </c>
      <c r="DX1" s="51">
        <v>144</v>
      </c>
      <c r="DY1" s="51">
        <v>145</v>
      </c>
      <c r="DZ1" s="51">
        <v>146</v>
      </c>
      <c r="EA1" s="51">
        <v>147</v>
      </c>
      <c r="EB1" s="51" t="s">
        <v>200</v>
      </c>
      <c r="EC1" s="51">
        <v>150</v>
      </c>
      <c r="ED1" s="51">
        <v>151</v>
      </c>
      <c r="EE1" s="51">
        <v>152</v>
      </c>
      <c r="EF1" s="51">
        <v>153</v>
      </c>
      <c r="EG1" s="51">
        <v>154</v>
      </c>
      <c r="EH1" s="51" t="s">
        <v>201</v>
      </c>
      <c r="EI1" s="51">
        <v>157</v>
      </c>
      <c r="EJ1" s="51">
        <v>158</v>
      </c>
      <c r="EK1" s="51">
        <v>159</v>
      </c>
      <c r="EL1" s="51" t="s">
        <v>202</v>
      </c>
      <c r="EM1" s="51" t="s">
        <v>203</v>
      </c>
      <c r="EN1" s="51">
        <v>164</v>
      </c>
      <c r="EO1" s="51">
        <v>165</v>
      </c>
      <c r="EP1" s="51" t="s">
        <v>204</v>
      </c>
      <c r="EQ1" s="51" t="s">
        <v>205</v>
      </c>
      <c r="ER1" s="51">
        <v>172</v>
      </c>
      <c r="ES1" s="51">
        <v>173</v>
      </c>
      <c r="ET1" s="51" t="s">
        <v>3</v>
      </c>
      <c r="EU1" s="51" t="s">
        <v>4</v>
      </c>
      <c r="EV1" s="51" t="s">
        <v>5</v>
      </c>
      <c r="EW1" s="51" t="s">
        <v>6</v>
      </c>
      <c r="EX1" s="51" t="s">
        <v>7</v>
      </c>
      <c r="EY1" s="51" t="s">
        <v>8</v>
      </c>
      <c r="EZ1" s="51" t="s">
        <v>9</v>
      </c>
      <c r="FA1" s="51" t="s">
        <v>10</v>
      </c>
      <c r="FB1" s="51" t="s">
        <v>11</v>
      </c>
      <c r="FC1" s="51" t="s">
        <v>12</v>
      </c>
      <c r="FD1" s="51" t="s">
        <v>13</v>
      </c>
      <c r="FE1" s="51" t="s">
        <v>14</v>
      </c>
      <c r="FF1" s="51" t="s">
        <v>15</v>
      </c>
      <c r="FG1" s="51" t="s">
        <v>16</v>
      </c>
      <c r="FH1" s="51" t="s">
        <v>17</v>
      </c>
      <c r="FI1" s="51" t="s">
        <v>18</v>
      </c>
      <c r="FJ1" s="51" t="s">
        <v>19</v>
      </c>
      <c r="FK1" s="51" t="s">
        <v>20</v>
      </c>
      <c r="FL1" s="51" t="s">
        <v>21</v>
      </c>
      <c r="FM1" s="51" t="s">
        <v>22</v>
      </c>
      <c r="FN1" s="51" t="s">
        <v>23</v>
      </c>
      <c r="FO1" s="51" t="s">
        <v>24</v>
      </c>
      <c r="FP1" s="51" t="s">
        <v>25</v>
      </c>
      <c r="FQ1" s="51" t="s">
        <v>26</v>
      </c>
      <c r="FR1" s="51" t="s">
        <v>27</v>
      </c>
      <c r="FS1" s="51" t="s">
        <v>28</v>
      </c>
      <c r="FT1" s="51" t="s">
        <v>29</v>
      </c>
      <c r="FU1" s="51" t="s">
        <v>30</v>
      </c>
      <c r="FV1" s="51" t="s">
        <v>31</v>
      </c>
      <c r="FW1" s="51" t="s">
        <v>32</v>
      </c>
      <c r="FX1" s="51" t="s">
        <v>33</v>
      </c>
      <c r="FY1" s="51" t="s">
        <v>34</v>
      </c>
      <c r="FZ1" s="51" t="s">
        <v>35</v>
      </c>
      <c r="GA1" s="51" t="s">
        <v>36</v>
      </c>
      <c r="GB1" s="51" t="s">
        <v>37</v>
      </c>
      <c r="GC1" s="51" t="s">
        <v>38</v>
      </c>
      <c r="GD1" s="51" t="s">
        <v>39</v>
      </c>
      <c r="GE1" s="51" t="s">
        <v>40</v>
      </c>
      <c r="GF1" s="51" t="s">
        <v>41</v>
      </c>
      <c r="GG1" s="51" t="s">
        <v>42</v>
      </c>
      <c r="GH1" s="51" t="s">
        <v>43</v>
      </c>
      <c r="GI1" s="51" t="s">
        <v>44</v>
      </c>
      <c r="GJ1" s="51" t="s">
        <v>45</v>
      </c>
      <c r="GK1" s="51" t="s">
        <v>46</v>
      </c>
      <c r="GL1" s="51" t="s">
        <v>47</v>
      </c>
      <c r="GM1" s="51" t="s">
        <v>48</v>
      </c>
      <c r="GN1" s="51" t="s">
        <v>49</v>
      </c>
      <c r="GO1" s="51" t="s">
        <v>50</v>
      </c>
      <c r="GP1" s="51" t="s">
        <v>51</v>
      </c>
      <c r="GQ1" s="51" t="s">
        <v>52</v>
      </c>
      <c r="GR1" s="51" t="s">
        <v>53</v>
      </c>
      <c r="GS1" s="51" t="s">
        <v>54</v>
      </c>
      <c r="GT1" s="51" t="s">
        <v>55</v>
      </c>
      <c r="GU1" s="51" t="s">
        <v>56</v>
      </c>
      <c r="GV1" s="51" t="s">
        <v>57</v>
      </c>
      <c r="GW1" s="51" t="s">
        <v>58</v>
      </c>
      <c r="GX1" s="51" t="s">
        <v>59</v>
      </c>
      <c r="GY1" s="51" t="s">
        <v>60</v>
      </c>
      <c r="GZ1" s="51" t="s">
        <v>61</v>
      </c>
      <c r="HA1" s="51" t="s">
        <v>62</v>
      </c>
      <c r="HB1" s="51" t="s">
        <v>63</v>
      </c>
      <c r="HC1" s="51" t="s">
        <v>64</v>
      </c>
      <c r="HD1" s="51" t="s">
        <v>65</v>
      </c>
      <c r="HE1" s="51" t="s">
        <v>66</v>
      </c>
      <c r="HF1" s="51" t="s">
        <v>67</v>
      </c>
      <c r="HG1" s="51" t="s">
        <v>68</v>
      </c>
      <c r="HH1" s="51" t="s">
        <v>69</v>
      </c>
      <c r="HI1" s="51" t="s">
        <v>70</v>
      </c>
      <c r="HJ1" s="51" t="s">
        <v>71</v>
      </c>
      <c r="HK1" s="51" t="s">
        <v>72</v>
      </c>
      <c r="HL1" s="51" t="s">
        <v>73</v>
      </c>
      <c r="HM1" t="s">
        <v>26</v>
      </c>
      <c r="HN1" t="s">
        <v>27</v>
      </c>
      <c r="HO1" t="s">
        <v>28</v>
      </c>
      <c r="HP1" t="s">
        <v>29</v>
      </c>
      <c r="HQ1" t="s">
        <v>30</v>
      </c>
      <c r="HR1" t="s">
        <v>31</v>
      </c>
      <c r="HS1" t="s">
        <v>32</v>
      </c>
      <c r="HT1" t="s">
        <v>33</v>
      </c>
      <c r="HU1" t="s">
        <v>34</v>
      </c>
      <c r="HV1" t="s">
        <v>35</v>
      </c>
      <c r="HW1" t="s">
        <v>36</v>
      </c>
      <c r="HX1" t="s">
        <v>37</v>
      </c>
      <c r="HY1" t="s">
        <v>38</v>
      </c>
      <c r="HZ1" t="s">
        <v>39</v>
      </c>
      <c r="IA1" t="s">
        <v>40</v>
      </c>
      <c r="IB1" t="s">
        <v>41</v>
      </c>
      <c r="IC1" t="s">
        <v>42</v>
      </c>
      <c r="ID1" t="s">
        <v>43</v>
      </c>
      <c r="IE1" t="s">
        <v>44</v>
      </c>
      <c r="IF1" t="s">
        <v>45</v>
      </c>
      <c r="IG1" t="s">
        <v>46</v>
      </c>
      <c r="IH1" t="s">
        <v>47</v>
      </c>
      <c r="II1" t="s">
        <v>48</v>
      </c>
      <c r="IJ1" t="s">
        <v>49</v>
      </c>
      <c r="IK1" t="s">
        <v>50</v>
      </c>
      <c r="IL1" t="s">
        <v>51</v>
      </c>
      <c r="IM1" t="s">
        <v>52</v>
      </c>
      <c r="IN1" t="s">
        <v>53</v>
      </c>
      <c r="IO1" t="s">
        <v>54</v>
      </c>
      <c r="IP1" t="s">
        <v>55</v>
      </c>
      <c r="IQ1" t="s">
        <v>56</v>
      </c>
      <c r="IR1" t="s">
        <v>57</v>
      </c>
      <c r="IS1" t="s">
        <v>58</v>
      </c>
      <c r="IT1" t="s">
        <v>59</v>
      </c>
      <c r="IU1" t="s">
        <v>60</v>
      </c>
      <c r="IV1" t="s">
        <v>61</v>
      </c>
      <c r="IW1" t="s">
        <v>62</v>
      </c>
      <c r="IX1" t="s">
        <v>63</v>
      </c>
      <c r="IY1" t="s">
        <v>64</v>
      </c>
      <c r="IZ1" t="s">
        <v>65</v>
      </c>
      <c r="JA1" t="s">
        <v>66</v>
      </c>
      <c r="JB1" t="s">
        <v>67</v>
      </c>
      <c r="JC1" t="s">
        <v>68</v>
      </c>
      <c r="JD1" t="s">
        <v>69</v>
      </c>
      <c r="JE1" t="s">
        <v>70</v>
      </c>
      <c r="JF1" t="s">
        <v>71</v>
      </c>
      <c r="JG1" t="s">
        <v>72</v>
      </c>
      <c r="JH1" t="s">
        <v>73</v>
      </c>
    </row>
    <row r="2" spans="1:268" x14ac:dyDescent="0.25">
      <c r="B2" s="51" t="s">
        <v>74</v>
      </c>
      <c r="C2" t="s">
        <v>75</v>
      </c>
      <c r="D2" t="s">
        <v>76</v>
      </c>
      <c r="E2" t="s">
        <v>77</v>
      </c>
      <c r="F2" t="s">
        <v>78</v>
      </c>
      <c r="G2" t="s">
        <v>79</v>
      </c>
      <c r="H2" t="s">
        <v>80</v>
      </c>
      <c r="I2" t="s">
        <v>81</v>
      </c>
      <c r="J2" t="s">
        <v>82</v>
      </c>
      <c r="K2" t="s">
        <v>83</v>
      </c>
      <c r="L2" t="s">
        <v>84</v>
      </c>
      <c r="M2" t="s">
        <v>85</v>
      </c>
      <c r="N2" t="s">
        <v>86</v>
      </c>
      <c r="O2" t="s">
        <v>87</v>
      </c>
      <c r="P2" t="s">
        <v>88</v>
      </c>
      <c r="Q2" t="s">
        <v>89</v>
      </c>
      <c r="R2" t="s">
        <v>90</v>
      </c>
      <c r="S2" t="s">
        <v>91</v>
      </c>
      <c r="T2" t="s">
        <v>149</v>
      </c>
      <c r="U2" t="s">
        <v>150</v>
      </c>
      <c r="V2" t="s">
        <v>148</v>
      </c>
      <c r="W2" t="s">
        <v>147</v>
      </c>
      <c r="X2" t="s">
        <v>162</v>
      </c>
      <c r="Y2" t="s">
        <v>163</v>
      </c>
      <c r="AB2" t="s">
        <v>0</v>
      </c>
      <c r="AC2" t="s">
        <v>77</v>
      </c>
      <c r="AD2" t="b" cm="1">
        <f t="array" ref="AD2">INDEX($B$1:$W$193,MATCH(AD$1,$B$1:$B$193,0),MATCH(1,($B$1:$W$1=$AB2)*($B$2:$W$2=$AC2),0))</f>
        <v>1</v>
      </c>
      <c r="AE2" t="b" cm="1">
        <f t="array" ref="AE2">INDEX($B$1:$W$193,MATCH(AE$1,$B$1:$B$193,0),MATCH(1,($B$1:$W$1=$AB2)*($B$2:$W$2=$AC2),0))</f>
        <v>1</v>
      </c>
      <c r="AF2" t="b" cm="1">
        <f t="array" ref="AF2">INDEX($B$1:$W$193,MATCH(AF$1,$B$1:$B$193,0),MATCH(1,($B$1:$W$1=$AB2)*($B$2:$W$2=$AC2),0))</f>
        <v>1</v>
      </c>
      <c r="AG2" t="b" cm="1">
        <f t="array" ref="AG2">INDEX($B$1:$W$193,MATCH(AG$1,$B$1:$B$193,0),MATCH(1,($B$1:$W$1=$AB2)*($B$2:$W$2=$AC2),0))</f>
        <v>1</v>
      </c>
      <c r="AH2" t="b" cm="1">
        <f t="array" ref="AH2">INDEX($B$1:$W$193,MATCH(AH$1,$B$1:$B$193,0),MATCH(1,($B$1:$W$1=$AB2)*($B$2:$W$2=$AC2),0))</f>
        <v>1</v>
      </c>
      <c r="AI2" t="b" cm="1">
        <f t="array" ref="AI2">INDEX($B$1:$W$193,MATCH(AI$1,$B$1:$B$193,0),MATCH(1,($B$1:$W$1=$AB2)*($B$2:$W$2=$AC2),0))</f>
        <v>1</v>
      </c>
      <c r="AJ2" t="b" cm="1">
        <f t="array" ref="AJ2">INDEX($B$1:$W$193,MATCH(AJ$1,$B$1:$B$193,0),MATCH(1,($B$1:$W$1=$AB2)*($B$2:$W$2=$AC2),0))</f>
        <v>1</v>
      </c>
      <c r="AK2" t="b" cm="1">
        <f t="array" ref="AK2">INDEX($B$1:$W$193,MATCH(AK$1,$B$1:$B$193,0),MATCH(1,($B$1:$W$1=$AB2)*($B$2:$W$2=$AC2),0))</f>
        <v>1</v>
      </c>
      <c r="AL2" t="b" cm="1">
        <f t="array" ref="AL2">INDEX($B$1:$W$193,MATCH(AL$1,$B$1:$B$193,0),MATCH(1,($B$1:$W$1=$AB2)*($B$2:$W$2=$AC2),0))</f>
        <v>1</v>
      </c>
      <c r="AM2" t="b" cm="1">
        <f t="array" ref="AM2">INDEX($B$1:$W$193,MATCH(AM$1,$B$1:$B$193,0),MATCH(1,($B$1:$W$1=$AB2)*($B$2:$W$2=$AC2),0))</f>
        <v>1</v>
      </c>
      <c r="AN2" t="b" cm="1">
        <f t="array" ref="AN2">INDEX($B$1:$W$193,MATCH(AN$1,$B$1:$B$193,0),MATCH(1,($B$1:$W$1=$AB2)*($B$2:$W$2=$AC2),0))</f>
        <v>1</v>
      </c>
      <c r="AO2" t="b" cm="1">
        <f t="array" ref="AO2">INDEX($B$1:$W$193,MATCH(AO$1,$B$1:$B$193,0),MATCH(1,($B$1:$W$1=$AB2)*($B$2:$W$2=$AC2),0))</f>
        <v>1</v>
      </c>
      <c r="AP2" t="b" cm="1">
        <f t="array" ref="AP2">INDEX($B$1:$W$193,MATCH(AP$1,$B$1:$B$193,0),MATCH(1,($B$1:$W$1=$AB2)*($B$2:$W$2=$AC2),0))</f>
        <v>1</v>
      </c>
      <c r="AQ2" t="b" cm="1">
        <f t="array" ref="AQ2">INDEX($B$1:$W$193,MATCH(AQ$1,$B$1:$B$193,0),MATCH(1,($B$1:$W$1=$AB2)*($B$2:$W$2=$AC2),0))</f>
        <v>1</v>
      </c>
      <c r="AR2" t="b" cm="1">
        <f t="array" ref="AR2">INDEX($B$1:$W$193,MATCH(AR$1,$B$1:$B$193,0),MATCH(1,($B$1:$W$1=$AB2)*($B$2:$W$2=$AC2),0))</f>
        <v>1</v>
      </c>
      <c r="AS2" t="b" cm="1">
        <f t="array" ref="AS2">INDEX($B$1:$W$193,MATCH(AS$1,$B$1:$B$193,0),MATCH(1,($B$1:$W$1=$AB2)*($B$2:$W$2=$AC2),0))</f>
        <v>1</v>
      </c>
      <c r="AT2" t="b" cm="1">
        <f t="array" ref="AT2">INDEX($B$1:$W$193,MATCH(AT$1,$B$1:$B$193,0),MATCH(1,($B$1:$W$1=$AB2)*($B$2:$W$2=$AC2),0))</f>
        <v>1</v>
      </c>
      <c r="AU2" t="b" cm="1">
        <f t="array" ref="AU2">INDEX($B$1:$W$193,MATCH(AU$1,$B$1:$B$193,0),MATCH(1,($B$1:$W$1=$AB2)*($B$2:$W$2=$AC2),0))</f>
        <v>1</v>
      </c>
      <c r="AV2" t="b" cm="1">
        <f t="array" ref="AV2">INDEX($B$1:$W$193,MATCH(AV$1,$B$1:$B$193,0),MATCH(1,($B$1:$W$1=$AB2)*($B$2:$W$2=$AC2),0))</f>
        <v>1</v>
      </c>
      <c r="AW2" t="b" cm="1">
        <f t="array" ref="AW2">INDEX($B$1:$W$193,MATCH(AW$1,$B$1:$B$193,0),MATCH(1,($B$1:$W$1=$AB2)*($B$2:$W$2=$AC2),0))</f>
        <v>1</v>
      </c>
      <c r="AX2" t="b" cm="1">
        <f t="array" ref="AX2">INDEX($B$1:$W$193,MATCH(AX$1,$B$1:$B$193,0),MATCH(1,($B$1:$W$1=$AB2)*($B$2:$W$2=$AC2),0))</f>
        <v>1</v>
      </c>
      <c r="AY2" t="b" cm="1">
        <f t="array" ref="AY2">INDEX($B$1:$W$193,MATCH(AY$1,$B$1:$B$193,0),MATCH(1,($B$1:$W$1=$AB2)*($B$2:$W$2=$AC2),0))</f>
        <v>1</v>
      </c>
      <c r="AZ2" t="b" cm="1">
        <f t="array" ref="AZ2">INDEX($B$1:$W$193,MATCH(AZ$1,$B$1:$B$193,0),MATCH(1,($B$1:$W$1=$AB2)*($B$2:$W$2=$AC2),0))</f>
        <v>1</v>
      </c>
      <c r="BA2" t="b" cm="1">
        <f t="array" ref="BA2">INDEX($B$1:$W$193,MATCH(BA$1,$B$1:$B$193,0),MATCH(1,($B$1:$W$1=$AB2)*($B$2:$W$2=$AC2),0))</f>
        <v>1</v>
      </c>
      <c r="BB2" t="b" cm="1">
        <f t="array" ref="BB2">INDEX($B$1:$W$193,MATCH(BB$1,$B$1:$B$193,0),MATCH(1,($B$1:$W$1=$AB2)*($B$2:$W$2=$AC2),0))</f>
        <v>1</v>
      </c>
      <c r="BC2" t="b" cm="1">
        <f t="array" ref="BC2">INDEX($B$1:$W$193,MATCH(BC$1,$B$1:$B$193,0),MATCH(1,($B$1:$W$1=$AB2)*($B$2:$W$2=$AC2),0))</f>
        <v>1</v>
      </c>
      <c r="BD2" t="b" cm="1">
        <f t="array" ref="BD2">INDEX($B$1:$W$193,MATCH(BD$1,$B$1:$B$193,0),MATCH(1,($B$1:$W$1=$AB2)*($B$2:$W$2=$AC2),0))</f>
        <v>1</v>
      </c>
      <c r="BE2" t="b" cm="1">
        <f t="array" ref="BE2">INDEX($B$1:$W$193,MATCH(BE$1,$B$1:$B$193,0),MATCH(1,($B$1:$W$1=$AB2)*($B$2:$W$2=$AC2),0))</f>
        <v>1</v>
      </c>
      <c r="BF2" t="b" cm="1">
        <f t="array" ref="BF2">INDEX($B$1:$W$193,MATCH(BF$1,$B$1:$B$193,0),MATCH(1,($B$1:$W$1=$AB2)*($B$2:$W$2=$AC2),0))</f>
        <v>1</v>
      </c>
      <c r="BG2" t="b" cm="1">
        <f t="array" ref="BG2">INDEX($B$1:$W$193,MATCH(BG$1,$B$1:$B$193,0),MATCH(1,($B$1:$W$1=$AB2)*($B$2:$W$2=$AC2),0))</f>
        <v>1</v>
      </c>
      <c r="BH2" t="b" cm="1">
        <f t="array" ref="BH2">INDEX($B$1:$W$193,MATCH(BH$1,$B$1:$B$193,0),MATCH(1,($B$1:$W$1=$AB2)*($B$2:$W$2=$AC2),0))</f>
        <v>1</v>
      </c>
      <c r="BI2" t="b" cm="1">
        <f t="array" ref="BI2">INDEX($B$1:$W$193,MATCH(BI$1,$B$1:$B$193,0),MATCH(1,($B$1:$W$1=$AB2)*($B$2:$W$2=$AC2),0))</f>
        <v>1</v>
      </c>
      <c r="BJ2" t="b" cm="1">
        <f t="array" ref="BJ2">INDEX($B$1:$W$193,MATCH(BJ$1,$B$1:$B$193,0),MATCH(1,($B$1:$W$1=$AB2)*($B$2:$W$2=$AC2),0))</f>
        <v>1</v>
      </c>
      <c r="BK2" t="b" cm="1">
        <f t="array" ref="BK2">INDEX($B$1:$W$193,MATCH(BK$1,$B$1:$B$193,0),MATCH(1,($B$1:$W$1=$AB2)*($B$2:$W$2=$AC2),0))</f>
        <v>1</v>
      </c>
      <c r="BL2" t="b" cm="1">
        <f t="array" ref="BL2">INDEX($B$1:$W$193,MATCH(BL$1,$B$1:$B$193,0),MATCH(1,($B$1:$W$1=$AB2)*($B$2:$W$2=$AC2),0))</f>
        <v>1</v>
      </c>
      <c r="BM2" t="b" cm="1">
        <f t="array" ref="BM2">INDEX($B$1:$W$193,MATCH(BM$1,$B$1:$B$193,0),MATCH(1,($B$1:$W$1=$AB2)*($B$2:$W$2=$AC2),0))</f>
        <v>1</v>
      </c>
      <c r="BN2" t="b" cm="1">
        <f t="array" ref="BN2">INDEX($B$1:$W$193,MATCH(BN$1,$B$1:$B$193,0),MATCH(1,($B$1:$W$1=$AB2)*($B$2:$W$2=$AC2),0))</f>
        <v>1</v>
      </c>
      <c r="BO2" t="b" cm="1">
        <f t="array" ref="BO2">INDEX($B$1:$W$193,MATCH(BO$1,$B$1:$B$193,0),MATCH(1,($B$1:$W$1=$AB2)*($B$2:$W$2=$AC2),0))</f>
        <v>1</v>
      </c>
      <c r="BP2" t="b" cm="1">
        <f t="array" ref="BP2">INDEX($B$1:$W$193,MATCH(BP$1,$B$1:$B$193,0),MATCH(1,($B$1:$W$1=$AB2)*($B$2:$W$2=$AC2),0))</f>
        <v>1</v>
      </c>
      <c r="BQ2" t="b" cm="1">
        <f t="array" ref="BQ2">INDEX($B$1:$W$193,MATCH(BQ$1,$B$1:$B$193,0),MATCH(1,($B$1:$W$1=$AB2)*($B$2:$W$2=$AC2),0))</f>
        <v>1</v>
      </c>
      <c r="BR2" t="b" cm="1">
        <f t="array" ref="BR2">INDEX($B$1:$W$193,MATCH(BR$1,$B$1:$B$193,0),MATCH(1,($B$1:$W$1=$AB2)*($B$2:$W$2=$AC2),0))</f>
        <v>1</v>
      </c>
      <c r="BS2" t="b" cm="1">
        <f t="array" ref="BS2">INDEX($B$1:$W$193,MATCH(BS$1,$B$1:$B$193,0),MATCH(1,($B$1:$W$1=$AB2)*($B$2:$W$2=$AC2),0))</f>
        <v>1</v>
      </c>
      <c r="BT2" t="b" cm="1">
        <f t="array" ref="BT2">INDEX($B$1:$W$193,MATCH(BT$1,$B$1:$B$193,0),MATCH(1,($B$1:$W$1=$AB2)*($B$2:$W$2=$AC2),0))</f>
        <v>1</v>
      </c>
      <c r="BU2" t="b" cm="1">
        <f t="array" ref="BU2">INDEX($B$1:$W$193,MATCH(BU$1,$B$1:$B$193,0),MATCH(1,($B$1:$W$1=$AB2)*($B$2:$W$2=$AC2),0))</f>
        <v>1</v>
      </c>
      <c r="BV2" t="b" cm="1">
        <f t="array" ref="BV2">INDEX($B$1:$W$193,MATCH(BV$1,$B$1:$B$193,0),MATCH(1,($B$1:$W$1=$AB2)*($B$2:$W$2=$AC2),0))</f>
        <v>1</v>
      </c>
      <c r="BW2" t="b" cm="1">
        <f t="array" ref="BW2">INDEX($B$1:$W$193,MATCH(BW$1,$B$1:$B$193,0),MATCH(1,($B$1:$W$1=$AB2)*($B$2:$W$2=$AC2),0))</f>
        <v>1</v>
      </c>
      <c r="BX2" t="b" cm="1">
        <f t="array" ref="BX2">INDEX($B$1:$W$193,MATCH(BX$1,$B$1:$B$193,0),MATCH(1,($B$1:$W$1=$AB2)*($B$2:$W$2=$AC2),0))</f>
        <v>1</v>
      </c>
      <c r="BY2" t="b" cm="1">
        <f t="array" ref="BY2">INDEX($B$1:$W$193,MATCH(BY$1,$B$1:$B$193,0),MATCH(1,($B$1:$W$1=$AB2)*($B$2:$W$2=$AC2),0))</f>
        <v>1</v>
      </c>
      <c r="BZ2" t="b" cm="1">
        <f t="array" ref="BZ2">INDEX($B$1:$W$193,MATCH(BZ$1,$B$1:$B$193,0),MATCH(1,($B$1:$W$1=$AB2)*($B$2:$W$2=$AC2),0))</f>
        <v>1</v>
      </c>
      <c r="CA2" t="b" cm="1">
        <f t="array" ref="CA2">INDEX($B$1:$W$193,MATCH(CA$1,$B$1:$B$193,0),MATCH(1,($B$1:$W$1=$AB2)*($B$2:$W$2=$AC2),0))</f>
        <v>1</v>
      </c>
      <c r="CB2" t="b" cm="1">
        <f t="array" ref="CB2">INDEX($B$1:$W$193,MATCH(CB$1,$B$1:$B$193,0),MATCH(1,($B$1:$W$1=$AB2)*($B$2:$W$2=$AC2),0))</f>
        <v>1</v>
      </c>
      <c r="CC2" t="b" cm="1">
        <f t="array" ref="CC2">INDEX($B$1:$W$193,MATCH(CC$1,$B$1:$B$193,0),MATCH(1,($B$1:$W$1=$AB2)*($B$2:$W$2=$AC2),0))</f>
        <v>1</v>
      </c>
      <c r="CD2" t="b" cm="1">
        <f t="array" ref="CD2">INDEX($B$1:$W$193,MATCH(CD$1,$B$1:$B$193,0),MATCH(1,($B$1:$W$1=$AB2)*($B$2:$W$2=$AC2),0))</f>
        <v>1</v>
      </c>
      <c r="CE2" t="b" cm="1">
        <f t="array" ref="CE2">INDEX($B$1:$W$193,MATCH(CE$1,$B$1:$B$193,0),MATCH(1,($B$1:$W$1=$AB2)*($B$2:$W$2=$AC2),0))</f>
        <v>1</v>
      </c>
      <c r="CF2" t="b" cm="1">
        <f t="array" ref="CF2">INDEX($B$1:$W$193,MATCH(CF$1,$B$1:$B$193,0),MATCH(1,($B$1:$W$1=$AB2)*($B$2:$W$2=$AC2),0))</f>
        <v>1</v>
      </c>
      <c r="CG2" t="b" cm="1">
        <f t="array" ref="CG2">INDEX($B$1:$W$193,MATCH(CG$1,$B$1:$B$193,0),MATCH(1,($B$1:$W$1=$AB2)*($B$2:$W$2=$AC2),0))</f>
        <v>1</v>
      </c>
      <c r="CH2" t="b" cm="1">
        <f t="array" ref="CH2">INDEX($B$1:$W$193,MATCH(CH$1,$B$1:$B$193,0),MATCH(1,($B$1:$W$1=$AB2)*($B$2:$W$2=$AC2),0))</f>
        <v>1</v>
      </c>
      <c r="CI2" t="b" cm="1">
        <f t="array" ref="CI2">INDEX($B$1:$W$193,MATCH(CI$1,$B$1:$B$193,0),MATCH(1,($B$1:$W$1=$AB2)*($B$2:$W$2=$AC2),0))</f>
        <v>1</v>
      </c>
      <c r="CJ2" t="b" cm="1">
        <f t="array" ref="CJ2">INDEX($B$1:$W$193,MATCH(CJ$1,$B$1:$B$193,0),MATCH(1,($B$1:$W$1=$AB2)*($B$2:$W$2=$AC2),0))</f>
        <v>1</v>
      </c>
      <c r="CK2" t="b" cm="1">
        <f t="array" ref="CK2">INDEX($B$1:$W$193,MATCH(CK$1,$B$1:$B$193,0),MATCH(1,($B$1:$W$1=$AB2)*($B$2:$W$2=$AC2),0))</f>
        <v>1</v>
      </c>
      <c r="CL2" t="b" cm="1">
        <f t="array" ref="CL2">INDEX($B$1:$W$193,MATCH(CL$1,$B$1:$B$193,0),MATCH(1,($B$1:$W$1=$AB2)*($B$2:$W$2=$AC2),0))</f>
        <v>1</v>
      </c>
      <c r="CM2" t="b" cm="1">
        <f t="array" ref="CM2">INDEX($B$1:$W$193,MATCH(CM$1,$B$1:$B$193,0),MATCH(1,($B$1:$W$1=$AB2)*($B$2:$W$2=$AC2),0))</f>
        <v>1</v>
      </c>
      <c r="CN2" t="b" cm="1">
        <f t="array" ref="CN2">INDEX($B$1:$W$193,MATCH(CN$1,$B$1:$B$193,0),MATCH(1,($B$1:$W$1=$AB2)*($B$2:$W$2=$AC2),0))</f>
        <v>1</v>
      </c>
      <c r="CO2" t="b" cm="1">
        <f t="array" ref="CO2">INDEX($B$1:$W$193,MATCH(CO$1,$B$1:$B$193,0),MATCH(1,($B$1:$W$1=$AB2)*($B$2:$W$2=$AC2),0))</f>
        <v>1</v>
      </c>
      <c r="CP2" t="b" cm="1">
        <f t="array" ref="CP2">INDEX($B$1:$W$193,MATCH(CP$1,$B$1:$B$193,0),MATCH(1,($B$1:$W$1=$AB2)*($B$2:$W$2=$AC2),0))</f>
        <v>1</v>
      </c>
      <c r="CQ2" t="b" cm="1">
        <f t="array" ref="CQ2">INDEX($B$1:$W$193,MATCH(CQ$1,$B$1:$B$193,0),MATCH(1,($B$1:$W$1=$AB2)*($B$2:$W$2=$AC2),0))</f>
        <v>1</v>
      </c>
      <c r="CR2" t="b" cm="1">
        <f t="array" ref="CR2">INDEX($B$1:$W$193,MATCH(CR$1,$B$1:$B$193,0),MATCH(1,($B$1:$W$1=$AB2)*($B$2:$W$2=$AC2),0))</f>
        <v>1</v>
      </c>
      <c r="CS2" t="b" cm="1">
        <f t="array" ref="CS2">INDEX($B$1:$W$193,MATCH(CS$1,$B$1:$B$193,0),MATCH(1,($B$1:$W$1=$AB2)*($B$2:$W$2=$AC2),0))</f>
        <v>1</v>
      </c>
      <c r="CT2" t="b" cm="1">
        <f t="array" ref="CT2">INDEX($B$1:$W$193,MATCH(CT$1,$B$1:$B$193,0),MATCH(1,($B$1:$W$1=$AB2)*($B$2:$W$2=$AC2),0))</f>
        <v>1</v>
      </c>
      <c r="CU2" t="b" cm="1">
        <f t="array" ref="CU2">INDEX($B$1:$W$193,MATCH(CU$1,$B$1:$B$193,0),MATCH(1,($B$1:$W$1=$AB2)*($B$2:$W$2=$AC2),0))</f>
        <v>1</v>
      </c>
      <c r="CV2" t="b" cm="1">
        <f t="array" ref="CV2">INDEX($B$1:$W$193,MATCH(CV$1,$B$1:$B$193,0),MATCH(1,($B$1:$W$1=$AB2)*($B$2:$W$2=$AC2),0))</f>
        <v>1</v>
      </c>
      <c r="CW2" t="b" cm="1">
        <f t="array" ref="CW2">INDEX($B$1:$W$193,MATCH(CW$1,$B$1:$B$193,0),MATCH(1,($B$1:$W$1=$AB2)*($B$2:$W$2=$AC2),0))</f>
        <v>1</v>
      </c>
      <c r="CX2" t="b" cm="1">
        <f t="array" ref="CX2">INDEX($B$1:$W$193,MATCH(CX$1,$B$1:$B$193,0),MATCH(1,($B$1:$W$1=$AB2)*($B$2:$W$2=$AC2),0))</f>
        <v>1</v>
      </c>
      <c r="CY2" t="b" cm="1">
        <f t="array" ref="CY2">INDEX($B$1:$W$193,MATCH(CY$1,$B$1:$B$193,0),MATCH(1,($B$1:$W$1=$AB2)*($B$2:$W$2=$AC2),0))</f>
        <v>1</v>
      </c>
      <c r="CZ2" t="b" cm="1">
        <f t="array" ref="CZ2">INDEX($B$1:$W$193,MATCH(CZ$1,$B$1:$B$193,0),MATCH(1,($B$1:$W$1=$AB2)*($B$2:$W$2=$AC2),0))</f>
        <v>1</v>
      </c>
      <c r="DA2" t="b" cm="1">
        <f t="array" ref="DA2">INDEX($B$1:$W$193,MATCH(DA$1,$B$1:$B$193,0),MATCH(1,($B$1:$W$1=$AB2)*($B$2:$W$2=$AC2),0))</f>
        <v>1</v>
      </c>
      <c r="DB2" t="b" cm="1">
        <f t="array" ref="DB2">INDEX($B$1:$W$193,MATCH(DB$1,$B$1:$B$193,0),MATCH(1,($B$1:$W$1=$AB2)*($B$2:$W$2=$AC2),0))</f>
        <v>1</v>
      </c>
      <c r="DC2" t="b" cm="1">
        <f t="array" ref="DC2">INDEX($B$1:$W$193,MATCH(DC$1,$B$1:$B$193,0),MATCH(1,($B$1:$W$1=$AB2)*($B$2:$W$2=$AC2),0))</f>
        <v>1</v>
      </c>
      <c r="DD2" t="b" cm="1">
        <f t="array" ref="DD2">INDEX($B$1:$W$193,MATCH(DD$1,$B$1:$B$193,0),MATCH(1,($B$1:$W$1=$AB2)*($B$2:$W$2=$AC2),0))</f>
        <v>1</v>
      </c>
      <c r="DE2" t="b" cm="1">
        <f t="array" ref="DE2">INDEX($B$1:$W$193,MATCH(DE$1,$B$1:$B$193,0),MATCH(1,($B$1:$W$1=$AB2)*($B$2:$W$2=$AC2),0))</f>
        <v>1</v>
      </c>
      <c r="DF2" t="b" cm="1">
        <f t="array" ref="DF2">INDEX($B$1:$W$193,MATCH(DF$1,$B$1:$B$193,0),MATCH(1,($B$1:$W$1=$AB2)*($B$2:$W$2=$AC2),0))</f>
        <v>1</v>
      </c>
      <c r="DG2" t="b" cm="1">
        <f t="array" ref="DG2">INDEX($B$1:$W$193,MATCH(DG$1,$B$1:$B$193,0),MATCH(1,($B$1:$W$1=$AB2)*($B$2:$W$2=$AC2),0))</f>
        <v>1</v>
      </c>
      <c r="DH2" t="b" cm="1">
        <f t="array" ref="DH2">INDEX($B$1:$W$193,MATCH(DH$1,$B$1:$B$193,0),MATCH(1,($B$1:$W$1=$AB2)*($B$2:$W$2=$AC2),0))</f>
        <v>1</v>
      </c>
      <c r="DI2" t="b" cm="1">
        <f t="array" ref="DI2">INDEX($B$1:$W$193,MATCH(DI$1,$B$1:$B$193,0),MATCH(1,($B$1:$W$1=$AB2)*($B$2:$W$2=$AC2),0))</f>
        <v>1</v>
      </c>
      <c r="DJ2" t="b" cm="1">
        <f t="array" ref="DJ2">INDEX($B$1:$W$193,MATCH(DJ$1,$B$1:$B$193,0),MATCH(1,($B$1:$W$1=$AB2)*($B$2:$W$2=$AC2),0))</f>
        <v>1</v>
      </c>
      <c r="DK2" t="b" cm="1">
        <f t="array" ref="DK2">INDEX($B$1:$W$193,MATCH(DK$1,$B$1:$B$193,0),MATCH(1,($B$1:$W$1=$AB2)*($B$2:$W$2=$AC2),0))</f>
        <v>1</v>
      </c>
      <c r="DL2" t="b" cm="1">
        <f t="array" ref="DL2">INDEX($B$1:$W$193,MATCH(DL$1,$B$1:$B$193,0),MATCH(1,($B$1:$W$1=$AB2)*($B$2:$W$2=$AC2),0))</f>
        <v>1</v>
      </c>
      <c r="DM2" t="b" cm="1">
        <f t="array" ref="DM2">INDEX($B$1:$W$193,MATCH(DM$1,$B$1:$B$193,0),MATCH(1,($B$1:$W$1=$AB2)*($B$2:$W$2=$AC2),0))</f>
        <v>1</v>
      </c>
      <c r="DN2" t="b" cm="1">
        <f t="array" ref="DN2">INDEX($B$1:$W$193,MATCH(DN$1,$B$1:$B$193,0),MATCH(1,($B$1:$W$1=$AB2)*($B$2:$W$2=$AC2),0))</f>
        <v>1</v>
      </c>
      <c r="DO2" t="b" cm="1">
        <f t="array" ref="DO2">INDEX($B$1:$W$193,MATCH(DO$1,$B$1:$B$193,0),MATCH(1,($B$1:$W$1=$AB2)*($B$2:$W$2=$AC2),0))</f>
        <v>1</v>
      </c>
      <c r="DP2" t="b" cm="1">
        <f t="array" ref="DP2">INDEX($B$1:$W$193,MATCH(DP$1,$B$1:$B$193,0),MATCH(1,($B$1:$W$1=$AB2)*($B$2:$W$2=$AC2),0))</f>
        <v>1</v>
      </c>
      <c r="DQ2" t="b" cm="1">
        <f t="array" ref="DQ2">INDEX($B$1:$W$193,MATCH(DQ$1,$B$1:$B$193,0),MATCH(1,($B$1:$W$1=$AB2)*($B$2:$W$2=$AC2),0))</f>
        <v>1</v>
      </c>
      <c r="DR2" t="b" cm="1">
        <f t="array" ref="DR2">INDEX($B$1:$W$193,MATCH(DR$1,$B$1:$B$193,0),MATCH(1,($B$1:$W$1=$AB2)*($B$2:$W$2=$AC2),0))</f>
        <v>1</v>
      </c>
      <c r="DS2" t="b" cm="1">
        <f t="array" ref="DS2">INDEX($B$1:$W$193,MATCH(DS$1,$B$1:$B$193,0),MATCH(1,($B$1:$W$1=$AB2)*($B$2:$W$2=$AC2),0))</f>
        <v>1</v>
      </c>
      <c r="DT2" t="b" cm="1">
        <f t="array" ref="DT2">INDEX($B$1:$W$193,MATCH(DT$1,$B$1:$B$193,0),MATCH(1,($B$1:$W$1=$AB2)*($B$2:$W$2=$AC2),0))</f>
        <v>1</v>
      </c>
      <c r="DU2" t="b" cm="1">
        <f t="array" ref="DU2">INDEX($B$1:$W$193,MATCH(DU$1,$B$1:$B$193,0),MATCH(1,($B$1:$W$1=$AB2)*($B$2:$W$2=$AC2),0))</f>
        <v>1</v>
      </c>
      <c r="DV2" t="b" cm="1">
        <f t="array" ref="DV2">INDEX($B$1:$W$193,MATCH(DV$1,$B$1:$B$193,0),MATCH(1,($B$1:$W$1=$AB2)*($B$2:$W$2=$AC2),0))</f>
        <v>1</v>
      </c>
      <c r="DW2" t="b" cm="1">
        <f t="array" ref="DW2">INDEX($B$1:$W$193,MATCH(DW$1,$B$1:$B$193,0),MATCH(1,($B$1:$W$1=$AB2)*($B$2:$W$2=$AC2),0))</f>
        <v>1</v>
      </c>
      <c r="DX2" t="b" cm="1">
        <f t="array" ref="DX2">INDEX($B$1:$W$193,MATCH(DX$1,$B$1:$B$193,0),MATCH(1,($B$1:$W$1=$AB2)*($B$2:$W$2=$AC2),0))</f>
        <v>1</v>
      </c>
      <c r="DY2" t="b" cm="1">
        <f t="array" ref="DY2">INDEX($B$1:$W$193,MATCH(DY$1,$B$1:$B$193,0),MATCH(1,($B$1:$W$1=$AB2)*($B$2:$W$2=$AC2),0))</f>
        <v>1</v>
      </c>
      <c r="DZ2" t="b" cm="1">
        <f t="array" ref="DZ2">INDEX($B$1:$W$193,MATCH(DZ$1,$B$1:$B$193,0),MATCH(1,($B$1:$W$1=$AB2)*($B$2:$W$2=$AC2),0))</f>
        <v>1</v>
      </c>
      <c r="EA2" t="b" cm="1">
        <f t="array" ref="EA2">INDEX($B$1:$W$193,MATCH(EA$1,$B$1:$B$193,0),MATCH(1,($B$1:$W$1=$AB2)*($B$2:$W$2=$AC2),0))</f>
        <v>1</v>
      </c>
      <c r="EB2" t="b" cm="1">
        <f t="array" ref="EB2">INDEX($B$1:$W$193,MATCH(EB$1,$B$1:$B$193,0),MATCH(1,($B$1:$W$1=$AB2)*($B$2:$W$2=$AC2),0))</f>
        <v>1</v>
      </c>
      <c r="EC2" t="b" cm="1">
        <f t="array" ref="EC2">INDEX($B$1:$W$193,MATCH(EC$1,$B$1:$B$193,0),MATCH(1,($B$1:$W$1=$AB2)*($B$2:$W$2=$AC2),0))</f>
        <v>1</v>
      </c>
      <c r="ED2" t="b" cm="1">
        <f t="array" ref="ED2">INDEX($B$1:$W$193,MATCH(ED$1,$B$1:$B$193,0),MATCH(1,($B$1:$W$1=$AB2)*($B$2:$W$2=$AC2),0))</f>
        <v>1</v>
      </c>
      <c r="EE2" t="b" cm="1">
        <f t="array" ref="EE2">INDEX($B$1:$W$193,MATCH(EE$1,$B$1:$B$193,0),MATCH(1,($B$1:$W$1=$AB2)*($B$2:$W$2=$AC2),0))</f>
        <v>1</v>
      </c>
      <c r="EF2" t="b" cm="1">
        <f t="array" ref="EF2">INDEX($B$1:$W$193,MATCH(EF$1,$B$1:$B$193,0),MATCH(1,($B$1:$W$1=$AB2)*($B$2:$W$2=$AC2),0))</f>
        <v>1</v>
      </c>
      <c r="EG2" t="b" cm="1">
        <f t="array" ref="EG2">INDEX($B$1:$W$193,MATCH(EG$1,$B$1:$B$193,0),MATCH(1,($B$1:$W$1=$AB2)*($B$2:$W$2=$AC2),0))</f>
        <v>1</v>
      </c>
      <c r="EH2" t="b" cm="1">
        <f t="array" ref="EH2">INDEX($B$1:$W$193,MATCH(EH$1,$B$1:$B$193,0),MATCH(1,($B$1:$W$1=$AB2)*($B$2:$W$2=$AC2),0))</f>
        <v>1</v>
      </c>
      <c r="EI2" t="b" cm="1">
        <f t="array" ref="EI2">INDEX($B$1:$W$193,MATCH(EI$1,$B$1:$B$193,0),MATCH(1,($B$1:$W$1=$AB2)*($B$2:$W$2=$AC2),0))</f>
        <v>1</v>
      </c>
      <c r="EJ2" t="b" cm="1">
        <f t="array" ref="EJ2">INDEX($B$1:$W$193,MATCH(EJ$1,$B$1:$B$193,0),MATCH(1,($B$1:$W$1=$AB2)*($B$2:$W$2=$AC2),0))</f>
        <v>1</v>
      </c>
      <c r="EK2" t="b" cm="1">
        <f t="array" ref="EK2">INDEX($B$1:$W$193,MATCH(EK$1,$B$1:$B$193,0),MATCH(1,($B$1:$W$1=$AB2)*($B$2:$W$2=$AC2),0))</f>
        <v>1</v>
      </c>
      <c r="EL2" t="b" cm="1">
        <f t="array" ref="EL2">INDEX($B$1:$W$193,MATCH(EL$1,$B$1:$B$193,0),MATCH(1,($B$1:$W$1=$AB2)*($B$2:$W$2=$AC2),0))</f>
        <v>1</v>
      </c>
      <c r="EM2" t="b" cm="1">
        <f t="array" ref="EM2">INDEX($B$1:$W$193,MATCH(EM$1,$B$1:$B$193,0),MATCH(1,($B$1:$W$1=$AB2)*($B$2:$W$2=$AC2),0))</f>
        <v>1</v>
      </c>
      <c r="EN2" t="b" cm="1">
        <f t="array" ref="EN2">INDEX($B$1:$W$193,MATCH(EN$1,$B$1:$B$193,0),MATCH(1,($B$1:$W$1=$AB2)*($B$2:$W$2=$AC2),0))</f>
        <v>1</v>
      </c>
      <c r="EO2" t="b" cm="1">
        <f t="array" ref="EO2">INDEX($B$1:$W$193,MATCH(EO$1,$B$1:$B$193,0),MATCH(1,($B$1:$W$1=$AB2)*($B$2:$W$2=$AC2),0))</f>
        <v>1</v>
      </c>
      <c r="EP2" t="b" cm="1">
        <f t="array" ref="EP2">INDEX($B$1:$W$193,MATCH(EP$1,$B$1:$B$193,0),MATCH(1,($B$1:$W$1=$AB2)*($B$2:$W$2=$AC2),0))</f>
        <v>1</v>
      </c>
      <c r="EQ2" t="b" cm="1">
        <f t="array" ref="EQ2">INDEX($B$1:$W$193,MATCH(EQ$1,$B$1:$B$193,0),MATCH(1,($B$1:$W$1=$AB2)*($B$2:$W$2=$AC2),0))</f>
        <v>1</v>
      </c>
      <c r="ER2" t="b" cm="1">
        <f t="array" ref="ER2">INDEX($B$1:$W$193,MATCH(ER$1,$B$1:$B$193,0),MATCH(1,($B$1:$W$1=$AB2)*($B$2:$W$2=$AC2),0))</f>
        <v>1</v>
      </c>
      <c r="ES2" t="b" cm="1">
        <f t="array" ref="ES2">INDEX($B$1:$W$193,MATCH(ES$1,$B$1:$B$193,0),MATCH(1,($B$1:$W$1=$AB2)*($B$2:$W$2=$AC2),0))</f>
        <v>1</v>
      </c>
      <c r="ET2" t="b" cm="1">
        <f t="array" ref="ET2">INDEX($B$1:$W$193,MATCH(ET$1,$B$1:$B$193,0),MATCH(1,($B$1:$W$1=$AB2)*($B$2:$W$2=$AC2),0))</f>
        <v>1</v>
      </c>
      <c r="EU2" t="b" cm="1">
        <f t="array" ref="EU2">INDEX($B$1:$W$193,MATCH(EU$1,$B$1:$B$193,0),MATCH(1,($B$1:$W$1=$AB2)*($B$2:$W$2=$AC2),0))</f>
        <v>1</v>
      </c>
      <c r="EV2" t="b" cm="1">
        <f t="array" ref="EV2">INDEX($B$1:$W$193,MATCH(EV$1,$B$1:$B$193,0),MATCH(1,($B$1:$W$1=$AB2)*($B$2:$W$2=$AC2),0))</f>
        <v>1</v>
      </c>
      <c r="EW2" t="b" cm="1">
        <f t="array" ref="EW2">INDEX($B$1:$W$193,MATCH(EW$1,$B$1:$B$193,0),MATCH(1,($B$1:$W$1=$AB2)*($B$2:$W$2=$AC2),0))</f>
        <v>1</v>
      </c>
      <c r="EX2" t="b" cm="1">
        <f t="array" ref="EX2">INDEX($B$1:$W$193,MATCH(EX$1,$B$1:$B$193,0),MATCH(1,($B$1:$W$1=$AB2)*($B$2:$W$2=$AC2),0))</f>
        <v>1</v>
      </c>
      <c r="EY2" t="b" cm="1">
        <f t="array" ref="EY2">INDEX($B$1:$W$193,MATCH(EY$1,$B$1:$B$193,0),MATCH(1,($B$1:$W$1=$AB2)*($B$2:$W$2=$AC2),0))</f>
        <v>1</v>
      </c>
      <c r="EZ2" t="b" cm="1">
        <f t="array" ref="EZ2">INDEX($B$1:$W$193,MATCH(EZ$1,$B$1:$B$193,0),MATCH(1,($B$1:$W$1=$AB2)*($B$2:$W$2=$AC2),0))</f>
        <v>1</v>
      </c>
      <c r="FA2" t="b" cm="1">
        <f t="array" ref="FA2">INDEX($B$1:$W$193,MATCH(FA$1,$B$1:$B$193,0),MATCH(1,($B$1:$W$1=$AB2)*($B$2:$W$2=$AC2),0))</f>
        <v>1</v>
      </c>
      <c r="FB2" t="b" cm="1">
        <f t="array" ref="FB2">INDEX($B$1:$W$193,MATCH(FB$1,$B$1:$B$193,0),MATCH(1,($B$1:$W$1=$AB2)*($B$2:$W$2=$AC2),0))</f>
        <v>1</v>
      </c>
      <c r="FC2" t="b" cm="1">
        <f t="array" ref="FC2">INDEX($B$1:$W$193,MATCH(FC$1,$B$1:$B$193,0),MATCH(1,($B$1:$W$1=$AB2)*($B$2:$W$2=$AC2),0))</f>
        <v>1</v>
      </c>
      <c r="FD2" t="b" cm="1">
        <f t="array" ref="FD2">INDEX($B$1:$W$193,MATCH(FD$1,$B$1:$B$193,0),MATCH(1,($B$1:$W$1=$AB2)*($B$2:$W$2=$AC2),0))</f>
        <v>1</v>
      </c>
      <c r="FE2" t="b" cm="1">
        <f t="array" ref="FE2">INDEX($B$1:$W$193,MATCH(FE$1,$B$1:$B$193,0),MATCH(1,($B$1:$W$1=$AB2)*($B$2:$W$2=$AC2),0))</f>
        <v>1</v>
      </c>
      <c r="FF2" t="b" cm="1">
        <f t="array" ref="FF2">INDEX($B$1:$W$193,MATCH(FF$1,$B$1:$B$193,0),MATCH(1,($B$1:$W$1=$AB2)*($B$2:$W$2=$AC2),0))</f>
        <v>1</v>
      </c>
      <c r="FG2" t="b" cm="1">
        <f t="array" ref="FG2">INDEX($B$1:$W$193,MATCH(FG$1,$B$1:$B$193,0),MATCH(1,($B$1:$W$1=$AB2)*($B$2:$W$2=$AC2),0))</f>
        <v>1</v>
      </c>
      <c r="FH2" t="b" cm="1">
        <f t="array" ref="FH2">INDEX($B$1:$W$193,MATCH(FH$1,$B$1:$B$193,0),MATCH(1,($B$1:$W$1=$AB2)*($B$2:$W$2=$AC2),0))</f>
        <v>1</v>
      </c>
      <c r="FI2" t="b" cm="1">
        <f t="array" ref="FI2">INDEX($B$1:$W$193,MATCH(FI$1,$B$1:$B$193,0),MATCH(1,($B$1:$W$1=$AB2)*($B$2:$W$2=$AC2),0))</f>
        <v>1</v>
      </c>
      <c r="FJ2" t="b" cm="1">
        <f t="array" ref="FJ2">INDEX($B$1:$W$193,MATCH(FJ$1,$B$1:$B$193,0),MATCH(1,($B$1:$W$1=$AB2)*($B$2:$W$2=$AC2),0))</f>
        <v>1</v>
      </c>
      <c r="FK2" t="b" cm="1">
        <f t="array" ref="FK2">INDEX($B$1:$W$193,MATCH(FK$1,$B$1:$B$193,0),MATCH(1,($B$1:$W$1=$AB2)*($B$2:$W$2=$AC2),0))</f>
        <v>1</v>
      </c>
      <c r="FL2" t="b" cm="1">
        <f t="array" ref="FL2">INDEX($B$1:$W$193,MATCH(FL$1,$B$1:$B$193,0),MATCH(1,($B$1:$W$1=$AB2)*($B$2:$W$2=$AC2),0))</f>
        <v>1</v>
      </c>
      <c r="FM2" t="b" cm="1">
        <f t="array" ref="FM2">INDEX($B$1:$W$193,MATCH(FM$1,$B$1:$B$193,0),MATCH(1,($B$1:$W$1=$AB2)*($B$2:$W$2=$AC2),0))</f>
        <v>1</v>
      </c>
      <c r="FN2" t="b" cm="1">
        <f t="array" ref="FN2">INDEX($B$1:$W$193,MATCH(FN$1,$B$1:$B$193,0),MATCH(1,($B$1:$W$1=$AB2)*($B$2:$W$2=$AC2),0))</f>
        <v>1</v>
      </c>
      <c r="FO2" t="b" cm="1">
        <f t="array" ref="FO2">INDEX($B$1:$W$193,MATCH(FO$1,$B$1:$B$193,0),MATCH(1,($B$1:$W$1=$AB2)*($B$2:$W$2=$AC2),0))</f>
        <v>1</v>
      </c>
      <c r="FP2" t="b" cm="1">
        <f t="array" ref="FP2">INDEX($B$1:$W$193,MATCH(FP$1,$B$1:$B$193,0),MATCH(1,($B$1:$W$1=$AB2)*($B$2:$W$2=$AC2),0))</f>
        <v>1</v>
      </c>
      <c r="FQ2" t="b" cm="1">
        <f t="array" ref="FQ2">INDEX($B$1:$W$193,MATCH(FQ$1,$B$1:$B$193,0),MATCH(1,($B$1:$W$1=$AB2)*($B$2:$W$2=$AC2),0))</f>
        <v>1</v>
      </c>
      <c r="FR2" t="b" cm="1">
        <f t="array" ref="FR2">INDEX($B$1:$W$193,MATCH(FR$1,$B$1:$B$193,0),MATCH(1,($B$1:$W$1=$AB2)*($B$2:$W$2=$AC2),0))</f>
        <v>1</v>
      </c>
      <c r="FS2" t="b" cm="1">
        <f t="array" ref="FS2">INDEX($B$1:$W$193,MATCH(FS$1,$B$1:$B$193,0),MATCH(1,($B$1:$W$1=$AB2)*($B$2:$W$2=$AC2),0))</f>
        <v>1</v>
      </c>
      <c r="FT2" t="b" cm="1">
        <f t="array" ref="FT2">INDEX($B$1:$W$193,MATCH(FT$1,$B$1:$B$193,0),MATCH(1,($B$1:$W$1=$AB2)*($B$2:$W$2=$AC2),0))</f>
        <v>1</v>
      </c>
      <c r="FU2" t="b" cm="1">
        <f t="array" ref="FU2">INDEX($B$1:$W$193,MATCH(FU$1,$B$1:$B$193,0),MATCH(1,($B$1:$W$1=$AB2)*($B$2:$W$2=$AC2),0))</f>
        <v>1</v>
      </c>
      <c r="FV2" t="b" cm="1">
        <f t="array" ref="FV2">INDEX($B$1:$W$193,MATCH(FV$1,$B$1:$B$193,0),MATCH(1,($B$1:$W$1=$AB2)*($B$2:$W$2=$AC2),0))</f>
        <v>1</v>
      </c>
      <c r="FW2" t="b" cm="1">
        <f t="array" ref="FW2">INDEX($B$1:$W$193,MATCH(FW$1,$B$1:$B$193,0),MATCH(1,($B$1:$W$1=$AB2)*($B$2:$W$2=$AC2),0))</f>
        <v>1</v>
      </c>
      <c r="FX2" t="b" cm="1">
        <f t="array" ref="FX2">INDEX($B$1:$W$193,MATCH(FX$1,$B$1:$B$193,0),MATCH(1,($B$1:$W$1=$AB2)*($B$2:$W$2=$AC2),0))</f>
        <v>1</v>
      </c>
      <c r="FY2" t="b" cm="1">
        <f t="array" ref="FY2">INDEX($B$1:$W$193,MATCH(FY$1,$B$1:$B$193,0),MATCH(1,($B$1:$W$1=$AB2)*($B$2:$W$2=$AC2),0))</f>
        <v>1</v>
      </c>
      <c r="FZ2" t="b" cm="1">
        <f t="array" ref="FZ2">INDEX($B$1:$W$193,MATCH(FZ$1,$B$1:$B$193,0),MATCH(1,($B$1:$W$1=$AB2)*($B$2:$W$2=$AC2),0))</f>
        <v>1</v>
      </c>
      <c r="GA2" t="b" cm="1">
        <f t="array" ref="GA2">INDEX($B$1:$W$193,MATCH(GA$1,$B$1:$B$193,0),MATCH(1,($B$1:$W$1=$AB2)*($B$2:$W$2=$AC2),0))</f>
        <v>1</v>
      </c>
      <c r="GB2" t="b" cm="1">
        <f t="array" ref="GB2">INDEX($B$1:$W$193,MATCH(GB$1,$B$1:$B$193,0),MATCH(1,($B$1:$W$1=$AB2)*($B$2:$W$2=$AC2),0))</f>
        <v>1</v>
      </c>
      <c r="GC2" t="b" cm="1">
        <f t="array" ref="GC2">INDEX($B$1:$W$193,MATCH(GC$1,$B$1:$B$193,0),MATCH(1,($B$1:$W$1=$AB2)*($B$2:$W$2=$AC2),0))</f>
        <v>1</v>
      </c>
      <c r="GD2" t="b" cm="1">
        <f t="array" ref="GD2">INDEX($B$1:$W$193,MATCH(GD$1,$B$1:$B$193,0),MATCH(1,($B$1:$W$1=$AB2)*($B$2:$W$2=$AC2),0))</f>
        <v>1</v>
      </c>
      <c r="GE2" t="b" cm="1">
        <f t="array" ref="GE2">INDEX($B$1:$W$193,MATCH(GE$1,$B$1:$B$193,0),MATCH(1,($B$1:$W$1=$AB2)*($B$2:$W$2=$AC2),0))</f>
        <v>1</v>
      </c>
      <c r="GF2" t="b" cm="1">
        <f t="array" ref="GF2">INDEX($B$1:$W$193,MATCH(GF$1,$B$1:$B$193,0),MATCH(1,($B$1:$W$1=$AB2)*($B$2:$W$2=$AC2),0))</f>
        <v>1</v>
      </c>
      <c r="GG2" t="b" cm="1">
        <f t="array" ref="GG2">INDEX($B$1:$W$193,MATCH(GG$1,$B$1:$B$193,0),MATCH(1,($B$1:$W$1=$AB2)*($B$2:$W$2=$AC2),0))</f>
        <v>1</v>
      </c>
      <c r="GH2" t="b" cm="1">
        <f t="array" ref="GH2">INDEX($B$1:$W$193,MATCH(GH$1,$B$1:$B$193,0),MATCH(1,($B$1:$W$1=$AB2)*($B$2:$W$2=$AC2),0))</f>
        <v>1</v>
      </c>
      <c r="GI2" t="b" cm="1">
        <f t="array" ref="GI2">INDEX($B$1:$W$193,MATCH(GI$1,$B$1:$B$193,0),MATCH(1,($B$1:$W$1=$AB2)*($B$2:$W$2=$AC2),0))</f>
        <v>1</v>
      </c>
      <c r="GJ2" t="b" cm="1">
        <f t="array" ref="GJ2">INDEX($B$1:$W$193,MATCH(GJ$1,$B$1:$B$193,0),MATCH(1,($B$1:$W$1=$AB2)*($B$2:$W$2=$AC2),0))</f>
        <v>1</v>
      </c>
      <c r="GK2" t="b" cm="1">
        <f t="array" ref="GK2">INDEX($B$1:$W$193,MATCH(GK$1,$B$1:$B$193,0),MATCH(1,($B$1:$W$1=$AB2)*($B$2:$W$2=$AC2),0))</f>
        <v>1</v>
      </c>
      <c r="GL2" t="b" cm="1">
        <f t="array" ref="GL2">INDEX($B$1:$W$193,MATCH(GL$1,$B$1:$B$193,0),MATCH(1,($B$1:$W$1=$AB2)*($B$2:$W$2=$AC2),0))</f>
        <v>1</v>
      </c>
      <c r="GM2" t="b" cm="1">
        <f t="array" ref="GM2">INDEX($B$1:$W$193,MATCH(GM$1,$B$1:$B$193,0),MATCH(1,($B$1:$W$1=$AB2)*($B$2:$W$2=$AC2),0))</f>
        <v>1</v>
      </c>
      <c r="GN2" t="b" cm="1">
        <f t="array" ref="GN2">INDEX($B$1:$W$193,MATCH(GN$1,$B$1:$B$193,0),MATCH(1,($B$1:$W$1=$AB2)*($B$2:$W$2=$AC2),0))</f>
        <v>1</v>
      </c>
      <c r="GO2" t="b" cm="1">
        <f t="array" ref="GO2">INDEX($B$1:$W$193,MATCH(GO$1,$B$1:$B$193,0),MATCH(1,($B$1:$W$1=$AB2)*($B$2:$W$2=$AC2),0))</f>
        <v>1</v>
      </c>
      <c r="GP2" t="b" cm="1">
        <f t="array" ref="GP2">INDEX($B$1:$W$193,MATCH(GP$1,$B$1:$B$193,0),MATCH(1,($B$1:$W$1=$AB2)*($B$2:$W$2=$AC2),0))</f>
        <v>1</v>
      </c>
      <c r="GQ2" t="b" cm="1">
        <f t="array" ref="GQ2">INDEX($B$1:$W$193,MATCH(GQ$1,$B$1:$B$193,0),MATCH(1,($B$1:$W$1=$AB2)*($B$2:$W$2=$AC2),0))</f>
        <v>1</v>
      </c>
      <c r="GR2" t="b" cm="1">
        <f t="array" ref="GR2">INDEX($B$1:$W$193,MATCH(GR$1,$B$1:$B$193,0),MATCH(1,($B$1:$W$1=$AB2)*($B$2:$W$2=$AC2),0))</f>
        <v>1</v>
      </c>
      <c r="GS2" t="b" cm="1">
        <f t="array" ref="GS2">INDEX($B$1:$W$193,MATCH(GS$1,$B$1:$B$193,0),MATCH(1,($B$1:$W$1=$AB2)*($B$2:$W$2=$AC2),0))</f>
        <v>1</v>
      </c>
      <c r="GT2" t="b" cm="1">
        <f t="array" ref="GT2">INDEX($B$1:$W$193,MATCH(GT$1,$B$1:$B$193,0),MATCH(1,($B$1:$W$1=$AB2)*($B$2:$W$2=$AC2),0))</f>
        <v>1</v>
      </c>
      <c r="GU2" t="b" cm="1">
        <f t="array" ref="GU2">INDEX($B$1:$W$193,MATCH(GU$1,$B$1:$B$193,0),MATCH(1,($B$1:$W$1=$AB2)*($B$2:$W$2=$AC2),0))</f>
        <v>1</v>
      </c>
      <c r="GV2" t="b" cm="1">
        <f t="array" ref="GV2">INDEX($B$1:$W$193,MATCH(GV$1,$B$1:$B$193,0),MATCH(1,($B$1:$W$1=$AB2)*($B$2:$W$2=$AC2),0))</f>
        <v>1</v>
      </c>
      <c r="GW2" t="b" cm="1">
        <f t="array" ref="GW2">INDEX($B$1:$W$193,MATCH(GW$1,$B$1:$B$193,0),MATCH(1,($B$1:$W$1=$AB2)*($B$2:$W$2=$AC2),0))</f>
        <v>1</v>
      </c>
      <c r="GX2" t="b" cm="1">
        <f t="array" ref="GX2">INDEX($B$1:$W$193,MATCH(GX$1,$B$1:$B$193,0),MATCH(1,($B$1:$W$1=$AB2)*($B$2:$W$2=$AC2),0))</f>
        <v>1</v>
      </c>
      <c r="GY2" t="b" cm="1">
        <f t="array" ref="GY2">INDEX($B$1:$W$193,MATCH(GY$1,$B$1:$B$193,0),MATCH(1,($B$1:$W$1=$AB2)*($B$2:$W$2=$AC2),0))</f>
        <v>1</v>
      </c>
      <c r="GZ2" t="b" cm="1">
        <f t="array" ref="GZ2">INDEX($B$1:$W$193,MATCH(GZ$1,$B$1:$B$193,0),MATCH(1,($B$1:$W$1=$AB2)*($B$2:$W$2=$AC2),0))</f>
        <v>1</v>
      </c>
      <c r="HA2" t="b" cm="1">
        <f t="array" ref="HA2">INDEX($B$1:$W$193,MATCH(HA$1,$B$1:$B$193,0),MATCH(1,($B$1:$W$1=$AB2)*($B$2:$W$2=$AC2),0))</f>
        <v>1</v>
      </c>
      <c r="HB2" t="b" cm="1">
        <f t="array" ref="HB2">INDEX($B$1:$W$193,MATCH(HB$1,$B$1:$B$193,0),MATCH(1,($B$1:$W$1=$AB2)*($B$2:$W$2=$AC2),0))</f>
        <v>1</v>
      </c>
      <c r="HC2" t="b" cm="1">
        <f t="array" ref="HC2">INDEX($B$1:$W$193,MATCH(HC$1,$B$1:$B$193,0),MATCH(1,($B$1:$W$1=$AB2)*($B$2:$W$2=$AC2),0))</f>
        <v>1</v>
      </c>
      <c r="HD2" t="b" cm="1">
        <f t="array" ref="HD2">INDEX($B$1:$W$193,MATCH(HD$1,$B$1:$B$193,0),MATCH(1,($B$1:$W$1=$AB2)*($B$2:$W$2=$AC2),0))</f>
        <v>1</v>
      </c>
      <c r="HE2" t="b" cm="1">
        <f t="array" ref="HE2">INDEX($B$1:$W$193,MATCH(HE$1,$B$1:$B$193,0),MATCH(1,($B$1:$W$1=$AB2)*($B$2:$W$2=$AC2),0))</f>
        <v>1</v>
      </c>
      <c r="HF2" t="b" cm="1">
        <f t="array" ref="HF2">INDEX($B$1:$W$193,MATCH(HF$1,$B$1:$B$193,0),MATCH(1,($B$1:$W$1=$AB2)*($B$2:$W$2=$AC2),0))</f>
        <v>1</v>
      </c>
      <c r="HG2" t="b" cm="1">
        <f t="array" ref="HG2">INDEX($B$1:$W$193,MATCH(HG$1,$B$1:$B$193,0),MATCH(1,($B$1:$W$1=$AB2)*($B$2:$W$2=$AC2),0))</f>
        <v>1</v>
      </c>
      <c r="HH2" t="b" cm="1">
        <f t="array" ref="HH2">INDEX($B$1:$W$193,MATCH(HH$1,$B$1:$B$193,0),MATCH(1,($B$1:$W$1=$AB2)*($B$2:$W$2=$AC2),0))</f>
        <v>1</v>
      </c>
      <c r="HI2" t="b" cm="1">
        <f t="array" ref="HI2">INDEX($B$1:$W$193,MATCH(HI$1,$B$1:$B$193,0),MATCH(1,($B$1:$W$1=$AB2)*($B$2:$W$2=$AC2),0))</f>
        <v>1</v>
      </c>
      <c r="HJ2" t="b" cm="1">
        <f t="array" ref="HJ2">INDEX($B$1:$W$193,MATCH(HJ$1,$B$1:$B$193,0),MATCH(1,($B$1:$W$1=$AB2)*($B$2:$W$2=$AC2),0))</f>
        <v>1</v>
      </c>
      <c r="HK2" t="b" cm="1">
        <f t="array" ref="HK2">INDEX($B$1:$W$193,MATCH(HK$1,$B$1:$B$193,0),MATCH(1,($B$1:$W$1=$AB2)*($B$2:$W$2=$AC2),0))</f>
        <v>1</v>
      </c>
      <c r="HL2" t="b" cm="1">
        <f t="array" ref="HL2">INDEX($B$1:$W$193,MATCH(HL$1,$B$1:$B$193,0),MATCH(1,($B$1:$W$1=$AB2)*($B$2:$W$2=$AC2),0))</f>
        <v>1</v>
      </c>
      <c r="HM2" t="b" cm="1">
        <f t="array" ref="HM2">INDEX($B$1:$W$193,MATCH(HM$1,$B$1:$B$193,0),MATCH(1,($B$1:$W$1=$AB2)*($B$2:$W$2=$AC2),0))</f>
        <v>1</v>
      </c>
      <c r="HN2" t="b" cm="1">
        <f t="array" ref="HN2">INDEX($B$1:$W$193,MATCH(HN$1,$B$1:$B$193,0),MATCH(1,($B$1:$W$1=$AB2)*($B$2:$W$2=$AC2),0))</f>
        <v>1</v>
      </c>
      <c r="HO2" t="b" cm="1">
        <f t="array" ref="HO2">INDEX($B$1:$W$193,MATCH(HO$1,$B$1:$B$193,0),MATCH(1,($B$1:$W$1=$AB2)*($B$2:$W$2=$AC2),0))</f>
        <v>1</v>
      </c>
      <c r="HP2" t="b" cm="1">
        <f t="array" ref="HP2">INDEX($B$1:$W$193,MATCH(HP$1,$B$1:$B$193,0),MATCH(1,($B$1:$W$1=$AB2)*($B$2:$W$2=$AC2),0))</f>
        <v>1</v>
      </c>
      <c r="HQ2" t="b" cm="1">
        <f t="array" ref="HQ2">INDEX($B$1:$W$193,MATCH(HQ$1,$B$1:$B$193,0),MATCH(1,($B$1:$W$1=$AB2)*($B$2:$W$2=$AC2),0))</f>
        <v>1</v>
      </c>
      <c r="HR2" t="b" cm="1">
        <f t="array" ref="HR2">INDEX($B$1:$W$193,MATCH(HR$1,$B$1:$B$193,0),MATCH(1,($B$1:$W$1=$AB2)*($B$2:$W$2=$AC2),0))</f>
        <v>1</v>
      </c>
      <c r="HS2" t="b" cm="1">
        <f t="array" ref="HS2">INDEX($B$1:$W$193,MATCH(HS$1,$B$1:$B$193,0),MATCH(1,($B$1:$W$1=$AB2)*($B$2:$W$2=$AC2),0))</f>
        <v>1</v>
      </c>
      <c r="HT2" t="b" cm="1">
        <f t="array" ref="HT2">INDEX($B$1:$W$193,MATCH(HT$1,$B$1:$B$193,0),MATCH(1,($B$1:$W$1=$AB2)*($B$2:$W$2=$AC2),0))</f>
        <v>1</v>
      </c>
      <c r="HU2" t="b" cm="1">
        <f t="array" ref="HU2">INDEX($B$1:$W$193,MATCH(HU$1,$B$1:$B$193,0),MATCH(1,($B$1:$W$1=$AB2)*($B$2:$W$2=$AC2),0))</f>
        <v>1</v>
      </c>
      <c r="HV2" t="b" cm="1">
        <f t="array" ref="HV2">INDEX($B$1:$W$193,MATCH(HV$1,$B$1:$B$193,0),MATCH(1,($B$1:$W$1=$AB2)*($B$2:$W$2=$AC2),0))</f>
        <v>1</v>
      </c>
      <c r="HW2" t="b" cm="1">
        <f t="array" ref="HW2">INDEX($B$1:$W$193,MATCH(HW$1,$B$1:$B$193,0),MATCH(1,($B$1:$W$1=$AB2)*($B$2:$W$2=$AC2),0))</f>
        <v>1</v>
      </c>
      <c r="HX2" t="b" cm="1">
        <f t="array" ref="HX2">INDEX($B$1:$W$193,MATCH(HX$1,$B$1:$B$193,0),MATCH(1,($B$1:$W$1=$AB2)*($B$2:$W$2=$AC2),0))</f>
        <v>1</v>
      </c>
      <c r="HY2" t="b" cm="1">
        <f t="array" ref="HY2">INDEX($B$1:$W$193,MATCH(HY$1,$B$1:$B$193,0),MATCH(1,($B$1:$W$1=$AB2)*($B$2:$W$2=$AC2),0))</f>
        <v>1</v>
      </c>
      <c r="HZ2" t="b" cm="1">
        <f t="array" ref="HZ2">INDEX($B$1:$W$193,MATCH(HZ$1,$B$1:$B$193,0),MATCH(1,($B$1:$W$1=$AB2)*($B$2:$W$2=$AC2),0))</f>
        <v>1</v>
      </c>
      <c r="IA2" t="b" cm="1">
        <f t="array" ref="IA2">INDEX($B$1:$W$193,MATCH(IA$1,$B$1:$B$193,0),MATCH(1,($B$1:$W$1=$AB2)*($B$2:$W$2=$AC2),0))</f>
        <v>1</v>
      </c>
      <c r="IB2" t="b" cm="1">
        <f t="array" ref="IB2">INDEX($B$1:$W$193,MATCH(IB$1,$B$1:$B$193,0),MATCH(1,($B$1:$W$1=$AB2)*($B$2:$W$2=$AC2),0))</f>
        <v>1</v>
      </c>
      <c r="IC2" t="b" cm="1">
        <f t="array" ref="IC2">INDEX($B$1:$W$193,MATCH(IC$1,$B$1:$B$193,0),MATCH(1,($B$1:$W$1=$AB2)*($B$2:$W$2=$AC2),0))</f>
        <v>1</v>
      </c>
      <c r="ID2" t="b" cm="1">
        <f t="array" ref="ID2">INDEX($B$1:$W$193,MATCH(ID$1,$B$1:$B$193,0),MATCH(1,($B$1:$W$1=$AB2)*($B$2:$W$2=$AC2),0))</f>
        <v>1</v>
      </c>
      <c r="IE2" t="b" cm="1">
        <f t="array" ref="IE2">INDEX($B$1:$W$193,MATCH(IE$1,$B$1:$B$193,0),MATCH(1,($B$1:$W$1=$AB2)*($B$2:$W$2=$AC2),0))</f>
        <v>1</v>
      </c>
      <c r="IF2" t="b" cm="1">
        <f t="array" ref="IF2">INDEX($B$1:$W$193,MATCH(IF$1,$B$1:$B$193,0),MATCH(1,($B$1:$W$1=$AB2)*($B$2:$W$2=$AC2),0))</f>
        <v>1</v>
      </c>
      <c r="IG2" t="b" cm="1">
        <f t="array" ref="IG2">INDEX($B$1:$W$193,MATCH(IG$1,$B$1:$B$193,0),MATCH(1,($B$1:$W$1=$AB2)*($B$2:$W$2=$AC2),0))</f>
        <v>1</v>
      </c>
      <c r="IH2" t="b" cm="1">
        <f t="array" ref="IH2">INDEX($B$1:$W$193,MATCH(IH$1,$B$1:$B$193,0),MATCH(1,($B$1:$W$1=$AB2)*($B$2:$W$2=$AC2),0))</f>
        <v>1</v>
      </c>
      <c r="II2" t="b" cm="1">
        <f t="array" ref="II2">INDEX($B$1:$W$193,MATCH(II$1,$B$1:$B$193,0),MATCH(1,($B$1:$W$1=$AB2)*($B$2:$W$2=$AC2),0))</f>
        <v>1</v>
      </c>
      <c r="IJ2" t="b" cm="1">
        <f t="array" ref="IJ2">INDEX($B$1:$W$193,MATCH(IJ$1,$B$1:$B$193,0),MATCH(1,($B$1:$W$1=$AB2)*($B$2:$W$2=$AC2),0))</f>
        <v>1</v>
      </c>
      <c r="IK2" t="b" cm="1">
        <f t="array" ref="IK2">INDEX($B$1:$W$193,MATCH(IK$1,$B$1:$B$193,0),MATCH(1,($B$1:$W$1=$AB2)*($B$2:$W$2=$AC2),0))</f>
        <v>1</v>
      </c>
      <c r="IL2" t="b" cm="1">
        <f t="array" ref="IL2">INDEX($B$1:$W$193,MATCH(IL$1,$B$1:$B$193,0),MATCH(1,($B$1:$W$1=$AB2)*($B$2:$W$2=$AC2),0))</f>
        <v>1</v>
      </c>
      <c r="IM2" t="b" cm="1">
        <f t="array" ref="IM2">INDEX($B$1:$W$193,MATCH(IM$1,$B$1:$B$193,0),MATCH(1,($B$1:$W$1=$AB2)*($B$2:$W$2=$AC2),0))</f>
        <v>1</v>
      </c>
      <c r="IN2" t="b" cm="1">
        <f t="array" ref="IN2">INDEX($B$1:$W$193,MATCH(IN$1,$B$1:$B$193,0),MATCH(1,($B$1:$W$1=$AB2)*($B$2:$W$2=$AC2),0))</f>
        <v>1</v>
      </c>
      <c r="IO2" t="b" cm="1">
        <f t="array" ref="IO2">INDEX($B$1:$W$193,MATCH(IO$1,$B$1:$B$193,0),MATCH(1,($B$1:$W$1=$AB2)*($B$2:$W$2=$AC2),0))</f>
        <v>1</v>
      </c>
      <c r="IP2" t="b" cm="1">
        <f t="array" ref="IP2">INDEX($B$1:$W$193,MATCH(IP$1,$B$1:$B$193,0),MATCH(1,($B$1:$W$1=$AB2)*($B$2:$W$2=$AC2),0))</f>
        <v>1</v>
      </c>
      <c r="IQ2" t="b" cm="1">
        <f t="array" ref="IQ2">INDEX($B$1:$W$193,MATCH(IQ$1,$B$1:$B$193,0),MATCH(1,($B$1:$W$1=$AB2)*($B$2:$W$2=$AC2),0))</f>
        <v>1</v>
      </c>
      <c r="IR2" t="b" cm="1">
        <f t="array" ref="IR2">INDEX($B$1:$W$193,MATCH(IR$1,$B$1:$B$193,0),MATCH(1,($B$1:$W$1=$AB2)*($B$2:$W$2=$AC2),0))</f>
        <v>1</v>
      </c>
      <c r="IS2" t="b" cm="1">
        <f t="array" ref="IS2">INDEX($B$1:$W$193,MATCH(IS$1,$B$1:$B$193,0),MATCH(1,($B$1:$W$1=$AB2)*($B$2:$W$2=$AC2),0))</f>
        <v>1</v>
      </c>
      <c r="IT2" t="b" cm="1">
        <f t="array" ref="IT2">INDEX($B$1:$W$193,MATCH(IT$1,$B$1:$B$193,0),MATCH(1,($B$1:$W$1=$AB2)*($B$2:$W$2=$AC2),0))</f>
        <v>1</v>
      </c>
      <c r="IU2" t="b" cm="1">
        <f t="array" ref="IU2">INDEX($B$1:$W$193,MATCH(IU$1,$B$1:$B$193,0),MATCH(1,($B$1:$W$1=$AB2)*($B$2:$W$2=$AC2),0))</f>
        <v>1</v>
      </c>
      <c r="IV2" t="b" cm="1">
        <f t="array" ref="IV2">INDEX($B$1:$W$193,MATCH(IV$1,$B$1:$B$193,0),MATCH(1,($B$1:$W$1=$AB2)*($B$2:$W$2=$AC2),0))</f>
        <v>1</v>
      </c>
      <c r="IW2" t="b" cm="1">
        <f t="array" ref="IW2">INDEX($B$1:$W$193,MATCH(IW$1,$B$1:$B$193,0),MATCH(1,($B$1:$W$1=$AB2)*($B$2:$W$2=$AC2),0))</f>
        <v>1</v>
      </c>
      <c r="IX2" t="b" cm="1">
        <f t="array" ref="IX2">INDEX($B$1:$W$193,MATCH(IX$1,$B$1:$B$193,0),MATCH(1,($B$1:$W$1=$AB2)*($B$2:$W$2=$AC2),0))</f>
        <v>1</v>
      </c>
      <c r="IY2" t="b" cm="1">
        <f t="array" ref="IY2">INDEX($B$1:$W$193,MATCH(IY$1,$B$1:$B$193,0),MATCH(1,($B$1:$W$1=$AB2)*($B$2:$W$2=$AC2),0))</f>
        <v>1</v>
      </c>
      <c r="IZ2" t="b" cm="1">
        <f t="array" ref="IZ2">INDEX($B$1:$W$193,MATCH(IZ$1,$B$1:$B$193,0),MATCH(1,($B$1:$W$1=$AB2)*($B$2:$W$2=$AC2),0))</f>
        <v>1</v>
      </c>
      <c r="JA2" t="b" cm="1">
        <f t="array" ref="JA2">INDEX($B$1:$W$193,MATCH(JA$1,$B$1:$B$193,0),MATCH(1,($B$1:$W$1=$AB2)*($B$2:$W$2=$AC2),0))</f>
        <v>1</v>
      </c>
      <c r="JB2" t="b" cm="1">
        <f t="array" ref="JB2">INDEX($B$1:$W$193,MATCH(JB$1,$B$1:$B$193,0),MATCH(1,($B$1:$W$1=$AB2)*($B$2:$W$2=$AC2),0))</f>
        <v>1</v>
      </c>
      <c r="JC2" t="b" cm="1">
        <f t="array" ref="JC2">INDEX($B$1:$W$193,MATCH(JC$1,$B$1:$B$193,0),MATCH(1,($B$1:$W$1=$AB2)*($B$2:$W$2=$AC2),0))</f>
        <v>1</v>
      </c>
      <c r="JD2" t="b" cm="1">
        <f t="array" ref="JD2">INDEX($B$1:$W$193,MATCH(JD$1,$B$1:$B$193,0),MATCH(1,($B$1:$W$1=$AB2)*($B$2:$W$2=$AC2),0))</f>
        <v>1</v>
      </c>
      <c r="JE2" t="b" cm="1">
        <f t="array" ref="JE2">INDEX($B$1:$W$193,MATCH(JE$1,$B$1:$B$193,0),MATCH(1,($B$1:$W$1=$AB2)*($B$2:$W$2=$AC2),0))</f>
        <v>1</v>
      </c>
      <c r="JF2" t="b" cm="1">
        <f t="array" ref="JF2">INDEX($B$1:$W$193,MATCH(JF$1,$B$1:$B$193,0),MATCH(1,($B$1:$W$1=$AB2)*($B$2:$W$2=$AC2),0))</f>
        <v>1</v>
      </c>
      <c r="JG2" t="b" cm="1">
        <f t="array" ref="JG2">INDEX($B$1:$W$193,MATCH(JG$1,$B$1:$B$193,0),MATCH(1,($B$1:$W$1=$AB2)*($B$2:$W$2=$AC2),0))</f>
        <v>1</v>
      </c>
      <c r="JH2" t="b" cm="1">
        <f t="array" ref="JH2">INDEX($B$1:$W$193,MATCH(JH$1,$B$1:$B$193,0),MATCH(1,($B$1:$W$1=$AB2)*($B$2:$W$2=$AC2),0))</f>
        <v>1</v>
      </c>
    </row>
    <row r="3" spans="1:268" x14ac:dyDescent="0.25">
      <c r="A3" t="s">
        <v>164</v>
      </c>
      <c r="B3" s="51">
        <v>1</v>
      </c>
      <c r="C3">
        <v>2</v>
      </c>
      <c r="D3">
        <v>3</v>
      </c>
      <c r="E3" t="b">
        <f>IF(OR(INT(RIGHT(E$2,1))&lt;$D3,INT(RIGHT(E$2,1))=$D3),TRUE,FALSE)</f>
        <v>1</v>
      </c>
      <c r="F3" t="b">
        <f t="shared" ref="F3:P17" si="0">IF(OR(INT(RIGHT(F$2,1))&lt;$D3,INT(RIGHT(F$2,1))=$D3),TRUE,FALSE)</f>
        <v>1</v>
      </c>
      <c r="G3" t="b">
        <f t="shared" si="0"/>
        <v>1</v>
      </c>
      <c r="H3" t="b">
        <f t="shared" si="0"/>
        <v>0</v>
      </c>
      <c r="I3" t="b">
        <f t="shared" si="0"/>
        <v>0</v>
      </c>
      <c r="J3" t="b">
        <f t="shared" si="0"/>
        <v>0</v>
      </c>
      <c r="K3" t="b">
        <f t="shared" si="0"/>
        <v>1</v>
      </c>
      <c r="L3" t="b">
        <f t="shared" si="0"/>
        <v>1</v>
      </c>
      <c r="M3" t="b">
        <f t="shared" si="0"/>
        <v>1</v>
      </c>
      <c r="N3" t="b">
        <f t="shared" si="0"/>
        <v>0</v>
      </c>
      <c r="O3" t="b">
        <f t="shared" si="0"/>
        <v>0</v>
      </c>
      <c r="P3" t="b">
        <f t="shared" si="0"/>
        <v>0</v>
      </c>
      <c r="Q3" t="b">
        <v>1</v>
      </c>
      <c r="R3" t="b" cm="1">
        <f t="array" ref="R3">_xlfn.IFS(C3=1,FALSE,OR(C3=2,C3&gt;2),TRUE)</f>
        <v>1</v>
      </c>
      <c r="S3" t="b" cm="1">
        <f t="array" ref="S3">_xlfn.IFS(OR(C3=1,C3=2),FALSE,OR(C3=3,C3&gt;3),TRUE)</f>
        <v>0</v>
      </c>
      <c r="T3" t="str">
        <f>IF(C3&gt;=2,"TRUE","FALSE")</f>
        <v>TRUE</v>
      </c>
      <c r="U3" t="str">
        <f>IF(C3&gt;=3,"TRUE","FALSE")</f>
        <v>FALSE</v>
      </c>
      <c r="V3" t="str">
        <f>IF(C3&gt;=4,"TRUE","FALSE")</f>
        <v>FALSE</v>
      </c>
      <c r="W3" t="b" cm="1">
        <f t="array" ref="W3">_xlfn.IFS(H3=1,FALSE,OR(H3=2,H3&gt;2),TRUE)</f>
        <v>1</v>
      </c>
      <c r="X3" t="b" cm="1">
        <f t="array" ref="X3">_xlfn.IFS(H3=1,FALSE,OR(H3=2,H3&gt;2),TRUE)</f>
        <v>1</v>
      </c>
      <c r="Y3" t="b" cm="1">
        <f t="array" ref="Y3">_xlfn.IFS(H3=1,FALSE,OR(H3=2,H3&gt;2),TRUE)</f>
        <v>1</v>
      </c>
      <c r="AB3" t="s">
        <v>0</v>
      </c>
      <c r="AC3" t="s">
        <v>78</v>
      </c>
      <c r="AD3" t="b" cm="1">
        <f t="array" ref="AD3">INDEX($B$1:$W$193,MATCH(AD$1,$B$1:$B$193,0),MATCH(1,($B$1:$W$1=$AB3)*($B$2:$W$2=$AC3),0))</f>
        <v>1</v>
      </c>
      <c r="AE3" t="b" cm="1">
        <f t="array" ref="AE3">INDEX($B$1:$W$193,MATCH(AE$1,$B$1:$B$193,0),MATCH(1,($B$1:$W$1=$AB3)*($B$2:$W$2=$AC3),0))</f>
        <v>1</v>
      </c>
      <c r="AF3" t="b" cm="1">
        <f t="array" ref="AF3">INDEX($B$1:$W$193,MATCH(AF$1,$B$1:$B$193,0),MATCH(1,($B$1:$W$1=$AB3)*($B$2:$W$2=$AC3),0))</f>
        <v>1</v>
      </c>
      <c r="AG3" t="b" cm="1">
        <f t="array" ref="AG3">INDEX($B$1:$W$193,MATCH(AG$1,$B$1:$B$193,0),MATCH(1,($B$1:$W$1=$AB3)*($B$2:$W$2=$AC3),0))</f>
        <v>1</v>
      </c>
      <c r="AH3" t="b" cm="1">
        <f t="array" ref="AH3">INDEX($B$1:$W$193,MATCH(AH$1,$B$1:$B$193,0),MATCH(1,($B$1:$W$1=$AB3)*($B$2:$W$2=$AC3),0))</f>
        <v>1</v>
      </c>
      <c r="AI3" t="b" cm="1">
        <f t="array" ref="AI3">INDEX($B$1:$W$193,MATCH(AI$1,$B$1:$B$193,0),MATCH(1,($B$1:$W$1=$AB3)*($B$2:$W$2=$AC3),0))</f>
        <v>1</v>
      </c>
      <c r="AJ3" t="b" cm="1">
        <f t="array" ref="AJ3">INDEX($B$1:$W$193,MATCH(AJ$1,$B$1:$B$193,0),MATCH(1,($B$1:$W$1=$AB3)*($B$2:$W$2=$AC3),0))</f>
        <v>1</v>
      </c>
      <c r="AK3" t="b" cm="1">
        <f t="array" ref="AK3">INDEX($B$1:$W$193,MATCH(AK$1,$B$1:$B$193,0),MATCH(1,($B$1:$W$1=$AB3)*($B$2:$W$2=$AC3),0))</f>
        <v>1</v>
      </c>
      <c r="AL3" t="b" cm="1">
        <f t="array" ref="AL3">INDEX($B$1:$W$193,MATCH(AL$1,$B$1:$B$193,0),MATCH(1,($B$1:$W$1=$AB3)*($B$2:$W$2=$AC3),0))</f>
        <v>1</v>
      </c>
      <c r="AM3" t="b" cm="1">
        <f t="array" ref="AM3">INDEX($B$1:$W$193,MATCH(AM$1,$B$1:$B$193,0),MATCH(1,($B$1:$W$1=$AB3)*($B$2:$W$2=$AC3),0))</f>
        <v>1</v>
      </c>
      <c r="AN3" t="b" cm="1">
        <f t="array" ref="AN3">INDEX($B$1:$W$193,MATCH(AN$1,$B$1:$B$193,0),MATCH(1,($B$1:$W$1=$AB3)*($B$2:$W$2=$AC3),0))</f>
        <v>1</v>
      </c>
      <c r="AO3" t="b" cm="1">
        <f t="array" ref="AO3">INDEX($B$1:$W$193,MATCH(AO$1,$B$1:$B$193,0),MATCH(1,($B$1:$W$1=$AB3)*($B$2:$W$2=$AC3),0))</f>
        <v>1</v>
      </c>
      <c r="AP3" t="b" cm="1">
        <f t="array" ref="AP3">INDEX($B$1:$W$193,MATCH(AP$1,$B$1:$B$193,0),MATCH(1,($B$1:$W$1=$AB3)*($B$2:$W$2=$AC3),0))</f>
        <v>1</v>
      </c>
      <c r="AQ3" t="b" cm="1">
        <f t="array" ref="AQ3">INDEX($B$1:$W$193,MATCH(AQ$1,$B$1:$B$193,0),MATCH(1,($B$1:$W$1=$AB3)*($B$2:$W$2=$AC3),0))</f>
        <v>1</v>
      </c>
      <c r="AR3" t="b" cm="1">
        <f t="array" ref="AR3">INDEX($B$1:$W$193,MATCH(AR$1,$B$1:$B$193,0),MATCH(1,($B$1:$W$1=$AB3)*($B$2:$W$2=$AC3),0))</f>
        <v>1</v>
      </c>
      <c r="AS3" t="b" cm="1">
        <f t="array" ref="AS3">INDEX($B$1:$W$193,MATCH(AS$1,$B$1:$B$193,0),MATCH(1,($B$1:$W$1=$AB3)*($B$2:$W$2=$AC3),0))</f>
        <v>1</v>
      </c>
      <c r="AT3" t="b" cm="1">
        <f t="array" ref="AT3">INDEX($B$1:$W$193,MATCH(AT$1,$B$1:$B$193,0),MATCH(1,($B$1:$W$1=$AB3)*($B$2:$W$2=$AC3),0))</f>
        <v>1</v>
      </c>
      <c r="AU3" t="b" cm="1">
        <f t="array" ref="AU3">INDEX($B$1:$W$193,MATCH(AU$1,$B$1:$B$193,0),MATCH(1,($B$1:$W$1=$AB3)*($B$2:$W$2=$AC3),0))</f>
        <v>1</v>
      </c>
      <c r="AV3" t="b" cm="1">
        <f t="array" ref="AV3">INDEX($B$1:$W$193,MATCH(AV$1,$B$1:$B$193,0),MATCH(1,($B$1:$W$1=$AB3)*($B$2:$W$2=$AC3),0))</f>
        <v>1</v>
      </c>
      <c r="AW3" t="b" cm="1">
        <f t="array" ref="AW3">INDEX($B$1:$W$193,MATCH(AW$1,$B$1:$B$193,0),MATCH(1,($B$1:$W$1=$AB3)*($B$2:$W$2=$AC3),0))</f>
        <v>1</v>
      </c>
      <c r="AX3" t="b" cm="1">
        <f t="array" ref="AX3">INDEX($B$1:$W$193,MATCH(AX$1,$B$1:$B$193,0),MATCH(1,($B$1:$W$1=$AB3)*($B$2:$W$2=$AC3),0))</f>
        <v>1</v>
      </c>
      <c r="AY3" t="b" cm="1">
        <f t="array" ref="AY3">INDEX($B$1:$W$193,MATCH(AY$1,$B$1:$B$193,0),MATCH(1,($B$1:$W$1=$AB3)*($B$2:$W$2=$AC3),0))</f>
        <v>1</v>
      </c>
      <c r="AZ3" t="b" cm="1">
        <f t="array" ref="AZ3">INDEX($B$1:$W$193,MATCH(AZ$1,$B$1:$B$193,0),MATCH(1,($B$1:$W$1=$AB3)*($B$2:$W$2=$AC3),0))</f>
        <v>1</v>
      </c>
      <c r="BA3" t="b" cm="1">
        <f t="array" ref="BA3">INDEX($B$1:$W$193,MATCH(BA$1,$B$1:$B$193,0),MATCH(1,($B$1:$W$1=$AB3)*($B$2:$W$2=$AC3),0))</f>
        <v>1</v>
      </c>
      <c r="BB3" t="b" cm="1">
        <f t="array" ref="BB3">INDEX($B$1:$W$193,MATCH(BB$1,$B$1:$B$193,0),MATCH(1,($B$1:$W$1=$AB3)*($B$2:$W$2=$AC3),0))</f>
        <v>1</v>
      </c>
      <c r="BC3" t="b" cm="1">
        <f t="array" ref="BC3">INDEX($B$1:$W$193,MATCH(BC$1,$B$1:$B$193,0),MATCH(1,($B$1:$W$1=$AB3)*($B$2:$W$2=$AC3),0))</f>
        <v>1</v>
      </c>
      <c r="BD3" t="b" cm="1">
        <f t="array" ref="BD3">INDEX($B$1:$W$193,MATCH(BD$1,$B$1:$B$193,0),MATCH(1,($B$1:$W$1=$AB3)*($B$2:$W$2=$AC3),0))</f>
        <v>1</v>
      </c>
      <c r="BE3" t="b" cm="1">
        <f t="array" ref="BE3">INDEX($B$1:$W$193,MATCH(BE$1,$B$1:$B$193,0),MATCH(1,($B$1:$W$1=$AB3)*($B$2:$W$2=$AC3),0))</f>
        <v>1</v>
      </c>
      <c r="BF3" t="b" cm="1">
        <f t="array" ref="BF3">INDEX($B$1:$W$193,MATCH(BF$1,$B$1:$B$193,0),MATCH(1,($B$1:$W$1=$AB3)*($B$2:$W$2=$AC3),0))</f>
        <v>1</v>
      </c>
      <c r="BG3" t="b" cm="1">
        <f t="array" ref="BG3">INDEX($B$1:$W$193,MATCH(BG$1,$B$1:$B$193,0),MATCH(1,($B$1:$W$1=$AB3)*($B$2:$W$2=$AC3),0))</f>
        <v>1</v>
      </c>
      <c r="BH3" t="b" cm="1">
        <f t="array" ref="BH3">INDEX($B$1:$W$193,MATCH(BH$1,$B$1:$B$193,0),MATCH(1,($B$1:$W$1=$AB3)*($B$2:$W$2=$AC3),0))</f>
        <v>1</v>
      </c>
      <c r="BI3" t="b" cm="1">
        <f t="array" ref="BI3">INDEX($B$1:$W$193,MATCH(BI$1,$B$1:$B$193,0),MATCH(1,($B$1:$W$1=$AB3)*($B$2:$W$2=$AC3),0))</f>
        <v>1</v>
      </c>
      <c r="BJ3" t="b" cm="1">
        <f t="array" ref="BJ3">INDEX($B$1:$W$193,MATCH(BJ$1,$B$1:$B$193,0),MATCH(1,($B$1:$W$1=$AB3)*($B$2:$W$2=$AC3),0))</f>
        <v>1</v>
      </c>
      <c r="BK3" t="b" cm="1">
        <f t="array" ref="BK3">INDEX($B$1:$W$193,MATCH(BK$1,$B$1:$B$193,0),MATCH(1,($B$1:$W$1=$AB3)*($B$2:$W$2=$AC3),0))</f>
        <v>1</v>
      </c>
      <c r="BL3" t="b" cm="1">
        <f t="array" ref="BL3">INDEX($B$1:$W$193,MATCH(BL$1,$B$1:$B$193,0),MATCH(1,($B$1:$W$1=$AB3)*($B$2:$W$2=$AC3),0))</f>
        <v>1</v>
      </c>
      <c r="BM3" t="b" cm="1">
        <f t="array" ref="BM3">INDEX($B$1:$W$193,MATCH(BM$1,$B$1:$B$193,0),MATCH(1,($B$1:$W$1=$AB3)*($B$2:$W$2=$AC3),0))</f>
        <v>1</v>
      </c>
      <c r="BN3" t="b" cm="1">
        <f t="array" ref="BN3">INDEX($B$1:$W$193,MATCH(BN$1,$B$1:$B$193,0),MATCH(1,($B$1:$W$1=$AB3)*($B$2:$W$2=$AC3),0))</f>
        <v>1</v>
      </c>
      <c r="BO3" t="b" cm="1">
        <f t="array" ref="BO3">INDEX($B$1:$W$193,MATCH(BO$1,$B$1:$B$193,0),MATCH(1,($B$1:$W$1=$AB3)*($B$2:$W$2=$AC3),0))</f>
        <v>1</v>
      </c>
      <c r="BP3" t="b" cm="1">
        <f t="array" ref="BP3">INDEX($B$1:$W$193,MATCH(BP$1,$B$1:$B$193,0),MATCH(1,($B$1:$W$1=$AB3)*($B$2:$W$2=$AC3),0))</f>
        <v>1</v>
      </c>
      <c r="BQ3" t="b" cm="1">
        <f t="array" ref="BQ3">INDEX($B$1:$W$193,MATCH(BQ$1,$B$1:$B$193,0),MATCH(1,($B$1:$W$1=$AB3)*($B$2:$W$2=$AC3),0))</f>
        <v>1</v>
      </c>
      <c r="BR3" t="b" cm="1">
        <f t="array" ref="BR3">INDEX($B$1:$W$193,MATCH(BR$1,$B$1:$B$193,0),MATCH(1,($B$1:$W$1=$AB3)*($B$2:$W$2=$AC3),0))</f>
        <v>1</v>
      </c>
      <c r="BS3" t="b" cm="1">
        <f t="array" ref="BS3">INDEX($B$1:$W$193,MATCH(BS$1,$B$1:$B$193,0),MATCH(1,($B$1:$W$1=$AB3)*($B$2:$W$2=$AC3),0))</f>
        <v>1</v>
      </c>
      <c r="BT3" t="b" cm="1">
        <f t="array" ref="BT3">INDEX($B$1:$W$193,MATCH(BT$1,$B$1:$B$193,0),MATCH(1,($B$1:$W$1=$AB3)*($B$2:$W$2=$AC3),0))</f>
        <v>1</v>
      </c>
      <c r="BU3" t="b" cm="1">
        <f t="array" ref="BU3">INDEX($B$1:$W$193,MATCH(BU$1,$B$1:$B$193,0),MATCH(1,($B$1:$W$1=$AB3)*($B$2:$W$2=$AC3),0))</f>
        <v>1</v>
      </c>
      <c r="BV3" t="b" cm="1">
        <f t="array" ref="BV3">INDEX($B$1:$W$193,MATCH(BV$1,$B$1:$B$193,0),MATCH(1,($B$1:$W$1=$AB3)*($B$2:$W$2=$AC3),0))</f>
        <v>1</v>
      </c>
      <c r="BW3" t="b" cm="1">
        <f t="array" ref="BW3">INDEX($B$1:$W$193,MATCH(BW$1,$B$1:$B$193,0),MATCH(1,($B$1:$W$1=$AB3)*($B$2:$W$2=$AC3),0))</f>
        <v>1</v>
      </c>
      <c r="BX3" t="b" cm="1">
        <f t="array" ref="BX3">INDEX($B$1:$W$193,MATCH(BX$1,$B$1:$B$193,0),MATCH(1,($B$1:$W$1=$AB3)*($B$2:$W$2=$AC3),0))</f>
        <v>1</v>
      </c>
      <c r="BY3" t="b" cm="1">
        <f t="array" ref="BY3">INDEX($B$1:$W$193,MATCH(BY$1,$B$1:$B$193,0),MATCH(1,($B$1:$W$1=$AB3)*($B$2:$W$2=$AC3),0))</f>
        <v>1</v>
      </c>
      <c r="BZ3" t="b" cm="1">
        <f t="array" ref="BZ3">INDEX($B$1:$W$193,MATCH(BZ$1,$B$1:$B$193,0),MATCH(1,($B$1:$W$1=$AB3)*($B$2:$W$2=$AC3),0))</f>
        <v>1</v>
      </c>
      <c r="CA3" t="b" cm="1">
        <f t="array" ref="CA3">INDEX($B$1:$W$193,MATCH(CA$1,$B$1:$B$193,0),MATCH(1,($B$1:$W$1=$AB3)*($B$2:$W$2=$AC3),0))</f>
        <v>1</v>
      </c>
      <c r="CB3" t="b" cm="1">
        <f t="array" ref="CB3">INDEX($B$1:$W$193,MATCH(CB$1,$B$1:$B$193,0),MATCH(1,($B$1:$W$1=$AB3)*($B$2:$W$2=$AC3),0))</f>
        <v>1</v>
      </c>
      <c r="CC3" t="b" cm="1">
        <f t="array" ref="CC3">INDEX($B$1:$W$193,MATCH(CC$1,$B$1:$B$193,0),MATCH(1,($B$1:$W$1=$AB3)*($B$2:$W$2=$AC3),0))</f>
        <v>1</v>
      </c>
      <c r="CD3" t="b" cm="1">
        <f t="array" ref="CD3">INDEX($B$1:$W$193,MATCH(CD$1,$B$1:$B$193,0),MATCH(1,($B$1:$W$1=$AB3)*($B$2:$W$2=$AC3),0))</f>
        <v>1</v>
      </c>
      <c r="CE3" t="b" cm="1">
        <f t="array" ref="CE3">INDEX($B$1:$W$193,MATCH(CE$1,$B$1:$B$193,0),MATCH(1,($B$1:$W$1=$AB3)*($B$2:$W$2=$AC3),0))</f>
        <v>1</v>
      </c>
      <c r="CF3" t="b" cm="1">
        <f t="array" ref="CF3">INDEX($B$1:$W$193,MATCH(CF$1,$B$1:$B$193,0),MATCH(1,($B$1:$W$1=$AB3)*($B$2:$W$2=$AC3),0))</f>
        <v>1</v>
      </c>
      <c r="CG3" t="b" cm="1">
        <f t="array" ref="CG3">INDEX($B$1:$W$193,MATCH(CG$1,$B$1:$B$193,0),MATCH(1,($B$1:$W$1=$AB3)*($B$2:$W$2=$AC3),0))</f>
        <v>1</v>
      </c>
      <c r="CH3" t="b" cm="1">
        <f t="array" ref="CH3">INDEX($B$1:$W$193,MATCH(CH$1,$B$1:$B$193,0),MATCH(1,($B$1:$W$1=$AB3)*($B$2:$W$2=$AC3),0))</f>
        <v>1</v>
      </c>
      <c r="CI3" t="b" cm="1">
        <f t="array" ref="CI3">INDEX($B$1:$W$193,MATCH(CI$1,$B$1:$B$193,0),MATCH(1,($B$1:$W$1=$AB3)*($B$2:$W$2=$AC3),0))</f>
        <v>1</v>
      </c>
      <c r="CJ3" t="b" cm="1">
        <f t="array" ref="CJ3">INDEX($B$1:$W$193,MATCH(CJ$1,$B$1:$B$193,0),MATCH(1,($B$1:$W$1=$AB3)*($B$2:$W$2=$AC3),0))</f>
        <v>1</v>
      </c>
      <c r="CK3" t="b" cm="1">
        <f t="array" ref="CK3">INDEX($B$1:$W$193,MATCH(CK$1,$B$1:$B$193,0),MATCH(1,($B$1:$W$1=$AB3)*($B$2:$W$2=$AC3),0))</f>
        <v>1</v>
      </c>
      <c r="CL3" t="b" cm="1">
        <f t="array" ref="CL3">INDEX($B$1:$W$193,MATCH(CL$1,$B$1:$B$193,0),MATCH(1,($B$1:$W$1=$AB3)*($B$2:$W$2=$AC3),0))</f>
        <v>1</v>
      </c>
      <c r="CM3" t="b" cm="1">
        <f t="array" ref="CM3">INDEX($B$1:$W$193,MATCH(CM$1,$B$1:$B$193,0),MATCH(1,($B$1:$W$1=$AB3)*($B$2:$W$2=$AC3),0))</f>
        <v>1</v>
      </c>
      <c r="CN3" t="b" cm="1">
        <f t="array" ref="CN3">INDEX($B$1:$W$193,MATCH(CN$1,$B$1:$B$193,0),MATCH(1,($B$1:$W$1=$AB3)*($B$2:$W$2=$AC3),0))</f>
        <v>1</v>
      </c>
      <c r="CO3" t="b" cm="1">
        <f t="array" ref="CO3">INDEX($B$1:$W$193,MATCH(CO$1,$B$1:$B$193,0),MATCH(1,($B$1:$W$1=$AB3)*($B$2:$W$2=$AC3),0))</f>
        <v>1</v>
      </c>
      <c r="CP3" t="b" cm="1">
        <f t="array" ref="CP3">INDEX($B$1:$W$193,MATCH(CP$1,$B$1:$B$193,0),MATCH(1,($B$1:$W$1=$AB3)*($B$2:$W$2=$AC3),0))</f>
        <v>1</v>
      </c>
      <c r="CQ3" t="b" cm="1">
        <f t="array" ref="CQ3">INDEX($B$1:$W$193,MATCH(CQ$1,$B$1:$B$193,0),MATCH(1,($B$1:$W$1=$AB3)*($B$2:$W$2=$AC3),0))</f>
        <v>1</v>
      </c>
      <c r="CR3" t="b" cm="1">
        <f t="array" ref="CR3">INDEX($B$1:$W$193,MATCH(CR$1,$B$1:$B$193,0),MATCH(1,($B$1:$W$1=$AB3)*($B$2:$W$2=$AC3),0))</f>
        <v>1</v>
      </c>
      <c r="CS3" t="b" cm="1">
        <f t="array" ref="CS3">INDEX($B$1:$W$193,MATCH(CS$1,$B$1:$B$193,0),MATCH(1,($B$1:$W$1=$AB3)*($B$2:$W$2=$AC3),0))</f>
        <v>1</v>
      </c>
      <c r="CT3" t="b" cm="1">
        <f t="array" ref="CT3">INDEX($B$1:$W$193,MATCH(CT$1,$B$1:$B$193,0),MATCH(1,($B$1:$W$1=$AB3)*($B$2:$W$2=$AC3),0))</f>
        <v>1</v>
      </c>
      <c r="CU3" t="b" cm="1">
        <f t="array" ref="CU3">INDEX($B$1:$W$193,MATCH(CU$1,$B$1:$B$193,0),MATCH(1,($B$1:$W$1=$AB3)*($B$2:$W$2=$AC3),0))</f>
        <v>1</v>
      </c>
      <c r="CV3" t="b" cm="1">
        <f t="array" ref="CV3">INDEX($B$1:$W$193,MATCH(CV$1,$B$1:$B$193,0),MATCH(1,($B$1:$W$1=$AB3)*($B$2:$W$2=$AC3),0))</f>
        <v>1</v>
      </c>
      <c r="CW3" t="b" cm="1">
        <f t="array" ref="CW3">INDEX($B$1:$W$193,MATCH(CW$1,$B$1:$B$193,0),MATCH(1,($B$1:$W$1=$AB3)*($B$2:$W$2=$AC3),0))</f>
        <v>1</v>
      </c>
      <c r="CX3" t="b" cm="1">
        <f t="array" ref="CX3">INDEX($B$1:$W$193,MATCH(CX$1,$B$1:$B$193,0),MATCH(1,($B$1:$W$1=$AB3)*($B$2:$W$2=$AC3),0))</f>
        <v>1</v>
      </c>
      <c r="CY3" t="b" cm="1">
        <f t="array" ref="CY3">INDEX($B$1:$W$193,MATCH(CY$1,$B$1:$B$193,0),MATCH(1,($B$1:$W$1=$AB3)*($B$2:$W$2=$AC3),0))</f>
        <v>1</v>
      </c>
      <c r="CZ3" t="b" cm="1">
        <f t="array" ref="CZ3">INDEX($B$1:$W$193,MATCH(CZ$1,$B$1:$B$193,0),MATCH(1,($B$1:$W$1=$AB3)*($B$2:$W$2=$AC3),0))</f>
        <v>1</v>
      </c>
      <c r="DA3" t="b" cm="1">
        <f t="array" ref="DA3">INDEX($B$1:$W$193,MATCH(DA$1,$B$1:$B$193,0),MATCH(1,($B$1:$W$1=$AB3)*($B$2:$W$2=$AC3),0))</f>
        <v>1</v>
      </c>
      <c r="DB3" t="b" cm="1">
        <f t="array" ref="DB3">INDEX($B$1:$W$193,MATCH(DB$1,$B$1:$B$193,0),MATCH(1,($B$1:$W$1=$AB3)*($B$2:$W$2=$AC3),0))</f>
        <v>1</v>
      </c>
      <c r="DC3" t="b" cm="1">
        <f t="array" ref="DC3">INDEX($B$1:$W$193,MATCH(DC$1,$B$1:$B$193,0),MATCH(1,($B$1:$W$1=$AB3)*($B$2:$W$2=$AC3),0))</f>
        <v>1</v>
      </c>
      <c r="DD3" t="b" cm="1">
        <f t="array" ref="DD3">INDEX($B$1:$W$193,MATCH(DD$1,$B$1:$B$193,0),MATCH(1,($B$1:$W$1=$AB3)*($B$2:$W$2=$AC3),0))</f>
        <v>1</v>
      </c>
      <c r="DE3" t="b" cm="1">
        <f t="array" ref="DE3">INDEX($B$1:$W$193,MATCH(DE$1,$B$1:$B$193,0),MATCH(1,($B$1:$W$1=$AB3)*($B$2:$W$2=$AC3),0))</f>
        <v>1</v>
      </c>
      <c r="DF3" t="b" cm="1">
        <f t="array" ref="DF3">INDEX($B$1:$W$193,MATCH(DF$1,$B$1:$B$193,0),MATCH(1,($B$1:$W$1=$AB3)*($B$2:$W$2=$AC3),0))</f>
        <v>1</v>
      </c>
      <c r="DG3" t="b" cm="1">
        <f t="array" ref="DG3">INDEX($B$1:$W$193,MATCH(DG$1,$B$1:$B$193,0),MATCH(1,($B$1:$W$1=$AB3)*($B$2:$W$2=$AC3),0))</f>
        <v>1</v>
      </c>
      <c r="DH3" t="b" cm="1">
        <f t="array" ref="DH3">INDEX($B$1:$W$193,MATCH(DH$1,$B$1:$B$193,0),MATCH(1,($B$1:$W$1=$AB3)*($B$2:$W$2=$AC3),0))</f>
        <v>1</v>
      </c>
      <c r="DI3" t="b" cm="1">
        <f t="array" ref="DI3">INDEX($B$1:$W$193,MATCH(DI$1,$B$1:$B$193,0),MATCH(1,($B$1:$W$1=$AB3)*($B$2:$W$2=$AC3),0))</f>
        <v>1</v>
      </c>
      <c r="DJ3" t="b" cm="1">
        <f t="array" ref="DJ3">INDEX($B$1:$W$193,MATCH(DJ$1,$B$1:$B$193,0),MATCH(1,($B$1:$W$1=$AB3)*($B$2:$W$2=$AC3),0))</f>
        <v>1</v>
      </c>
      <c r="DK3" t="b" cm="1">
        <f t="array" ref="DK3">INDEX($B$1:$W$193,MATCH(DK$1,$B$1:$B$193,0),MATCH(1,($B$1:$W$1=$AB3)*($B$2:$W$2=$AC3),0))</f>
        <v>1</v>
      </c>
      <c r="DL3" t="b" cm="1">
        <f t="array" ref="DL3">INDEX($B$1:$W$193,MATCH(DL$1,$B$1:$B$193,0),MATCH(1,($B$1:$W$1=$AB3)*($B$2:$W$2=$AC3),0))</f>
        <v>1</v>
      </c>
      <c r="DM3" t="b" cm="1">
        <f t="array" ref="DM3">INDEX($B$1:$W$193,MATCH(DM$1,$B$1:$B$193,0),MATCH(1,($B$1:$W$1=$AB3)*($B$2:$W$2=$AC3),0))</f>
        <v>1</v>
      </c>
      <c r="DN3" t="b" cm="1">
        <f t="array" ref="DN3">INDEX($B$1:$W$193,MATCH(DN$1,$B$1:$B$193,0),MATCH(1,($B$1:$W$1=$AB3)*($B$2:$W$2=$AC3),0))</f>
        <v>1</v>
      </c>
      <c r="DO3" t="b" cm="1">
        <f t="array" ref="DO3">INDEX($B$1:$W$193,MATCH(DO$1,$B$1:$B$193,0),MATCH(1,($B$1:$W$1=$AB3)*($B$2:$W$2=$AC3),0))</f>
        <v>1</v>
      </c>
      <c r="DP3" t="b" cm="1">
        <f t="array" ref="DP3">INDEX($B$1:$W$193,MATCH(DP$1,$B$1:$B$193,0),MATCH(1,($B$1:$W$1=$AB3)*($B$2:$W$2=$AC3),0))</f>
        <v>1</v>
      </c>
      <c r="DQ3" t="b" cm="1">
        <f t="array" ref="DQ3">INDEX($B$1:$W$193,MATCH(DQ$1,$B$1:$B$193,0),MATCH(1,($B$1:$W$1=$AB3)*($B$2:$W$2=$AC3),0))</f>
        <v>1</v>
      </c>
      <c r="DR3" t="b" cm="1">
        <f t="array" ref="DR3">INDEX($B$1:$W$193,MATCH(DR$1,$B$1:$B$193,0),MATCH(1,($B$1:$W$1=$AB3)*($B$2:$W$2=$AC3),0))</f>
        <v>1</v>
      </c>
      <c r="DS3" t="b" cm="1">
        <f t="array" ref="DS3">INDEX($B$1:$W$193,MATCH(DS$1,$B$1:$B$193,0),MATCH(1,($B$1:$W$1=$AB3)*($B$2:$W$2=$AC3),0))</f>
        <v>1</v>
      </c>
      <c r="DT3" t="b" cm="1">
        <f t="array" ref="DT3">INDEX($B$1:$W$193,MATCH(DT$1,$B$1:$B$193,0),MATCH(1,($B$1:$W$1=$AB3)*($B$2:$W$2=$AC3),0))</f>
        <v>1</v>
      </c>
      <c r="DU3" t="b" cm="1">
        <f t="array" ref="DU3">INDEX($B$1:$W$193,MATCH(DU$1,$B$1:$B$193,0),MATCH(1,($B$1:$W$1=$AB3)*($B$2:$W$2=$AC3),0))</f>
        <v>1</v>
      </c>
      <c r="DV3" t="b" cm="1">
        <f t="array" ref="DV3">INDEX($B$1:$W$193,MATCH(DV$1,$B$1:$B$193,0),MATCH(1,($B$1:$W$1=$AB3)*($B$2:$W$2=$AC3),0))</f>
        <v>1</v>
      </c>
      <c r="DW3" t="b" cm="1">
        <f t="array" ref="DW3">INDEX($B$1:$W$193,MATCH(DW$1,$B$1:$B$193,0),MATCH(1,($B$1:$W$1=$AB3)*($B$2:$W$2=$AC3),0))</f>
        <v>1</v>
      </c>
      <c r="DX3" t="b" cm="1">
        <f t="array" ref="DX3">INDEX($B$1:$W$193,MATCH(DX$1,$B$1:$B$193,0),MATCH(1,($B$1:$W$1=$AB3)*($B$2:$W$2=$AC3),0))</f>
        <v>1</v>
      </c>
      <c r="DY3" t="b" cm="1">
        <f t="array" ref="DY3">INDEX($B$1:$W$193,MATCH(DY$1,$B$1:$B$193,0),MATCH(1,($B$1:$W$1=$AB3)*($B$2:$W$2=$AC3),0))</f>
        <v>1</v>
      </c>
      <c r="DZ3" t="b" cm="1">
        <f t="array" ref="DZ3">INDEX($B$1:$W$193,MATCH(DZ$1,$B$1:$B$193,0),MATCH(1,($B$1:$W$1=$AB3)*($B$2:$W$2=$AC3),0))</f>
        <v>1</v>
      </c>
      <c r="EA3" t="b" cm="1">
        <f t="array" ref="EA3">INDEX($B$1:$W$193,MATCH(EA$1,$B$1:$B$193,0),MATCH(1,($B$1:$W$1=$AB3)*($B$2:$W$2=$AC3),0))</f>
        <v>1</v>
      </c>
      <c r="EB3" t="b" cm="1">
        <f t="array" ref="EB3">INDEX($B$1:$W$193,MATCH(EB$1,$B$1:$B$193,0),MATCH(1,($B$1:$W$1=$AB3)*($B$2:$W$2=$AC3),0))</f>
        <v>1</v>
      </c>
      <c r="EC3" t="b" cm="1">
        <f t="array" ref="EC3">INDEX($B$1:$W$193,MATCH(EC$1,$B$1:$B$193,0),MATCH(1,($B$1:$W$1=$AB3)*($B$2:$W$2=$AC3),0))</f>
        <v>1</v>
      </c>
      <c r="ED3" t="b" cm="1">
        <f t="array" ref="ED3">INDEX($B$1:$W$193,MATCH(ED$1,$B$1:$B$193,0),MATCH(1,($B$1:$W$1=$AB3)*($B$2:$W$2=$AC3),0))</f>
        <v>1</v>
      </c>
      <c r="EE3" t="b" cm="1">
        <f t="array" ref="EE3">INDEX($B$1:$W$193,MATCH(EE$1,$B$1:$B$193,0),MATCH(1,($B$1:$W$1=$AB3)*($B$2:$W$2=$AC3),0))</f>
        <v>1</v>
      </c>
      <c r="EF3" t="b" cm="1">
        <f t="array" ref="EF3">INDEX($B$1:$W$193,MATCH(EF$1,$B$1:$B$193,0),MATCH(1,($B$1:$W$1=$AB3)*($B$2:$W$2=$AC3),0))</f>
        <v>1</v>
      </c>
      <c r="EG3" t="b" cm="1">
        <f t="array" ref="EG3">INDEX($B$1:$W$193,MATCH(EG$1,$B$1:$B$193,0),MATCH(1,($B$1:$W$1=$AB3)*($B$2:$W$2=$AC3),0))</f>
        <v>1</v>
      </c>
      <c r="EH3" t="b" cm="1">
        <f t="array" ref="EH3">INDEX($B$1:$W$193,MATCH(EH$1,$B$1:$B$193,0),MATCH(1,($B$1:$W$1=$AB3)*($B$2:$W$2=$AC3),0))</f>
        <v>1</v>
      </c>
      <c r="EI3" t="b" cm="1">
        <f t="array" ref="EI3">INDEX($B$1:$W$193,MATCH(EI$1,$B$1:$B$193,0),MATCH(1,($B$1:$W$1=$AB3)*($B$2:$W$2=$AC3),0))</f>
        <v>1</v>
      </c>
      <c r="EJ3" t="b" cm="1">
        <f t="array" ref="EJ3">INDEX($B$1:$W$193,MATCH(EJ$1,$B$1:$B$193,0),MATCH(1,($B$1:$W$1=$AB3)*($B$2:$W$2=$AC3),0))</f>
        <v>1</v>
      </c>
      <c r="EK3" t="b" cm="1">
        <f t="array" ref="EK3">INDEX($B$1:$W$193,MATCH(EK$1,$B$1:$B$193,0),MATCH(1,($B$1:$W$1=$AB3)*($B$2:$W$2=$AC3),0))</f>
        <v>1</v>
      </c>
      <c r="EL3" t="b" cm="1">
        <f t="array" ref="EL3">INDEX($B$1:$W$193,MATCH(EL$1,$B$1:$B$193,0),MATCH(1,($B$1:$W$1=$AB3)*($B$2:$W$2=$AC3),0))</f>
        <v>1</v>
      </c>
      <c r="EM3" t="b" cm="1">
        <f t="array" ref="EM3">INDEX($B$1:$W$193,MATCH(EM$1,$B$1:$B$193,0),MATCH(1,($B$1:$W$1=$AB3)*($B$2:$W$2=$AC3),0))</f>
        <v>1</v>
      </c>
      <c r="EN3" t="b" cm="1">
        <f t="array" ref="EN3">INDEX($B$1:$W$193,MATCH(EN$1,$B$1:$B$193,0),MATCH(1,($B$1:$W$1=$AB3)*($B$2:$W$2=$AC3),0))</f>
        <v>1</v>
      </c>
      <c r="EO3" t="b" cm="1">
        <f t="array" ref="EO3">INDEX($B$1:$W$193,MATCH(EO$1,$B$1:$B$193,0),MATCH(1,($B$1:$W$1=$AB3)*($B$2:$W$2=$AC3),0))</f>
        <v>1</v>
      </c>
      <c r="EP3" t="b" cm="1">
        <f t="array" ref="EP3">INDEX($B$1:$W$193,MATCH(EP$1,$B$1:$B$193,0),MATCH(1,($B$1:$W$1=$AB3)*($B$2:$W$2=$AC3),0))</f>
        <v>1</v>
      </c>
      <c r="EQ3" t="b" cm="1">
        <f t="array" ref="EQ3">INDEX($B$1:$W$193,MATCH(EQ$1,$B$1:$B$193,0),MATCH(1,($B$1:$W$1=$AB3)*($B$2:$W$2=$AC3),0))</f>
        <v>1</v>
      </c>
      <c r="ER3" t="b" cm="1">
        <f t="array" ref="ER3">INDEX($B$1:$W$193,MATCH(ER$1,$B$1:$B$193,0),MATCH(1,($B$1:$W$1=$AB3)*($B$2:$W$2=$AC3),0))</f>
        <v>1</v>
      </c>
      <c r="ES3" t="b" cm="1">
        <f t="array" ref="ES3">INDEX($B$1:$W$193,MATCH(ES$1,$B$1:$B$193,0),MATCH(1,($B$1:$W$1=$AB3)*($B$2:$W$2=$AC3),0))</f>
        <v>1</v>
      </c>
      <c r="ET3" t="b" cm="1">
        <f t="array" ref="ET3">INDEX($B$1:$W$193,MATCH(ET$1,$B$1:$B$193,0),MATCH(1,($B$1:$W$1=$AB3)*($B$2:$W$2=$AC3),0))</f>
        <v>1</v>
      </c>
      <c r="EU3" t="b" cm="1">
        <f t="array" ref="EU3">INDEX($B$1:$W$193,MATCH(EU$1,$B$1:$B$193,0),MATCH(1,($B$1:$W$1=$AB3)*($B$2:$W$2=$AC3),0))</f>
        <v>1</v>
      </c>
      <c r="EV3" t="b" cm="1">
        <f t="array" ref="EV3">INDEX($B$1:$W$193,MATCH(EV$1,$B$1:$B$193,0),MATCH(1,($B$1:$W$1=$AB3)*($B$2:$W$2=$AC3),0))</f>
        <v>1</v>
      </c>
      <c r="EW3" t="b" cm="1">
        <f t="array" ref="EW3">INDEX($B$1:$W$193,MATCH(EW$1,$B$1:$B$193,0),MATCH(1,($B$1:$W$1=$AB3)*($B$2:$W$2=$AC3),0))</f>
        <v>1</v>
      </c>
      <c r="EX3" t="b" cm="1">
        <f t="array" ref="EX3">INDEX($B$1:$W$193,MATCH(EX$1,$B$1:$B$193,0),MATCH(1,($B$1:$W$1=$AB3)*($B$2:$W$2=$AC3),0))</f>
        <v>1</v>
      </c>
      <c r="EY3" t="b" cm="1">
        <f t="array" ref="EY3">INDEX($B$1:$W$193,MATCH(EY$1,$B$1:$B$193,0),MATCH(1,($B$1:$W$1=$AB3)*($B$2:$W$2=$AC3),0))</f>
        <v>1</v>
      </c>
      <c r="EZ3" t="b" cm="1">
        <f t="array" ref="EZ3">INDEX($B$1:$W$193,MATCH(EZ$1,$B$1:$B$193,0),MATCH(1,($B$1:$W$1=$AB3)*($B$2:$W$2=$AC3),0))</f>
        <v>1</v>
      </c>
      <c r="FA3" t="b" cm="1">
        <f t="array" ref="FA3">INDEX($B$1:$W$193,MATCH(FA$1,$B$1:$B$193,0),MATCH(1,($B$1:$W$1=$AB3)*($B$2:$W$2=$AC3),0))</f>
        <v>1</v>
      </c>
      <c r="FB3" t="b" cm="1">
        <f t="array" ref="FB3">INDEX($B$1:$W$193,MATCH(FB$1,$B$1:$B$193,0),MATCH(1,($B$1:$W$1=$AB3)*($B$2:$W$2=$AC3),0))</f>
        <v>1</v>
      </c>
      <c r="FC3" t="b" cm="1">
        <f t="array" ref="FC3">INDEX($B$1:$W$193,MATCH(FC$1,$B$1:$B$193,0),MATCH(1,($B$1:$W$1=$AB3)*($B$2:$W$2=$AC3),0))</f>
        <v>1</v>
      </c>
      <c r="FD3" t="b" cm="1">
        <f t="array" ref="FD3">INDEX($B$1:$W$193,MATCH(FD$1,$B$1:$B$193,0),MATCH(1,($B$1:$W$1=$AB3)*($B$2:$W$2=$AC3),0))</f>
        <v>1</v>
      </c>
      <c r="FE3" t="b" cm="1">
        <f t="array" ref="FE3">INDEX($B$1:$W$193,MATCH(FE$1,$B$1:$B$193,0),MATCH(1,($B$1:$W$1=$AB3)*($B$2:$W$2=$AC3),0))</f>
        <v>1</v>
      </c>
      <c r="FF3" t="b" cm="1">
        <f t="array" ref="FF3">INDEX($B$1:$W$193,MATCH(FF$1,$B$1:$B$193,0),MATCH(1,($B$1:$W$1=$AB3)*($B$2:$W$2=$AC3),0))</f>
        <v>1</v>
      </c>
      <c r="FG3" t="b" cm="1">
        <f t="array" ref="FG3">INDEX($B$1:$W$193,MATCH(FG$1,$B$1:$B$193,0),MATCH(1,($B$1:$W$1=$AB3)*($B$2:$W$2=$AC3),0))</f>
        <v>1</v>
      </c>
      <c r="FH3" t="b" cm="1">
        <f t="array" ref="FH3">INDEX($B$1:$W$193,MATCH(FH$1,$B$1:$B$193,0),MATCH(1,($B$1:$W$1=$AB3)*($B$2:$W$2=$AC3),0))</f>
        <v>1</v>
      </c>
      <c r="FI3" t="b" cm="1">
        <f t="array" ref="FI3">INDEX($B$1:$W$193,MATCH(FI$1,$B$1:$B$193,0),MATCH(1,($B$1:$W$1=$AB3)*($B$2:$W$2=$AC3),0))</f>
        <v>1</v>
      </c>
      <c r="FJ3" t="b" cm="1">
        <f t="array" ref="FJ3">INDEX($B$1:$W$193,MATCH(FJ$1,$B$1:$B$193,0),MATCH(1,($B$1:$W$1=$AB3)*($B$2:$W$2=$AC3),0))</f>
        <v>1</v>
      </c>
      <c r="FK3" t="b" cm="1">
        <f t="array" ref="FK3">INDEX($B$1:$W$193,MATCH(FK$1,$B$1:$B$193,0),MATCH(1,($B$1:$W$1=$AB3)*($B$2:$W$2=$AC3),0))</f>
        <v>1</v>
      </c>
      <c r="FL3" t="b" cm="1">
        <f t="array" ref="FL3">INDEX($B$1:$W$193,MATCH(FL$1,$B$1:$B$193,0),MATCH(1,($B$1:$W$1=$AB3)*($B$2:$W$2=$AC3),0))</f>
        <v>1</v>
      </c>
      <c r="FM3" t="b" cm="1">
        <f t="array" ref="FM3">INDEX($B$1:$W$193,MATCH(FM$1,$B$1:$B$193,0),MATCH(1,($B$1:$W$1=$AB3)*($B$2:$W$2=$AC3),0))</f>
        <v>1</v>
      </c>
      <c r="FN3" t="b" cm="1">
        <f t="array" ref="FN3">INDEX($B$1:$W$193,MATCH(FN$1,$B$1:$B$193,0),MATCH(1,($B$1:$W$1=$AB3)*($B$2:$W$2=$AC3),0))</f>
        <v>1</v>
      </c>
      <c r="FO3" t="b" cm="1">
        <f t="array" ref="FO3">INDEX($B$1:$W$193,MATCH(FO$1,$B$1:$B$193,0),MATCH(1,($B$1:$W$1=$AB3)*($B$2:$W$2=$AC3),0))</f>
        <v>1</v>
      </c>
      <c r="FP3" t="b" cm="1">
        <f t="array" ref="FP3">INDEX($B$1:$W$193,MATCH(FP$1,$B$1:$B$193,0),MATCH(1,($B$1:$W$1=$AB3)*($B$2:$W$2=$AC3),0))</f>
        <v>1</v>
      </c>
      <c r="FQ3" t="b" cm="1">
        <f t="array" ref="FQ3">INDEX($B$1:$W$193,MATCH(FQ$1,$B$1:$B$193,0),MATCH(1,($B$1:$W$1=$AB3)*($B$2:$W$2=$AC3),0))</f>
        <v>1</v>
      </c>
      <c r="FR3" t="b" cm="1">
        <f t="array" ref="FR3">INDEX($B$1:$W$193,MATCH(FR$1,$B$1:$B$193,0),MATCH(1,($B$1:$W$1=$AB3)*($B$2:$W$2=$AC3),0))</f>
        <v>1</v>
      </c>
      <c r="FS3" t="b" cm="1">
        <f t="array" ref="FS3">INDEX($B$1:$W$193,MATCH(FS$1,$B$1:$B$193,0),MATCH(1,($B$1:$W$1=$AB3)*($B$2:$W$2=$AC3),0))</f>
        <v>1</v>
      </c>
      <c r="FT3" t="b" cm="1">
        <f t="array" ref="FT3">INDEX($B$1:$W$193,MATCH(FT$1,$B$1:$B$193,0),MATCH(1,($B$1:$W$1=$AB3)*($B$2:$W$2=$AC3),0))</f>
        <v>1</v>
      </c>
      <c r="FU3" t="b" cm="1">
        <f t="array" ref="FU3">INDEX($B$1:$W$193,MATCH(FU$1,$B$1:$B$193,0),MATCH(1,($B$1:$W$1=$AB3)*($B$2:$W$2=$AC3),0))</f>
        <v>1</v>
      </c>
      <c r="FV3" t="b" cm="1">
        <f t="array" ref="FV3">INDEX($B$1:$W$193,MATCH(FV$1,$B$1:$B$193,0),MATCH(1,($B$1:$W$1=$AB3)*($B$2:$W$2=$AC3),0))</f>
        <v>1</v>
      </c>
      <c r="FW3" t="b" cm="1">
        <f t="array" ref="FW3">INDEX($B$1:$W$193,MATCH(FW$1,$B$1:$B$193,0),MATCH(1,($B$1:$W$1=$AB3)*($B$2:$W$2=$AC3),0))</f>
        <v>1</v>
      </c>
      <c r="FX3" t="b" cm="1">
        <f t="array" ref="FX3">INDEX($B$1:$W$193,MATCH(FX$1,$B$1:$B$193,0),MATCH(1,($B$1:$W$1=$AB3)*($B$2:$W$2=$AC3),0))</f>
        <v>1</v>
      </c>
      <c r="FY3" t="b" cm="1">
        <f t="array" ref="FY3">INDEX($B$1:$W$193,MATCH(FY$1,$B$1:$B$193,0),MATCH(1,($B$1:$W$1=$AB3)*($B$2:$W$2=$AC3),0))</f>
        <v>1</v>
      </c>
      <c r="FZ3" t="b" cm="1">
        <f t="array" ref="FZ3">INDEX($B$1:$W$193,MATCH(FZ$1,$B$1:$B$193,0),MATCH(1,($B$1:$W$1=$AB3)*($B$2:$W$2=$AC3),0))</f>
        <v>1</v>
      </c>
      <c r="GA3" t="b" cm="1">
        <f t="array" ref="GA3">INDEX($B$1:$W$193,MATCH(GA$1,$B$1:$B$193,0),MATCH(1,($B$1:$W$1=$AB3)*($B$2:$W$2=$AC3),0))</f>
        <v>1</v>
      </c>
      <c r="GB3" t="b" cm="1">
        <f t="array" ref="GB3">INDEX($B$1:$W$193,MATCH(GB$1,$B$1:$B$193,0),MATCH(1,($B$1:$W$1=$AB3)*($B$2:$W$2=$AC3),0))</f>
        <v>1</v>
      </c>
      <c r="GC3" t="b" cm="1">
        <f t="array" ref="GC3">INDEX($B$1:$W$193,MATCH(GC$1,$B$1:$B$193,0),MATCH(1,($B$1:$W$1=$AB3)*($B$2:$W$2=$AC3),0))</f>
        <v>1</v>
      </c>
      <c r="GD3" t="b" cm="1">
        <f t="array" ref="GD3">INDEX($B$1:$W$193,MATCH(GD$1,$B$1:$B$193,0),MATCH(1,($B$1:$W$1=$AB3)*($B$2:$W$2=$AC3),0))</f>
        <v>1</v>
      </c>
      <c r="GE3" t="b" cm="1">
        <f t="array" ref="GE3">INDEX($B$1:$W$193,MATCH(GE$1,$B$1:$B$193,0),MATCH(1,($B$1:$W$1=$AB3)*($B$2:$W$2=$AC3),0))</f>
        <v>1</v>
      </c>
      <c r="GF3" t="b" cm="1">
        <f t="array" ref="GF3">INDEX($B$1:$W$193,MATCH(GF$1,$B$1:$B$193,0),MATCH(1,($B$1:$W$1=$AB3)*($B$2:$W$2=$AC3),0))</f>
        <v>1</v>
      </c>
      <c r="GG3" t="b" cm="1">
        <f t="array" ref="GG3">INDEX($B$1:$W$193,MATCH(GG$1,$B$1:$B$193,0),MATCH(1,($B$1:$W$1=$AB3)*($B$2:$W$2=$AC3),0))</f>
        <v>1</v>
      </c>
      <c r="GH3" t="b" cm="1">
        <f t="array" ref="GH3">INDEX($B$1:$W$193,MATCH(GH$1,$B$1:$B$193,0),MATCH(1,($B$1:$W$1=$AB3)*($B$2:$W$2=$AC3),0))</f>
        <v>1</v>
      </c>
      <c r="GI3" t="b" cm="1">
        <f t="array" ref="GI3">INDEX($B$1:$W$193,MATCH(GI$1,$B$1:$B$193,0),MATCH(1,($B$1:$W$1=$AB3)*($B$2:$W$2=$AC3),0))</f>
        <v>1</v>
      </c>
      <c r="GJ3" t="b" cm="1">
        <f t="array" ref="GJ3">INDEX($B$1:$W$193,MATCH(GJ$1,$B$1:$B$193,0),MATCH(1,($B$1:$W$1=$AB3)*($B$2:$W$2=$AC3),0))</f>
        <v>1</v>
      </c>
      <c r="GK3" t="b" cm="1">
        <f t="array" ref="GK3">INDEX($B$1:$W$193,MATCH(GK$1,$B$1:$B$193,0),MATCH(1,($B$1:$W$1=$AB3)*($B$2:$W$2=$AC3),0))</f>
        <v>1</v>
      </c>
      <c r="GL3" t="b" cm="1">
        <f t="array" ref="GL3">INDEX($B$1:$W$193,MATCH(GL$1,$B$1:$B$193,0),MATCH(1,($B$1:$W$1=$AB3)*($B$2:$W$2=$AC3),0))</f>
        <v>1</v>
      </c>
      <c r="GM3" t="b" cm="1">
        <f t="array" ref="GM3">INDEX($B$1:$W$193,MATCH(GM$1,$B$1:$B$193,0),MATCH(1,($B$1:$W$1=$AB3)*($B$2:$W$2=$AC3),0))</f>
        <v>1</v>
      </c>
      <c r="GN3" t="b" cm="1">
        <f t="array" ref="GN3">INDEX($B$1:$W$193,MATCH(GN$1,$B$1:$B$193,0),MATCH(1,($B$1:$W$1=$AB3)*($B$2:$W$2=$AC3),0))</f>
        <v>1</v>
      </c>
      <c r="GO3" t="b" cm="1">
        <f t="array" ref="GO3">INDEX($B$1:$W$193,MATCH(GO$1,$B$1:$B$193,0),MATCH(1,($B$1:$W$1=$AB3)*($B$2:$W$2=$AC3),0))</f>
        <v>1</v>
      </c>
      <c r="GP3" t="b" cm="1">
        <f t="array" ref="GP3">INDEX($B$1:$W$193,MATCH(GP$1,$B$1:$B$193,0),MATCH(1,($B$1:$W$1=$AB3)*($B$2:$W$2=$AC3),0))</f>
        <v>1</v>
      </c>
      <c r="GQ3" t="b" cm="1">
        <f t="array" ref="GQ3">INDEX($B$1:$W$193,MATCH(GQ$1,$B$1:$B$193,0),MATCH(1,($B$1:$W$1=$AB3)*($B$2:$W$2=$AC3),0))</f>
        <v>1</v>
      </c>
      <c r="GR3" t="b" cm="1">
        <f t="array" ref="GR3">INDEX($B$1:$W$193,MATCH(GR$1,$B$1:$B$193,0),MATCH(1,($B$1:$W$1=$AB3)*($B$2:$W$2=$AC3),0))</f>
        <v>1</v>
      </c>
      <c r="GS3" t="b" cm="1">
        <f t="array" ref="GS3">INDEX($B$1:$W$193,MATCH(GS$1,$B$1:$B$193,0),MATCH(1,($B$1:$W$1=$AB3)*($B$2:$W$2=$AC3),0))</f>
        <v>1</v>
      </c>
      <c r="GT3" t="b" cm="1">
        <f t="array" ref="GT3">INDEX($B$1:$W$193,MATCH(GT$1,$B$1:$B$193,0),MATCH(1,($B$1:$W$1=$AB3)*($B$2:$W$2=$AC3),0))</f>
        <v>1</v>
      </c>
      <c r="GU3" t="b" cm="1">
        <f t="array" ref="GU3">INDEX($B$1:$W$193,MATCH(GU$1,$B$1:$B$193,0),MATCH(1,($B$1:$W$1=$AB3)*($B$2:$W$2=$AC3),0))</f>
        <v>1</v>
      </c>
      <c r="GV3" t="b" cm="1">
        <f t="array" ref="GV3">INDEX($B$1:$W$193,MATCH(GV$1,$B$1:$B$193,0),MATCH(1,($B$1:$W$1=$AB3)*($B$2:$W$2=$AC3),0))</f>
        <v>1</v>
      </c>
      <c r="GW3" t="b" cm="1">
        <f t="array" ref="GW3">INDEX($B$1:$W$193,MATCH(GW$1,$B$1:$B$193,0),MATCH(1,($B$1:$W$1=$AB3)*($B$2:$W$2=$AC3),0))</f>
        <v>1</v>
      </c>
      <c r="GX3" t="b" cm="1">
        <f t="array" ref="GX3">INDEX($B$1:$W$193,MATCH(GX$1,$B$1:$B$193,0),MATCH(1,($B$1:$W$1=$AB3)*($B$2:$W$2=$AC3),0))</f>
        <v>1</v>
      </c>
      <c r="GY3" t="b" cm="1">
        <f t="array" ref="GY3">INDEX($B$1:$W$193,MATCH(GY$1,$B$1:$B$193,0),MATCH(1,($B$1:$W$1=$AB3)*($B$2:$W$2=$AC3),0))</f>
        <v>1</v>
      </c>
      <c r="GZ3" t="b" cm="1">
        <f t="array" ref="GZ3">INDEX($B$1:$W$193,MATCH(GZ$1,$B$1:$B$193,0),MATCH(1,($B$1:$W$1=$AB3)*($B$2:$W$2=$AC3),0))</f>
        <v>1</v>
      </c>
      <c r="HA3" t="b" cm="1">
        <f t="array" ref="HA3">INDEX($B$1:$W$193,MATCH(HA$1,$B$1:$B$193,0),MATCH(1,($B$1:$W$1=$AB3)*($B$2:$W$2=$AC3),0))</f>
        <v>1</v>
      </c>
      <c r="HB3" t="b" cm="1">
        <f t="array" ref="HB3">INDEX($B$1:$W$193,MATCH(HB$1,$B$1:$B$193,0),MATCH(1,($B$1:$W$1=$AB3)*($B$2:$W$2=$AC3),0))</f>
        <v>1</v>
      </c>
      <c r="HC3" t="b" cm="1">
        <f t="array" ref="HC3">INDEX($B$1:$W$193,MATCH(HC$1,$B$1:$B$193,0),MATCH(1,($B$1:$W$1=$AB3)*($B$2:$W$2=$AC3),0))</f>
        <v>1</v>
      </c>
      <c r="HD3" t="b" cm="1">
        <f t="array" ref="HD3">INDEX($B$1:$W$193,MATCH(HD$1,$B$1:$B$193,0),MATCH(1,($B$1:$W$1=$AB3)*($B$2:$W$2=$AC3),0))</f>
        <v>1</v>
      </c>
      <c r="HE3" t="b" cm="1">
        <f t="array" ref="HE3">INDEX($B$1:$W$193,MATCH(HE$1,$B$1:$B$193,0),MATCH(1,($B$1:$W$1=$AB3)*($B$2:$W$2=$AC3),0))</f>
        <v>1</v>
      </c>
      <c r="HF3" t="b" cm="1">
        <f t="array" ref="HF3">INDEX($B$1:$W$193,MATCH(HF$1,$B$1:$B$193,0),MATCH(1,($B$1:$W$1=$AB3)*($B$2:$W$2=$AC3),0))</f>
        <v>1</v>
      </c>
      <c r="HG3" t="b" cm="1">
        <f t="array" ref="HG3">INDEX($B$1:$W$193,MATCH(HG$1,$B$1:$B$193,0),MATCH(1,($B$1:$W$1=$AB3)*($B$2:$W$2=$AC3),0))</f>
        <v>1</v>
      </c>
      <c r="HH3" t="b" cm="1">
        <f t="array" ref="HH3">INDEX($B$1:$W$193,MATCH(HH$1,$B$1:$B$193,0),MATCH(1,($B$1:$W$1=$AB3)*($B$2:$W$2=$AC3),0))</f>
        <v>1</v>
      </c>
      <c r="HI3" t="b" cm="1">
        <f t="array" ref="HI3">INDEX($B$1:$W$193,MATCH(HI$1,$B$1:$B$193,0),MATCH(1,($B$1:$W$1=$AB3)*($B$2:$W$2=$AC3),0))</f>
        <v>1</v>
      </c>
      <c r="HJ3" t="b" cm="1">
        <f t="array" ref="HJ3">INDEX($B$1:$W$193,MATCH(HJ$1,$B$1:$B$193,0),MATCH(1,($B$1:$W$1=$AB3)*($B$2:$W$2=$AC3),0))</f>
        <v>1</v>
      </c>
      <c r="HK3" t="b" cm="1">
        <f t="array" ref="HK3">INDEX($B$1:$W$193,MATCH(HK$1,$B$1:$B$193,0),MATCH(1,($B$1:$W$1=$AB3)*($B$2:$W$2=$AC3),0))</f>
        <v>1</v>
      </c>
      <c r="HL3" t="b" cm="1">
        <f t="array" ref="HL3">INDEX($B$1:$W$193,MATCH(HL$1,$B$1:$B$193,0),MATCH(1,($B$1:$W$1=$AB3)*($B$2:$W$2=$AC3),0))</f>
        <v>1</v>
      </c>
      <c r="HM3" t="b" cm="1">
        <f t="array" ref="HM3">INDEX($B$1:$W$193,MATCH(HM$1,$B$1:$B$193,0),MATCH(1,($B$1:$W$1=$AB3)*($B$2:$W$2=$AC3),0))</f>
        <v>1</v>
      </c>
      <c r="HN3" t="b" cm="1">
        <f t="array" ref="HN3">INDEX($B$1:$W$193,MATCH(HN$1,$B$1:$B$193,0),MATCH(1,($B$1:$W$1=$AB3)*($B$2:$W$2=$AC3),0))</f>
        <v>1</v>
      </c>
      <c r="HO3" t="b" cm="1">
        <f t="array" ref="HO3">INDEX($B$1:$W$193,MATCH(HO$1,$B$1:$B$193,0),MATCH(1,($B$1:$W$1=$AB3)*($B$2:$W$2=$AC3),0))</f>
        <v>1</v>
      </c>
      <c r="HP3" t="b" cm="1">
        <f t="array" ref="HP3">INDEX($B$1:$W$193,MATCH(HP$1,$B$1:$B$193,0),MATCH(1,($B$1:$W$1=$AB3)*($B$2:$W$2=$AC3),0))</f>
        <v>1</v>
      </c>
      <c r="HQ3" t="b" cm="1">
        <f t="array" ref="HQ3">INDEX($B$1:$W$193,MATCH(HQ$1,$B$1:$B$193,0),MATCH(1,($B$1:$W$1=$AB3)*($B$2:$W$2=$AC3),0))</f>
        <v>1</v>
      </c>
      <c r="HR3" t="b" cm="1">
        <f t="array" ref="HR3">INDEX($B$1:$W$193,MATCH(HR$1,$B$1:$B$193,0),MATCH(1,($B$1:$W$1=$AB3)*($B$2:$W$2=$AC3),0))</f>
        <v>1</v>
      </c>
      <c r="HS3" t="b" cm="1">
        <f t="array" ref="HS3">INDEX($B$1:$W$193,MATCH(HS$1,$B$1:$B$193,0),MATCH(1,($B$1:$W$1=$AB3)*($B$2:$W$2=$AC3),0))</f>
        <v>1</v>
      </c>
      <c r="HT3" t="b" cm="1">
        <f t="array" ref="HT3">INDEX($B$1:$W$193,MATCH(HT$1,$B$1:$B$193,0),MATCH(1,($B$1:$W$1=$AB3)*($B$2:$W$2=$AC3),0))</f>
        <v>1</v>
      </c>
      <c r="HU3" t="b" cm="1">
        <f t="array" ref="HU3">INDEX($B$1:$W$193,MATCH(HU$1,$B$1:$B$193,0),MATCH(1,($B$1:$W$1=$AB3)*($B$2:$W$2=$AC3),0))</f>
        <v>1</v>
      </c>
      <c r="HV3" t="b" cm="1">
        <f t="array" ref="HV3">INDEX($B$1:$W$193,MATCH(HV$1,$B$1:$B$193,0),MATCH(1,($B$1:$W$1=$AB3)*($B$2:$W$2=$AC3),0))</f>
        <v>1</v>
      </c>
      <c r="HW3" t="b" cm="1">
        <f t="array" ref="HW3">INDEX($B$1:$W$193,MATCH(HW$1,$B$1:$B$193,0),MATCH(1,($B$1:$W$1=$AB3)*($B$2:$W$2=$AC3),0))</f>
        <v>1</v>
      </c>
      <c r="HX3" t="b" cm="1">
        <f t="array" ref="HX3">INDEX($B$1:$W$193,MATCH(HX$1,$B$1:$B$193,0),MATCH(1,($B$1:$W$1=$AB3)*($B$2:$W$2=$AC3),0))</f>
        <v>1</v>
      </c>
      <c r="HY3" t="b" cm="1">
        <f t="array" ref="HY3">INDEX($B$1:$W$193,MATCH(HY$1,$B$1:$B$193,0),MATCH(1,($B$1:$W$1=$AB3)*($B$2:$W$2=$AC3),0))</f>
        <v>1</v>
      </c>
      <c r="HZ3" t="b" cm="1">
        <f t="array" ref="HZ3">INDEX($B$1:$W$193,MATCH(HZ$1,$B$1:$B$193,0),MATCH(1,($B$1:$W$1=$AB3)*($B$2:$W$2=$AC3),0))</f>
        <v>1</v>
      </c>
      <c r="IA3" t="b" cm="1">
        <f t="array" ref="IA3">INDEX($B$1:$W$193,MATCH(IA$1,$B$1:$B$193,0),MATCH(1,($B$1:$W$1=$AB3)*($B$2:$W$2=$AC3),0))</f>
        <v>1</v>
      </c>
      <c r="IB3" t="b" cm="1">
        <f t="array" ref="IB3">INDEX($B$1:$W$193,MATCH(IB$1,$B$1:$B$193,0),MATCH(1,($B$1:$W$1=$AB3)*($B$2:$W$2=$AC3),0))</f>
        <v>1</v>
      </c>
      <c r="IC3" t="b" cm="1">
        <f t="array" ref="IC3">INDEX($B$1:$W$193,MATCH(IC$1,$B$1:$B$193,0),MATCH(1,($B$1:$W$1=$AB3)*($B$2:$W$2=$AC3),0))</f>
        <v>1</v>
      </c>
      <c r="ID3" t="b" cm="1">
        <f t="array" ref="ID3">INDEX($B$1:$W$193,MATCH(ID$1,$B$1:$B$193,0),MATCH(1,($B$1:$W$1=$AB3)*($B$2:$W$2=$AC3),0))</f>
        <v>1</v>
      </c>
      <c r="IE3" t="b" cm="1">
        <f t="array" ref="IE3">INDEX($B$1:$W$193,MATCH(IE$1,$B$1:$B$193,0),MATCH(1,($B$1:$W$1=$AB3)*($B$2:$W$2=$AC3),0))</f>
        <v>1</v>
      </c>
      <c r="IF3" t="b" cm="1">
        <f t="array" ref="IF3">INDEX($B$1:$W$193,MATCH(IF$1,$B$1:$B$193,0),MATCH(1,($B$1:$W$1=$AB3)*($B$2:$W$2=$AC3),0))</f>
        <v>1</v>
      </c>
      <c r="IG3" t="b" cm="1">
        <f t="array" ref="IG3">INDEX($B$1:$W$193,MATCH(IG$1,$B$1:$B$193,0),MATCH(1,($B$1:$W$1=$AB3)*($B$2:$W$2=$AC3),0))</f>
        <v>1</v>
      </c>
      <c r="IH3" t="b" cm="1">
        <f t="array" ref="IH3">INDEX($B$1:$W$193,MATCH(IH$1,$B$1:$B$193,0),MATCH(1,($B$1:$W$1=$AB3)*($B$2:$W$2=$AC3),0))</f>
        <v>1</v>
      </c>
      <c r="II3" t="b" cm="1">
        <f t="array" ref="II3">INDEX($B$1:$W$193,MATCH(II$1,$B$1:$B$193,0),MATCH(1,($B$1:$W$1=$AB3)*($B$2:$W$2=$AC3),0))</f>
        <v>1</v>
      </c>
      <c r="IJ3" t="b" cm="1">
        <f t="array" ref="IJ3">INDEX($B$1:$W$193,MATCH(IJ$1,$B$1:$B$193,0),MATCH(1,($B$1:$W$1=$AB3)*($B$2:$W$2=$AC3),0))</f>
        <v>1</v>
      </c>
      <c r="IK3" t="b" cm="1">
        <f t="array" ref="IK3">INDEX($B$1:$W$193,MATCH(IK$1,$B$1:$B$193,0),MATCH(1,($B$1:$W$1=$AB3)*($B$2:$W$2=$AC3),0))</f>
        <v>1</v>
      </c>
      <c r="IL3" t="b" cm="1">
        <f t="array" ref="IL3">INDEX($B$1:$W$193,MATCH(IL$1,$B$1:$B$193,0),MATCH(1,($B$1:$W$1=$AB3)*($B$2:$W$2=$AC3),0))</f>
        <v>1</v>
      </c>
      <c r="IM3" t="b" cm="1">
        <f t="array" ref="IM3">INDEX($B$1:$W$193,MATCH(IM$1,$B$1:$B$193,0),MATCH(1,($B$1:$W$1=$AB3)*($B$2:$W$2=$AC3),0))</f>
        <v>1</v>
      </c>
      <c r="IN3" t="b" cm="1">
        <f t="array" ref="IN3">INDEX($B$1:$W$193,MATCH(IN$1,$B$1:$B$193,0),MATCH(1,($B$1:$W$1=$AB3)*($B$2:$W$2=$AC3),0))</f>
        <v>1</v>
      </c>
      <c r="IO3" t="b" cm="1">
        <f t="array" ref="IO3">INDEX($B$1:$W$193,MATCH(IO$1,$B$1:$B$193,0),MATCH(1,($B$1:$W$1=$AB3)*($B$2:$W$2=$AC3),0))</f>
        <v>1</v>
      </c>
      <c r="IP3" t="b" cm="1">
        <f t="array" ref="IP3">INDEX($B$1:$W$193,MATCH(IP$1,$B$1:$B$193,0),MATCH(1,($B$1:$W$1=$AB3)*($B$2:$W$2=$AC3),0))</f>
        <v>1</v>
      </c>
      <c r="IQ3" t="b" cm="1">
        <f t="array" ref="IQ3">INDEX($B$1:$W$193,MATCH(IQ$1,$B$1:$B$193,0),MATCH(1,($B$1:$W$1=$AB3)*($B$2:$W$2=$AC3),0))</f>
        <v>1</v>
      </c>
      <c r="IR3" t="b" cm="1">
        <f t="array" ref="IR3">INDEX($B$1:$W$193,MATCH(IR$1,$B$1:$B$193,0),MATCH(1,($B$1:$W$1=$AB3)*($B$2:$W$2=$AC3),0))</f>
        <v>1</v>
      </c>
      <c r="IS3" t="b" cm="1">
        <f t="array" ref="IS3">INDEX($B$1:$W$193,MATCH(IS$1,$B$1:$B$193,0),MATCH(1,($B$1:$W$1=$AB3)*($B$2:$W$2=$AC3),0))</f>
        <v>1</v>
      </c>
      <c r="IT3" t="b" cm="1">
        <f t="array" ref="IT3">INDEX($B$1:$W$193,MATCH(IT$1,$B$1:$B$193,0),MATCH(1,($B$1:$W$1=$AB3)*($B$2:$W$2=$AC3),0))</f>
        <v>1</v>
      </c>
      <c r="IU3" t="b" cm="1">
        <f t="array" ref="IU3">INDEX($B$1:$W$193,MATCH(IU$1,$B$1:$B$193,0),MATCH(1,($B$1:$W$1=$AB3)*($B$2:$W$2=$AC3),0))</f>
        <v>1</v>
      </c>
      <c r="IV3" t="b" cm="1">
        <f t="array" ref="IV3">INDEX($B$1:$W$193,MATCH(IV$1,$B$1:$B$193,0),MATCH(1,($B$1:$W$1=$AB3)*($B$2:$W$2=$AC3),0))</f>
        <v>1</v>
      </c>
      <c r="IW3" t="b" cm="1">
        <f t="array" ref="IW3">INDEX($B$1:$W$193,MATCH(IW$1,$B$1:$B$193,0),MATCH(1,($B$1:$W$1=$AB3)*($B$2:$W$2=$AC3),0))</f>
        <v>1</v>
      </c>
      <c r="IX3" t="b" cm="1">
        <f t="array" ref="IX3">INDEX($B$1:$W$193,MATCH(IX$1,$B$1:$B$193,0),MATCH(1,($B$1:$W$1=$AB3)*($B$2:$W$2=$AC3),0))</f>
        <v>1</v>
      </c>
      <c r="IY3" t="b" cm="1">
        <f t="array" ref="IY3">INDEX($B$1:$W$193,MATCH(IY$1,$B$1:$B$193,0),MATCH(1,($B$1:$W$1=$AB3)*($B$2:$W$2=$AC3),0))</f>
        <v>1</v>
      </c>
      <c r="IZ3" t="b" cm="1">
        <f t="array" ref="IZ3">INDEX($B$1:$W$193,MATCH(IZ$1,$B$1:$B$193,0),MATCH(1,($B$1:$W$1=$AB3)*($B$2:$W$2=$AC3),0))</f>
        <v>1</v>
      </c>
      <c r="JA3" t="b" cm="1">
        <f t="array" ref="JA3">INDEX($B$1:$W$193,MATCH(JA$1,$B$1:$B$193,0),MATCH(1,($B$1:$W$1=$AB3)*($B$2:$W$2=$AC3),0))</f>
        <v>1</v>
      </c>
      <c r="JB3" t="b" cm="1">
        <f t="array" ref="JB3">INDEX($B$1:$W$193,MATCH(JB$1,$B$1:$B$193,0),MATCH(1,($B$1:$W$1=$AB3)*($B$2:$W$2=$AC3),0))</f>
        <v>1</v>
      </c>
      <c r="JC3" t="b" cm="1">
        <f t="array" ref="JC3">INDEX($B$1:$W$193,MATCH(JC$1,$B$1:$B$193,0),MATCH(1,($B$1:$W$1=$AB3)*($B$2:$W$2=$AC3),0))</f>
        <v>1</v>
      </c>
      <c r="JD3" t="b" cm="1">
        <f t="array" ref="JD3">INDEX($B$1:$W$193,MATCH(JD$1,$B$1:$B$193,0),MATCH(1,($B$1:$W$1=$AB3)*($B$2:$W$2=$AC3),0))</f>
        <v>1</v>
      </c>
      <c r="JE3" t="b" cm="1">
        <f t="array" ref="JE3">INDEX($B$1:$W$193,MATCH(JE$1,$B$1:$B$193,0),MATCH(1,($B$1:$W$1=$AB3)*($B$2:$W$2=$AC3),0))</f>
        <v>1</v>
      </c>
      <c r="JF3" t="b" cm="1">
        <f t="array" ref="JF3">INDEX($B$1:$W$193,MATCH(JF$1,$B$1:$B$193,0),MATCH(1,($B$1:$W$1=$AB3)*($B$2:$W$2=$AC3),0))</f>
        <v>1</v>
      </c>
      <c r="JG3" t="b" cm="1">
        <f t="array" ref="JG3">INDEX($B$1:$W$193,MATCH(JG$1,$B$1:$B$193,0),MATCH(1,($B$1:$W$1=$AB3)*($B$2:$W$2=$AC3),0))</f>
        <v>1</v>
      </c>
      <c r="JH3" t="b" cm="1">
        <f t="array" ref="JH3">INDEX($B$1:$W$193,MATCH(JH$1,$B$1:$B$193,0),MATCH(1,($B$1:$W$1=$AB3)*($B$2:$W$2=$AC3),0))</f>
        <v>1</v>
      </c>
    </row>
    <row r="4" spans="1:268" x14ac:dyDescent="0.25">
      <c r="A4" t="s">
        <v>165</v>
      </c>
      <c r="B4" s="51" t="s">
        <v>166</v>
      </c>
      <c r="C4">
        <v>2</v>
      </c>
      <c r="D4">
        <v>3</v>
      </c>
      <c r="E4" t="b">
        <f t="shared" ref="E4:P31" si="1">IF(OR(INT(RIGHT(E$2,1))&lt;$D4,INT(RIGHT(E$2,1))=$D4),TRUE,FALSE)</f>
        <v>1</v>
      </c>
      <c r="F4" t="b">
        <f t="shared" si="0"/>
        <v>1</v>
      </c>
      <c r="G4" t="b">
        <f t="shared" si="0"/>
        <v>1</v>
      </c>
      <c r="H4" t="b">
        <f t="shared" si="0"/>
        <v>0</v>
      </c>
      <c r="I4" t="b">
        <f t="shared" si="0"/>
        <v>0</v>
      </c>
      <c r="J4" t="b">
        <f t="shared" si="0"/>
        <v>0</v>
      </c>
      <c r="K4" t="b">
        <f t="shared" si="0"/>
        <v>1</v>
      </c>
      <c r="L4" t="b">
        <f t="shared" si="0"/>
        <v>1</v>
      </c>
      <c r="M4" t="b">
        <f t="shared" si="0"/>
        <v>1</v>
      </c>
      <c r="N4" t="b">
        <f t="shared" si="0"/>
        <v>0</v>
      </c>
      <c r="O4" t="b">
        <f t="shared" si="0"/>
        <v>0</v>
      </c>
      <c r="P4" t="b">
        <f t="shared" si="0"/>
        <v>0</v>
      </c>
      <c r="Q4" t="b">
        <v>1</v>
      </c>
      <c r="R4" t="b" cm="1">
        <f t="array" ref="R4">_xlfn.IFS(C4=1,FALSE,OR(C4=2,C4&gt;2),TRUE)</f>
        <v>1</v>
      </c>
      <c r="S4" t="b" cm="1">
        <f t="array" ref="S4">_xlfn.IFS(OR(C4=1,C4=2),FALSE,OR(C4=3,C4&gt;3),TRUE)</f>
        <v>0</v>
      </c>
      <c r="T4" t="str">
        <f t="shared" ref="T4:T50" si="2">IF(C4&gt;=2,"TRUE","FALSE")</f>
        <v>TRUE</v>
      </c>
      <c r="U4" t="str">
        <f t="shared" ref="U4:U50" si="3">IF(C4&gt;=3,"TRUE","FALSE")</f>
        <v>FALSE</v>
      </c>
      <c r="V4" t="str">
        <f t="shared" ref="V4:V50" si="4">IF(C4&gt;=4,"TRUE","FALSE")</f>
        <v>FALSE</v>
      </c>
      <c r="W4" t="b" cm="1">
        <f t="array" ref="W4">_xlfn.IFS(H4=1,FALSE,OR(H4=2,H4&gt;2),TRUE)</f>
        <v>1</v>
      </c>
      <c r="X4" t="b" cm="1">
        <f t="array" ref="X4">_xlfn.IFS(H4=1,FALSE,OR(H4=2,H4&gt;2),TRUE)</f>
        <v>1</v>
      </c>
      <c r="Y4" t="b" cm="1">
        <f t="array" ref="Y4">_xlfn.IFS(H4=1,FALSE,OR(H4=2,H4&gt;2),TRUE)</f>
        <v>1</v>
      </c>
      <c r="AB4" t="s">
        <v>0</v>
      </c>
      <c r="AC4" t="s">
        <v>79</v>
      </c>
      <c r="AD4" t="b" cm="1">
        <f t="array" ref="AD4">INDEX($B$1:$W$193,MATCH(AD$1,$B$1:$B$193,0),MATCH(1,($B$1:$W$1=$AB4)*($B$2:$W$2=$AC4),0))</f>
        <v>1</v>
      </c>
      <c r="AE4" t="b" cm="1">
        <f t="array" ref="AE4">INDEX($B$1:$W$193,MATCH(AE$1,$B$1:$B$193,0),MATCH(1,($B$1:$W$1=$AB4)*($B$2:$W$2=$AC4),0))</f>
        <v>1</v>
      </c>
      <c r="AF4" t="b" cm="1">
        <f t="array" ref="AF4">INDEX($B$1:$W$193,MATCH(AF$1,$B$1:$B$193,0),MATCH(1,($B$1:$W$1=$AB4)*($B$2:$W$2=$AC4),0))</f>
        <v>1</v>
      </c>
      <c r="AG4" t="b" cm="1">
        <f t="array" ref="AG4">INDEX($B$1:$W$193,MATCH(AG$1,$B$1:$B$193,0),MATCH(1,($B$1:$W$1=$AB4)*($B$2:$W$2=$AC4),0))</f>
        <v>1</v>
      </c>
      <c r="AH4" t="b" cm="1">
        <f t="array" ref="AH4">INDEX($B$1:$W$193,MATCH(AH$1,$B$1:$B$193,0),MATCH(1,($B$1:$W$1=$AB4)*($B$2:$W$2=$AC4),0))</f>
        <v>1</v>
      </c>
      <c r="AI4" t="b" cm="1">
        <f t="array" ref="AI4">INDEX($B$1:$W$193,MATCH(AI$1,$B$1:$B$193,0),MATCH(1,($B$1:$W$1=$AB4)*($B$2:$W$2=$AC4),0))</f>
        <v>1</v>
      </c>
      <c r="AJ4" t="b" cm="1">
        <f t="array" ref="AJ4">INDEX($B$1:$W$193,MATCH(AJ$1,$B$1:$B$193,0),MATCH(1,($B$1:$W$1=$AB4)*($B$2:$W$2=$AC4),0))</f>
        <v>1</v>
      </c>
      <c r="AK4" t="b" cm="1">
        <f t="array" ref="AK4">INDEX($B$1:$W$193,MATCH(AK$1,$B$1:$B$193,0),MATCH(1,($B$1:$W$1=$AB4)*($B$2:$W$2=$AC4),0))</f>
        <v>1</v>
      </c>
      <c r="AL4" t="b" cm="1">
        <f t="array" ref="AL4">INDEX($B$1:$W$193,MATCH(AL$1,$B$1:$B$193,0),MATCH(1,($B$1:$W$1=$AB4)*($B$2:$W$2=$AC4),0))</f>
        <v>1</v>
      </c>
      <c r="AM4" t="b" cm="1">
        <f t="array" ref="AM4">INDEX($B$1:$W$193,MATCH(AM$1,$B$1:$B$193,0),MATCH(1,($B$1:$W$1=$AB4)*($B$2:$W$2=$AC4),0))</f>
        <v>1</v>
      </c>
      <c r="AN4" t="b" cm="1">
        <f t="array" ref="AN4">INDEX($B$1:$W$193,MATCH(AN$1,$B$1:$B$193,0),MATCH(1,($B$1:$W$1=$AB4)*($B$2:$W$2=$AC4),0))</f>
        <v>1</v>
      </c>
      <c r="AO4" t="b" cm="1">
        <f t="array" ref="AO4">INDEX($B$1:$W$193,MATCH(AO$1,$B$1:$B$193,0),MATCH(1,($B$1:$W$1=$AB4)*($B$2:$W$2=$AC4),0))</f>
        <v>1</v>
      </c>
      <c r="AP4" t="b" cm="1">
        <f t="array" ref="AP4">INDEX($B$1:$W$193,MATCH(AP$1,$B$1:$B$193,0),MATCH(1,($B$1:$W$1=$AB4)*($B$2:$W$2=$AC4),0))</f>
        <v>1</v>
      </c>
      <c r="AQ4" t="b" cm="1">
        <f t="array" ref="AQ4">INDEX($B$1:$W$193,MATCH(AQ$1,$B$1:$B$193,0),MATCH(1,($B$1:$W$1=$AB4)*($B$2:$W$2=$AC4),0))</f>
        <v>1</v>
      </c>
      <c r="AR4" t="b" cm="1">
        <f t="array" ref="AR4">INDEX($B$1:$W$193,MATCH(AR$1,$B$1:$B$193,0),MATCH(1,($B$1:$W$1=$AB4)*($B$2:$W$2=$AC4),0))</f>
        <v>1</v>
      </c>
      <c r="AS4" t="b" cm="1">
        <f t="array" ref="AS4">INDEX($B$1:$W$193,MATCH(AS$1,$B$1:$B$193,0),MATCH(1,($B$1:$W$1=$AB4)*($B$2:$W$2=$AC4),0))</f>
        <v>1</v>
      </c>
      <c r="AT4" t="b" cm="1">
        <f t="array" ref="AT4">INDEX($B$1:$W$193,MATCH(AT$1,$B$1:$B$193,0),MATCH(1,($B$1:$W$1=$AB4)*($B$2:$W$2=$AC4),0))</f>
        <v>1</v>
      </c>
      <c r="AU4" t="b" cm="1">
        <f t="array" ref="AU4">INDEX($B$1:$W$193,MATCH(AU$1,$B$1:$B$193,0),MATCH(1,($B$1:$W$1=$AB4)*($B$2:$W$2=$AC4),0))</f>
        <v>1</v>
      </c>
      <c r="AV4" t="b" cm="1">
        <f t="array" ref="AV4">INDEX($B$1:$W$193,MATCH(AV$1,$B$1:$B$193,0),MATCH(1,($B$1:$W$1=$AB4)*($B$2:$W$2=$AC4),0))</f>
        <v>1</v>
      </c>
      <c r="AW4" t="b" cm="1">
        <f t="array" ref="AW4">INDEX($B$1:$W$193,MATCH(AW$1,$B$1:$B$193,0),MATCH(1,($B$1:$W$1=$AB4)*($B$2:$W$2=$AC4),0))</f>
        <v>1</v>
      </c>
      <c r="AX4" t="b" cm="1">
        <f t="array" ref="AX4">INDEX($B$1:$W$193,MATCH(AX$1,$B$1:$B$193,0),MATCH(1,($B$1:$W$1=$AB4)*($B$2:$W$2=$AC4),0))</f>
        <v>1</v>
      </c>
      <c r="AY4" t="b" cm="1">
        <f t="array" ref="AY4">INDEX($B$1:$W$193,MATCH(AY$1,$B$1:$B$193,0),MATCH(1,($B$1:$W$1=$AB4)*($B$2:$W$2=$AC4),0))</f>
        <v>1</v>
      </c>
      <c r="AZ4" t="b" cm="1">
        <f t="array" ref="AZ4">INDEX($B$1:$W$193,MATCH(AZ$1,$B$1:$B$193,0),MATCH(1,($B$1:$W$1=$AB4)*($B$2:$W$2=$AC4),0))</f>
        <v>1</v>
      </c>
      <c r="BA4" t="b" cm="1">
        <f t="array" ref="BA4">INDEX($B$1:$W$193,MATCH(BA$1,$B$1:$B$193,0),MATCH(1,($B$1:$W$1=$AB4)*($B$2:$W$2=$AC4),0))</f>
        <v>1</v>
      </c>
      <c r="BB4" t="b" cm="1">
        <f t="array" ref="BB4">INDEX($B$1:$W$193,MATCH(BB$1,$B$1:$B$193,0),MATCH(1,($B$1:$W$1=$AB4)*($B$2:$W$2=$AC4),0))</f>
        <v>1</v>
      </c>
      <c r="BC4" t="b" cm="1">
        <f t="array" ref="BC4">INDEX($B$1:$W$193,MATCH(BC$1,$B$1:$B$193,0),MATCH(1,($B$1:$W$1=$AB4)*($B$2:$W$2=$AC4),0))</f>
        <v>1</v>
      </c>
      <c r="BD4" t="b" cm="1">
        <f t="array" ref="BD4">INDEX($B$1:$W$193,MATCH(BD$1,$B$1:$B$193,0),MATCH(1,($B$1:$W$1=$AB4)*($B$2:$W$2=$AC4),0))</f>
        <v>1</v>
      </c>
      <c r="BE4" t="b" cm="1">
        <f t="array" ref="BE4">INDEX($B$1:$W$193,MATCH(BE$1,$B$1:$B$193,0),MATCH(1,($B$1:$W$1=$AB4)*($B$2:$W$2=$AC4),0))</f>
        <v>1</v>
      </c>
      <c r="BF4" t="b" cm="1">
        <f t="array" ref="BF4">INDEX($B$1:$W$193,MATCH(BF$1,$B$1:$B$193,0),MATCH(1,($B$1:$W$1=$AB4)*($B$2:$W$2=$AC4),0))</f>
        <v>0</v>
      </c>
      <c r="BG4" t="b" cm="1">
        <f t="array" ref="BG4">INDEX($B$1:$W$193,MATCH(BG$1,$B$1:$B$193,0),MATCH(1,($B$1:$W$1=$AB4)*($B$2:$W$2=$AC4),0))</f>
        <v>0</v>
      </c>
      <c r="BH4" t="b" cm="1">
        <f t="array" ref="BH4">INDEX($B$1:$W$193,MATCH(BH$1,$B$1:$B$193,0),MATCH(1,($B$1:$W$1=$AB4)*($B$2:$W$2=$AC4),0))</f>
        <v>1</v>
      </c>
      <c r="BI4" t="b" cm="1">
        <f t="array" ref="BI4">INDEX($B$1:$W$193,MATCH(BI$1,$B$1:$B$193,0),MATCH(1,($B$1:$W$1=$AB4)*($B$2:$W$2=$AC4),0))</f>
        <v>1</v>
      </c>
      <c r="BJ4" t="b" cm="1">
        <f t="array" ref="BJ4">INDEX($B$1:$W$193,MATCH(BJ$1,$B$1:$B$193,0),MATCH(1,($B$1:$W$1=$AB4)*($B$2:$W$2=$AC4),0))</f>
        <v>1</v>
      </c>
      <c r="BK4" t="b" cm="1">
        <f t="array" ref="BK4">INDEX($B$1:$W$193,MATCH(BK$1,$B$1:$B$193,0),MATCH(1,($B$1:$W$1=$AB4)*($B$2:$W$2=$AC4),0))</f>
        <v>1</v>
      </c>
      <c r="BL4" t="b" cm="1">
        <f t="array" ref="BL4">INDEX($B$1:$W$193,MATCH(BL$1,$B$1:$B$193,0),MATCH(1,($B$1:$W$1=$AB4)*($B$2:$W$2=$AC4),0))</f>
        <v>1</v>
      </c>
      <c r="BM4" t="b" cm="1">
        <f t="array" ref="BM4">INDEX($B$1:$W$193,MATCH(BM$1,$B$1:$B$193,0),MATCH(1,($B$1:$W$1=$AB4)*($B$2:$W$2=$AC4),0))</f>
        <v>1</v>
      </c>
      <c r="BN4" t="b" cm="1">
        <f t="array" ref="BN4">INDEX($B$1:$W$193,MATCH(BN$1,$B$1:$B$193,0),MATCH(1,($B$1:$W$1=$AB4)*($B$2:$W$2=$AC4),0))</f>
        <v>1</v>
      </c>
      <c r="BO4" t="b" cm="1">
        <f t="array" ref="BO4">INDEX($B$1:$W$193,MATCH(BO$1,$B$1:$B$193,0),MATCH(1,($B$1:$W$1=$AB4)*($B$2:$W$2=$AC4),0))</f>
        <v>1</v>
      </c>
      <c r="BP4" t="b" cm="1">
        <f t="array" ref="BP4">INDEX($B$1:$W$193,MATCH(BP$1,$B$1:$B$193,0),MATCH(1,($B$1:$W$1=$AB4)*($B$2:$W$2=$AC4),0))</f>
        <v>1</v>
      </c>
      <c r="BQ4" t="b" cm="1">
        <f t="array" ref="BQ4">INDEX($B$1:$W$193,MATCH(BQ$1,$B$1:$B$193,0),MATCH(1,($B$1:$W$1=$AB4)*($B$2:$W$2=$AC4),0))</f>
        <v>1</v>
      </c>
      <c r="BR4" t="b" cm="1">
        <f t="array" ref="BR4">INDEX($B$1:$W$193,MATCH(BR$1,$B$1:$B$193,0),MATCH(1,($B$1:$W$1=$AB4)*($B$2:$W$2=$AC4),0))</f>
        <v>1</v>
      </c>
      <c r="BS4" t="b" cm="1">
        <f t="array" ref="BS4">INDEX($B$1:$W$193,MATCH(BS$1,$B$1:$B$193,0),MATCH(1,($B$1:$W$1=$AB4)*($B$2:$W$2=$AC4),0))</f>
        <v>1</v>
      </c>
      <c r="BT4" t="b" cm="1">
        <f t="array" ref="BT4">INDEX($B$1:$W$193,MATCH(BT$1,$B$1:$B$193,0),MATCH(1,($B$1:$W$1=$AB4)*($B$2:$W$2=$AC4),0))</f>
        <v>1</v>
      </c>
      <c r="BU4" t="b" cm="1">
        <f t="array" ref="BU4">INDEX($B$1:$W$193,MATCH(BU$1,$B$1:$B$193,0),MATCH(1,($B$1:$W$1=$AB4)*($B$2:$W$2=$AC4),0))</f>
        <v>1</v>
      </c>
      <c r="BV4" t="b" cm="1">
        <f t="array" ref="BV4">INDEX($B$1:$W$193,MATCH(BV$1,$B$1:$B$193,0),MATCH(1,($B$1:$W$1=$AB4)*($B$2:$W$2=$AC4),0))</f>
        <v>1</v>
      </c>
      <c r="BW4" t="b" cm="1">
        <f t="array" ref="BW4">INDEX($B$1:$W$193,MATCH(BW$1,$B$1:$B$193,0),MATCH(1,($B$1:$W$1=$AB4)*($B$2:$W$2=$AC4),0))</f>
        <v>1</v>
      </c>
      <c r="BX4" t="b" cm="1">
        <f t="array" ref="BX4">INDEX($B$1:$W$193,MATCH(BX$1,$B$1:$B$193,0),MATCH(1,($B$1:$W$1=$AB4)*($B$2:$W$2=$AC4),0))</f>
        <v>1</v>
      </c>
      <c r="BY4" t="b" cm="1">
        <f t="array" ref="BY4">INDEX($B$1:$W$193,MATCH(BY$1,$B$1:$B$193,0),MATCH(1,($B$1:$W$1=$AB4)*($B$2:$W$2=$AC4),0))</f>
        <v>1</v>
      </c>
      <c r="BZ4" t="b" cm="1">
        <f t="array" ref="BZ4">INDEX($B$1:$W$193,MATCH(BZ$1,$B$1:$B$193,0),MATCH(1,($B$1:$W$1=$AB4)*($B$2:$W$2=$AC4),0))</f>
        <v>1</v>
      </c>
      <c r="CA4" t="b" cm="1">
        <f t="array" ref="CA4">INDEX($B$1:$W$193,MATCH(CA$1,$B$1:$B$193,0),MATCH(1,($B$1:$W$1=$AB4)*($B$2:$W$2=$AC4),0))</f>
        <v>1</v>
      </c>
      <c r="CB4" t="b" cm="1">
        <f t="array" ref="CB4">INDEX($B$1:$W$193,MATCH(CB$1,$B$1:$B$193,0),MATCH(1,($B$1:$W$1=$AB4)*($B$2:$W$2=$AC4),0))</f>
        <v>1</v>
      </c>
      <c r="CC4" t="b" cm="1">
        <f t="array" ref="CC4">INDEX($B$1:$W$193,MATCH(CC$1,$B$1:$B$193,0),MATCH(1,($B$1:$W$1=$AB4)*($B$2:$W$2=$AC4),0))</f>
        <v>1</v>
      </c>
      <c r="CD4" t="b" cm="1">
        <f t="array" ref="CD4">INDEX($B$1:$W$193,MATCH(CD$1,$B$1:$B$193,0),MATCH(1,($B$1:$W$1=$AB4)*($B$2:$W$2=$AC4),0))</f>
        <v>1</v>
      </c>
      <c r="CE4" t="b" cm="1">
        <f t="array" ref="CE4">INDEX($B$1:$W$193,MATCH(CE$1,$B$1:$B$193,0),MATCH(1,($B$1:$W$1=$AB4)*($B$2:$W$2=$AC4),0))</f>
        <v>1</v>
      </c>
      <c r="CF4" t="b" cm="1">
        <f t="array" ref="CF4">INDEX($B$1:$W$193,MATCH(CF$1,$B$1:$B$193,0),MATCH(1,($B$1:$W$1=$AB4)*($B$2:$W$2=$AC4),0))</f>
        <v>1</v>
      </c>
      <c r="CG4" t="b" cm="1">
        <f t="array" ref="CG4">INDEX($B$1:$W$193,MATCH(CG$1,$B$1:$B$193,0),MATCH(1,($B$1:$W$1=$AB4)*($B$2:$W$2=$AC4),0))</f>
        <v>1</v>
      </c>
      <c r="CH4" t="b" cm="1">
        <f t="array" ref="CH4">INDEX($B$1:$W$193,MATCH(CH$1,$B$1:$B$193,0),MATCH(1,($B$1:$W$1=$AB4)*($B$2:$W$2=$AC4),0))</f>
        <v>1</v>
      </c>
      <c r="CI4" t="b" cm="1">
        <f t="array" ref="CI4">INDEX($B$1:$W$193,MATCH(CI$1,$B$1:$B$193,0),MATCH(1,($B$1:$W$1=$AB4)*($B$2:$W$2=$AC4),0))</f>
        <v>1</v>
      </c>
      <c r="CJ4" t="b" cm="1">
        <f t="array" ref="CJ4">INDEX($B$1:$W$193,MATCH(CJ$1,$B$1:$B$193,0),MATCH(1,($B$1:$W$1=$AB4)*($B$2:$W$2=$AC4),0))</f>
        <v>1</v>
      </c>
      <c r="CK4" t="b" cm="1">
        <f t="array" ref="CK4">INDEX($B$1:$W$193,MATCH(CK$1,$B$1:$B$193,0),MATCH(1,($B$1:$W$1=$AB4)*($B$2:$W$2=$AC4),0))</f>
        <v>1</v>
      </c>
      <c r="CL4" t="b" cm="1">
        <f t="array" ref="CL4">INDEX($B$1:$W$193,MATCH(CL$1,$B$1:$B$193,0),MATCH(1,($B$1:$W$1=$AB4)*($B$2:$W$2=$AC4),0))</f>
        <v>1</v>
      </c>
      <c r="CM4" t="b" cm="1">
        <f t="array" ref="CM4">INDEX($B$1:$W$193,MATCH(CM$1,$B$1:$B$193,0),MATCH(1,($B$1:$W$1=$AB4)*($B$2:$W$2=$AC4),0))</f>
        <v>1</v>
      </c>
      <c r="CN4" t="b" cm="1">
        <f t="array" ref="CN4">INDEX($B$1:$W$193,MATCH(CN$1,$B$1:$B$193,0),MATCH(1,($B$1:$W$1=$AB4)*($B$2:$W$2=$AC4),0))</f>
        <v>1</v>
      </c>
      <c r="CO4" t="b" cm="1">
        <f t="array" ref="CO4">INDEX($B$1:$W$193,MATCH(CO$1,$B$1:$B$193,0),MATCH(1,($B$1:$W$1=$AB4)*($B$2:$W$2=$AC4),0))</f>
        <v>1</v>
      </c>
      <c r="CP4" t="b" cm="1">
        <f t="array" ref="CP4">INDEX($B$1:$W$193,MATCH(CP$1,$B$1:$B$193,0),MATCH(1,($B$1:$W$1=$AB4)*($B$2:$W$2=$AC4),0))</f>
        <v>1</v>
      </c>
      <c r="CQ4" t="b" cm="1">
        <f t="array" ref="CQ4">INDEX($B$1:$W$193,MATCH(CQ$1,$B$1:$B$193,0),MATCH(1,($B$1:$W$1=$AB4)*($B$2:$W$2=$AC4),0))</f>
        <v>1</v>
      </c>
      <c r="CR4" t="b" cm="1">
        <f t="array" ref="CR4">INDEX($B$1:$W$193,MATCH(CR$1,$B$1:$B$193,0),MATCH(1,($B$1:$W$1=$AB4)*($B$2:$W$2=$AC4),0))</f>
        <v>1</v>
      </c>
      <c r="CS4" t="b" cm="1">
        <f t="array" ref="CS4">INDEX($B$1:$W$193,MATCH(CS$1,$B$1:$B$193,0),MATCH(1,($B$1:$W$1=$AB4)*($B$2:$W$2=$AC4),0))</f>
        <v>1</v>
      </c>
      <c r="CT4" t="b" cm="1">
        <f t="array" ref="CT4">INDEX($B$1:$W$193,MATCH(CT$1,$B$1:$B$193,0),MATCH(1,($B$1:$W$1=$AB4)*($B$2:$W$2=$AC4),0))</f>
        <v>1</v>
      </c>
      <c r="CU4" t="b" cm="1">
        <f t="array" ref="CU4">INDEX($B$1:$W$193,MATCH(CU$1,$B$1:$B$193,0),MATCH(1,($B$1:$W$1=$AB4)*($B$2:$W$2=$AC4),0))</f>
        <v>1</v>
      </c>
      <c r="CV4" t="b" cm="1">
        <f t="array" ref="CV4">INDEX($B$1:$W$193,MATCH(CV$1,$B$1:$B$193,0),MATCH(1,($B$1:$W$1=$AB4)*($B$2:$W$2=$AC4),0))</f>
        <v>1</v>
      </c>
      <c r="CW4" t="b" cm="1">
        <f t="array" ref="CW4">INDEX($B$1:$W$193,MATCH(CW$1,$B$1:$B$193,0),MATCH(1,($B$1:$W$1=$AB4)*($B$2:$W$2=$AC4),0))</f>
        <v>1</v>
      </c>
      <c r="CX4" t="b" cm="1">
        <f t="array" ref="CX4">INDEX($B$1:$W$193,MATCH(CX$1,$B$1:$B$193,0),MATCH(1,($B$1:$W$1=$AB4)*($B$2:$W$2=$AC4),0))</f>
        <v>1</v>
      </c>
      <c r="CY4" t="b" cm="1">
        <f t="array" ref="CY4">INDEX($B$1:$W$193,MATCH(CY$1,$B$1:$B$193,0),MATCH(1,($B$1:$W$1=$AB4)*($B$2:$W$2=$AC4),0))</f>
        <v>1</v>
      </c>
      <c r="CZ4" t="b" cm="1">
        <f t="array" ref="CZ4">INDEX($B$1:$W$193,MATCH(CZ$1,$B$1:$B$193,0),MATCH(1,($B$1:$W$1=$AB4)*($B$2:$W$2=$AC4),0))</f>
        <v>1</v>
      </c>
      <c r="DA4" t="b" cm="1">
        <f t="array" ref="DA4">INDEX($B$1:$W$193,MATCH(DA$1,$B$1:$B$193,0),MATCH(1,($B$1:$W$1=$AB4)*($B$2:$W$2=$AC4),0))</f>
        <v>1</v>
      </c>
      <c r="DB4" t="b" cm="1">
        <f t="array" ref="DB4">INDEX($B$1:$W$193,MATCH(DB$1,$B$1:$B$193,0),MATCH(1,($B$1:$W$1=$AB4)*($B$2:$W$2=$AC4),0))</f>
        <v>1</v>
      </c>
      <c r="DC4" t="b" cm="1">
        <f t="array" ref="DC4">INDEX($B$1:$W$193,MATCH(DC$1,$B$1:$B$193,0),MATCH(1,($B$1:$W$1=$AB4)*($B$2:$W$2=$AC4),0))</f>
        <v>1</v>
      </c>
      <c r="DD4" t="b" cm="1">
        <f t="array" ref="DD4">INDEX($B$1:$W$193,MATCH(DD$1,$B$1:$B$193,0),MATCH(1,($B$1:$W$1=$AB4)*($B$2:$W$2=$AC4),0))</f>
        <v>1</v>
      </c>
      <c r="DE4" t="b" cm="1">
        <f t="array" ref="DE4">INDEX($B$1:$W$193,MATCH(DE$1,$B$1:$B$193,0),MATCH(1,($B$1:$W$1=$AB4)*($B$2:$W$2=$AC4),0))</f>
        <v>1</v>
      </c>
      <c r="DF4" t="b" cm="1">
        <f t="array" ref="DF4">INDEX($B$1:$W$193,MATCH(DF$1,$B$1:$B$193,0),MATCH(1,($B$1:$W$1=$AB4)*($B$2:$W$2=$AC4),0))</f>
        <v>1</v>
      </c>
      <c r="DG4" t="b" cm="1">
        <f t="array" ref="DG4">INDEX($B$1:$W$193,MATCH(DG$1,$B$1:$B$193,0),MATCH(1,($B$1:$W$1=$AB4)*($B$2:$W$2=$AC4),0))</f>
        <v>1</v>
      </c>
      <c r="DH4" t="b" cm="1">
        <f t="array" ref="DH4">INDEX($B$1:$W$193,MATCH(DH$1,$B$1:$B$193,0),MATCH(1,($B$1:$W$1=$AB4)*($B$2:$W$2=$AC4),0))</f>
        <v>1</v>
      </c>
      <c r="DI4" t="b" cm="1">
        <f t="array" ref="DI4">INDEX($B$1:$W$193,MATCH(DI$1,$B$1:$B$193,0),MATCH(1,($B$1:$W$1=$AB4)*($B$2:$W$2=$AC4),0))</f>
        <v>1</v>
      </c>
      <c r="DJ4" t="b" cm="1">
        <f t="array" ref="DJ4">INDEX($B$1:$W$193,MATCH(DJ$1,$B$1:$B$193,0),MATCH(1,($B$1:$W$1=$AB4)*($B$2:$W$2=$AC4),0))</f>
        <v>1</v>
      </c>
      <c r="DK4" t="b" cm="1">
        <f t="array" ref="DK4">INDEX($B$1:$W$193,MATCH(DK$1,$B$1:$B$193,0),MATCH(1,($B$1:$W$1=$AB4)*($B$2:$W$2=$AC4),0))</f>
        <v>1</v>
      </c>
      <c r="DL4" t="b" cm="1">
        <f t="array" ref="DL4">INDEX($B$1:$W$193,MATCH(DL$1,$B$1:$B$193,0),MATCH(1,($B$1:$W$1=$AB4)*($B$2:$W$2=$AC4),0))</f>
        <v>1</v>
      </c>
      <c r="DM4" t="b" cm="1">
        <f t="array" ref="DM4">INDEX($B$1:$W$193,MATCH(DM$1,$B$1:$B$193,0),MATCH(1,($B$1:$W$1=$AB4)*($B$2:$W$2=$AC4),0))</f>
        <v>1</v>
      </c>
      <c r="DN4" t="b" cm="1">
        <f t="array" ref="DN4">INDEX($B$1:$W$193,MATCH(DN$1,$B$1:$B$193,0),MATCH(1,($B$1:$W$1=$AB4)*($B$2:$W$2=$AC4),0))</f>
        <v>1</v>
      </c>
      <c r="DO4" t="b" cm="1">
        <f t="array" ref="DO4">INDEX($B$1:$W$193,MATCH(DO$1,$B$1:$B$193,0),MATCH(1,($B$1:$W$1=$AB4)*($B$2:$W$2=$AC4),0))</f>
        <v>1</v>
      </c>
      <c r="DP4" t="b" cm="1">
        <f t="array" ref="DP4">INDEX($B$1:$W$193,MATCH(DP$1,$B$1:$B$193,0),MATCH(1,($B$1:$W$1=$AB4)*($B$2:$W$2=$AC4),0))</f>
        <v>1</v>
      </c>
      <c r="DQ4" t="b" cm="1">
        <f t="array" ref="DQ4">INDEX($B$1:$W$193,MATCH(DQ$1,$B$1:$B$193,0),MATCH(1,($B$1:$W$1=$AB4)*($B$2:$W$2=$AC4),0))</f>
        <v>1</v>
      </c>
      <c r="DR4" t="b" cm="1">
        <f t="array" ref="DR4">INDEX($B$1:$W$193,MATCH(DR$1,$B$1:$B$193,0),MATCH(1,($B$1:$W$1=$AB4)*($B$2:$W$2=$AC4),0))</f>
        <v>1</v>
      </c>
      <c r="DS4" t="b" cm="1">
        <f t="array" ref="DS4">INDEX($B$1:$W$193,MATCH(DS$1,$B$1:$B$193,0),MATCH(1,($B$1:$W$1=$AB4)*($B$2:$W$2=$AC4),0))</f>
        <v>1</v>
      </c>
      <c r="DT4" t="b" cm="1">
        <f t="array" ref="DT4">INDEX($B$1:$W$193,MATCH(DT$1,$B$1:$B$193,0),MATCH(1,($B$1:$W$1=$AB4)*($B$2:$W$2=$AC4),0))</f>
        <v>1</v>
      </c>
      <c r="DU4" t="b" cm="1">
        <f t="array" ref="DU4">INDEX($B$1:$W$193,MATCH(DU$1,$B$1:$B$193,0),MATCH(1,($B$1:$W$1=$AB4)*($B$2:$W$2=$AC4),0))</f>
        <v>1</v>
      </c>
      <c r="DV4" t="b" cm="1">
        <f t="array" ref="DV4">INDEX($B$1:$W$193,MATCH(DV$1,$B$1:$B$193,0),MATCH(1,($B$1:$W$1=$AB4)*($B$2:$W$2=$AC4),0))</f>
        <v>1</v>
      </c>
      <c r="DW4" t="b" cm="1">
        <f t="array" ref="DW4">INDEX($B$1:$W$193,MATCH(DW$1,$B$1:$B$193,0),MATCH(1,($B$1:$W$1=$AB4)*($B$2:$W$2=$AC4),0))</f>
        <v>1</v>
      </c>
      <c r="DX4" t="b" cm="1">
        <f t="array" ref="DX4">INDEX($B$1:$W$193,MATCH(DX$1,$B$1:$B$193,0),MATCH(1,($B$1:$W$1=$AB4)*($B$2:$W$2=$AC4),0))</f>
        <v>1</v>
      </c>
      <c r="DY4" t="b" cm="1">
        <f t="array" ref="DY4">INDEX($B$1:$W$193,MATCH(DY$1,$B$1:$B$193,0),MATCH(1,($B$1:$W$1=$AB4)*($B$2:$W$2=$AC4),0))</f>
        <v>1</v>
      </c>
      <c r="DZ4" t="b" cm="1">
        <f t="array" ref="DZ4">INDEX($B$1:$W$193,MATCH(DZ$1,$B$1:$B$193,0),MATCH(1,($B$1:$W$1=$AB4)*($B$2:$W$2=$AC4),0))</f>
        <v>1</v>
      </c>
      <c r="EA4" t="b" cm="1">
        <f t="array" ref="EA4">INDEX($B$1:$W$193,MATCH(EA$1,$B$1:$B$193,0),MATCH(1,($B$1:$W$1=$AB4)*($B$2:$W$2=$AC4),0))</f>
        <v>1</v>
      </c>
      <c r="EB4" t="b" cm="1">
        <f t="array" ref="EB4">INDEX($B$1:$W$193,MATCH(EB$1,$B$1:$B$193,0),MATCH(1,($B$1:$W$1=$AB4)*($B$2:$W$2=$AC4),0))</f>
        <v>1</v>
      </c>
      <c r="EC4" t="b" cm="1">
        <f t="array" ref="EC4">INDEX($B$1:$W$193,MATCH(EC$1,$B$1:$B$193,0),MATCH(1,($B$1:$W$1=$AB4)*($B$2:$W$2=$AC4),0))</f>
        <v>1</v>
      </c>
      <c r="ED4" t="b" cm="1">
        <f t="array" ref="ED4">INDEX($B$1:$W$193,MATCH(ED$1,$B$1:$B$193,0),MATCH(1,($B$1:$W$1=$AB4)*($B$2:$W$2=$AC4),0))</f>
        <v>1</v>
      </c>
      <c r="EE4" t="b" cm="1">
        <f t="array" ref="EE4">INDEX($B$1:$W$193,MATCH(EE$1,$B$1:$B$193,0),MATCH(1,($B$1:$W$1=$AB4)*($B$2:$W$2=$AC4),0))</f>
        <v>1</v>
      </c>
      <c r="EF4" t="b" cm="1">
        <f t="array" ref="EF4">INDEX($B$1:$W$193,MATCH(EF$1,$B$1:$B$193,0),MATCH(1,($B$1:$W$1=$AB4)*($B$2:$W$2=$AC4),0))</f>
        <v>1</v>
      </c>
      <c r="EG4" t="b" cm="1">
        <f t="array" ref="EG4">INDEX($B$1:$W$193,MATCH(EG$1,$B$1:$B$193,0),MATCH(1,($B$1:$W$1=$AB4)*($B$2:$W$2=$AC4),0))</f>
        <v>1</v>
      </c>
      <c r="EH4" t="b" cm="1">
        <f t="array" ref="EH4">INDEX($B$1:$W$193,MATCH(EH$1,$B$1:$B$193,0),MATCH(1,($B$1:$W$1=$AB4)*($B$2:$W$2=$AC4),0))</f>
        <v>1</v>
      </c>
      <c r="EI4" t="b" cm="1">
        <f t="array" ref="EI4">INDEX($B$1:$W$193,MATCH(EI$1,$B$1:$B$193,0),MATCH(1,($B$1:$W$1=$AB4)*($B$2:$W$2=$AC4),0))</f>
        <v>1</v>
      </c>
      <c r="EJ4" t="b" cm="1">
        <f t="array" ref="EJ4">INDEX($B$1:$W$193,MATCH(EJ$1,$B$1:$B$193,0),MATCH(1,($B$1:$W$1=$AB4)*($B$2:$W$2=$AC4),0))</f>
        <v>1</v>
      </c>
      <c r="EK4" t="b" cm="1">
        <f t="array" ref="EK4">INDEX($B$1:$W$193,MATCH(EK$1,$B$1:$B$193,0),MATCH(1,($B$1:$W$1=$AB4)*($B$2:$W$2=$AC4),0))</f>
        <v>1</v>
      </c>
      <c r="EL4" t="b" cm="1">
        <f t="array" ref="EL4">INDEX($B$1:$W$193,MATCH(EL$1,$B$1:$B$193,0),MATCH(1,($B$1:$W$1=$AB4)*($B$2:$W$2=$AC4),0))</f>
        <v>0</v>
      </c>
      <c r="EM4" t="b" cm="1">
        <f t="array" ref="EM4">INDEX($B$1:$W$193,MATCH(EM$1,$B$1:$B$193,0),MATCH(1,($B$1:$W$1=$AB4)*($B$2:$W$2=$AC4),0))</f>
        <v>0</v>
      </c>
      <c r="EN4" t="b" cm="1">
        <f t="array" ref="EN4">INDEX($B$1:$W$193,MATCH(EN$1,$B$1:$B$193,0),MATCH(1,($B$1:$W$1=$AB4)*($B$2:$W$2=$AC4),0))</f>
        <v>1</v>
      </c>
      <c r="EO4" t="b" cm="1">
        <f t="array" ref="EO4">INDEX($B$1:$W$193,MATCH(EO$1,$B$1:$B$193,0),MATCH(1,($B$1:$W$1=$AB4)*($B$2:$W$2=$AC4),0))</f>
        <v>1</v>
      </c>
      <c r="EP4" t="b" cm="1">
        <f t="array" ref="EP4">INDEX($B$1:$W$193,MATCH(EP$1,$B$1:$B$193,0),MATCH(1,($B$1:$W$1=$AB4)*($B$2:$W$2=$AC4),0))</f>
        <v>1</v>
      </c>
      <c r="EQ4" t="b" cm="1">
        <f t="array" ref="EQ4">INDEX($B$1:$W$193,MATCH(EQ$1,$B$1:$B$193,0),MATCH(1,($B$1:$W$1=$AB4)*($B$2:$W$2=$AC4),0))</f>
        <v>1</v>
      </c>
      <c r="ER4" t="b" cm="1">
        <f t="array" ref="ER4">INDEX($B$1:$W$193,MATCH(ER$1,$B$1:$B$193,0),MATCH(1,($B$1:$W$1=$AB4)*($B$2:$W$2=$AC4),0))</f>
        <v>1</v>
      </c>
      <c r="ES4" t="b" cm="1">
        <f t="array" ref="ES4">INDEX($B$1:$W$193,MATCH(ES$1,$B$1:$B$193,0),MATCH(1,($B$1:$W$1=$AB4)*($B$2:$W$2=$AC4),0))</f>
        <v>1</v>
      </c>
      <c r="ET4" t="b" cm="1">
        <f t="array" ref="ET4">INDEX($B$1:$W$193,MATCH(ET$1,$B$1:$B$193,0),MATCH(1,($B$1:$W$1=$AB4)*($B$2:$W$2=$AC4),0))</f>
        <v>1</v>
      </c>
      <c r="EU4" t="b" cm="1">
        <f t="array" ref="EU4">INDEX($B$1:$W$193,MATCH(EU$1,$B$1:$B$193,0),MATCH(1,($B$1:$W$1=$AB4)*($B$2:$W$2=$AC4),0))</f>
        <v>1</v>
      </c>
      <c r="EV4" t="b" cm="1">
        <f t="array" ref="EV4">INDEX($B$1:$W$193,MATCH(EV$1,$B$1:$B$193,0),MATCH(1,($B$1:$W$1=$AB4)*($B$2:$W$2=$AC4),0))</f>
        <v>1</v>
      </c>
      <c r="EW4" t="b" cm="1">
        <f t="array" ref="EW4">INDEX($B$1:$W$193,MATCH(EW$1,$B$1:$B$193,0),MATCH(1,($B$1:$W$1=$AB4)*($B$2:$W$2=$AC4),0))</f>
        <v>1</v>
      </c>
      <c r="EX4" t="b" cm="1">
        <f t="array" ref="EX4">INDEX($B$1:$W$193,MATCH(EX$1,$B$1:$B$193,0),MATCH(1,($B$1:$W$1=$AB4)*($B$2:$W$2=$AC4),0))</f>
        <v>1</v>
      </c>
      <c r="EY4" t="b" cm="1">
        <f t="array" ref="EY4">INDEX($B$1:$W$193,MATCH(EY$1,$B$1:$B$193,0),MATCH(1,($B$1:$W$1=$AB4)*($B$2:$W$2=$AC4),0))</f>
        <v>1</v>
      </c>
      <c r="EZ4" t="b" cm="1">
        <f t="array" ref="EZ4">INDEX($B$1:$W$193,MATCH(EZ$1,$B$1:$B$193,0),MATCH(1,($B$1:$W$1=$AB4)*($B$2:$W$2=$AC4),0))</f>
        <v>1</v>
      </c>
      <c r="FA4" t="b" cm="1">
        <f t="array" ref="FA4">INDEX($B$1:$W$193,MATCH(FA$1,$B$1:$B$193,0),MATCH(1,($B$1:$W$1=$AB4)*($B$2:$W$2=$AC4),0))</f>
        <v>1</v>
      </c>
      <c r="FB4" t="b" cm="1">
        <f t="array" ref="FB4">INDEX($B$1:$W$193,MATCH(FB$1,$B$1:$B$193,0),MATCH(1,($B$1:$W$1=$AB4)*($B$2:$W$2=$AC4),0))</f>
        <v>1</v>
      </c>
      <c r="FC4" t="b" cm="1">
        <f t="array" ref="FC4">INDEX($B$1:$W$193,MATCH(FC$1,$B$1:$B$193,0),MATCH(1,($B$1:$W$1=$AB4)*($B$2:$W$2=$AC4),0))</f>
        <v>1</v>
      </c>
      <c r="FD4" t="b" cm="1">
        <f t="array" ref="FD4">INDEX($B$1:$W$193,MATCH(FD$1,$B$1:$B$193,0),MATCH(1,($B$1:$W$1=$AB4)*($B$2:$W$2=$AC4),0))</f>
        <v>1</v>
      </c>
      <c r="FE4" t="b" cm="1">
        <f t="array" ref="FE4">INDEX($B$1:$W$193,MATCH(FE$1,$B$1:$B$193,0),MATCH(1,($B$1:$W$1=$AB4)*($B$2:$W$2=$AC4),0))</f>
        <v>1</v>
      </c>
      <c r="FF4" t="b" cm="1">
        <f t="array" ref="FF4">INDEX($B$1:$W$193,MATCH(FF$1,$B$1:$B$193,0),MATCH(1,($B$1:$W$1=$AB4)*($B$2:$W$2=$AC4),0))</f>
        <v>1</v>
      </c>
      <c r="FG4" t="b" cm="1">
        <f t="array" ref="FG4">INDEX($B$1:$W$193,MATCH(FG$1,$B$1:$B$193,0),MATCH(1,($B$1:$W$1=$AB4)*($B$2:$W$2=$AC4),0))</f>
        <v>1</v>
      </c>
      <c r="FH4" t="b" cm="1">
        <f t="array" ref="FH4">INDEX($B$1:$W$193,MATCH(FH$1,$B$1:$B$193,0),MATCH(1,($B$1:$W$1=$AB4)*($B$2:$W$2=$AC4),0))</f>
        <v>1</v>
      </c>
      <c r="FI4" t="b" cm="1">
        <f t="array" ref="FI4">INDEX($B$1:$W$193,MATCH(FI$1,$B$1:$B$193,0),MATCH(1,($B$1:$W$1=$AB4)*($B$2:$W$2=$AC4),0))</f>
        <v>1</v>
      </c>
      <c r="FJ4" t="b" cm="1">
        <f t="array" ref="FJ4">INDEX($B$1:$W$193,MATCH(FJ$1,$B$1:$B$193,0),MATCH(1,($B$1:$W$1=$AB4)*($B$2:$W$2=$AC4),0))</f>
        <v>1</v>
      </c>
      <c r="FK4" t="b" cm="1">
        <f t="array" ref="FK4">INDEX($B$1:$W$193,MATCH(FK$1,$B$1:$B$193,0),MATCH(1,($B$1:$W$1=$AB4)*($B$2:$W$2=$AC4),0))</f>
        <v>1</v>
      </c>
      <c r="FL4" t="b" cm="1">
        <f t="array" ref="FL4">INDEX($B$1:$W$193,MATCH(FL$1,$B$1:$B$193,0),MATCH(1,($B$1:$W$1=$AB4)*($B$2:$W$2=$AC4),0))</f>
        <v>1</v>
      </c>
      <c r="FM4" t="b" cm="1">
        <f t="array" ref="FM4">INDEX($B$1:$W$193,MATCH(FM$1,$B$1:$B$193,0),MATCH(1,($B$1:$W$1=$AB4)*($B$2:$W$2=$AC4),0))</f>
        <v>1</v>
      </c>
      <c r="FN4" t="b" cm="1">
        <f t="array" ref="FN4">INDEX($B$1:$W$193,MATCH(FN$1,$B$1:$B$193,0),MATCH(1,($B$1:$W$1=$AB4)*($B$2:$W$2=$AC4),0))</f>
        <v>1</v>
      </c>
      <c r="FO4" t="b" cm="1">
        <f t="array" ref="FO4">INDEX($B$1:$W$193,MATCH(FO$1,$B$1:$B$193,0),MATCH(1,($B$1:$W$1=$AB4)*($B$2:$W$2=$AC4),0))</f>
        <v>1</v>
      </c>
      <c r="FP4" t="b" cm="1">
        <f t="array" ref="FP4">INDEX($B$1:$W$193,MATCH(FP$1,$B$1:$B$193,0),MATCH(1,($B$1:$W$1=$AB4)*($B$2:$W$2=$AC4),0))</f>
        <v>1</v>
      </c>
      <c r="FQ4" t="b" cm="1">
        <f t="array" ref="FQ4">INDEX($B$1:$W$193,MATCH(FQ$1,$B$1:$B$193,0),MATCH(1,($B$1:$W$1=$AB4)*($B$2:$W$2=$AC4),0))</f>
        <v>1</v>
      </c>
      <c r="FR4" t="b" cm="1">
        <f t="array" ref="FR4">INDEX($B$1:$W$193,MATCH(FR$1,$B$1:$B$193,0),MATCH(1,($B$1:$W$1=$AB4)*($B$2:$W$2=$AC4),0))</f>
        <v>1</v>
      </c>
      <c r="FS4" t="b" cm="1">
        <f t="array" ref="FS4">INDEX($B$1:$W$193,MATCH(FS$1,$B$1:$B$193,0),MATCH(1,($B$1:$W$1=$AB4)*($B$2:$W$2=$AC4),0))</f>
        <v>1</v>
      </c>
      <c r="FT4" t="b" cm="1">
        <f t="array" ref="FT4">INDEX($B$1:$W$193,MATCH(FT$1,$B$1:$B$193,0),MATCH(1,($B$1:$W$1=$AB4)*($B$2:$W$2=$AC4),0))</f>
        <v>1</v>
      </c>
      <c r="FU4" t="b" cm="1">
        <f t="array" ref="FU4">INDEX($B$1:$W$193,MATCH(FU$1,$B$1:$B$193,0),MATCH(1,($B$1:$W$1=$AB4)*($B$2:$W$2=$AC4),0))</f>
        <v>1</v>
      </c>
      <c r="FV4" t="b" cm="1">
        <f t="array" ref="FV4">INDEX($B$1:$W$193,MATCH(FV$1,$B$1:$B$193,0),MATCH(1,($B$1:$W$1=$AB4)*($B$2:$W$2=$AC4),0))</f>
        <v>1</v>
      </c>
      <c r="FW4" t="b" cm="1">
        <f t="array" ref="FW4">INDEX($B$1:$W$193,MATCH(FW$1,$B$1:$B$193,0),MATCH(1,($B$1:$W$1=$AB4)*($B$2:$W$2=$AC4),0))</f>
        <v>1</v>
      </c>
      <c r="FX4" t="b" cm="1">
        <f t="array" ref="FX4">INDEX($B$1:$W$193,MATCH(FX$1,$B$1:$B$193,0),MATCH(1,($B$1:$W$1=$AB4)*($B$2:$W$2=$AC4),0))</f>
        <v>1</v>
      </c>
      <c r="FY4" t="b" cm="1">
        <f t="array" ref="FY4">INDEX($B$1:$W$193,MATCH(FY$1,$B$1:$B$193,0),MATCH(1,($B$1:$W$1=$AB4)*($B$2:$W$2=$AC4),0))</f>
        <v>1</v>
      </c>
      <c r="FZ4" t="b" cm="1">
        <f t="array" ref="FZ4">INDEX($B$1:$W$193,MATCH(FZ$1,$B$1:$B$193,0),MATCH(1,($B$1:$W$1=$AB4)*($B$2:$W$2=$AC4),0))</f>
        <v>1</v>
      </c>
      <c r="GA4" t="b" cm="1">
        <f t="array" ref="GA4">INDEX($B$1:$W$193,MATCH(GA$1,$B$1:$B$193,0),MATCH(1,($B$1:$W$1=$AB4)*($B$2:$W$2=$AC4),0))</f>
        <v>1</v>
      </c>
      <c r="GB4" t="b" cm="1">
        <f t="array" ref="GB4">INDEX($B$1:$W$193,MATCH(GB$1,$B$1:$B$193,0),MATCH(1,($B$1:$W$1=$AB4)*($B$2:$W$2=$AC4),0))</f>
        <v>1</v>
      </c>
      <c r="GC4" t="b" cm="1">
        <f t="array" ref="GC4">INDEX($B$1:$W$193,MATCH(GC$1,$B$1:$B$193,0),MATCH(1,($B$1:$W$1=$AB4)*($B$2:$W$2=$AC4),0))</f>
        <v>1</v>
      </c>
      <c r="GD4" t="b" cm="1">
        <f t="array" ref="GD4">INDEX($B$1:$W$193,MATCH(GD$1,$B$1:$B$193,0),MATCH(1,($B$1:$W$1=$AB4)*($B$2:$W$2=$AC4),0))</f>
        <v>1</v>
      </c>
      <c r="GE4" t="b" cm="1">
        <f t="array" ref="GE4">INDEX($B$1:$W$193,MATCH(GE$1,$B$1:$B$193,0),MATCH(1,($B$1:$W$1=$AB4)*($B$2:$W$2=$AC4),0))</f>
        <v>1</v>
      </c>
      <c r="GF4" t="b" cm="1">
        <f t="array" ref="GF4">INDEX($B$1:$W$193,MATCH(GF$1,$B$1:$B$193,0),MATCH(1,($B$1:$W$1=$AB4)*($B$2:$W$2=$AC4),0))</f>
        <v>1</v>
      </c>
      <c r="GG4" t="b" cm="1">
        <f t="array" ref="GG4">INDEX($B$1:$W$193,MATCH(GG$1,$B$1:$B$193,0),MATCH(1,($B$1:$W$1=$AB4)*($B$2:$W$2=$AC4),0))</f>
        <v>1</v>
      </c>
      <c r="GH4" t="b" cm="1">
        <f t="array" ref="GH4">INDEX($B$1:$W$193,MATCH(GH$1,$B$1:$B$193,0),MATCH(1,($B$1:$W$1=$AB4)*($B$2:$W$2=$AC4),0))</f>
        <v>1</v>
      </c>
      <c r="GI4" t="b" cm="1">
        <f t="array" ref="GI4">INDEX($B$1:$W$193,MATCH(GI$1,$B$1:$B$193,0),MATCH(1,($B$1:$W$1=$AB4)*($B$2:$W$2=$AC4),0))</f>
        <v>1</v>
      </c>
      <c r="GJ4" t="b" cm="1">
        <f t="array" ref="GJ4">INDEX($B$1:$W$193,MATCH(GJ$1,$B$1:$B$193,0),MATCH(1,($B$1:$W$1=$AB4)*($B$2:$W$2=$AC4),0))</f>
        <v>1</v>
      </c>
      <c r="GK4" t="b" cm="1">
        <f t="array" ref="GK4">INDEX($B$1:$W$193,MATCH(GK$1,$B$1:$B$193,0),MATCH(1,($B$1:$W$1=$AB4)*($B$2:$W$2=$AC4),0))</f>
        <v>1</v>
      </c>
      <c r="GL4" t="b" cm="1">
        <f t="array" ref="GL4">INDEX($B$1:$W$193,MATCH(GL$1,$B$1:$B$193,0),MATCH(1,($B$1:$W$1=$AB4)*($B$2:$W$2=$AC4),0))</f>
        <v>1</v>
      </c>
      <c r="GM4" t="b" cm="1">
        <f t="array" ref="GM4">INDEX($B$1:$W$193,MATCH(GM$1,$B$1:$B$193,0),MATCH(1,($B$1:$W$1=$AB4)*($B$2:$W$2=$AC4),0))</f>
        <v>1</v>
      </c>
      <c r="GN4" t="b" cm="1">
        <f t="array" ref="GN4">INDEX($B$1:$W$193,MATCH(GN$1,$B$1:$B$193,0),MATCH(1,($B$1:$W$1=$AB4)*($B$2:$W$2=$AC4),0))</f>
        <v>1</v>
      </c>
      <c r="GO4" t="b" cm="1">
        <f t="array" ref="GO4">INDEX($B$1:$W$193,MATCH(GO$1,$B$1:$B$193,0),MATCH(1,($B$1:$W$1=$AB4)*($B$2:$W$2=$AC4),0))</f>
        <v>1</v>
      </c>
      <c r="GP4" t="b" cm="1">
        <f t="array" ref="GP4">INDEX($B$1:$W$193,MATCH(GP$1,$B$1:$B$193,0),MATCH(1,($B$1:$W$1=$AB4)*($B$2:$W$2=$AC4),0))</f>
        <v>1</v>
      </c>
      <c r="GQ4" t="b" cm="1">
        <f t="array" ref="GQ4">INDEX($B$1:$W$193,MATCH(GQ$1,$B$1:$B$193,0),MATCH(1,($B$1:$W$1=$AB4)*($B$2:$W$2=$AC4),0))</f>
        <v>1</v>
      </c>
      <c r="GR4" t="b" cm="1">
        <f t="array" ref="GR4">INDEX($B$1:$W$193,MATCH(GR$1,$B$1:$B$193,0),MATCH(1,($B$1:$W$1=$AB4)*($B$2:$W$2=$AC4),0))</f>
        <v>1</v>
      </c>
      <c r="GS4" t="b" cm="1">
        <f t="array" ref="GS4">INDEX($B$1:$W$193,MATCH(GS$1,$B$1:$B$193,0),MATCH(1,($B$1:$W$1=$AB4)*($B$2:$W$2=$AC4),0))</f>
        <v>1</v>
      </c>
      <c r="GT4" t="b" cm="1">
        <f t="array" ref="GT4">INDEX($B$1:$W$193,MATCH(GT$1,$B$1:$B$193,0),MATCH(1,($B$1:$W$1=$AB4)*($B$2:$W$2=$AC4),0))</f>
        <v>1</v>
      </c>
      <c r="GU4" t="b" cm="1">
        <f t="array" ref="GU4">INDEX($B$1:$W$193,MATCH(GU$1,$B$1:$B$193,0),MATCH(1,($B$1:$W$1=$AB4)*($B$2:$W$2=$AC4),0))</f>
        <v>1</v>
      </c>
      <c r="GV4" t="b" cm="1">
        <f t="array" ref="GV4">INDEX($B$1:$W$193,MATCH(GV$1,$B$1:$B$193,0),MATCH(1,($B$1:$W$1=$AB4)*($B$2:$W$2=$AC4),0))</f>
        <v>1</v>
      </c>
      <c r="GW4" t="b" cm="1">
        <f t="array" ref="GW4">INDEX($B$1:$W$193,MATCH(GW$1,$B$1:$B$193,0),MATCH(1,($B$1:$W$1=$AB4)*($B$2:$W$2=$AC4),0))</f>
        <v>1</v>
      </c>
      <c r="GX4" t="b" cm="1">
        <f t="array" ref="GX4">INDEX($B$1:$W$193,MATCH(GX$1,$B$1:$B$193,0),MATCH(1,($B$1:$W$1=$AB4)*($B$2:$W$2=$AC4),0))</f>
        <v>1</v>
      </c>
      <c r="GY4" t="b" cm="1">
        <f t="array" ref="GY4">INDEX($B$1:$W$193,MATCH(GY$1,$B$1:$B$193,0),MATCH(1,($B$1:$W$1=$AB4)*($B$2:$W$2=$AC4),0))</f>
        <v>1</v>
      </c>
      <c r="GZ4" t="b" cm="1">
        <f t="array" ref="GZ4">INDEX($B$1:$W$193,MATCH(GZ$1,$B$1:$B$193,0),MATCH(1,($B$1:$W$1=$AB4)*($B$2:$W$2=$AC4),0))</f>
        <v>1</v>
      </c>
      <c r="HA4" t="b" cm="1">
        <f t="array" ref="HA4">INDEX($B$1:$W$193,MATCH(HA$1,$B$1:$B$193,0),MATCH(1,($B$1:$W$1=$AB4)*($B$2:$W$2=$AC4),0))</f>
        <v>1</v>
      </c>
      <c r="HB4" t="b" cm="1">
        <f t="array" ref="HB4">INDEX($B$1:$W$193,MATCH(HB$1,$B$1:$B$193,0),MATCH(1,($B$1:$W$1=$AB4)*($B$2:$W$2=$AC4),0))</f>
        <v>1</v>
      </c>
      <c r="HC4" t="b" cm="1">
        <f t="array" ref="HC4">INDEX($B$1:$W$193,MATCH(HC$1,$B$1:$B$193,0),MATCH(1,($B$1:$W$1=$AB4)*($B$2:$W$2=$AC4),0))</f>
        <v>1</v>
      </c>
      <c r="HD4" t="b" cm="1">
        <f t="array" ref="HD4">INDEX($B$1:$W$193,MATCH(HD$1,$B$1:$B$193,0),MATCH(1,($B$1:$W$1=$AB4)*($B$2:$W$2=$AC4),0))</f>
        <v>1</v>
      </c>
      <c r="HE4" t="b" cm="1">
        <f t="array" ref="HE4">INDEX($B$1:$W$193,MATCH(HE$1,$B$1:$B$193,0),MATCH(1,($B$1:$W$1=$AB4)*($B$2:$W$2=$AC4),0))</f>
        <v>1</v>
      </c>
      <c r="HF4" t="b" cm="1">
        <f t="array" ref="HF4">INDEX($B$1:$W$193,MATCH(HF$1,$B$1:$B$193,0),MATCH(1,($B$1:$W$1=$AB4)*($B$2:$W$2=$AC4),0))</f>
        <v>1</v>
      </c>
      <c r="HG4" t="b" cm="1">
        <f t="array" ref="HG4">INDEX($B$1:$W$193,MATCH(HG$1,$B$1:$B$193,0),MATCH(1,($B$1:$W$1=$AB4)*($B$2:$W$2=$AC4),0))</f>
        <v>1</v>
      </c>
      <c r="HH4" t="b" cm="1">
        <f t="array" ref="HH4">INDEX($B$1:$W$193,MATCH(HH$1,$B$1:$B$193,0),MATCH(1,($B$1:$W$1=$AB4)*($B$2:$W$2=$AC4),0))</f>
        <v>1</v>
      </c>
      <c r="HI4" t="b" cm="1">
        <f t="array" ref="HI4">INDEX($B$1:$W$193,MATCH(HI$1,$B$1:$B$193,0),MATCH(1,($B$1:$W$1=$AB4)*($B$2:$W$2=$AC4),0))</f>
        <v>1</v>
      </c>
      <c r="HJ4" t="b" cm="1">
        <f t="array" ref="HJ4">INDEX($B$1:$W$193,MATCH(HJ$1,$B$1:$B$193,0),MATCH(1,($B$1:$W$1=$AB4)*($B$2:$W$2=$AC4),0))</f>
        <v>1</v>
      </c>
      <c r="HK4" t="b" cm="1">
        <f t="array" ref="HK4">INDEX($B$1:$W$193,MATCH(HK$1,$B$1:$B$193,0),MATCH(1,($B$1:$W$1=$AB4)*($B$2:$W$2=$AC4),0))</f>
        <v>1</v>
      </c>
      <c r="HL4" t="b" cm="1">
        <f t="array" ref="HL4">INDEX($B$1:$W$193,MATCH(HL$1,$B$1:$B$193,0),MATCH(1,($B$1:$W$1=$AB4)*($B$2:$W$2=$AC4),0))</f>
        <v>1</v>
      </c>
      <c r="HM4" t="b" cm="1">
        <f t="array" ref="HM4">INDEX($B$1:$W$193,MATCH(HM$1,$B$1:$B$193,0),MATCH(1,($B$1:$W$1=$AB4)*($B$2:$W$2=$AC4),0))</f>
        <v>1</v>
      </c>
      <c r="HN4" t="b" cm="1">
        <f t="array" ref="HN4">INDEX($B$1:$W$193,MATCH(HN$1,$B$1:$B$193,0),MATCH(1,($B$1:$W$1=$AB4)*($B$2:$W$2=$AC4),0))</f>
        <v>1</v>
      </c>
      <c r="HO4" t="b" cm="1">
        <f t="array" ref="HO4">INDEX($B$1:$W$193,MATCH(HO$1,$B$1:$B$193,0),MATCH(1,($B$1:$W$1=$AB4)*($B$2:$W$2=$AC4),0))</f>
        <v>1</v>
      </c>
      <c r="HP4" t="b" cm="1">
        <f t="array" ref="HP4">INDEX($B$1:$W$193,MATCH(HP$1,$B$1:$B$193,0),MATCH(1,($B$1:$W$1=$AB4)*($B$2:$W$2=$AC4),0))</f>
        <v>1</v>
      </c>
      <c r="HQ4" t="b" cm="1">
        <f t="array" ref="HQ4">INDEX($B$1:$W$193,MATCH(HQ$1,$B$1:$B$193,0),MATCH(1,($B$1:$W$1=$AB4)*($B$2:$W$2=$AC4),0))</f>
        <v>1</v>
      </c>
      <c r="HR4" t="b" cm="1">
        <f t="array" ref="HR4">INDEX($B$1:$W$193,MATCH(HR$1,$B$1:$B$193,0),MATCH(1,($B$1:$W$1=$AB4)*($B$2:$W$2=$AC4),0))</f>
        <v>1</v>
      </c>
      <c r="HS4" t="b" cm="1">
        <f t="array" ref="HS4">INDEX($B$1:$W$193,MATCH(HS$1,$B$1:$B$193,0),MATCH(1,($B$1:$W$1=$AB4)*($B$2:$W$2=$AC4),0))</f>
        <v>1</v>
      </c>
      <c r="HT4" t="b" cm="1">
        <f t="array" ref="HT4">INDEX($B$1:$W$193,MATCH(HT$1,$B$1:$B$193,0),MATCH(1,($B$1:$W$1=$AB4)*($B$2:$W$2=$AC4),0))</f>
        <v>1</v>
      </c>
      <c r="HU4" t="b" cm="1">
        <f t="array" ref="HU4">INDEX($B$1:$W$193,MATCH(HU$1,$B$1:$B$193,0),MATCH(1,($B$1:$W$1=$AB4)*($B$2:$W$2=$AC4),0))</f>
        <v>1</v>
      </c>
      <c r="HV4" t="b" cm="1">
        <f t="array" ref="HV4">INDEX($B$1:$W$193,MATCH(HV$1,$B$1:$B$193,0),MATCH(1,($B$1:$W$1=$AB4)*($B$2:$W$2=$AC4),0))</f>
        <v>1</v>
      </c>
      <c r="HW4" t="b" cm="1">
        <f t="array" ref="HW4">INDEX($B$1:$W$193,MATCH(HW$1,$B$1:$B$193,0),MATCH(1,($B$1:$W$1=$AB4)*($B$2:$W$2=$AC4),0))</f>
        <v>1</v>
      </c>
      <c r="HX4" t="b" cm="1">
        <f t="array" ref="HX4">INDEX($B$1:$W$193,MATCH(HX$1,$B$1:$B$193,0),MATCH(1,($B$1:$W$1=$AB4)*($B$2:$W$2=$AC4),0))</f>
        <v>1</v>
      </c>
      <c r="HY4" t="b" cm="1">
        <f t="array" ref="HY4">INDEX($B$1:$W$193,MATCH(HY$1,$B$1:$B$193,0),MATCH(1,($B$1:$W$1=$AB4)*($B$2:$W$2=$AC4),0))</f>
        <v>1</v>
      </c>
      <c r="HZ4" t="b" cm="1">
        <f t="array" ref="HZ4">INDEX($B$1:$W$193,MATCH(HZ$1,$B$1:$B$193,0),MATCH(1,($B$1:$W$1=$AB4)*($B$2:$W$2=$AC4),0))</f>
        <v>1</v>
      </c>
      <c r="IA4" t="b" cm="1">
        <f t="array" ref="IA4">INDEX($B$1:$W$193,MATCH(IA$1,$B$1:$B$193,0),MATCH(1,($B$1:$W$1=$AB4)*($B$2:$W$2=$AC4),0))</f>
        <v>1</v>
      </c>
      <c r="IB4" t="b" cm="1">
        <f t="array" ref="IB4">INDEX($B$1:$W$193,MATCH(IB$1,$B$1:$B$193,0),MATCH(1,($B$1:$W$1=$AB4)*($B$2:$W$2=$AC4),0))</f>
        <v>1</v>
      </c>
      <c r="IC4" t="b" cm="1">
        <f t="array" ref="IC4">INDEX($B$1:$W$193,MATCH(IC$1,$B$1:$B$193,0),MATCH(1,($B$1:$W$1=$AB4)*($B$2:$W$2=$AC4),0))</f>
        <v>1</v>
      </c>
      <c r="ID4" t="b" cm="1">
        <f t="array" ref="ID4">INDEX($B$1:$W$193,MATCH(ID$1,$B$1:$B$193,0),MATCH(1,($B$1:$W$1=$AB4)*($B$2:$W$2=$AC4),0))</f>
        <v>1</v>
      </c>
      <c r="IE4" t="b" cm="1">
        <f t="array" ref="IE4">INDEX($B$1:$W$193,MATCH(IE$1,$B$1:$B$193,0),MATCH(1,($B$1:$W$1=$AB4)*($B$2:$W$2=$AC4),0))</f>
        <v>1</v>
      </c>
      <c r="IF4" t="b" cm="1">
        <f t="array" ref="IF4">INDEX($B$1:$W$193,MATCH(IF$1,$B$1:$B$193,0),MATCH(1,($B$1:$W$1=$AB4)*($B$2:$W$2=$AC4),0))</f>
        <v>1</v>
      </c>
      <c r="IG4" t="b" cm="1">
        <f t="array" ref="IG4">INDEX($B$1:$W$193,MATCH(IG$1,$B$1:$B$193,0),MATCH(1,($B$1:$W$1=$AB4)*($B$2:$W$2=$AC4),0))</f>
        <v>1</v>
      </c>
      <c r="IH4" t="b" cm="1">
        <f t="array" ref="IH4">INDEX($B$1:$W$193,MATCH(IH$1,$B$1:$B$193,0),MATCH(1,($B$1:$W$1=$AB4)*($B$2:$W$2=$AC4),0))</f>
        <v>1</v>
      </c>
      <c r="II4" t="b" cm="1">
        <f t="array" ref="II4">INDEX($B$1:$W$193,MATCH(II$1,$B$1:$B$193,0),MATCH(1,($B$1:$W$1=$AB4)*($B$2:$W$2=$AC4),0))</f>
        <v>1</v>
      </c>
      <c r="IJ4" t="b" cm="1">
        <f t="array" ref="IJ4">INDEX($B$1:$W$193,MATCH(IJ$1,$B$1:$B$193,0),MATCH(1,($B$1:$W$1=$AB4)*($B$2:$W$2=$AC4),0))</f>
        <v>1</v>
      </c>
      <c r="IK4" t="b" cm="1">
        <f t="array" ref="IK4">INDEX($B$1:$W$193,MATCH(IK$1,$B$1:$B$193,0),MATCH(1,($B$1:$W$1=$AB4)*($B$2:$W$2=$AC4),0))</f>
        <v>1</v>
      </c>
      <c r="IL4" t="b" cm="1">
        <f t="array" ref="IL4">INDEX($B$1:$W$193,MATCH(IL$1,$B$1:$B$193,0),MATCH(1,($B$1:$W$1=$AB4)*($B$2:$W$2=$AC4),0))</f>
        <v>1</v>
      </c>
      <c r="IM4" t="b" cm="1">
        <f t="array" ref="IM4">INDEX($B$1:$W$193,MATCH(IM$1,$B$1:$B$193,0),MATCH(1,($B$1:$W$1=$AB4)*($B$2:$W$2=$AC4),0))</f>
        <v>1</v>
      </c>
      <c r="IN4" t="b" cm="1">
        <f t="array" ref="IN4">INDEX($B$1:$W$193,MATCH(IN$1,$B$1:$B$193,0),MATCH(1,($B$1:$W$1=$AB4)*($B$2:$W$2=$AC4),0))</f>
        <v>1</v>
      </c>
      <c r="IO4" t="b" cm="1">
        <f t="array" ref="IO4">INDEX($B$1:$W$193,MATCH(IO$1,$B$1:$B$193,0),MATCH(1,($B$1:$W$1=$AB4)*($B$2:$W$2=$AC4),0))</f>
        <v>1</v>
      </c>
      <c r="IP4" t="b" cm="1">
        <f t="array" ref="IP4">INDEX($B$1:$W$193,MATCH(IP$1,$B$1:$B$193,0),MATCH(1,($B$1:$W$1=$AB4)*($B$2:$W$2=$AC4),0))</f>
        <v>1</v>
      </c>
      <c r="IQ4" t="b" cm="1">
        <f t="array" ref="IQ4">INDEX($B$1:$W$193,MATCH(IQ$1,$B$1:$B$193,0),MATCH(1,($B$1:$W$1=$AB4)*($B$2:$W$2=$AC4),0))</f>
        <v>1</v>
      </c>
      <c r="IR4" t="b" cm="1">
        <f t="array" ref="IR4">INDEX($B$1:$W$193,MATCH(IR$1,$B$1:$B$193,0),MATCH(1,($B$1:$W$1=$AB4)*($B$2:$W$2=$AC4),0))</f>
        <v>1</v>
      </c>
      <c r="IS4" t="b" cm="1">
        <f t="array" ref="IS4">INDEX($B$1:$W$193,MATCH(IS$1,$B$1:$B$193,0),MATCH(1,($B$1:$W$1=$AB4)*($B$2:$W$2=$AC4),0))</f>
        <v>1</v>
      </c>
      <c r="IT4" t="b" cm="1">
        <f t="array" ref="IT4">INDEX($B$1:$W$193,MATCH(IT$1,$B$1:$B$193,0),MATCH(1,($B$1:$W$1=$AB4)*($B$2:$W$2=$AC4),0))</f>
        <v>1</v>
      </c>
      <c r="IU4" t="b" cm="1">
        <f t="array" ref="IU4">INDEX($B$1:$W$193,MATCH(IU$1,$B$1:$B$193,0),MATCH(1,($B$1:$W$1=$AB4)*($B$2:$W$2=$AC4),0))</f>
        <v>1</v>
      </c>
      <c r="IV4" t="b" cm="1">
        <f t="array" ref="IV4">INDEX($B$1:$W$193,MATCH(IV$1,$B$1:$B$193,0),MATCH(1,($B$1:$W$1=$AB4)*($B$2:$W$2=$AC4),0))</f>
        <v>1</v>
      </c>
      <c r="IW4" t="b" cm="1">
        <f t="array" ref="IW4">INDEX($B$1:$W$193,MATCH(IW$1,$B$1:$B$193,0),MATCH(1,($B$1:$W$1=$AB4)*($B$2:$W$2=$AC4),0))</f>
        <v>1</v>
      </c>
      <c r="IX4" t="b" cm="1">
        <f t="array" ref="IX4">INDEX($B$1:$W$193,MATCH(IX$1,$B$1:$B$193,0),MATCH(1,($B$1:$W$1=$AB4)*($B$2:$W$2=$AC4),0))</f>
        <v>1</v>
      </c>
      <c r="IY4" t="b" cm="1">
        <f t="array" ref="IY4">INDEX($B$1:$W$193,MATCH(IY$1,$B$1:$B$193,0),MATCH(1,($B$1:$W$1=$AB4)*($B$2:$W$2=$AC4),0))</f>
        <v>1</v>
      </c>
      <c r="IZ4" t="b" cm="1">
        <f t="array" ref="IZ4">INDEX($B$1:$W$193,MATCH(IZ$1,$B$1:$B$193,0),MATCH(1,($B$1:$W$1=$AB4)*($B$2:$W$2=$AC4),0))</f>
        <v>1</v>
      </c>
      <c r="JA4" t="b" cm="1">
        <f t="array" ref="JA4">INDEX($B$1:$W$193,MATCH(JA$1,$B$1:$B$193,0),MATCH(1,($B$1:$W$1=$AB4)*($B$2:$W$2=$AC4),0))</f>
        <v>1</v>
      </c>
      <c r="JB4" t="b" cm="1">
        <f t="array" ref="JB4">INDEX($B$1:$W$193,MATCH(JB$1,$B$1:$B$193,0),MATCH(1,($B$1:$W$1=$AB4)*($B$2:$W$2=$AC4),0))</f>
        <v>1</v>
      </c>
      <c r="JC4" t="b" cm="1">
        <f t="array" ref="JC4">INDEX($B$1:$W$193,MATCH(JC$1,$B$1:$B$193,0),MATCH(1,($B$1:$W$1=$AB4)*($B$2:$W$2=$AC4),0))</f>
        <v>1</v>
      </c>
      <c r="JD4" t="b" cm="1">
        <f t="array" ref="JD4">INDEX($B$1:$W$193,MATCH(JD$1,$B$1:$B$193,0),MATCH(1,($B$1:$W$1=$AB4)*($B$2:$W$2=$AC4),0))</f>
        <v>1</v>
      </c>
      <c r="JE4" t="b" cm="1">
        <f t="array" ref="JE4">INDEX($B$1:$W$193,MATCH(JE$1,$B$1:$B$193,0),MATCH(1,($B$1:$W$1=$AB4)*($B$2:$W$2=$AC4),0))</f>
        <v>1</v>
      </c>
      <c r="JF4" t="b" cm="1">
        <f t="array" ref="JF4">INDEX($B$1:$W$193,MATCH(JF$1,$B$1:$B$193,0),MATCH(1,($B$1:$W$1=$AB4)*($B$2:$W$2=$AC4),0))</f>
        <v>1</v>
      </c>
      <c r="JG4" t="b" cm="1">
        <f t="array" ref="JG4">INDEX($B$1:$W$193,MATCH(JG$1,$B$1:$B$193,0),MATCH(1,($B$1:$W$1=$AB4)*($B$2:$W$2=$AC4),0))</f>
        <v>1</v>
      </c>
      <c r="JH4" t="b" cm="1">
        <f t="array" ref="JH4">INDEX($B$1:$W$193,MATCH(JH$1,$B$1:$B$193,0),MATCH(1,($B$1:$W$1=$AB4)*($B$2:$W$2=$AC4),0))</f>
        <v>1</v>
      </c>
    </row>
    <row r="5" spans="1:268" x14ac:dyDescent="0.25">
      <c r="A5" t="s">
        <v>165</v>
      </c>
      <c r="B5" s="51" t="s">
        <v>167</v>
      </c>
      <c r="C5">
        <v>2</v>
      </c>
      <c r="D5">
        <v>3</v>
      </c>
      <c r="E5" t="b">
        <f t="shared" si="1"/>
        <v>1</v>
      </c>
      <c r="F5" t="b">
        <f t="shared" si="0"/>
        <v>1</v>
      </c>
      <c r="G5" t="b">
        <f t="shared" si="0"/>
        <v>1</v>
      </c>
      <c r="H5" t="b">
        <f t="shared" si="0"/>
        <v>0</v>
      </c>
      <c r="I5" t="b">
        <f t="shared" si="0"/>
        <v>0</v>
      </c>
      <c r="J5" t="b">
        <f t="shared" si="0"/>
        <v>0</v>
      </c>
      <c r="K5" t="b">
        <f t="shared" si="0"/>
        <v>1</v>
      </c>
      <c r="L5" t="b">
        <f t="shared" si="0"/>
        <v>1</v>
      </c>
      <c r="M5" t="b">
        <f t="shared" si="0"/>
        <v>1</v>
      </c>
      <c r="N5" t="b">
        <f t="shared" si="0"/>
        <v>0</v>
      </c>
      <c r="O5" t="b">
        <f t="shared" si="0"/>
        <v>0</v>
      </c>
      <c r="P5" t="b">
        <f t="shared" si="0"/>
        <v>0</v>
      </c>
      <c r="Q5" t="b">
        <v>1</v>
      </c>
      <c r="R5" t="b" cm="1">
        <f t="array" ref="R5">_xlfn.IFS(C5=1,FALSE,OR(C5=2,C5&gt;2),TRUE)</f>
        <v>1</v>
      </c>
      <c r="S5" t="b" cm="1">
        <f t="array" ref="S5">_xlfn.IFS(OR(C5=1,C5=2),FALSE,OR(C5=3,C5&gt;3),TRUE)</f>
        <v>0</v>
      </c>
      <c r="T5" t="str">
        <f t="shared" si="2"/>
        <v>TRUE</v>
      </c>
      <c r="U5" t="str">
        <f t="shared" si="3"/>
        <v>FALSE</v>
      </c>
      <c r="V5" t="str">
        <f t="shared" si="4"/>
        <v>FALSE</v>
      </c>
      <c r="W5" t="b" cm="1">
        <f t="array" ref="W5">_xlfn.IFS(H5=1,FALSE,OR(H5=2,H5&gt;2),TRUE)</f>
        <v>1</v>
      </c>
      <c r="X5" t="b" cm="1">
        <f t="array" ref="X5">_xlfn.IFS(H5=1,FALSE,OR(H5=2,H5&gt;2),TRUE)</f>
        <v>1</v>
      </c>
      <c r="Y5" t="b" cm="1">
        <f t="array" ref="Y5">_xlfn.IFS(H5=1,FALSE,OR(H5=2,H5&gt;2),TRUE)</f>
        <v>1</v>
      </c>
      <c r="AB5" t="s">
        <v>0</v>
      </c>
      <c r="AC5" t="s">
        <v>80</v>
      </c>
      <c r="AD5" t="b" cm="1">
        <f t="array" ref="AD5">INDEX($B$1:$W$193,MATCH(AD$1,$B$1:$B$193,0),MATCH(1,($B$1:$W$1=$AB5)*($B$2:$W$2=$AC5),0))</f>
        <v>0</v>
      </c>
      <c r="AE5" t="b" cm="1">
        <f t="array" ref="AE5">INDEX($B$1:$W$193,MATCH(AE$1,$B$1:$B$193,0),MATCH(1,($B$1:$W$1=$AB5)*($B$2:$W$2=$AC5),0))</f>
        <v>0</v>
      </c>
      <c r="AF5" t="b" cm="1">
        <f t="array" ref="AF5">INDEX($B$1:$W$193,MATCH(AF$1,$B$1:$B$193,0),MATCH(1,($B$1:$W$1=$AB5)*($B$2:$W$2=$AC5),0))</f>
        <v>0</v>
      </c>
      <c r="AG5" t="b" cm="1">
        <f t="array" ref="AG5">INDEX($B$1:$W$193,MATCH(AG$1,$B$1:$B$193,0),MATCH(1,($B$1:$W$1=$AB5)*($B$2:$W$2=$AC5),0))</f>
        <v>0</v>
      </c>
      <c r="AH5" t="b" cm="1">
        <f t="array" ref="AH5">INDEX($B$1:$W$193,MATCH(AH$1,$B$1:$B$193,0),MATCH(1,($B$1:$W$1=$AB5)*($B$2:$W$2=$AC5),0))</f>
        <v>0</v>
      </c>
      <c r="AI5" t="b" cm="1">
        <f t="array" ref="AI5">INDEX($B$1:$W$193,MATCH(AI$1,$B$1:$B$193,0),MATCH(1,($B$1:$W$1=$AB5)*($B$2:$W$2=$AC5),0))</f>
        <v>0</v>
      </c>
      <c r="AJ5" t="b" cm="1">
        <f t="array" ref="AJ5">INDEX($B$1:$W$193,MATCH(AJ$1,$B$1:$B$193,0),MATCH(1,($B$1:$W$1=$AB5)*($B$2:$W$2=$AC5),0))</f>
        <v>0</v>
      </c>
      <c r="AK5" t="b" cm="1">
        <f t="array" ref="AK5">INDEX($B$1:$W$193,MATCH(AK$1,$B$1:$B$193,0),MATCH(1,($B$1:$W$1=$AB5)*($B$2:$W$2=$AC5),0))</f>
        <v>0</v>
      </c>
      <c r="AL5" t="b" cm="1">
        <f t="array" ref="AL5">INDEX($B$1:$W$193,MATCH(AL$1,$B$1:$B$193,0),MATCH(1,($B$1:$W$1=$AB5)*($B$2:$W$2=$AC5),0))</f>
        <v>0</v>
      </c>
      <c r="AM5" t="b" cm="1">
        <f t="array" ref="AM5">INDEX($B$1:$W$193,MATCH(AM$1,$B$1:$B$193,0),MATCH(1,($B$1:$W$1=$AB5)*($B$2:$W$2=$AC5),0))</f>
        <v>0</v>
      </c>
      <c r="AN5" t="b" cm="1">
        <f t="array" ref="AN5">INDEX($B$1:$W$193,MATCH(AN$1,$B$1:$B$193,0),MATCH(1,($B$1:$W$1=$AB5)*($B$2:$W$2=$AC5),0))</f>
        <v>1</v>
      </c>
      <c r="AO5" t="b" cm="1">
        <f t="array" ref="AO5">INDEX($B$1:$W$193,MATCH(AO$1,$B$1:$B$193,0),MATCH(1,($B$1:$W$1=$AB5)*($B$2:$W$2=$AC5),0))</f>
        <v>0</v>
      </c>
      <c r="AP5" t="b" cm="1">
        <f t="array" ref="AP5">INDEX($B$1:$W$193,MATCH(AP$1,$B$1:$B$193,0),MATCH(1,($B$1:$W$1=$AB5)*($B$2:$W$2=$AC5),0))</f>
        <v>0</v>
      </c>
      <c r="AQ5" t="b" cm="1">
        <f t="array" ref="AQ5">INDEX($B$1:$W$193,MATCH(AQ$1,$B$1:$B$193,0),MATCH(1,($B$1:$W$1=$AB5)*($B$2:$W$2=$AC5),0))</f>
        <v>0</v>
      </c>
      <c r="AR5" t="b" cm="1">
        <f t="array" ref="AR5">INDEX($B$1:$W$193,MATCH(AR$1,$B$1:$B$193,0),MATCH(1,($B$1:$W$1=$AB5)*($B$2:$W$2=$AC5),0))</f>
        <v>0</v>
      </c>
      <c r="AS5" t="b" cm="1">
        <f t="array" ref="AS5">INDEX($B$1:$W$193,MATCH(AS$1,$B$1:$B$193,0),MATCH(1,($B$1:$W$1=$AB5)*($B$2:$W$2=$AC5),0))</f>
        <v>0</v>
      </c>
      <c r="AT5" t="b" cm="1">
        <f t="array" ref="AT5">INDEX($B$1:$W$193,MATCH(AT$1,$B$1:$B$193,0),MATCH(1,($B$1:$W$1=$AB5)*($B$2:$W$2=$AC5),0))</f>
        <v>1</v>
      </c>
      <c r="AU5" t="b" cm="1">
        <f t="array" ref="AU5">INDEX($B$1:$W$193,MATCH(AU$1,$B$1:$B$193,0),MATCH(1,($B$1:$W$1=$AB5)*($B$2:$W$2=$AC5),0))</f>
        <v>0</v>
      </c>
      <c r="AV5" t="b" cm="1">
        <f t="array" ref="AV5">INDEX($B$1:$W$193,MATCH(AV$1,$B$1:$B$193,0),MATCH(1,($B$1:$W$1=$AB5)*($B$2:$W$2=$AC5),0))</f>
        <v>1</v>
      </c>
      <c r="AW5" t="b" cm="1">
        <f t="array" ref="AW5">INDEX($B$1:$W$193,MATCH(AW$1,$B$1:$B$193,0),MATCH(1,($B$1:$W$1=$AB5)*($B$2:$W$2=$AC5),0))</f>
        <v>0</v>
      </c>
      <c r="AX5" t="b" cm="1">
        <f t="array" ref="AX5">INDEX($B$1:$W$193,MATCH(AX$1,$B$1:$B$193,0),MATCH(1,($B$1:$W$1=$AB5)*($B$2:$W$2=$AC5),0))</f>
        <v>0</v>
      </c>
      <c r="AY5" t="b" cm="1">
        <f t="array" ref="AY5">INDEX($B$1:$W$193,MATCH(AY$1,$B$1:$B$193,0),MATCH(1,($B$1:$W$1=$AB5)*($B$2:$W$2=$AC5),0))</f>
        <v>0</v>
      </c>
      <c r="AZ5" t="b" cm="1">
        <f t="array" ref="AZ5">INDEX($B$1:$W$193,MATCH(AZ$1,$B$1:$B$193,0),MATCH(1,($B$1:$W$1=$AB5)*($B$2:$W$2=$AC5),0))</f>
        <v>0</v>
      </c>
      <c r="BA5" t="b" cm="1">
        <f t="array" ref="BA5">INDEX($B$1:$W$193,MATCH(BA$1,$B$1:$B$193,0),MATCH(1,($B$1:$W$1=$AB5)*($B$2:$W$2=$AC5),0))</f>
        <v>0</v>
      </c>
      <c r="BB5" t="b" cm="1">
        <f t="array" ref="BB5">INDEX($B$1:$W$193,MATCH(BB$1,$B$1:$B$193,0),MATCH(1,($B$1:$W$1=$AB5)*($B$2:$W$2=$AC5),0))</f>
        <v>0</v>
      </c>
      <c r="BC5" t="b" cm="1">
        <f t="array" ref="BC5">INDEX($B$1:$W$193,MATCH(BC$1,$B$1:$B$193,0),MATCH(1,($B$1:$W$1=$AB5)*($B$2:$W$2=$AC5),0))</f>
        <v>0</v>
      </c>
      <c r="BD5" t="b" cm="1">
        <f t="array" ref="BD5">INDEX($B$1:$W$193,MATCH(BD$1,$B$1:$B$193,0),MATCH(1,($B$1:$W$1=$AB5)*($B$2:$W$2=$AC5),0))</f>
        <v>0</v>
      </c>
      <c r="BE5" t="b" cm="1">
        <f t="array" ref="BE5">INDEX($B$1:$W$193,MATCH(BE$1,$B$1:$B$193,0),MATCH(1,($B$1:$W$1=$AB5)*($B$2:$W$2=$AC5),0))</f>
        <v>0</v>
      </c>
      <c r="BF5" t="b" cm="1">
        <f t="array" ref="BF5">INDEX($B$1:$W$193,MATCH(BF$1,$B$1:$B$193,0),MATCH(1,($B$1:$W$1=$AB5)*($B$2:$W$2=$AC5),0))</f>
        <v>0</v>
      </c>
      <c r="BG5" t="b" cm="1">
        <f t="array" ref="BG5">INDEX($B$1:$W$193,MATCH(BG$1,$B$1:$B$193,0),MATCH(1,($B$1:$W$1=$AB5)*($B$2:$W$2=$AC5),0))</f>
        <v>0</v>
      </c>
      <c r="BH5" t="b" cm="1">
        <f t="array" ref="BH5">INDEX($B$1:$W$193,MATCH(BH$1,$B$1:$B$193,0),MATCH(1,($B$1:$W$1=$AB5)*($B$2:$W$2=$AC5),0))</f>
        <v>0</v>
      </c>
      <c r="BI5" t="b" cm="1">
        <f t="array" ref="BI5">INDEX($B$1:$W$193,MATCH(BI$1,$B$1:$B$193,0),MATCH(1,($B$1:$W$1=$AB5)*($B$2:$W$2=$AC5),0))</f>
        <v>1</v>
      </c>
      <c r="BJ5" t="b" cm="1">
        <f t="array" ref="BJ5">INDEX($B$1:$W$193,MATCH(BJ$1,$B$1:$B$193,0),MATCH(1,($B$1:$W$1=$AB5)*($B$2:$W$2=$AC5),0))</f>
        <v>0</v>
      </c>
      <c r="BK5" t="b" cm="1">
        <f t="array" ref="BK5">INDEX($B$1:$W$193,MATCH(BK$1,$B$1:$B$193,0),MATCH(1,($B$1:$W$1=$AB5)*($B$2:$W$2=$AC5),0))</f>
        <v>0</v>
      </c>
      <c r="BL5" t="b" cm="1">
        <f t="array" ref="BL5">INDEX($B$1:$W$193,MATCH(BL$1,$B$1:$B$193,0),MATCH(1,($B$1:$W$1=$AB5)*($B$2:$W$2=$AC5),0))</f>
        <v>0</v>
      </c>
      <c r="BM5" t="b" cm="1">
        <f t="array" ref="BM5">INDEX($B$1:$W$193,MATCH(BM$1,$B$1:$B$193,0),MATCH(1,($B$1:$W$1=$AB5)*($B$2:$W$2=$AC5),0))</f>
        <v>0</v>
      </c>
      <c r="BN5" t="b" cm="1">
        <f t="array" ref="BN5">INDEX($B$1:$W$193,MATCH(BN$1,$B$1:$B$193,0),MATCH(1,($B$1:$W$1=$AB5)*($B$2:$W$2=$AC5),0))</f>
        <v>0</v>
      </c>
      <c r="BO5" t="b" cm="1">
        <f t="array" ref="BO5">INDEX($B$1:$W$193,MATCH(BO$1,$B$1:$B$193,0),MATCH(1,($B$1:$W$1=$AB5)*($B$2:$W$2=$AC5),0))</f>
        <v>0</v>
      </c>
      <c r="BP5" t="b" cm="1">
        <f t="array" ref="BP5">INDEX($B$1:$W$193,MATCH(BP$1,$B$1:$B$193,0),MATCH(1,($B$1:$W$1=$AB5)*($B$2:$W$2=$AC5),0))</f>
        <v>0</v>
      </c>
      <c r="BQ5" t="b" cm="1">
        <f t="array" ref="BQ5">INDEX($B$1:$W$193,MATCH(BQ$1,$B$1:$B$193,0),MATCH(1,($B$1:$W$1=$AB5)*($B$2:$W$2=$AC5),0))</f>
        <v>0</v>
      </c>
      <c r="BR5" t="b" cm="1">
        <f t="array" ref="BR5">INDEX($B$1:$W$193,MATCH(BR$1,$B$1:$B$193,0),MATCH(1,($B$1:$W$1=$AB5)*($B$2:$W$2=$AC5),0))</f>
        <v>0</v>
      </c>
      <c r="BS5" t="b" cm="1">
        <f t="array" ref="BS5">INDEX($B$1:$W$193,MATCH(BS$1,$B$1:$B$193,0),MATCH(1,($B$1:$W$1=$AB5)*($B$2:$W$2=$AC5),0))</f>
        <v>1</v>
      </c>
      <c r="BT5" t="b" cm="1">
        <f t="array" ref="BT5">INDEX($B$1:$W$193,MATCH(BT$1,$B$1:$B$193,0),MATCH(1,($B$1:$W$1=$AB5)*($B$2:$W$2=$AC5),0))</f>
        <v>1</v>
      </c>
      <c r="BU5" t="b" cm="1">
        <f t="array" ref="BU5">INDEX($B$1:$W$193,MATCH(BU$1,$B$1:$B$193,0),MATCH(1,($B$1:$W$1=$AB5)*($B$2:$W$2=$AC5),0))</f>
        <v>0</v>
      </c>
      <c r="BV5" t="b" cm="1">
        <f t="array" ref="BV5">INDEX($B$1:$W$193,MATCH(BV$1,$B$1:$B$193,0),MATCH(1,($B$1:$W$1=$AB5)*($B$2:$W$2=$AC5),0))</f>
        <v>0</v>
      </c>
      <c r="BW5" t="b" cm="1">
        <f t="array" ref="BW5">INDEX($B$1:$W$193,MATCH(BW$1,$B$1:$B$193,0),MATCH(1,($B$1:$W$1=$AB5)*($B$2:$W$2=$AC5),0))</f>
        <v>0</v>
      </c>
      <c r="BX5" t="b" cm="1">
        <f t="array" ref="BX5">INDEX($B$1:$W$193,MATCH(BX$1,$B$1:$B$193,0),MATCH(1,($B$1:$W$1=$AB5)*($B$2:$W$2=$AC5),0))</f>
        <v>1</v>
      </c>
      <c r="BY5" t="b" cm="1">
        <f t="array" ref="BY5">INDEX($B$1:$W$193,MATCH(BY$1,$B$1:$B$193,0),MATCH(1,($B$1:$W$1=$AB5)*($B$2:$W$2=$AC5),0))</f>
        <v>0</v>
      </c>
      <c r="BZ5" t="b" cm="1">
        <f t="array" ref="BZ5">INDEX($B$1:$W$193,MATCH(BZ$1,$B$1:$B$193,0),MATCH(1,($B$1:$W$1=$AB5)*($B$2:$W$2=$AC5),0))</f>
        <v>1</v>
      </c>
      <c r="CA5" t="b" cm="1">
        <f t="array" ref="CA5">INDEX($B$1:$W$193,MATCH(CA$1,$B$1:$B$193,0),MATCH(1,($B$1:$W$1=$AB5)*($B$2:$W$2=$AC5),0))</f>
        <v>1</v>
      </c>
      <c r="CB5" t="b" cm="1">
        <f t="array" ref="CB5">INDEX($B$1:$W$193,MATCH(CB$1,$B$1:$B$193,0),MATCH(1,($B$1:$W$1=$AB5)*($B$2:$W$2=$AC5),0))</f>
        <v>0</v>
      </c>
      <c r="CC5" t="b" cm="1">
        <f t="array" ref="CC5">INDEX($B$1:$W$193,MATCH(CC$1,$B$1:$B$193,0),MATCH(1,($B$1:$W$1=$AB5)*($B$2:$W$2=$AC5),0))</f>
        <v>1</v>
      </c>
      <c r="CD5" t="b" cm="1">
        <f t="array" ref="CD5">INDEX($B$1:$W$193,MATCH(CD$1,$B$1:$B$193,0),MATCH(1,($B$1:$W$1=$AB5)*($B$2:$W$2=$AC5),0))</f>
        <v>0</v>
      </c>
      <c r="CE5" t="b" cm="1">
        <f t="array" ref="CE5">INDEX($B$1:$W$193,MATCH(CE$1,$B$1:$B$193,0),MATCH(1,($B$1:$W$1=$AB5)*($B$2:$W$2=$AC5),0))</f>
        <v>0</v>
      </c>
      <c r="CF5" t="b" cm="1">
        <f t="array" ref="CF5">INDEX($B$1:$W$193,MATCH(CF$1,$B$1:$B$193,0),MATCH(1,($B$1:$W$1=$AB5)*($B$2:$W$2=$AC5),0))</f>
        <v>0</v>
      </c>
      <c r="CG5" t="b" cm="1">
        <f t="array" ref="CG5">INDEX($B$1:$W$193,MATCH(CG$1,$B$1:$B$193,0),MATCH(1,($B$1:$W$1=$AB5)*($B$2:$W$2=$AC5),0))</f>
        <v>1</v>
      </c>
      <c r="CH5" t="b" cm="1">
        <f t="array" ref="CH5">INDEX($B$1:$W$193,MATCH(CH$1,$B$1:$B$193,0),MATCH(1,($B$1:$W$1=$AB5)*($B$2:$W$2=$AC5),0))</f>
        <v>0</v>
      </c>
      <c r="CI5" t="b" cm="1">
        <f t="array" ref="CI5">INDEX($B$1:$W$193,MATCH(CI$1,$B$1:$B$193,0),MATCH(1,($B$1:$W$1=$AB5)*($B$2:$W$2=$AC5),0))</f>
        <v>0</v>
      </c>
      <c r="CJ5" t="b" cm="1">
        <f t="array" ref="CJ5">INDEX($B$1:$W$193,MATCH(CJ$1,$B$1:$B$193,0),MATCH(1,($B$1:$W$1=$AB5)*($B$2:$W$2=$AC5),0))</f>
        <v>0</v>
      </c>
      <c r="CK5" t="b" cm="1">
        <f t="array" ref="CK5">INDEX($B$1:$W$193,MATCH(CK$1,$B$1:$B$193,0),MATCH(1,($B$1:$W$1=$AB5)*($B$2:$W$2=$AC5),0))</f>
        <v>0</v>
      </c>
      <c r="CL5" t="b" cm="1">
        <f t="array" ref="CL5">INDEX($B$1:$W$193,MATCH(CL$1,$B$1:$B$193,0),MATCH(1,($B$1:$W$1=$AB5)*($B$2:$W$2=$AC5),0))</f>
        <v>0</v>
      </c>
      <c r="CM5" t="b" cm="1">
        <f t="array" ref="CM5">INDEX($B$1:$W$193,MATCH(CM$1,$B$1:$B$193,0),MATCH(1,($B$1:$W$1=$AB5)*($B$2:$W$2=$AC5),0))</f>
        <v>0</v>
      </c>
      <c r="CN5" t="b" cm="1">
        <f t="array" ref="CN5">INDEX($B$1:$W$193,MATCH(CN$1,$B$1:$B$193,0),MATCH(1,($B$1:$W$1=$AB5)*($B$2:$W$2=$AC5),0))</f>
        <v>0</v>
      </c>
      <c r="CO5" t="b" cm="1">
        <f t="array" ref="CO5">INDEX($B$1:$W$193,MATCH(CO$1,$B$1:$B$193,0),MATCH(1,($B$1:$W$1=$AB5)*($B$2:$W$2=$AC5),0))</f>
        <v>1</v>
      </c>
      <c r="CP5" t="b" cm="1">
        <f t="array" ref="CP5">INDEX($B$1:$W$193,MATCH(CP$1,$B$1:$B$193,0),MATCH(1,($B$1:$W$1=$AB5)*($B$2:$W$2=$AC5),0))</f>
        <v>0</v>
      </c>
      <c r="CQ5" t="b" cm="1">
        <f t="array" ref="CQ5">INDEX($B$1:$W$193,MATCH(CQ$1,$B$1:$B$193,0),MATCH(1,($B$1:$W$1=$AB5)*($B$2:$W$2=$AC5),0))</f>
        <v>0</v>
      </c>
      <c r="CR5" t="b" cm="1">
        <f t="array" ref="CR5">INDEX($B$1:$W$193,MATCH(CR$1,$B$1:$B$193,0),MATCH(1,($B$1:$W$1=$AB5)*($B$2:$W$2=$AC5),0))</f>
        <v>0</v>
      </c>
      <c r="CS5" t="b" cm="1">
        <f t="array" ref="CS5">INDEX($B$1:$W$193,MATCH(CS$1,$B$1:$B$193,0),MATCH(1,($B$1:$W$1=$AB5)*($B$2:$W$2=$AC5),0))</f>
        <v>0</v>
      </c>
      <c r="CT5" t="b" cm="1">
        <f t="array" ref="CT5">INDEX($B$1:$W$193,MATCH(CT$1,$B$1:$B$193,0),MATCH(1,($B$1:$W$1=$AB5)*($B$2:$W$2=$AC5),0))</f>
        <v>0</v>
      </c>
      <c r="CU5" t="b" cm="1">
        <f t="array" ref="CU5">INDEX($B$1:$W$193,MATCH(CU$1,$B$1:$B$193,0),MATCH(1,($B$1:$W$1=$AB5)*($B$2:$W$2=$AC5),0))</f>
        <v>0</v>
      </c>
      <c r="CV5" t="b" cm="1">
        <f t="array" ref="CV5">INDEX($B$1:$W$193,MATCH(CV$1,$B$1:$B$193,0),MATCH(1,($B$1:$W$1=$AB5)*($B$2:$W$2=$AC5),0))</f>
        <v>0</v>
      </c>
      <c r="CW5" t="b" cm="1">
        <f t="array" ref="CW5">INDEX($B$1:$W$193,MATCH(CW$1,$B$1:$B$193,0),MATCH(1,($B$1:$W$1=$AB5)*($B$2:$W$2=$AC5),0))</f>
        <v>0</v>
      </c>
      <c r="CX5" t="b" cm="1">
        <f t="array" ref="CX5">INDEX($B$1:$W$193,MATCH(CX$1,$B$1:$B$193,0),MATCH(1,($B$1:$W$1=$AB5)*($B$2:$W$2=$AC5),0))</f>
        <v>0</v>
      </c>
      <c r="CY5" t="b" cm="1">
        <f t="array" ref="CY5">INDEX($B$1:$W$193,MATCH(CY$1,$B$1:$B$193,0),MATCH(1,($B$1:$W$1=$AB5)*($B$2:$W$2=$AC5),0))</f>
        <v>0</v>
      </c>
      <c r="CZ5" t="b" cm="1">
        <f t="array" ref="CZ5">INDEX($B$1:$W$193,MATCH(CZ$1,$B$1:$B$193,0),MATCH(1,($B$1:$W$1=$AB5)*($B$2:$W$2=$AC5),0))</f>
        <v>1</v>
      </c>
      <c r="DA5" t="b" cm="1">
        <f t="array" ref="DA5">INDEX($B$1:$W$193,MATCH(DA$1,$B$1:$B$193,0),MATCH(1,($B$1:$W$1=$AB5)*($B$2:$W$2=$AC5),0))</f>
        <v>0</v>
      </c>
      <c r="DB5" t="b" cm="1">
        <f t="array" ref="DB5">INDEX($B$1:$W$193,MATCH(DB$1,$B$1:$B$193,0),MATCH(1,($B$1:$W$1=$AB5)*($B$2:$W$2=$AC5),0))</f>
        <v>0</v>
      </c>
      <c r="DC5" t="b" cm="1">
        <f t="array" ref="DC5">INDEX($B$1:$W$193,MATCH(DC$1,$B$1:$B$193,0),MATCH(1,($B$1:$W$1=$AB5)*($B$2:$W$2=$AC5),0))</f>
        <v>0</v>
      </c>
      <c r="DD5" t="b" cm="1">
        <f t="array" ref="DD5">INDEX($B$1:$W$193,MATCH(DD$1,$B$1:$B$193,0),MATCH(1,($B$1:$W$1=$AB5)*($B$2:$W$2=$AC5),0))</f>
        <v>0</v>
      </c>
      <c r="DE5" t="b" cm="1">
        <f t="array" ref="DE5">INDEX($B$1:$W$193,MATCH(DE$1,$B$1:$B$193,0),MATCH(1,($B$1:$W$1=$AB5)*($B$2:$W$2=$AC5),0))</f>
        <v>1</v>
      </c>
      <c r="DF5" t="b" cm="1">
        <f t="array" ref="DF5">INDEX($B$1:$W$193,MATCH(DF$1,$B$1:$B$193,0),MATCH(1,($B$1:$W$1=$AB5)*($B$2:$W$2=$AC5),0))</f>
        <v>1</v>
      </c>
      <c r="DG5" t="b" cm="1">
        <f t="array" ref="DG5">INDEX($B$1:$W$193,MATCH(DG$1,$B$1:$B$193,0),MATCH(1,($B$1:$W$1=$AB5)*($B$2:$W$2=$AC5),0))</f>
        <v>0</v>
      </c>
      <c r="DH5" t="b" cm="1">
        <f t="array" ref="DH5">INDEX($B$1:$W$193,MATCH(DH$1,$B$1:$B$193,0),MATCH(1,($B$1:$W$1=$AB5)*($B$2:$W$2=$AC5),0))</f>
        <v>0</v>
      </c>
      <c r="DI5" t="b" cm="1">
        <f t="array" ref="DI5">INDEX($B$1:$W$193,MATCH(DI$1,$B$1:$B$193,0),MATCH(1,($B$1:$W$1=$AB5)*($B$2:$W$2=$AC5),0))</f>
        <v>1</v>
      </c>
      <c r="DJ5" t="b" cm="1">
        <f t="array" ref="DJ5">INDEX($B$1:$W$193,MATCH(DJ$1,$B$1:$B$193,0),MATCH(1,($B$1:$W$1=$AB5)*($B$2:$W$2=$AC5),0))</f>
        <v>0</v>
      </c>
      <c r="DK5" t="b" cm="1">
        <f t="array" ref="DK5">INDEX($B$1:$W$193,MATCH(DK$1,$B$1:$B$193,0),MATCH(1,($B$1:$W$1=$AB5)*($B$2:$W$2=$AC5),0))</f>
        <v>0</v>
      </c>
      <c r="DL5" t="b" cm="1">
        <f t="array" ref="DL5">INDEX($B$1:$W$193,MATCH(DL$1,$B$1:$B$193,0),MATCH(1,($B$1:$W$1=$AB5)*($B$2:$W$2=$AC5),0))</f>
        <v>0</v>
      </c>
      <c r="DM5" t="b" cm="1">
        <f t="array" ref="DM5">INDEX($B$1:$W$193,MATCH(DM$1,$B$1:$B$193,0),MATCH(1,($B$1:$W$1=$AB5)*($B$2:$W$2=$AC5),0))</f>
        <v>0</v>
      </c>
      <c r="DN5" t="b" cm="1">
        <f t="array" ref="DN5">INDEX($B$1:$W$193,MATCH(DN$1,$B$1:$B$193,0),MATCH(1,($B$1:$W$1=$AB5)*($B$2:$W$2=$AC5),0))</f>
        <v>0</v>
      </c>
      <c r="DO5" t="b" cm="1">
        <f t="array" ref="DO5">INDEX($B$1:$W$193,MATCH(DO$1,$B$1:$B$193,0),MATCH(1,($B$1:$W$1=$AB5)*($B$2:$W$2=$AC5),0))</f>
        <v>0</v>
      </c>
      <c r="DP5" t="b" cm="1">
        <f t="array" ref="DP5">INDEX($B$1:$W$193,MATCH(DP$1,$B$1:$B$193,0),MATCH(1,($B$1:$W$1=$AB5)*($B$2:$W$2=$AC5),0))</f>
        <v>1</v>
      </c>
      <c r="DQ5" t="b" cm="1">
        <f t="array" ref="DQ5">INDEX($B$1:$W$193,MATCH(DQ$1,$B$1:$B$193,0),MATCH(1,($B$1:$W$1=$AB5)*($B$2:$W$2=$AC5),0))</f>
        <v>0</v>
      </c>
      <c r="DR5" t="b" cm="1">
        <f t="array" ref="DR5">INDEX($B$1:$W$193,MATCH(DR$1,$B$1:$B$193,0),MATCH(1,($B$1:$W$1=$AB5)*($B$2:$W$2=$AC5),0))</f>
        <v>1</v>
      </c>
      <c r="DS5" t="b" cm="1">
        <f t="array" ref="DS5">INDEX($B$1:$W$193,MATCH(DS$1,$B$1:$B$193,0),MATCH(1,($B$1:$W$1=$AB5)*($B$2:$W$2=$AC5),0))</f>
        <v>0</v>
      </c>
      <c r="DT5" t="b" cm="1">
        <f t="array" ref="DT5">INDEX($B$1:$W$193,MATCH(DT$1,$B$1:$B$193,0),MATCH(1,($B$1:$W$1=$AB5)*($B$2:$W$2=$AC5),0))</f>
        <v>0</v>
      </c>
      <c r="DU5" t="b" cm="1">
        <f t="array" ref="DU5">INDEX($B$1:$W$193,MATCH(DU$1,$B$1:$B$193,0),MATCH(1,($B$1:$W$1=$AB5)*($B$2:$W$2=$AC5),0))</f>
        <v>1</v>
      </c>
      <c r="DV5" t="b" cm="1">
        <f t="array" ref="DV5">INDEX($B$1:$W$193,MATCH(DV$1,$B$1:$B$193,0),MATCH(1,($B$1:$W$1=$AB5)*($B$2:$W$2=$AC5),0))</f>
        <v>0</v>
      </c>
      <c r="DW5" t="b" cm="1">
        <f t="array" ref="DW5">INDEX($B$1:$W$193,MATCH(DW$1,$B$1:$B$193,0),MATCH(1,($B$1:$W$1=$AB5)*($B$2:$W$2=$AC5),0))</f>
        <v>0</v>
      </c>
      <c r="DX5" t="b" cm="1">
        <f t="array" ref="DX5">INDEX($B$1:$W$193,MATCH(DX$1,$B$1:$B$193,0),MATCH(1,($B$1:$W$1=$AB5)*($B$2:$W$2=$AC5),0))</f>
        <v>0</v>
      </c>
      <c r="DY5" t="b" cm="1">
        <f t="array" ref="DY5">INDEX($B$1:$W$193,MATCH(DY$1,$B$1:$B$193,0),MATCH(1,($B$1:$W$1=$AB5)*($B$2:$W$2=$AC5),0))</f>
        <v>0</v>
      </c>
      <c r="DZ5" t="b" cm="1">
        <f t="array" ref="DZ5">INDEX($B$1:$W$193,MATCH(DZ$1,$B$1:$B$193,0),MATCH(1,($B$1:$W$1=$AB5)*($B$2:$W$2=$AC5),0))</f>
        <v>0</v>
      </c>
      <c r="EA5" t="b" cm="1">
        <f t="array" ref="EA5">INDEX($B$1:$W$193,MATCH(EA$1,$B$1:$B$193,0),MATCH(1,($B$1:$W$1=$AB5)*($B$2:$W$2=$AC5),0))</f>
        <v>0</v>
      </c>
      <c r="EB5" t="b" cm="1">
        <f t="array" ref="EB5">INDEX($B$1:$W$193,MATCH(EB$1,$B$1:$B$193,0),MATCH(1,($B$1:$W$1=$AB5)*($B$2:$W$2=$AC5),0))</f>
        <v>0</v>
      </c>
      <c r="EC5" t="b" cm="1">
        <f t="array" ref="EC5">INDEX($B$1:$W$193,MATCH(EC$1,$B$1:$B$193,0),MATCH(1,($B$1:$W$1=$AB5)*($B$2:$W$2=$AC5),0))</f>
        <v>0</v>
      </c>
      <c r="ED5" t="b" cm="1">
        <f t="array" ref="ED5">INDEX($B$1:$W$193,MATCH(ED$1,$B$1:$B$193,0),MATCH(1,($B$1:$W$1=$AB5)*($B$2:$W$2=$AC5),0))</f>
        <v>1</v>
      </c>
      <c r="EE5" t="b" cm="1">
        <f t="array" ref="EE5">INDEX($B$1:$W$193,MATCH(EE$1,$B$1:$B$193,0),MATCH(1,($B$1:$W$1=$AB5)*($B$2:$W$2=$AC5),0))</f>
        <v>1</v>
      </c>
      <c r="EF5" t="b" cm="1">
        <f t="array" ref="EF5">INDEX($B$1:$W$193,MATCH(EF$1,$B$1:$B$193,0),MATCH(1,($B$1:$W$1=$AB5)*($B$2:$W$2=$AC5),0))</f>
        <v>1</v>
      </c>
      <c r="EG5" t="b" cm="1">
        <f t="array" ref="EG5">INDEX($B$1:$W$193,MATCH(EG$1,$B$1:$B$193,0),MATCH(1,($B$1:$W$1=$AB5)*($B$2:$W$2=$AC5),0))</f>
        <v>0</v>
      </c>
      <c r="EH5" t="b" cm="1">
        <f t="array" ref="EH5">INDEX($B$1:$W$193,MATCH(EH$1,$B$1:$B$193,0),MATCH(1,($B$1:$W$1=$AB5)*($B$2:$W$2=$AC5),0))</f>
        <v>0</v>
      </c>
      <c r="EI5" t="b" cm="1">
        <f t="array" ref="EI5">INDEX($B$1:$W$193,MATCH(EI$1,$B$1:$B$193,0),MATCH(1,($B$1:$W$1=$AB5)*($B$2:$W$2=$AC5),0))</f>
        <v>0</v>
      </c>
      <c r="EJ5" t="b" cm="1">
        <f t="array" ref="EJ5">INDEX($B$1:$W$193,MATCH(EJ$1,$B$1:$B$193,0),MATCH(1,($B$1:$W$1=$AB5)*($B$2:$W$2=$AC5),0))</f>
        <v>0</v>
      </c>
      <c r="EK5" t="b" cm="1">
        <f t="array" ref="EK5">INDEX($B$1:$W$193,MATCH(EK$1,$B$1:$B$193,0),MATCH(1,($B$1:$W$1=$AB5)*($B$2:$W$2=$AC5),0))</f>
        <v>0</v>
      </c>
      <c r="EL5" t="b" cm="1">
        <f t="array" ref="EL5">INDEX($B$1:$W$193,MATCH(EL$1,$B$1:$B$193,0),MATCH(1,($B$1:$W$1=$AB5)*($B$2:$W$2=$AC5),0))</f>
        <v>0</v>
      </c>
      <c r="EM5" t="b" cm="1">
        <f t="array" ref="EM5">INDEX($B$1:$W$193,MATCH(EM$1,$B$1:$B$193,0),MATCH(1,($B$1:$W$1=$AB5)*($B$2:$W$2=$AC5),0))</f>
        <v>0</v>
      </c>
      <c r="EN5" t="b" cm="1">
        <f t="array" ref="EN5">INDEX($B$1:$W$193,MATCH(EN$1,$B$1:$B$193,0),MATCH(1,($B$1:$W$1=$AB5)*($B$2:$W$2=$AC5),0))</f>
        <v>0</v>
      </c>
      <c r="EO5" t="b" cm="1">
        <f t="array" ref="EO5">INDEX($B$1:$W$193,MATCH(EO$1,$B$1:$B$193,0),MATCH(1,($B$1:$W$1=$AB5)*($B$2:$W$2=$AC5),0))</f>
        <v>0</v>
      </c>
      <c r="EP5" t="b" cm="1">
        <f t="array" ref="EP5">INDEX($B$1:$W$193,MATCH(EP$1,$B$1:$B$193,0),MATCH(1,($B$1:$W$1=$AB5)*($B$2:$W$2=$AC5),0))</f>
        <v>0</v>
      </c>
      <c r="EQ5" t="b" cm="1">
        <f t="array" ref="EQ5">INDEX($B$1:$W$193,MATCH(EQ$1,$B$1:$B$193,0),MATCH(1,($B$1:$W$1=$AB5)*($B$2:$W$2=$AC5),0))</f>
        <v>1</v>
      </c>
      <c r="ER5" t="b" cm="1">
        <f t="array" ref="ER5">INDEX($B$1:$W$193,MATCH(ER$1,$B$1:$B$193,0),MATCH(1,($B$1:$W$1=$AB5)*($B$2:$W$2=$AC5),0))</f>
        <v>0</v>
      </c>
      <c r="ES5" t="b" cm="1">
        <f t="array" ref="ES5">INDEX($B$1:$W$193,MATCH(ES$1,$B$1:$B$193,0),MATCH(1,($B$1:$W$1=$AB5)*($B$2:$W$2=$AC5),0))</f>
        <v>0</v>
      </c>
      <c r="ET5" t="b" cm="1">
        <f t="array" ref="ET5">INDEX($B$1:$W$193,MATCH(ET$1,$B$1:$B$193,0),MATCH(1,($B$1:$W$1=$AB5)*($B$2:$W$2=$AC5),0))</f>
        <v>0</v>
      </c>
      <c r="EU5" t="b" cm="1">
        <f t="array" ref="EU5">INDEX($B$1:$W$193,MATCH(EU$1,$B$1:$B$193,0),MATCH(1,($B$1:$W$1=$AB5)*($B$2:$W$2=$AC5),0))</f>
        <v>0</v>
      </c>
      <c r="EV5" t="b" cm="1">
        <f t="array" ref="EV5">INDEX($B$1:$W$193,MATCH(EV$1,$B$1:$B$193,0),MATCH(1,($B$1:$W$1=$AB5)*($B$2:$W$2=$AC5),0))</f>
        <v>0</v>
      </c>
      <c r="EW5" t="b" cm="1">
        <f t="array" ref="EW5">INDEX($B$1:$W$193,MATCH(EW$1,$B$1:$B$193,0),MATCH(1,($B$1:$W$1=$AB5)*($B$2:$W$2=$AC5),0))</f>
        <v>0</v>
      </c>
      <c r="EX5" t="b" cm="1">
        <f t="array" ref="EX5">INDEX($B$1:$W$193,MATCH(EX$1,$B$1:$B$193,0),MATCH(1,($B$1:$W$1=$AB5)*($B$2:$W$2=$AC5),0))</f>
        <v>0</v>
      </c>
      <c r="EY5" t="b" cm="1">
        <f t="array" ref="EY5">INDEX($B$1:$W$193,MATCH(EY$1,$B$1:$B$193,0),MATCH(1,($B$1:$W$1=$AB5)*($B$2:$W$2=$AC5),0))</f>
        <v>0</v>
      </c>
      <c r="EZ5" t="b" cm="1">
        <f t="array" ref="EZ5">INDEX($B$1:$W$193,MATCH(EZ$1,$B$1:$B$193,0),MATCH(1,($B$1:$W$1=$AB5)*($B$2:$W$2=$AC5),0))</f>
        <v>0</v>
      </c>
      <c r="FA5" t="b" cm="1">
        <f t="array" ref="FA5">INDEX($B$1:$W$193,MATCH(FA$1,$B$1:$B$193,0),MATCH(1,($B$1:$W$1=$AB5)*($B$2:$W$2=$AC5),0))</f>
        <v>0</v>
      </c>
      <c r="FB5" t="b" cm="1">
        <f t="array" ref="FB5">INDEX($B$1:$W$193,MATCH(FB$1,$B$1:$B$193,0),MATCH(1,($B$1:$W$1=$AB5)*($B$2:$W$2=$AC5),0))</f>
        <v>0</v>
      </c>
      <c r="FC5" t="b" cm="1">
        <f t="array" ref="FC5">INDEX($B$1:$W$193,MATCH(FC$1,$B$1:$B$193,0),MATCH(1,($B$1:$W$1=$AB5)*($B$2:$W$2=$AC5),0))</f>
        <v>0</v>
      </c>
      <c r="FD5" t="b" cm="1">
        <f t="array" ref="FD5">INDEX($B$1:$W$193,MATCH(FD$1,$B$1:$B$193,0),MATCH(1,($B$1:$W$1=$AB5)*($B$2:$W$2=$AC5),0))</f>
        <v>0</v>
      </c>
      <c r="FE5" t="b" cm="1">
        <f t="array" ref="FE5">INDEX($B$1:$W$193,MATCH(FE$1,$B$1:$B$193,0),MATCH(1,($B$1:$W$1=$AB5)*($B$2:$W$2=$AC5),0))</f>
        <v>0</v>
      </c>
      <c r="FF5" t="b" cm="1">
        <f t="array" ref="FF5">INDEX($B$1:$W$193,MATCH(FF$1,$B$1:$B$193,0),MATCH(1,($B$1:$W$1=$AB5)*($B$2:$W$2=$AC5),0))</f>
        <v>0</v>
      </c>
      <c r="FG5" t="b" cm="1">
        <f t="array" ref="FG5">INDEX($B$1:$W$193,MATCH(FG$1,$B$1:$B$193,0),MATCH(1,($B$1:$W$1=$AB5)*($B$2:$W$2=$AC5),0))</f>
        <v>0</v>
      </c>
      <c r="FH5" t="b" cm="1">
        <f t="array" ref="FH5">INDEX($B$1:$W$193,MATCH(FH$1,$B$1:$B$193,0),MATCH(1,($B$1:$W$1=$AB5)*($B$2:$W$2=$AC5),0))</f>
        <v>0</v>
      </c>
      <c r="FI5" t="b" cm="1">
        <f t="array" ref="FI5">INDEX($B$1:$W$193,MATCH(FI$1,$B$1:$B$193,0),MATCH(1,($B$1:$W$1=$AB5)*($B$2:$W$2=$AC5),0))</f>
        <v>0</v>
      </c>
      <c r="FJ5" t="b" cm="1">
        <f t="array" ref="FJ5">INDEX($B$1:$W$193,MATCH(FJ$1,$B$1:$B$193,0),MATCH(1,($B$1:$W$1=$AB5)*($B$2:$W$2=$AC5),0))</f>
        <v>0</v>
      </c>
      <c r="FK5" t="b" cm="1">
        <f t="array" ref="FK5">INDEX($B$1:$W$193,MATCH(FK$1,$B$1:$B$193,0),MATCH(1,($B$1:$W$1=$AB5)*($B$2:$W$2=$AC5),0))</f>
        <v>0</v>
      </c>
      <c r="FL5" t="b" cm="1">
        <f t="array" ref="FL5">INDEX($B$1:$W$193,MATCH(FL$1,$B$1:$B$193,0),MATCH(1,($B$1:$W$1=$AB5)*($B$2:$W$2=$AC5),0))</f>
        <v>0</v>
      </c>
      <c r="FM5" t="b" cm="1">
        <f t="array" ref="FM5">INDEX($B$1:$W$193,MATCH(FM$1,$B$1:$B$193,0),MATCH(1,($B$1:$W$1=$AB5)*($B$2:$W$2=$AC5),0))</f>
        <v>0</v>
      </c>
      <c r="FN5" t="b" cm="1">
        <f t="array" ref="FN5">INDEX($B$1:$W$193,MATCH(FN$1,$B$1:$B$193,0),MATCH(1,($B$1:$W$1=$AB5)*($B$2:$W$2=$AC5),0))</f>
        <v>0</v>
      </c>
      <c r="FO5" t="b" cm="1">
        <f t="array" ref="FO5">INDEX($B$1:$W$193,MATCH(FO$1,$B$1:$B$193,0),MATCH(1,($B$1:$W$1=$AB5)*($B$2:$W$2=$AC5),0))</f>
        <v>0</v>
      </c>
      <c r="FP5" t="b" cm="1">
        <f t="array" ref="FP5">INDEX($B$1:$W$193,MATCH(FP$1,$B$1:$B$193,0),MATCH(1,($B$1:$W$1=$AB5)*($B$2:$W$2=$AC5),0))</f>
        <v>0</v>
      </c>
      <c r="FQ5" t="b" cm="1">
        <f t="array" ref="FQ5">INDEX($B$1:$W$193,MATCH(FQ$1,$B$1:$B$193,0),MATCH(1,($B$1:$W$1=$AB5)*($B$2:$W$2=$AC5),0))</f>
        <v>0</v>
      </c>
      <c r="FR5" t="b" cm="1">
        <f t="array" ref="FR5">INDEX($B$1:$W$193,MATCH(FR$1,$B$1:$B$193,0),MATCH(1,($B$1:$W$1=$AB5)*($B$2:$W$2=$AC5),0))</f>
        <v>0</v>
      </c>
      <c r="FS5" t="b" cm="1">
        <f t="array" ref="FS5">INDEX($B$1:$W$193,MATCH(FS$1,$B$1:$B$193,0),MATCH(1,($B$1:$W$1=$AB5)*($B$2:$W$2=$AC5),0))</f>
        <v>0</v>
      </c>
      <c r="FT5" t="b" cm="1">
        <f t="array" ref="FT5">INDEX($B$1:$W$193,MATCH(FT$1,$B$1:$B$193,0),MATCH(1,($B$1:$W$1=$AB5)*($B$2:$W$2=$AC5),0))</f>
        <v>0</v>
      </c>
      <c r="FU5" t="b" cm="1">
        <f t="array" ref="FU5">INDEX($B$1:$W$193,MATCH(FU$1,$B$1:$B$193,0),MATCH(1,($B$1:$W$1=$AB5)*($B$2:$W$2=$AC5),0))</f>
        <v>0</v>
      </c>
      <c r="FV5" t="b" cm="1">
        <f t="array" ref="FV5">INDEX($B$1:$W$193,MATCH(FV$1,$B$1:$B$193,0),MATCH(1,($B$1:$W$1=$AB5)*($B$2:$W$2=$AC5),0))</f>
        <v>0</v>
      </c>
      <c r="FW5" t="b" cm="1">
        <f t="array" ref="FW5">INDEX($B$1:$W$193,MATCH(FW$1,$B$1:$B$193,0),MATCH(1,($B$1:$W$1=$AB5)*($B$2:$W$2=$AC5),0))</f>
        <v>0</v>
      </c>
      <c r="FX5" t="b" cm="1">
        <f t="array" ref="FX5">INDEX($B$1:$W$193,MATCH(FX$1,$B$1:$B$193,0),MATCH(1,($B$1:$W$1=$AB5)*($B$2:$W$2=$AC5),0))</f>
        <v>0</v>
      </c>
      <c r="FY5" t="b" cm="1">
        <f t="array" ref="FY5">INDEX($B$1:$W$193,MATCH(FY$1,$B$1:$B$193,0),MATCH(1,($B$1:$W$1=$AB5)*($B$2:$W$2=$AC5),0))</f>
        <v>0</v>
      </c>
      <c r="FZ5" t="b" cm="1">
        <f t="array" ref="FZ5">INDEX($B$1:$W$193,MATCH(FZ$1,$B$1:$B$193,0),MATCH(1,($B$1:$W$1=$AB5)*($B$2:$W$2=$AC5),0))</f>
        <v>0</v>
      </c>
      <c r="GA5" t="b" cm="1">
        <f t="array" ref="GA5">INDEX($B$1:$W$193,MATCH(GA$1,$B$1:$B$193,0),MATCH(1,($B$1:$W$1=$AB5)*($B$2:$W$2=$AC5),0))</f>
        <v>0</v>
      </c>
      <c r="GB5" t="b" cm="1">
        <f t="array" ref="GB5">INDEX($B$1:$W$193,MATCH(GB$1,$B$1:$B$193,0),MATCH(1,($B$1:$W$1=$AB5)*($B$2:$W$2=$AC5),0))</f>
        <v>0</v>
      </c>
      <c r="GC5" t="b" cm="1">
        <f t="array" ref="GC5">INDEX($B$1:$W$193,MATCH(GC$1,$B$1:$B$193,0),MATCH(1,($B$1:$W$1=$AB5)*($B$2:$W$2=$AC5),0))</f>
        <v>0</v>
      </c>
      <c r="GD5" t="b" cm="1">
        <f t="array" ref="GD5">INDEX($B$1:$W$193,MATCH(GD$1,$B$1:$B$193,0),MATCH(1,($B$1:$W$1=$AB5)*($B$2:$W$2=$AC5),0))</f>
        <v>0</v>
      </c>
      <c r="GE5" t="b" cm="1">
        <f t="array" ref="GE5">INDEX($B$1:$W$193,MATCH(GE$1,$B$1:$B$193,0),MATCH(1,($B$1:$W$1=$AB5)*($B$2:$W$2=$AC5),0))</f>
        <v>0</v>
      </c>
      <c r="GF5" t="b" cm="1">
        <f t="array" ref="GF5">INDEX($B$1:$W$193,MATCH(GF$1,$B$1:$B$193,0),MATCH(1,($B$1:$W$1=$AB5)*($B$2:$W$2=$AC5),0))</f>
        <v>0</v>
      </c>
      <c r="GG5" t="b" cm="1">
        <f t="array" ref="GG5">INDEX($B$1:$W$193,MATCH(GG$1,$B$1:$B$193,0),MATCH(1,($B$1:$W$1=$AB5)*($B$2:$W$2=$AC5),0))</f>
        <v>0</v>
      </c>
      <c r="GH5" t="b" cm="1">
        <f t="array" ref="GH5">INDEX($B$1:$W$193,MATCH(GH$1,$B$1:$B$193,0),MATCH(1,($B$1:$W$1=$AB5)*($B$2:$W$2=$AC5),0))</f>
        <v>0</v>
      </c>
      <c r="GI5" t="b" cm="1">
        <f t="array" ref="GI5">INDEX($B$1:$W$193,MATCH(GI$1,$B$1:$B$193,0),MATCH(1,($B$1:$W$1=$AB5)*($B$2:$W$2=$AC5),0))</f>
        <v>0</v>
      </c>
      <c r="GJ5" t="b" cm="1">
        <f t="array" ref="GJ5">INDEX($B$1:$W$193,MATCH(GJ$1,$B$1:$B$193,0),MATCH(1,($B$1:$W$1=$AB5)*($B$2:$W$2=$AC5),0))</f>
        <v>0</v>
      </c>
      <c r="GK5" t="b" cm="1">
        <f t="array" ref="GK5">INDEX($B$1:$W$193,MATCH(GK$1,$B$1:$B$193,0),MATCH(1,($B$1:$W$1=$AB5)*($B$2:$W$2=$AC5),0))</f>
        <v>0</v>
      </c>
      <c r="GL5" t="b" cm="1">
        <f t="array" ref="GL5">INDEX($B$1:$W$193,MATCH(GL$1,$B$1:$B$193,0),MATCH(1,($B$1:$W$1=$AB5)*($B$2:$W$2=$AC5),0))</f>
        <v>0</v>
      </c>
      <c r="GM5" t="b" cm="1">
        <f t="array" ref="GM5">INDEX($B$1:$W$193,MATCH(GM$1,$B$1:$B$193,0),MATCH(1,($B$1:$W$1=$AB5)*($B$2:$W$2=$AC5),0))</f>
        <v>0</v>
      </c>
      <c r="GN5" t="b" cm="1">
        <f t="array" ref="GN5">INDEX($B$1:$W$193,MATCH(GN$1,$B$1:$B$193,0),MATCH(1,($B$1:$W$1=$AB5)*($B$2:$W$2=$AC5),0))</f>
        <v>0</v>
      </c>
      <c r="GO5" t="b" cm="1">
        <f t="array" ref="GO5">INDEX($B$1:$W$193,MATCH(GO$1,$B$1:$B$193,0),MATCH(1,($B$1:$W$1=$AB5)*($B$2:$W$2=$AC5),0))</f>
        <v>0</v>
      </c>
      <c r="GP5" t="b" cm="1">
        <f t="array" ref="GP5">INDEX($B$1:$W$193,MATCH(GP$1,$B$1:$B$193,0),MATCH(1,($B$1:$W$1=$AB5)*($B$2:$W$2=$AC5),0))</f>
        <v>0</v>
      </c>
      <c r="GQ5" t="b" cm="1">
        <f t="array" ref="GQ5">INDEX($B$1:$W$193,MATCH(GQ$1,$B$1:$B$193,0),MATCH(1,($B$1:$W$1=$AB5)*($B$2:$W$2=$AC5),0))</f>
        <v>0</v>
      </c>
      <c r="GR5" t="b" cm="1">
        <f t="array" ref="GR5">INDEX($B$1:$W$193,MATCH(GR$1,$B$1:$B$193,0),MATCH(1,($B$1:$W$1=$AB5)*($B$2:$W$2=$AC5),0))</f>
        <v>0</v>
      </c>
      <c r="GS5" t="b" cm="1">
        <f t="array" ref="GS5">INDEX($B$1:$W$193,MATCH(GS$1,$B$1:$B$193,0),MATCH(1,($B$1:$W$1=$AB5)*($B$2:$W$2=$AC5),0))</f>
        <v>0</v>
      </c>
      <c r="GT5" t="b" cm="1">
        <f t="array" ref="GT5">INDEX($B$1:$W$193,MATCH(GT$1,$B$1:$B$193,0),MATCH(1,($B$1:$W$1=$AB5)*($B$2:$W$2=$AC5),0))</f>
        <v>0</v>
      </c>
      <c r="GU5" t="b" cm="1">
        <f t="array" ref="GU5">INDEX($B$1:$W$193,MATCH(GU$1,$B$1:$B$193,0),MATCH(1,($B$1:$W$1=$AB5)*($B$2:$W$2=$AC5),0))</f>
        <v>0</v>
      </c>
      <c r="GV5" t="b" cm="1">
        <f t="array" ref="GV5">INDEX($B$1:$W$193,MATCH(GV$1,$B$1:$B$193,0),MATCH(1,($B$1:$W$1=$AB5)*($B$2:$W$2=$AC5),0))</f>
        <v>0</v>
      </c>
      <c r="GW5" t="b" cm="1">
        <f t="array" ref="GW5">INDEX($B$1:$W$193,MATCH(GW$1,$B$1:$B$193,0),MATCH(1,($B$1:$W$1=$AB5)*($B$2:$W$2=$AC5),0))</f>
        <v>0</v>
      </c>
      <c r="GX5" t="b" cm="1">
        <f t="array" ref="GX5">INDEX($B$1:$W$193,MATCH(GX$1,$B$1:$B$193,0),MATCH(1,($B$1:$W$1=$AB5)*($B$2:$W$2=$AC5),0))</f>
        <v>0</v>
      </c>
      <c r="GY5" t="b" cm="1">
        <f t="array" ref="GY5">INDEX($B$1:$W$193,MATCH(GY$1,$B$1:$B$193,0),MATCH(1,($B$1:$W$1=$AB5)*($B$2:$W$2=$AC5),0))</f>
        <v>0</v>
      </c>
      <c r="GZ5" t="b" cm="1">
        <f t="array" ref="GZ5">INDEX($B$1:$W$193,MATCH(GZ$1,$B$1:$B$193,0),MATCH(1,($B$1:$W$1=$AB5)*($B$2:$W$2=$AC5),0))</f>
        <v>0</v>
      </c>
      <c r="HA5" t="b" cm="1">
        <f t="array" ref="HA5">INDEX($B$1:$W$193,MATCH(HA$1,$B$1:$B$193,0),MATCH(1,($B$1:$W$1=$AB5)*($B$2:$W$2=$AC5),0))</f>
        <v>0</v>
      </c>
      <c r="HB5" t="b" cm="1">
        <f t="array" ref="HB5">INDEX($B$1:$W$193,MATCH(HB$1,$B$1:$B$193,0),MATCH(1,($B$1:$W$1=$AB5)*($B$2:$W$2=$AC5),0))</f>
        <v>0</v>
      </c>
      <c r="HC5" t="b" cm="1">
        <f t="array" ref="HC5">INDEX($B$1:$W$193,MATCH(HC$1,$B$1:$B$193,0),MATCH(1,($B$1:$W$1=$AB5)*($B$2:$W$2=$AC5),0))</f>
        <v>0</v>
      </c>
      <c r="HD5" t="b" cm="1">
        <f t="array" ref="HD5">INDEX($B$1:$W$193,MATCH(HD$1,$B$1:$B$193,0),MATCH(1,($B$1:$W$1=$AB5)*($B$2:$W$2=$AC5),0))</f>
        <v>0</v>
      </c>
      <c r="HE5" t="b" cm="1">
        <f t="array" ref="HE5">INDEX($B$1:$W$193,MATCH(HE$1,$B$1:$B$193,0),MATCH(1,($B$1:$W$1=$AB5)*($B$2:$W$2=$AC5),0))</f>
        <v>0</v>
      </c>
      <c r="HF5" t="b" cm="1">
        <f t="array" ref="HF5">INDEX($B$1:$W$193,MATCH(HF$1,$B$1:$B$193,0),MATCH(1,($B$1:$W$1=$AB5)*($B$2:$W$2=$AC5),0))</f>
        <v>0</v>
      </c>
      <c r="HG5" t="b" cm="1">
        <f t="array" ref="HG5">INDEX($B$1:$W$193,MATCH(HG$1,$B$1:$B$193,0),MATCH(1,($B$1:$W$1=$AB5)*($B$2:$W$2=$AC5),0))</f>
        <v>0</v>
      </c>
      <c r="HH5" t="b" cm="1">
        <f t="array" ref="HH5">INDEX($B$1:$W$193,MATCH(HH$1,$B$1:$B$193,0),MATCH(1,($B$1:$W$1=$AB5)*($B$2:$W$2=$AC5),0))</f>
        <v>0</v>
      </c>
      <c r="HI5" t="b" cm="1">
        <f t="array" ref="HI5">INDEX($B$1:$W$193,MATCH(HI$1,$B$1:$B$193,0),MATCH(1,($B$1:$W$1=$AB5)*($B$2:$W$2=$AC5),0))</f>
        <v>0</v>
      </c>
      <c r="HJ5" t="b" cm="1">
        <f t="array" ref="HJ5">INDEX($B$1:$W$193,MATCH(HJ$1,$B$1:$B$193,0),MATCH(1,($B$1:$W$1=$AB5)*($B$2:$W$2=$AC5),0))</f>
        <v>0</v>
      </c>
      <c r="HK5" t="b" cm="1">
        <f t="array" ref="HK5">INDEX($B$1:$W$193,MATCH(HK$1,$B$1:$B$193,0),MATCH(1,($B$1:$W$1=$AB5)*($B$2:$W$2=$AC5),0))</f>
        <v>0</v>
      </c>
      <c r="HL5" t="b" cm="1">
        <f t="array" ref="HL5">INDEX($B$1:$W$193,MATCH(HL$1,$B$1:$B$193,0),MATCH(1,($B$1:$W$1=$AB5)*($B$2:$W$2=$AC5),0))</f>
        <v>0</v>
      </c>
      <c r="HM5" t="b" cm="1">
        <f t="array" ref="HM5">INDEX($B$1:$W$193,MATCH(HM$1,$B$1:$B$193,0),MATCH(1,($B$1:$W$1=$AB5)*($B$2:$W$2=$AC5),0))</f>
        <v>0</v>
      </c>
      <c r="HN5" t="b" cm="1">
        <f t="array" ref="HN5">INDEX($B$1:$W$193,MATCH(HN$1,$B$1:$B$193,0),MATCH(1,($B$1:$W$1=$AB5)*($B$2:$W$2=$AC5),0))</f>
        <v>0</v>
      </c>
      <c r="HO5" t="b" cm="1">
        <f t="array" ref="HO5">INDEX($B$1:$W$193,MATCH(HO$1,$B$1:$B$193,0),MATCH(1,($B$1:$W$1=$AB5)*($B$2:$W$2=$AC5),0))</f>
        <v>0</v>
      </c>
      <c r="HP5" t="b" cm="1">
        <f t="array" ref="HP5">INDEX($B$1:$W$193,MATCH(HP$1,$B$1:$B$193,0),MATCH(1,($B$1:$W$1=$AB5)*($B$2:$W$2=$AC5),0))</f>
        <v>0</v>
      </c>
      <c r="HQ5" t="b" cm="1">
        <f t="array" ref="HQ5">INDEX($B$1:$W$193,MATCH(HQ$1,$B$1:$B$193,0),MATCH(1,($B$1:$W$1=$AB5)*($B$2:$W$2=$AC5),0))</f>
        <v>0</v>
      </c>
      <c r="HR5" t="b" cm="1">
        <f t="array" ref="HR5">INDEX($B$1:$W$193,MATCH(HR$1,$B$1:$B$193,0),MATCH(1,($B$1:$W$1=$AB5)*($B$2:$W$2=$AC5),0))</f>
        <v>0</v>
      </c>
      <c r="HS5" t="b" cm="1">
        <f t="array" ref="HS5">INDEX($B$1:$W$193,MATCH(HS$1,$B$1:$B$193,0),MATCH(1,($B$1:$W$1=$AB5)*($B$2:$W$2=$AC5),0))</f>
        <v>0</v>
      </c>
      <c r="HT5" t="b" cm="1">
        <f t="array" ref="HT5">INDEX($B$1:$W$193,MATCH(HT$1,$B$1:$B$193,0),MATCH(1,($B$1:$W$1=$AB5)*($B$2:$W$2=$AC5),0))</f>
        <v>0</v>
      </c>
      <c r="HU5" t="b" cm="1">
        <f t="array" ref="HU5">INDEX($B$1:$W$193,MATCH(HU$1,$B$1:$B$193,0),MATCH(1,($B$1:$W$1=$AB5)*($B$2:$W$2=$AC5),0))</f>
        <v>0</v>
      </c>
      <c r="HV5" t="b" cm="1">
        <f t="array" ref="HV5">INDEX($B$1:$W$193,MATCH(HV$1,$B$1:$B$193,0),MATCH(1,($B$1:$W$1=$AB5)*($B$2:$W$2=$AC5),0))</f>
        <v>0</v>
      </c>
      <c r="HW5" t="b" cm="1">
        <f t="array" ref="HW5">INDEX($B$1:$W$193,MATCH(HW$1,$B$1:$B$193,0),MATCH(1,($B$1:$W$1=$AB5)*($B$2:$W$2=$AC5),0))</f>
        <v>0</v>
      </c>
      <c r="HX5" t="b" cm="1">
        <f t="array" ref="HX5">INDEX($B$1:$W$193,MATCH(HX$1,$B$1:$B$193,0),MATCH(1,($B$1:$W$1=$AB5)*($B$2:$W$2=$AC5),0))</f>
        <v>0</v>
      </c>
      <c r="HY5" t="b" cm="1">
        <f t="array" ref="HY5">INDEX($B$1:$W$193,MATCH(HY$1,$B$1:$B$193,0),MATCH(1,($B$1:$W$1=$AB5)*($B$2:$W$2=$AC5),0))</f>
        <v>0</v>
      </c>
      <c r="HZ5" t="b" cm="1">
        <f t="array" ref="HZ5">INDEX($B$1:$W$193,MATCH(HZ$1,$B$1:$B$193,0),MATCH(1,($B$1:$W$1=$AB5)*($B$2:$W$2=$AC5),0))</f>
        <v>0</v>
      </c>
      <c r="IA5" t="b" cm="1">
        <f t="array" ref="IA5">INDEX($B$1:$W$193,MATCH(IA$1,$B$1:$B$193,0),MATCH(1,($B$1:$W$1=$AB5)*($B$2:$W$2=$AC5),0))</f>
        <v>0</v>
      </c>
      <c r="IB5" t="b" cm="1">
        <f t="array" ref="IB5">INDEX($B$1:$W$193,MATCH(IB$1,$B$1:$B$193,0),MATCH(1,($B$1:$W$1=$AB5)*($B$2:$W$2=$AC5),0))</f>
        <v>0</v>
      </c>
      <c r="IC5" t="b" cm="1">
        <f t="array" ref="IC5">INDEX($B$1:$W$193,MATCH(IC$1,$B$1:$B$193,0),MATCH(1,($B$1:$W$1=$AB5)*($B$2:$W$2=$AC5),0))</f>
        <v>0</v>
      </c>
      <c r="ID5" t="b" cm="1">
        <f t="array" ref="ID5">INDEX($B$1:$W$193,MATCH(ID$1,$B$1:$B$193,0),MATCH(1,($B$1:$W$1=$AB5)*($B$2:$W$2=$AC5),0))</f>
        <v>0</v>
      </c>
      <c r="IE5" t="b" cm="1">
        <f t="array" ref="IE5">INDEX($B$1:$W$193,MATCH(IE$1,$B$1:$B$193,0),MATCH(1,($B$1:$W$1=$AB5)*($B$2:$W$2=$AC5),0))</f>
        <v>0</v>
      </c>
      <c r="IF5" t="b" cm="1">
        <f t="array" ref="IF5">INDEX($B$1:$W$193,MATCH(IF$1,$B$1:$B$193,0),MATCH(1,($B$1:$W$1=$AB5)*($B$2:$W$2=$AC5),0))</f>
        <v>0</v>
      </c>
      <c r="IG5" t="b" cm="1">
        <f t="array" ref="IG5">INDEX($B$1:$W$193,MATCH(IG$1,$B$1:$B$193,0),MATCH(1,($B$1:$W$1=$AB5)*($B$2:$W$2=$AC5),0))</f>
        <v>0</v>
      </c>
      <c r="IH5" t="b" cm="1">
        <f t="array" ref="IH5">INDEX($B$1:$W$193,MATCH(IH$1,$B$1:$B$193,0),MATCH(1,($B$1:$W$1=$AB5)*($B$2:$W$2=$AC5),0))</f>
        <v>0</v>
      </c>
      <c r="II5" t="b" cm="1">
        <f t="array" ref="II5">INDEX($B$1:$W$193,MATCH(II$1,$B$1:$B$193,0),MATCH(1,($B$1:$W$1=$AB5)*($B$2:$W$2=$AC5),0))</f>
        <v>0</v>
      </c>
      <c r="IJ5" t="b" cm="1">
        <f t="array" ref="IJ5">INDEX($B$1:$W$193,MATCH(IJ$1,$B$1:$B$193,0),MATCH(1,($B$1:$W$1=$AB5)*($B$2:$W$2=$AC5),0))</f>
        <v>0</v>
      </c>
      <c r="IK5" t="b" cm="1">
        <f t="array" ref="IK5">INDEX($B$1:$W$193,MATCH(IK$1,$B$1:$B$193,0),MATCH(1,($B$1:$W$1=$AB5)*($B$2:$W$2=$AC5),0))</f>
        <v>0</v>
      </c>
      <c r="IL5" t="b" cm="1">
        <f t="array" ref="IL5">INDEX($B$1:$W$193,MATCH(IL$1,$B$1:$B$193,0),MATCH(1,($B$1:$W$1=$AB5)*($B$2:$W$2=$AC5),0))</f>
        <v>0</v>
      </c>
      <c r="IM5" t="b" cm="1">
        <f t="array" ref="IM5">INDEX($B$1:$W$193,MATCH(IM$1,$B$1:$B$193,0),MATCH(1,($B$1:$W$1=$AB5)*($B$2:$W$2=$AC5),0))</f>
        <v>0</v>
      </c>
      <c r="IN5" t="b" cm="1">
        <f t="array" ref="IN5">INDEX($B$1:$W$193,MATCH(IN$1,$B$1:$B$193,0),MATCH(1,($B$1:$W$1=$AB5)*($B$2:$W$2=$AC5),0))</f>
        <v>0</v>
      </c>
      <c r="IO5" t="b" cm="1">
        <f t="array" ref="IO5">INDEX($B$1:$W$193,MATCH(IO$1,$B$1:$B$193,0),MATCH(1,($B$1:$W$1=$AB5)*($B$2:$W$2=$AC5),0))</f>
        <v>0</v>
      </c>
      <c r="IP5" t="b" cm="1">
        <f t="array" ref="IP5">INDEX($B$1:$W$193,MATCH(IP$1,$B$1:$B$193,0),MATCH(1,($B$1:$W$1=$AB5)*($B$2:$W$2=$AC5),0))</f>
        <v>0</v>
      </c>
      <c r="IQ5" t="b" cm="1">
        <f t="array" ref="IQ5">INDEX($B$1:$W$193,MATCH(IQ$1,$B$1:$B$193,0),MATCH(1,($B$1:$W$1=$AB5)*($B$2:$W$2=$AC5),0))</f>
        <v>0</v>
      </c>
      <c r="IR5" t="b" cm="1">
        <f t="array" ref="IR5">INDEX($B$1:$W$193,MATCH(IR$1,$B$1:$B$193,0),MATCH(1,($B$1:$W$1=$AB5)*($B$2:$W$2=$AC5),0))</f>
        <v>0</v>
      </c>
      <c r="IS5" t="b" cm="1">
        <f t="array" ref="IS5">INDEX($B$1:$W$193,MATCH(IS$1,$B$1:$B$193,0),MATCH(1,($B$1:$W$1=$AB5)*($B$2:$W$2=$AC5),0))</f>
        <v>0</v>
      </c>
      <c r="IT5" t="b" cm="1">
        <f t="array" ref="IT5">INDEX($B$1:$W$193,MATCH(IT$1,$B$1:$B$193,0),MATCH(1,($B$1:$W$1=$AB5)*($B$2:$W$2=$AC5),0))</f>
        <v>0</v>
      </c>
      <c r="IU5" t="b" cm="1">
        <f t="array" ref="IU5">INDEX($B$1:$W$193,MATCH(IU$1,$B$1:$B$193,0),MATCH(1,($B$1:$W$1=$AB5)*($B$2:$W$2=$AC5),0))</f>
        <v>0</v>
      </c>
      <c r="IV5" t="b" cm="1">
        <f t="array" ref="IV5">INDEX($B$1:$W$193,MATCH(IV$1,$B$1:$B$193,0),MATCH(1,($B$1:$W$1=$AB5)*($B$2:$W$2=$AC5),0))</f>
        <v>0</v>
      </c>
      <c r="IW5" t="b" cm="1">
        <f t="array" ref="IW5">INDEX($B$1:$W$193,MATCH(IW$1,$B$1:$B$193,0),MATCH(1,($B$1:$W$1=$AB5)*($B$2:$W$2=$AC5),0))</f>
        <v>0</v>
      </c>
      <c r="IX5" t="b" cm="1">
        <f t="array" ref="IX5">INDEX($B$1:$W$193,MATCH(IX$1,$B$1:$B$193,0),MATCH(1,($B$1:$W$1=$AB5)*($B$2:$W$2=$AC5),0))</f>
        <v>0</v>
      </c>
      <c r="IY5" t="b" cm="1">
        <f t="array" ref="IY5">INDEX($B$1:$W$193,MATCH(IY$1,$B$1:$B$193,0),MATCH(1,($B$1:$W$1=$AB5)*($B$2:$W$2=$AC5),0))</f>
        <v>0</v>
      </c>
      <c r="IZ5" t="b" cm="1">
        <f t="array" ref="IZ5">INDEX($B$1:$W$193,MATCH(IZ$1,$B$1:$B$193,0),MATCH(1,($B$1:$W$1=$AB5)*($B$2:$W$2=$AC5),0))</f>
        <v>0</v>
      </c>
      <c r="JA5" t="b" cm="1">
        <f t="array" ref="JA5">INDEX($B$1:$W$193,MATCH(JA$1,$B$1:$B$193,0),MATCH(1,($B$1:$W$1=$AB5)*($B$2:$W$2=$AC5),0))</f>
        <v>0</v>
      </c>
      <c r="JB5" t="b" cm="1">
        <f t="array" ref="JB5">INDEX($B$1:$W$193,MATCH(JB$1,$B$1:$B$193,0),MATCH(1,($B$1:$W$1=$AB5)*($B$2:$W$2=$AC5),0))</f>
        <v>0</v>
      </c>
      <c r="JC5" t="b" cm="1">
        <f t="array" ref="JC5">INDEX($B$1:$W$193,MATCH(JC$1,$B$1:$B$193,0),MATCH(1,($B$1:$W$1=$AB5)*($B$2:$W$2=$AC5),0))</f>
        <v>0</v>
      </c>
      <c r="JD5" t="b" cm="1">
        <f t="array" ref="JD5">INDEX($B$1:$W$193,MATCH(JD$1,$B$1:$B$193,0),MATCH(1,($B$1:$W$1=$AB5)*($B$2:$W$2=$AC5),0))</f>
        <v>0</v>
      </c>
      <c r="JE5" t="b" cm="1">
        <f t="array" ref="JE5">INDEX($B$1:$W$193,MATCH(JE$1,$B$1:$B$193,0),MATCH(1,($B$1:$W$1=$AB5)*($B$2:$W$2=$AC5),0))</f>
        <v>0</v>
      </c>
      <c r="JF5" t="b" cm="1">
        <f t="array" ref="JF5">INDEX($B$1:$W$193,MATCH(JF$1,$B$1:$B$193,0),MATCH(1,($B$1:$W$1=$AB5)*($B$2:$W$2=$AC5),0))</f>
        <v>0</v>
      </c>
      <c r="JG5" t="b" cm="1">
        <f t="array" ref="JG5">INDEX($B$1:$W$193,MATCH(JG$1,$B$1:$B$193,0),MATCH(1,($B$1:$W$1=$AB5)*($B$2:$W$2=$AC5),0))</f>
        <v>0</v>
      </c>
      <c r="JH5" t="b" cm="1">
        <f t="array" ref="JH5">INDEX($B$1:$W$193,MATCH(JH$1,$B$1:$B$193,0),MATCH(1,($B$1:$W$1=$AB5)*($B$2:$W$2=$AC5),0))</f>
        <v>0</v>
      </c>
    </row>
    <row r="6" spans="1:268" x14ac:dyDescent="0.25">
      <c r="A6" t="s">
        <v>165</v>
      </c>
      <c r="B6" s="51" t="s">
        <v>168</v>
      </c>
      <c r="C6">
        <v>2</v>
      </c>
      <c r="D6">
        <v>3</v>
      </c>
      <c r="E6" t="b">
        <f t="shared" si="1"/>
        <v>1</v>
      </c>
      <c r="F6" t="b">
        <f t="shared" si="0"/>
        <v>1</v>
      </c>
      <c r="G6" t="b">
        <f t="shared" si="0"/>
        <v>1</v>
      </c>
      <c r="H6" t="b">
        <f t="shared" si="0"/>
        <v>0</v>
      </c>
      <c r="I6" t="b">
        <f t="shared" si="0"/>
        <v>0</v>
      </c>
      <c r="J6" t="b">
        <f t="shared" si="0"/>
        <v>0</v>
      </c>
      <c r="K6" t="b">
        <f t="shared" si="0"/>
        <v>1</v>
      </c>
      <c r="L6" t="b">
        <f t="shared" si="0"/>
        <v>1</v>
      </c>
      <c r="M6" t="b">
        <f t="shared" si="0"/>
        <v>1</v>
      </c>
      <c r="N6" t="b">
        <f t="shared" si="0"/>
        <v>0</v>
      </c>
      <c r="O6" t="b">
        <f t="shared" si="0"/>
        <v>0</v>
      </c>
      <c r="P6" t="b">
        <f t="shared" si="0"/>
        <v>0</v>
      </c>
      <c r="Q6" t="b">
        <v>1</v>
      </c>
      <c r="R6" t="b" cm="1">
        <f t="array" ref="R6">_xlfn.IFS(C6=1,FALSE,OR(C6=2,C6&gt;2),TRUE)</f>
        <v>1</v>
      </c>
      <c r="S6" t="b" cm="1">
        <f t="array" ref="S6">_xlfn.IFS(OR(C6=1,C6=2),FALSE,OR(C6=3,C6&gt;3),TRUE)</f>
        <v>0</v>
      </c>
      <c r="T6" t="str">
        <f t="shared" si="2"/>
        <v>TRUE</v>
      </c>
      <c r="U6" t="str">
        <f t="shared" si="3"/>
        <v>FALSE</v>
      </c>
      <c r="V6" t="str">
        <f t="shared" si="4"/>
        <v>FALSE</v>
      </c>
      <c r="W6" t="b" cm="1">
        <f t="array" ref="W6">_xlfn.IFS(H6=1,FALSE,OR(H6=2,H6&gt;2),TRUE)</f>
        <v>1</v>
      </c>
      <c r="X6" t="b" cm="1">
        <f t="array" ref="X6">_xlfn.IFS(H6=1,FALSE,OR(H6=2,H6&gt;2),TRUE)</f>
        <v>1</v>
      </c>
      <c r="Y6" t="b" cm="1">
        <f t="array" ref="Y6">_xlfn.IFS(H6=1,FALSE,OR(H6=2,H6&gt;2),TRUE)</f>
        <v>1</v>
      </c>
      <c r="AB6" t="s">
        <v>0</v>
      </c>
      <c r="AC6" t="s">
        <v>81</v>
      </c>
      <c r="AD6" t="b" cm="1">
        <f t="array" ref="AD6">INDEX($B$1:$W$193,MATCH(AD$1,$B$1:$B$193,0),MATCH(1,($B$1:$W$1=$AB6)*($B$2:$W$2=$AC6),0))</f>
        <v>0</v>
      </c>
      <c r="AE6" t="b" cm="1">
        <f t="array" ref="AE6">INDEX($B$1:$W$193,MATCH(AE$1,$B$1:$B$193,0),MATCH(1,($B$1:$W$1=$AB6)*($B$2:$W$2=$AC6),0))</f>
        <v>0</v>
      </c>
      <c r="AF6" t="b" cm="1">
        <f t="array" ref="AF6">INDEX($B$1:$W$193,MATCH(AF$1,$B$1:$B$193,0),MATCH(1,($B$1:$W$1=$AB6)*($B$2:$W$2=$AC6),0))</f>
        <v>0</v>
      </c>
      <c r="AG6" t="b" cm="1">
        <f t="array" ref="AG6">INDEX($B$1:$W$193,MATCH(AG$1,$B$1:$B$193,0),MATCH(1,($B$1:$W$1=$AB6)*($B$2:$W$2=$AC6),0))</f>
        <v>0</v>
      </c>
      <c r="AH6" t="b" cm="1">
        <f t="array" ref="AH6">INDEX($B$1:$W$193,MATCH(AH$1,$B$1:$B$193,0),MATCH(1,($B$1:$W$1=$AB6)*($B$2:$W$2=$AC6),0))</f>
        <v>0</v>
      </c>
      <c r="AI6" t="b" cm="1">
        <f t="array" ref="AI6">INDEX($B$1:$W$193,MATCH(AI$1,$B$1:$B$193,0),MATCH(1,($B$1:$W$1=$AB6)*($B$2:$W$2=$AC6),0))</f>
        <v>0</v>
      </c>
      <c r="AJ6" t="b" cm="1">
        <f t="array" ref="AJ6">INDEX($B$1:$W$193,MATCH(AJ$1,$B$1:$B$193,0),MATCH(1,($B$1:$W$1=$AB6)*($B$2:$W$2=$AC6),0))</f>
        <v>0</v>
      </c>
      <c r="AK6" t="b" cm="1">
        <f t="array" ref="AK6">INDEX($B$1:$W$193,MATCH(AK$1,$B$1:$B$193,0),MATCH(1,($B$1:$W$1=$AB6)*($B$2:$W$2=$AC6),0))</f>
        <v>0</v>
      </c>
      <c r="AL6" t="b" cm="1">
        <f t="array" ref="AL6">INDEX($B$1:$W$193,MATCH(AL$1,$B$1:$B$193,0),MATCH(1,($B$1:$W$1=$AB6)*($B$2:$W$2=$AC6),0))</f>
        <v>0</v>
      </c>
      <c r="AM6" t="b" cm="1">
        <f t="array" ref="AM6">INDEX($B$1:$W$193,MATCH(AM$1,$B$1:$B$193,0),MATCH(1,($B$1:$W$1=$AB6)*($B$2:$W$2=$AC6),0))</f>
        <v>0</v>
      </c>
      <c r="AN6" t="b" cm="1">
        <f t="array" ref="AN6">INDEX($B$1:$W$193,MATCH(AN$1,$B$1:$B$193,0),MATCH(1,($B$1:$W$1=$AB6)*($B$2:$W$2=$AC6),0))</f>
        <v>0</v>
      </c>
      <c r="AO6" t="b" cm="1">
        <f t="array" ref="AO6">INDEX($B$1:$W$193,MATCH(AO$1,$B$1:$B$193,0),MATCH(1,($B$1:$W$1=$AB6)*($B$2:$W$2=$AC6),0))</f>
        <v>0</v>
      </c>
      <c r="AP6" t="b" cm="1">
        <f t="array" ref="AP6">INDEX($B$1:$W$193,MATCH(AP$1,$B$1:$B$193,0),MATCH(1,($B$1:$W$1=$AB6)*($B$2:$W$2=$AC6),0))</f>
        <v>0</v>
      </c>
      <c r="AQ6" t="b" cm="1">
        <f t="array" ref="AQ6">INDEX($B$1:$W$193,MATCH(AQ$1,$B$1:$B$193,0),MATCH(1,($B$1:$W$1=$AB6)*($B$2:$W$2=$AC6),0))</f>
        <v>0</v>
      </c>
      <c r="AR6" t="b" cm="1">
        <f t="array" ref="AR6">INDEX($B$1:$W$193,MATCH(AR$1,$B$1:$B$193,0),MATCH(1,($B$1:$W$1=$AB6)*($B$2:$W$2=$AC6),0))</f>
        <v>0</v>
      </c>
      <c r="AS6" t="b" cm="1">
        <f t="array" ref="AS6">INDEX($B$1:$W$193,MATCH(AS$1,$B$1:$B$193,0),MATCH(1,($B$1:$W$1=$AB6)*($B$2:$W$2=$AC6),0))</f>
        <v>0</v>
      </c>
      <c r="AT6" t="b" cm="1">
        <f t="array" ref="AT6">INDEX($B$1:$W$193,MATCH(AT$1,$B$1:$B$193,0),MATCH(1,($B$1:$W$1=$AB6)*($B$2:$W$2=$AC6),0))</f>
        <v>0</v>
      </c>
      <c r="AU6" t="b" cm="1">
        <f t="array" ref="AU6">INDEX($B$1:$W$193,MATCH(AU$1,$B$1:$B$193,0),MATCH(1,($B$1:$W$1=$AB6)*($B$2:$W$2=$AC6),0))</f>
        <v>0</v>
      </c>
      <c r="AV6" t="b" cm="1">
        <f t="array" ref="AV6">INDEX($B$1:$W$193,MATCH(AV$1,$B$1:$B$193,0),MATCH(1,($B$1:$W$1=$AB6)*($B$2:$W$2=$AC6),0))</f>
        <v>0</v>
      </c>
      <c r="AW6" t="b" cm="1">
        <f t="array" ref="AW6">INDEX($B$1:$W$193,MATCH(AW$1,$B$1:$B$193,0),MATCH(1,($B$1:$W$1=$AB6)*($B$2:$W$2=$AC6),0))</f>
        <v>0</v>
      </c>
      <c r="AX6" t="b" cm="1">
        <f t="array" ref="AX6">INDEX($B$1:$W$193,MATCH(AX$1,$B$1:$B$193,0),MATCH(1,($B$1:$W$1=$AB6)*($B$2:$W$2=$AC6),0))</f>
        <v>0</v>
      </c>
      <c r="AY6" t="b" cm="1">
        <f t="array" ref="AY6">INDEX($B$1:$W$193,MATCH(AY$1,$B$1:$B$193,0),MATCH(1,($B$1:$W$1=$AB6)*($B$2:$W$2=$AC6),0))</f>
        <v>0</v>
      </c>
      <c r="AZ6" t="b" cm="1">
        <f t="array" ref="AZ6">INDEX($B$1:$W$193,MATCH(AZ$1,$B$1:$B$193,0),MATCH(1,($B$1:$W$1=$AB6)*($B$2:$W$2=$AC6),0))</f>
        <v>0</v>
      </c>
      <c r="BA6" t="b" cm="1">
        <f t="array" ref="BA6">INDEX($B$1:$W$193,MATCH(BA$1,$B$1:$B$193,0),MATCH(1,($B$1:$W$1=$AB6)*($B$2:$W$2=$AC6),0))</f>
        <v>0</v>
      </c>
      <c r="BB6" t="b" cm="1">
        <f t="array" ref="BB6">INDEX($B$1:$W$193,MATCH(BB$1,$B$1:$B$193,0),MATCH(1,($B$1:$W$1=$AB6)*($B$2:$W$2=$AC6),0))</f>
        <v>0</v>
      </c>
      <c r="BC6" t="b" cm="1">
        <f t="array" ref="BC6">INDEX($B$1:$W$193,MATCH(BC$1,$B$1:$B$193,0),MATCH(1,($B$1:$W$1=$AB6)*($B$2:$W$2=$AC6),0))</f>
        <v>0</v>
      </c>
      <c r="BD6" t="b" cm="1">
        <f t="array" ref="BD6">INDEX($B$1:$W$193,MATCH(BD$1,$B$1:$B$193,0),MATCH(1,($B$1:$W$1=$AB6)*($B$2:$W$2=$AC6),0))</f>
        <v>0</v>
      </c>
      <c r="BE6" t="b" cm="1">
        <f t="array" ref="BE6">INDEX($B$1:$W$193,MATCH(BE$1,$B$1:$B$193,0),MATCH(1,($B$1:$W$1=$AB6)*($B$2:$W$2=$AC6),0))</f>
        <v>0</v>
      </c>
      <c r="BF6" t="b" cm="1">
        <f t="array" ref="BF6">INDEX($B$1:$W$193,MATCH(BF$1,$B$1:$B$193,0),MATCH(1,($B$1:$W$1=$AB6)*($B$2:$W$2=$AC6),0))</f>
        <v>0</v>
      </c>
      <c r="BG6" t="b" cm="1">
        <f t="array" ref="BG6">INDEX($B$1:$W$193,MATCH(BG$1,$B$1:$B$193,0),MATCH(1,($B$1:$W$1=$AB6)*($B$2:$W$2=$AC6),0))</f>
        <v>0</v>
      </c>
      <c r="BH6" t="b" cm="1">
        <f t="array" ref="BH6">INDEX($B$1:$W$193,MATCH(BH$1,$B$1:$B$193,0),MATCH(1,($B$1:$W$1=$AB6)*($B$2:$W$2=$AC6),0))</f>
        <v>0</v>
      </c>
      <c r="BI6" t="b" cm="1">
        <f t="array" ref="BI6">INDEX($B$1:$W$193,MATCH(BI$1,$B$1:$B$193,0),MATCH(1,($B$1:$W$1=$AB6)*($B$2:$W$2=$AC6),0))</f>
        <v>0</v>
      </c>
      <c r="BJ6" t="b" cm="1">
        <f t="array" ref="BJ6">INDEX($B$1:$W$193,MATCH(BJ$1,$B$1:$B$193,0),MATCH(1,($B$1:$W$1=$AB6)*($B$2:$W$2=$AC6),0))</f>
        <v>0</v>
      </c>
      <c r="BK6" t="b" cm="1">
        <f t="array" ref="BK6">INDEX($B$1:$W$193,MATCH(BK$1,$B$1:$B$193,0),MATCH(1,($B$1:$W$1=$AB6)*($B$2:$W$2=$AC6),0))</f>
        <v>0</v>
      </c>
      <c r="BL6" t="b" cm="1">
        <f t="array" ref="BL6">INDEX($B$1:$W$193,MATCH(BL$1,$B$1:$B$193,0),MATCH(1,($B$1:$W$1=$AB6)*($B$2:$W$2=$AC6),0))</f>
        <v>0</v>
      </c>
      <c r="BM6" t="b" cm="1">
        <f t="array" ref="BM6">INDEX($B$1:$W$193,MATCH(BM$1,$B$1:$B$193,0),MATCH(1,($B$1:$W$1=$AB6)*($B$2:$W$2=$AC6),0))</f>
        <v>0</v>
      </c>
      <c r="BN6" t="b" cm="1">
        <f t="array" ref="BN6">INDEX($B$1:$W$193,MATCH(BN$1,$B$1:$B$193,0),MATCH(1,($B$1:$W$1=$AB6)*($B$2:$W$2=$AC6),0))</f>
        <v>0</v>
      </c>
      <c r="BO6" t="b" cm="1">
        <f t="array" ref="BO6">INDEX($B$1:$W$193,MATCH(BO$1,$B$1:$B$193,0),MATCH(1,($B$1:$W$1=$AB6)*($B$2:$W$2=$AC6),0))</f>
        <v>0</v>
      </c>
      <c r="BP6" t="b" cm="1">
        <f t="array" ref="BP6">INDEX($B$1:$W$193,MATCH(BP$1,$B$1:$B$193,0),MATCH(1,($B$1:$W$1=$AB6)*($B$2:$W$2=$AC6),0))</f>
        <v>0</v>
      </c>
      <c r="BQ6" t="b" cm="1">
        <f t="array" ref="BQ6">INDEX($B$1:$W$193,MATCH(BQ$1,$B$1:$B$193,0),MATCH(1,($B$1:$W$1=$AB6)*($B$2:$W$2=$AC6),0))</f>
        <v>0</v>
      </c>
      <c r="BR6" t="b" cm="1">
        <f t="array" ref="BR6">INDEX($B$1:$W$193,MATCH(BR$1,$B$1:$B$193,0),MATCH(1,($B$1:$W$1=$AB6)*($B$2:$W$2=$AC6),0))</f>
        <v>0</v>
      </c>
      <c r="BS6" t="b" cm="1">
        <f t="array" ref="BS6">INDEX($B$1:$W$193,MATCH(BS$1,$B$1:$B$193,0),MATCH(1,($B$1:$W$1=$AB6)*($B$2:$W$2=$AC6),0))</f>
        <v>0</v>
      </c>
      <c r="BT6" t="b" cm="1">
        <f t="array" ref="BT6">INDEX($B$1:$W$193,MATCH(BT$1,$B$1:$B$193,0),MATCH(1,($B$1:$W$1=$AB6)*($B$2:$W$2=$AC6),0))</f>
        <v>0</v>
      </c>
      <c r="BU6" t="b" cm="1">
        <f t="array" ref="BU6">INDEX($B$1:$W$193,MATCH(BU$1,$B$1:$B$193,0),MATCH(1,($B$1:$W$1=$AB6)*($B$2:$W$2=$AC6),0))</f>
        <v>0</v>
      </c>
      <c r="BV6" t="b" cm="1">
        <f t="array" ref="BV6">INDEX($B$1:$W$193,MATCH(BV$1,$B$1:$B$193,0),MATCH(1,($B$1:$W$1=$AB6)*($B$2:$W$2=$AC6),0))</f>
        <v>0</v>
      </c>
      <c r="BW6" t="b" cm="1">
        <f t="array" ref="BW6">INDEX($B$1:$W$193,MATCH(BW$1,$B$1:$B$193,0),MATCH(1,($B$1:$W$1=$AB6)*($B$2:$W$2=$AC6),0))</f>
        <v>0</v>
      </c>
      <c r="BX6" t="b" cm="1">
        <f t="array" ref="BX6">INDEX($B$1:$W$193,MATCH(BX$1,$B$1:$B$193,0),MATCH(1,($B$1:$W$1=$AB6)*($B$2:$W$2=$AC6),0))</f>
        <v>0</v>
      </c>
      <c r="BY6" t="b" cm="1">
        <f t="array" ref="BY6">INDEX($B$1:$W$193,MATCH(BY$1,$B$1:$B$193,0),MATCH(1,($B$1:$W$1=$AB6)*($B$2:$W$2=$AC6),0))</f>
        <v>0</v>
      </c>
      <c r="BZ6" t="b" cm="1">
        <f t="array" ref="BZ6">INDEX($B$1:$W$193,MATCH(BZ$1,$B$1:$B$193,0),MATCH(1,($B$1:$W$1=$AB6)*($B$2:$W$2=$AC6),0))</f>
        <v>0</v>
      </c>
      <c r="CA6" t="b" cm="1">
        <f t="array" ref="CA6">INDEX($B$1:$W$193,MATCH(CA$1,$B$1:$B$193,0),MATCH(1,($B$1:$W$1=$AB6)*($B$2:$W$2=$AC6),0))</f>
        <v>0</v>
      </c>
      <c r="CB6" t="b" cm="1">
        <f t="array" ref="CB6">INDEX($B$1:$W$193,MATCH(CB$1,$B$1:$B$193,0),MATCH(1,($B$1:$W$1=$AB6)*($B$2:$W$2=$AC6),0))</f>
        <v>0</v>
      </c>
      <c r="CC6" t="b" cm="1">
        <f t="array" ref="CC6">INDEX($B$1:$W$193,MATCH(CC$1,$B$1:$B$193,0),MATCH(1,($B$1:$W$1=$AB6)*($B$2:$W$2=$AC6),0))</f>
        <v>0</v>
      </c>
      <c r="CD6" t="b" cm="1">
        <f t="array" ref="CD6">INDEX($B$1:$W$193,MATCH(CD$1,$B$1:$B$193,0),MATCH(1,($B$1:$W$1=$AB6)*($B$2:$W$2=$AC6),0))</f>
        <v>0</v>
      </c>
      <c r="CE6" t="b" cm="1">
        <f t="array" ref="CE6">INDEX($B$1:$W$193,MATCH(CE$1,$B$1:$B$193,0),MATCH(1,($B$1:$W$1=$AB6)*($B$2:$W$2=$AC6),0))</f>
        <v>0</v>
      </c>
      <c r="CF6" t="b" cm="1">
        <f t="array" ref="CF6">INDEX($B$1:$W$193,MATCH(CF$1,$B$1:$B$193,0),MATCH(1,($B$1:$W$1=$AB6)*($B$2:$W$2=$AC6),0))</f>
        <v>0</v>
      </c>
      <c r="CG6" t="b" cm="1">
        <f t="array" ref="CG6">INDEX($B$1:$W$193,MATCH(CG$1,$B$1:$B$193,0),MATCH(1,($B$1:$W$1=$AB6)*($B$2:$W$2=$AC6),0))</f>
        <v>0</v>
      </c>
      <c r="CH6" t="b" cm="1">
        <f t="array" ref="CH6">INDEX($B$1:$W$193,MATCH(CH$1,$B$1:$B$193,0),MATCH(1,($B$1:$W$1=$AB6)*($B$2:$W$2=$AC6),0))</f>
        <v>0</v>
      </c>
      <c r="CI6" t="b" cm="1">
        <f t="array" ref="CI6">INDEX($B$1:$W$193,MATCH(CI$1,$B$1:$B$193,0),MATCH(1,($B$1:$W$1=$AB6)*($B$2:$W$2=$AC6),0))</f>
        <v>0</v>
      </c>
      <c r="CJ6" t="b" cm="1">
        <f t="array" ref="CJ6">INDEX($B$1:$W$193,MATCH(CJ$1,$B$1:$B$193,0),MATCH(1,($B$1:$W$1=$AB6)*($B$2:$W$2=$AC6),0))</f>
        <v>0</v>
      </c>
      <c r="CK6" t="b" cm="1">
        <f t="array" ref="CK6">INDEX($B$1:$W$193,MATCH(CK$1,$B$1:$B$193,0),MATCH(1,($B$1:$W$1=$AB6)*($B$2:$W$2=$AC6),0))</f>
        <v>0</v>
      </c>
      <c r="CL6" t="b" cm="1">
        <f t="array" ref="CL6">INDEX($B$1:$W$193,MATCH(CL$1,$B$1:$B$193,0),MATCH(1,($B$1:$W$1=$AB6)*($B$2:$W$2=$AC6),0))</f>
        <v>0</v>
      </c>
      <c r="CM6" t="b" cm="1">
        <f t="array" ref="CM6">INDEX($B$1:$W$193,MATCH(CM$1,$B$1:$B$193,0),MATCH(1,($B$1:$W$1=$AB6)*($B$2:$W$2=$AC6),0))</f>
        <v>0</v>
      </c>
      <c r="CN6" t="b" cm="1">
        <f t="array" ref="CN6">INDEX($B$1:$W$193,MATCH(CN$1,$B$1:$B$193,0),MATCH(1,($B$1:$W$1=$AB6)*($B$2:$W$2=$AC6),0))</f>
        <v>0</v>
      </c>
      <c r="CO6" t="b" cm="1">
        <f t="array" ref="CO6">INDEX($B$1:$W$193,MATCH(CO$1,$B$1:$B$193,0),MATCH(1,($B$1:$W$1=$AB6)*($B$2:$W$2=$AC6),0))</f>
        <v>0</v>
      </c>
      <c r="CP6" t="b" cm="1">
        <f t="array" ref="CP6">INDEX($B$1:$W$193,MATCH(CP$1,$B$1:$B$193,0),MATCH(1,($B$1:$W$1=$AB6)*($B$2:$W$2=$AC6),0))</f>
        <v>0</v>
      </c>
      <c r="CQ6" t="b" cm="1">
        <f t="array" ref="CQ6">INDEX($B$1:$W$193,MATCH(CQ$1,$B$1:$B$193,0),MATCH(1,($B$1:$W$1=$AB6)*($B$2:$W$2=$AC6),0))</f>
        <v>0</v>
      </c>
      <c r="CR6" t="b" cm="1">
        <f t="array" ref="CR6">INDEX($B$1:$W$193,MATCH(CR$1,$B$1:$B$193,0),MATCH(1,($B$1:$W$1=$AB6)*($B$2:$W$2=$AC6),0))</f>
        <v>0</v>
      </c>
      <c r="CS6" t="b" cm="1">
        <f t="array" ref="CS6">INDEX($B$1:$W$193,MATCH(CS$1,$B$1:$B$193,0),MATCH(1,($B$1:$W$1=$AB6)*($B$2:$W$2=$AC6),0))</f>
        <v>0</v>
      </c>
      <c r="CT6" t="b" cm="1">
        <f t="array" ref="CT6">INDEX($B$1:$W$193,MATCH(CT$1,$B$1:$B$193,0),MATCH(1,($B$1:$W$1=$AB6)*($B$2:$W$2=$AC6),0))</f>
        <v>0</v>
      </c>
      <c r="CU6" t="b" cm="1">
        <f t="array" ref="CU6">INDEX($B$1:$W$193,MATCH(CU$1,$B$1:$B$193,0),MATCH(1,($B$1:$W$1=$AB6)*($B$2:$W$2=$AC6),0))</f>
        <v>0</v>
      </c>
      <c r="CV6" t="b" cm="1">
        <f t="array" ref="CV6">INDEX($B$1:$W$193,MATCH(CV$1,$B$1:$B$193,0),MATCH(1,($B$1:$W$1=$AB6)*($B$2:$W$2=$AC6),0))</f>
        <v>0</v>
      </c>
      <c r="CW6" t="b" cm="1">
        <f t="array" ref="CW6">INDEX($B$1:$W$193,MATCH(CW$1,$B$1:$B$193,0),MATCH(1,($B$1:$W$1=$AB6)*($B$2:$W$2=$AC6),0))</f>
        <v>0</v>
      </c>
      <c r="CX6" t="b" cm="1">
        <f t="array" ref="CX6">INDEX($B$1:$W$193,MATCH(CX$1,$B$1:$B$193,0),MATCH(1,($B$1:$W$1=$AB6)*($B$2:$W$2=$AC6),0))</f>
        <v>0</v>
      </c>
      <c r="CY6" t="b" cm="1">
        <f t="array" ref="CY6">INDEX($B$1:$W$193,MATCH(CY$1,$B$1:$B$193,0),MATCH(1,($B$1:$W$1=$AB6)*($B$2:$W$2=$AC6),0))</f>
        <v>0</v>
      </c>
      <c r="CZ6" t="b" cm="1">
        <f t="array" ref="CZ6">INDEX($B$1:$W$193,MATCH(CZ$1,$B$1:$B$193,0),MATCH(1,($B$1:$W$1=$AB6)*($B$2:$W$2=$AC6),0))</f>
        <v>0</v>
      </c>
      <c r="DA6" t="b" cm="1">
        <f t="array" ref="DA6">INDEX($B$1:$W$193,MATCH(DA$1,$B$1:$B$193,0),MATCH(1,($B$1:$W$1=$AB6)*($B$2:$W$2=$AC6),0))</f>
        <v>0</v>
      </c>
      <c r="DB6" t="b" cm="1">
        <f t="array" ref="DB6">INDEX($B$1:$W$193,MATCH(DB$1,$B$1:$B$193,0),MATCH(1,($B$1:$W$1=$AB6)*($B$2:$W$2=$AC6),0))</f>
        <v>0</v>
      </c>
      <c r="DC6" t="b" cm="1">
        <f t="array" ref="DC6">INDEX($B$1:$W$193,MATCH(DC$1,$B$1:$B$193,0),MATCH(1,($B$1:$W$1=$AB6)*($B$2:$W$2=$AC6),0))</f>
        <v>0</v>
      </c>
      <c r="DD6" t="b" cm="1">
        <f t="array" ref="DD6">INDEX($B$1:$W$193,MATCH(DD$1,$B$1:$B$193,0),MATCH(1,($B$1:$W$1=$AB6)*($B$2:$W$2=$AC6),0))</f>
        <v>0</v>
      </c>
      <c r="DE6" t="b" cm="1">
        <f t="array" ref="DE6">INDEX($B$1:$W$193,MATCH(DE$1,$B$1:$B$193,0),MATCH(1,($B$1:$W$1=$AB6)*($B$2:$W$2=$AC6),0))</f>
        <v>0</v>
      </c>
      <c r="DF6" t="b" cm="1">
        <f t="array" ref="DF6">INDEX($B$1:$W$193,MATCH(DF$1,$B$1:$B$193,0),MATCH(1,($B$1:$W$1=$AB6)*($B$2:$W$2=$AC6),0))</f>
        <v>0</v>
      </c>
      <c r="DG6" t="b" cm="1">
        <f t="array" ref="DG6">INDEX($B$1:$W$193,MATCH(DG$1,$B$1:$B$193,0),MATCH(1,($B$1:$W$1=$AB6)*($B$2:$W$2=$AC6),0))</f>
        <v>0</v>
      </c>
      <c r="DH6" t="b" cm="1">
        <f t="array" ref="DH6">INDEX($B$1:$W$193,MATCH(DH$1,$B$1:$B$193,0),MATCH(1,($B$1:$W$1=$AB6)*($B$2:$W$2=$AC6),0))</f>
        <v>0</v>
      </c>
      <c r="DI6" t="b" cm="1">
        <f t="array" ref="DI6">INDEX($B$1:$W$193,MATCH(DI$1,$B$1:$B$193,0),MATCH(1,($B$1:$W$1=$AB6)*($B$2:$W$2=$AC6),0))</f>
        <v>0</v>
      </c>
      <c r="DJ6" t="b" cm="1">
        <f t="array" ref="DJ6">INDEX($B$1:$W$193,MATCH(DJ$1,$B$1:$B$193,0),MATCH(1,($B$1:$W$1=$AB6)*($B$2:$W$2=$AC6),0))</f>
        <v>0</v>
      </c>
      <c r="DK6" t="b" cm="1">
        <f t="array" ref="DK6">INDEX($B$1:$W$193,MATCH(DK$1,$B$1:$B$193,0),MATCH(1,($B$1:$W$1=$AB6)*($B$2:$W$2=$AC6),0))</f>
        <v>0</v>
      </c>
      <c r="DL6" t="b" cm="1">
        <f t="array" ref="DL6">INDEX($B$1:$W$193,MATCH(DL$1,$B$1:$B$193,0),MATCH(1,($B$1:$W$1=$AB6)*($B$2:$W$2=$AC6),0))</f>
        <v>0</v>
      </c>
      <c r="DM6" t="b" cm="1">
        <f t="array" ref="DM6">INDEX($B$1:$W$193,MATCH(DM$1,$B$1:$B$193,0),MATCH(1,($B$1:$W$1=$AB6)*($B$2:$W$2=$AC6),0))</f>
        <v>0</v>
      </c>
      <c r="DN6" t="b" cm="1">
        <f t="array" ref="DN6">INDEX($B$1:$W$193,MATCH(DN$1,$B$1:$B$193,0),MATCH(1,($B$1:$W$1=$AB6)*($B$2:$W$2=$AC6),0))</f>
        <v>0</v>
      </c>
      <c r="DO6" t="b" cm="1">
        <f t="array" ref="DO6">INDEX($B$1:$W$193,MATCH(DO$1,$B$1:$B$193,0),MATCH(1,($B$1:$W$1=$AB6)*($B$2:$W$2=$AC6),0))</f>
        <v>0</v>
      </c>
      <c r="DP6" t="b" cm="1">
        <f t="array" ref="DP6">INDEX($B$1:$W$193,MATCH(DP$1,$B$1:$B$193,0),MATCH(1,($B$1:$W$1=$AB6)*($B$2:$W$2=$AC6),0))</f>
        <v>0</v>
      </c>
      <c r="DQ6" t="b" cm="1">
        <f t="array" ref="DQ6">INDEX($B$1:$W$193,MATCH(DQ$1,$B$1:$B$193,0),MATCH(1,($B$1:$W$1=$AB6)*($B$2:$W$2=$AC6),0))</f>
        <v>0</v>
      </c>
      <c r="DR6" t="b" cm="1">
        <f t="array" ref="DR6">INDEX($B$1:$W$193,MATCH(DR$1,$B$1:$B$193,0),MATCH(1,($B$1:$W$1=$AB6)*($B$2:$W$2=$AC6),0))</f>
        <v>0</v>
      </c>
      <c r="DS6" t="b" cm="1">
        <f t="array" ref="DS6">INDEX($B$1:$W$193,MATCH(DS$1,$B$1:$B$193,0),MATCH(1,($B$1:$W$1=$AB6)*($B$2:$W$2=$AC6),0))</f>
        <v>0</v>
      </c>
      <c r="DT6" t="b" cm="1">
        <f t="array" ref="DT6">INDEX($B$1:$W$193,MATCH(DT$1,$B$1:$B$193,0),MATCH(1,($B$1:$W$1=$AB6)*($B$2:$W$2=$AC6),0))</f>
        <v>0</v>
      </c>
      <c r="DU6" t="b" cm="1">
        <f t="array" ref="DU6">INDEX($B$1:$W$193,MATCH(DU$1,$B$1:$B$193,0),MATCH(1,($B$1:$W$1=$AB6)*($B$2:$W$2=$AC6),0))</f>
        <v>0</v>
      </c>
      <c r="DV6" t="b" cm="1">
        <f t="array" ref="DV6">INDEX($B$1:$W$193,MATCH(DV$1,$B$1:$B$193,0),MATCH(1,($B$1:$W$1=$AB6)*($B$2:$W$2=$AC6),0))</f>
        <v>0</v>
      </c>
      <c r="DW6" t="b" cm="1">
        <f t="array" ref="DW6">INDEX($B$1:$W$193,MATCH(DW$1,$B$1:$B$193,0),MATCH(1,($B$1:$W$1=$AB6)*($B$2:$W$2=$AC6),0))</f>
        <v>0</v>
      </c>
      <c r="DX6" t="b" cm="1">
        <f t="array" ref="DX6">INDEX($B$1:$W$193,MATCH(DX$1,$B$1:$B$193,0),MATCH(1,($B$1:$W$1=$AB6)*($B$2:$W$2=$AC6),0))</f>
        <v>0</v>
      </c>
      <c r="DY6" t="b" cm="1">
        <f t="array" ref="DY6">INDEX($B$1:$W$193,MATCH(DY$1,$B$1:$B$193,0),MATCH(1,($B$1:$W$1=$AB6)*($B$2:$W$2=$AC6),0))</f>
        <v>0</v>
      </c>
      <c r="DZ6" t="b" cm="1">
        <f t="array" ref="DZ6">INDEX($B$1:$W$193,MATCH(DZ$1,$B$1:$B$193,0),MATCH(1,($B$1:$W$1=$AB6)*($B$2:$W$2=$AC6),0))</f>
        <v>0</v>
      </c>
      <c r="EA6" t="b" cm="1">
        <f t="array" ref="EA6">INDEX($B$1:$W$193,MATCH(EA$1,$B$1:$B$193,0),MATCH(1,($B$1:$W$1=$AB6)*($B$2:$W$2=$AC6),0))</f>
        <v>0</v>
      </c>
      <c r="EB6" t="b" cm="1">
        <f t="array" ref="EB6">INDEX($B$1:$W$193,MATCH(EB$1,$B$1:$B$193,0),MATCH(1,($B$1:$W$1=$AB6)*($B$2:$W$2=$AC6),0))</f>
        <v>0</v>
      </c>
      <c r="EC6" t="b" cm="1">
        <f t="array" ref="EC6">INDEX($B$1:$W$193,MATCH(EC$1,$B$1:$B$193,0),MATCH(1,($B$1:$W$1=$AB6)*($B$2:$W$2=$AC6),0))</f>
        <v>0</v>
      </c>
      <c r="ED6" t="b" cm="1">
        <f t="array" ref="ED6">INDEX($B$1:$W$193,MATCH(ED$1,$B$1:$B$193,0),MATCH(1,($B$1:$W$1=$AB6)*($B$2:$W$2=$AC6),0))</f>
        <v>0</v>
      </c>
      <c r="EE6" t="b" cm="1">
        <f t="array" ref="EE6">INDEX($B$1:$W$193,MATCH(EE$1,$B$1:$B$193,0),MATCH(1,($B$1:$W$1=$AB6)*($B$2:$W$2=$AC6),0))</f>
        <v>0</v>
      </c>
      <c r="EF6" t="b" cm="1">
        <f t="array" ref="EF6">INDEX($B$1:$W$193,MATCH(EF$1,$B$1:$B$193,0),MATCH(1,($B$1:$W$1=$AB6)*($B$2:$W$2=$AC6),0))</f>
        <v>0</v>
      </c>
      <c r="EG6" t="b" cm="1">
        <f t="array" ref="EG6">INDEX($B$1:$W$193,MATCH(EG$1,$B$1:$B$193,0),MATCH(1,($B$1:$W$1=$AB6)*($B$2:$W$2=$AC6),0))</f>
        <v>0</v>
      </c>
      <c r="EH6" t="b" cm="1">
        <f t="array" ref="EH6">INDEX($B$1:$W$193,MATCH(EH$1,$B$1:$B$193,0),MATCH(1,($B$1:$W$1=$AB6)*($B$2:$W$2=$AC6),0))</f>
        <v>0</v>
      </c>
      <c r="EI6" t="b" cm="1">
        <f t="array" ref="EI6">INDEX($B$1:$W$193,MATCH(EI$1,$B$1:$B$193,0),MATCH(1,($B$1:$W$1=$AB6)*($B$2:$W$2=$AC6),0))</f>
        <v>0</v>
      </c>
      <c r="EJ6" t="b" cm="1">
        <f t="array" ref="EJ6">INDEX($B$1:$W$193,MATCH(EJ$1,$B$1:$B$193,0),MATCH(1,($B$1:$W$1=$AB6)*($B$2:$W$2=$AC6),0))</f>
        <v>0</v>
      </c>
      <c r="EK6" t="b" cm="1">
        <f t="array" ref="EK6">INDEX($B$1:$W$193,MATCH(EK$1,$B$1:$B$193,0),MATCH(1,($B$1:$W$1=$AB6)*($B$2:$W$2=$AC6),0))</f>
        <v>0</v>
      </c>
      <c r="EL6" t="b" cm="1">
        <f t="array" ref="EL6">INDEX($B$1:$W$193,MATCH(EL$1,$B$1:$B$193,0),MATCH(1,($B$1:$W$1=$AB6)*($B$2:$W$2=$AC6),0))</f>
        <v>0</v>
      </c>
      <c r="EM6" t="b" cm="1">
        <f t="array" ref="EM6">INDEX($B$1:$W$193,MATCH(EM$1,$B$1:$B$193,0),MATCH(1,($B$1:$W$1=$AB6)*($B$2:$W$2=$AC6),0))</f>
        <v>0</v>
      </c>
      <c r="EN6" t="b" cm="1">
        <f t="array" ref="EN6">INDEX($B$1:$W$193,MATCH(EN$1,$B$1:$B$193,0),MATCH(1,($B$1:$W$1=$AB6)*($B$2:$W$2=$AC6),0))</f>
        <v>0</v>
      </c>
      <c r="EO6" t="b" cm="1">
        <f t="array" ref="EO6">INDEX($B$1:$W$193,MATCH(EO$1,$B$1:$B$193,0),MATCH(1,($B$1:$W$1=$AB6)*($B$2:$W$2=$AC6),0))</f>
        <v>0</v>
      </c>
      <c r="EP6" t="b" cm="1">
        <f t="array" ref="EP6">INDEX($B$1:$W$193,MATCH(EP$1,$B$1:$B$193,0),MATCH(1,($B$1:$W$1=$AB6)*($B$2:$W$2=$AC6),0))</f>
        <v>0</v>
      </c>
      <c r="EQ6" t="b" cm="1">
        <f t="array" ref="EQ6">INDEX($B$1:$W$193,MATCH(EQ$1,$B$1:$B$193,0),MATCH(1,($B$1:$W$1=$AB6)*($B$2:$W$2=$AC6),0))</f>
        <v>1</v>
      </c>
      <c r="ER6" t="b" cm="1">
        <f t="array" ref="ER6">INDEX($B$1:$W$193,MATCH(ER$1,$B$1:$B$193,0),MATCH(1,($B$1:$W$1=$AB6)*($B$2:$W$2=$AC6),0))</f>
        <v>0</v>
      </c>
      <c r="ES6" t="b" cm="1">
        <f t="array" ref="ES6">INDEX($B$1:$W$193,MATCH(ES$1,$B$1:$B$193,0),MATCH(1,($B$1:$W$1=$AB6)*($B$2:$W$2=$AC6),0))</f>
        <v>0</v>
      </c>
      <c r="ET6" t="b" cm="1">
        <f t="array" ref="ET6">INDEX($B$1:$W$193,MATCH(ET$1,$B$1:$B$193,0),MATCH(1,($B$1:$W$1=$AB6)*($B$2:$W$2=$AC6),0))</f>
        <v>0</v>
      </c>
      <c r="EU6" t="b" cm="1">
        <f t="array" ref="EU6">INDEX($B$1:$W$193,MATCH(EU$1,$B$1:$B$193,0),MATCH(1,($B$1:$W$1=$AB6)*($B$2:$W$2=$AC6),0))</f>
        <v>0</v>
      </c>
      <c r="EV6" t="b" cm="1">
        <f t="array" ref="EV6">INDEX($B$1:$W$193,MATCH(EV$1,$B$1:$B$193,0),MATCH(1,($B$1:$W$1=$AB6)*($B$2:$W$2=$AC6),0))</f>
        <v>0</v>
      </c>
      <c r="EW6" t="b" cm="1">
        <f t="array" ref="EW6">INDEX($B$1:$W$193,MATCH(EW$1,$B$1:$B$193,0),MATCH(1,($B$1:$W$1=$AB6)*($B$2:$W$2=$AC6),0))</f>
        <v>0</v>
      </c>
      <c r="EX6" t="b" cm="1">
        <f t="array" ref="EX6">INDEX($B$1:$W$193,MATCH(EX$1,$B$1:$B$193,0),MATCH(1,($B$1:$W$1=$AB6)*($B$2:$W$2=$AC6),0))</f>
        <v>0</v>
      </c>
      <c r="EY6" t="b" cm="1">
        <f t="array" ref="EY6">INDEX($B$1:$W$193,MATCH(EY$1,$B$1:$B$193,0),MATCH(1,($B$1:$W$1=$AB6)*($B$2:$W$2=$AC6),0))</f>
        <v>0</v>
      </c>
      <c r="EZ6" t="b" cm="1">
        <f t="array" ref="EZ6">INDEX($B$1:$W$193,MATCH(EZ$1,$B$1:$B$193,0),MATCH(1,($B$1:$W$1=$AB6)*($B$2:$W$2=$AC6),0))</f>
        <v>0</v>
      </c>
      <c r="FA6" t="b" cm="1">
        <f t="array" ref="FA6">INDEX($B$1:$W$193,MATCH(FA$1,$B$1:$B$193,0),MATCH(1,($B$1:$W$1=$AB6)*($B$2:$W$2=$AC6),0))</f>
        <v>0</v>
      </c>
      <c r="FB6" t="b" cm="1">
        <f t="array" ref="FB6">INDEX($B$1:$W$193,MATCH(FB$1,$B$1:$B$193,0),MATCH(1,($B$1:$W$1=$AB6)*($B$2:$W$2=$AC6),0))</f>
        <v>0</v>
      </c>
      <c r="FC6" t="b" cm="1">
        <f t="array" ref="FC6">INDEX($B$1:$W$193,MATCH(FC$1,$B$1:$B$193,0),MATCH(1,($B$1:$W$1=$AB6)*($B$2:$W$2=$AC6),0))</f>
        <v>0</v>
      </c>
      <c r="FD6" t="b" cm="1">
        <f t="array" ref="FD6">INDEX($B$1:$W$193,MATCH(FD$1,$B$1:$B$193,0),MATCH(1,($B$1:$W$1=$AB6)*($B$2:$W$2=$AC6),0))</f>
        <v>0</v>
      </c>
      <c r="FE6" t="b" cm="1">
        <f t="array" ref="FE6">INDEX($B$1:$W$193,MATCH(FE$1,$B$1:$B$193,0),MATCH(1,($B$1:$W$1=$AB6)*($B$2:$W$2=$AC6),0))</f>
        <v>0</v>
      </c>
      <c r="FF6" t="b" cm="1">
        <f t="array" ref="FF6">INDEX($B$1:$W$193,MATCH(FF$1,$B$1:$B$193,0),MATCH(1,($B$1:$W$1=$AB6)*($B$2:$W$2=$AC6),0))</f>
        <v>0</v>
      </c>
      <c r="FG6" t="b" cm="1">
        <f t="array" ref="FG6">INDEX($B$1:$W$193,MATCH(FG$1,$B$1:$B$193,0),MATCH(1,($B$1:$W$1=$AB6)*($B$2:$W$2=$AC6),0))</f>
        <v>0</v>
      </c>
      <c r="FH6" t="b" cm="1">
        <f t="array" ref="FH6">INDEX($B$1:$W$193,MATCH(FH$1,$B$1:$B$193,0),MATCH(1,($B$1:$W$1=$AB6)*($B$2:$W$2=$AC6),0))</f>
        <v>0</v>
      </c>
      <c r="FI6" t="b" cm="1">
        <f t="array" ref="FI6">INDEX($B$1:$W$193,MATCH(FI$1,$B$1:$B$193,0),MATCH(1,($B$1:$W$1=$AB6)*($B$2:$W$2=$AC6),0))</f>
        <v>0</v>
      </c>
      <c r="FJ6" t="b" cm="1">
        <f t="array" ref="FJ6">INDEX($B$1:$W$193,MATCH(FJ$1,$B$1:$B$193,0),MATCH(1,($B$1:$W$1=$AB6)*($B$2:$W$2=$AC6),0))</f>
        <v>0</v>
      </c>
      <c r="FK6" t="b" cm="1">
        <f t="array" ref="FK6">INDEX($B$1:$W$193,MATCH(FK$1,$B$1:$B$193,0),MATCH(1,($B$1:$W$1=$AB6)*($B$2:$W$2=$AC6),0))</f>
        <v>0</v>
      </c>
      <c r="FL6" t="b" cm="1">
        <f t="array" ref="FL6">INDEX($B$1:$W$193,MATCH(FL$1,$B$1:$B$193,0),MATCH(1,($B$1:$W$1=$AB6)*($B$2:$W$2=$AC6),0))</f>
        <v>0</v>
      </c>
      <c r="FM6" t="b" cm="1">
        <f t="array" ref="FM6">INDEX($B$1:$W$193,MATCH(FM$1,$B$1:$B$193,0),MATCH(1,($B$1:$W$1=$AB6)*($B$2:$W$2=$AC6),0))</f>
        <v>0</v>
      </c>
      <c r="FN6" t="b" cm="1">
        <f t="array" ref="FN6">INDEX($B$1:$W$193,MATCH(FN$1,$B$1:$B$193,0),MATCH(1,($B$1:$W$1=$AB6)*($B$2:$W$2=$AC6),0))</f>
        <v>0</v>
      </c>
      <c r="FO6" t="b" cm="1">
        <f t="array" ref="FO6">INDEX($B$1:$W$193,MATCH(FO$1,$B$1:$B$193,0),MATCH(1,($B$1:$W$1=$AB6)*($B$2:$W$2=$AC6),0))</f>
        <v>0</v>
      </c>
      <c r="FP6" t="b" cm="1">
        <f t="array" ref="FP6">INDEX($B$1:$W$193,MATCH(FP$1,$B$1:$B$193,0),MATCH(1,($B$1:$W$1=$AB6)*($B$2:$W$2=$AC6),0))</f>
        <v>0</v>
      </c>
      <c r="FQ6" t="b" cm="1">
        <f t="array" ref="FQ6">INDEX($B$1:$W$193,MATCH(FQ$1,$B$1:$B$193,0),MATCH(1,($B$1:$W$1=$AB6)*($B$2:$W$2=$AC6),0))</f>
        <v>0</v>
      </c>
      <c r="FR6" t="b" cm="1">
        <f t="array" ref="FR6">INDEX($B$1:$W$193,MATCH(FR$1,$B$1:$B$193,0),MATCH(1,($B$1:$W$1=$AB6)*($B$2:$W$2=$AC6),0))</f>
        <v>0</v>
      </c>
      <c r="FS6" t="b" cm="1">
        <f t="array" ref="FS6">INDEX($B$1:$W$193,MATCH(FS$1,$B$1:$B$193,0),MATCH(1,($B$1:$W$1=$AB6)*($B$2:$W$2=$AC6),0))</f>
        <v>0</v>
      </c>
      <c r="FT6" t="b" cm="1">
        <f t="array" ref="FT6">INDEX($B$1:$W$193,MATCH(FT$1,$B$1:$B$193,0),MATCH(1,($B$1:$W$1=$AB6)*($B$2:$W$2=$AC6),0))</f>
        <v>0</v>
      </c>
      <c r="FU6" t="b" cm="1">
        <f t="array" ref="FU6">INDEX($B$1:$W$193,MATCH(FU$1,$B$1:$B$193,0),MATCH(1,($B$1:$W$1=$AB6)*($B$2:$W$2=$AC6),0))</f>
        <v>0</v>
      </c>
      <c r="FV6" t="b" cm="1">
        <f t="array" ref="FV6">INDEX($B$1:$W$193,MATCH(FV$1,$B$1:$B$193,0),MATCH(1,($B$1:$W$1=$AB6)*($B$2:$W$2=$AC6),0))</f>
        <v>0</v>
      </c>
      <c r="FW6" t="b" cm="1">
        <f t="array" ref="FW6">INDEX($B$1:$W$193,MATCH(FW$1,$B$1:$B$193,0),MATCH(1,($B$1:$W$1=$AB6)*($B$2:$W$2=$AC6),0))</f>
        <v>0</v>
      </c>
      <c r="FX6" t="b" cm="1">
        <f t="array" ref="FX6">INDEX($B$1:$W$193,MATCH(FX$1,$B$1:$B$193,0),MATCH(1,($B$1:$W$1=$AB6)*($B$2:$W$2=$AC6),0))</f>
        <v>0</v>
      </c>
      <c r="FY6" t="b" cm="1">
        <f t="array" ref="FY6">INDEX($B$1:$W$193,MATCH(FY$1,$B$1:$B$193,0),MATCH(1,($B$1:$W$1=$AB6)*($B$2:$W$2=$AC6),0))</f>
        <v>0</v>
      </c>
      <c r="FZ6" t="b" cm="1">
        <f t="array" ref="FZ6">INDEX($B$1:$W$193,MATCH(FZ$1,$B$1:$B$193,0),MATCH(1,($B$1:$W$1=$AB6)*($B$2:$W$2=$AC6),0))</f>
        <v>0</v>
      </c>
      <c r="GA6" t="b" cm="1">
        <f t="array" ref="GA6">INDEX($B$1:$W$193,MATCH(GA$1,$B$1:$B$193,0),MATCH(1,($B$1:$W$1=$AB6)*($B$2:$W$2=$AC6),0))</f>
        <v>0</v>
      </c>
      <c r="GB6" t="b" cm="1">
        <f t="array" ref="GB6">INDEX($B$1:$W$193,MATCH(GB$1,$B$1:$B$193,0),MATCH(1,($B$1:$W$1=$AB6)*($B$2:$W$2=$AC6),0))</f>
        <v>0</v>
      </c>
      <c r="GC6" t="b" cm="1">
        <f t="array" ref="GC6">INDEX($B$1:$W$193,MATCH(GC$1,$B$1:$B$193,0),MATCH(1,($B$1:$W$1=$AB6)*($B$2:$W$2=$AC6),0))</f>
        <v>0</v>
      </c>
      <c r="GD6" t="b" cm="1">
        <f t="array" ref="GD6">INDEX($B$1:$W$193,MATCH(GD$1,$B$1:$B$193,0),MATCH(1,($B$1:$W$1=$AB6)*($B$2:$W$2=$AC6),0))</f>
        <v>0</v>
      </c>
      <c r="GE6" t="b" cm="1">
        <f t="array" ref="GE6">INDEX($B$1:$W$193,MATCH(GE$1,$B$1:$B$193,0),MATCH(1,($B$1:$W$1=$AB6)*($B$2:$W$2=$AC6),0))</f>
        <v>0</v>
      </c>
      <c r="GF6" t="b" cm="1">
        <f t="array" ref="GF6">INDEX($B$1:$W$193,MATCH(GF$1,$B$1:$B$193,0),MATCH(1,($B$1:$W$1=$AB6)*($B$2:$W$2=$AC6),0))</f>
        <v>0</v>
      </c>
      <c r="GG6" t="b" cm="1">
        <f t="array" ref="GG6">INDEX($B$1:$W$193,MATCH(GG$1,$B$1:$B$193,0),MATCH(1,($B$1:$W$1=$AB6)*($B$2:$W$2=$AC6),0))</f>
        <v>0</v>
      </c>
      <c r="GH6" t="b" cm="1">
        <f t="array" ref="GH6">INDEX($B$1:$W$193,MATCH(GH$1,$B$1:$B$193,0),MATCH(1,($B$1:$W$1=$AB6)*($B$2:$W$2=$AC6),0))</f>
        <v>0</v>
      </c>
      <c r="GI6" t="b" cm="1">
        <f t="array" ref="GI6">INDEX($B$1:$W$193,MATCH(GI$1,$B$1:$B$193,0),MATCH(1,($B$1:$W$1=$AB6)*($B$2:$W$2=$AC6),0))</f>
        <v>0</v>
      </c>
      <c r="GJ6" t="b" cm="1">
        <f t="array" ref="GJ6">INDEX($B$1:$W$193,MATCH(GJ$1,$B$1:$B$193,0),MATCH(1,($B$1:$W$1=$AB6)*($B$2:$W$2=$AC6),0))</f>
        <v>0</v>
      </c>
      <c r="GK6" t="b" cm="1">
        <f t="array" ref="GK6">INDEX($B$1:$W$193,MATCH(GK$1,$B$1:$B$193,0),MATCH(1,($B$1:$W$1=$AB6)*($B$2:$W$2=$AC6),0))</f>
        <v>0</v>
      </c>
      <c r="GL6" t="b" cm="1">
        <f t="array" ref="GL6">INDEX($B$1:$W$193,MATCH(GL$1,$B$1:$B$193,0),MATCH(1,($B$1:$W$1=$AB6)*($B$2:$W$2=$AC6),0))</f>
        <v>0</v>
      </c>
      <c r="GM6" t="b" cm="1">
        <f t="array" ref="GM6">INDEX($B$1:$W$193,MATCH(GM$1,$B$1:$B$193,0),MATCH(1,($B$1:$W$1=$AB6)*($B$2:$W$2=$AC6),0))</f>
        <v>0</v>
      </c>
      <c r="GN6" t="b" cm="1">
        <f t="array" ref="GN6">INDEX($B$1:$W$193,MATCH(GN$1,$B$1:$B$193,0),MATCH(1,($B$1:$W$1=$AB6)*($B$2:$W$2=$AC6),0))</f>
        <v>0</v>
      </c>
      <c r="GO6" t="b" cm="1">
        <f t="array" ref="GO6">INDEX($B$1:$W$193,MATCH(GO$1,$B$1:$B$193,0),MATCH(1,($B$1:$W$1=$AB6)*($B$2:$W$2=$AC6),0))</f>
        <v>0</v>
      </c>
      <c r="GP6" t="b" cm="1">
        <f t="array" ref="GP6">INDEX($B$1:$W$193,MATCH(GP$1,$B$1:$B$193,0),MATCH(1,($B$1:$W$1=$AB6)*($B$2:$W$2=$AC6),0))</f>
        <v>0</v>
      </c>
      <c r="GQ6" t="b" cm="1">
        <f t="array" ref="GQ6">INDEX($B$1:$W$193,MATCH(GQ$1,$B$1:$B$193,0),MATCH(1,($B$1:$W$1=$AB6)*($B$2:$W$2=$AC6),0))</f>
        <v>0</v>
      </c>
      <c r="GR6" t="b" cm="1">
        <f t="array" ref="GR6">INDEX($B$1:$W$193,MATCH(GR$1,$B$1:$B$193,0),MATCH(1,($B$1:$W$1=$AB6)*($B$2:$W$2=$AC6),0))</f>
        <v>0</v>
      </c>
      <c r="GS6" t="b" cm="1">
        <f t="array" ref="GS6">INDEX($B$1:$W$193,MATCH(GS$1,$B$1:$B$193,0),MATCH(1,($B$1:$W$1=$AB6)*($B$2:$W$2=$AC6),0))</f>
        <v>0</v>
      </c>
      <c r="GT6" t="b" cm="1">
        <f t="array" ref="GT6">INDEX($B$1:$W$193,MATCH(GT$1,$B$1:$B$193,0),MATCH(1,($B$1:$W$1=$AB6)*($B$2:$W$2=$AC6),0))</f>
        <v>0</v>
      </c>
      <c r="GU6" t="b" cm="1">
        <f t="array" ref="GU6">INDEX($B$1:$W$193,MATCH(GU$1,$B$1:$B$193,0),MATCH(1,($B$1:$W$1=$AB6)*($B$2:$W$2=$AC6),0))</f>
        <v>0</v>
      </c>
      <c r="GV6" t="b" cm="1">
        <f t="array" ref="GV6">INDEX($B$1:$W$193,MATCH(GV$1,$B$1:$B$193,0),MATCH(1,($B$1:$W$1=$AB6)*($B$2:$W$2=$AC6),0))</f>
        <v>0</v>
      </c>
      <c r="GW6" t="b" cm="1">
        <f t="array" ref="GW6">INDEX($B$1:$W$193,MATCH(GW$1,$B$1:$B$193,0),MATCH(1,($B$1:$W$1=$AB6)*($B$2:$W$2=$AC6),0))</f>
        <v>0</v>
      </c>
      <c r="GX6" t="b" cm="1">
        <f t="array" ref="GX6">INDEX($B$1:$W$193,MATCH(GX$1,$B$1:$B$193,0),MATCH(1,($B$1:$W$1=$AB6)*($B$2:$W$2=$AC6),0))</f>
        <v>0</v>
      </c>
      <c r="GY6" t="b" cm="1">
        <f t="array" ref="GY6">INDEX($B$1:$W$193,MATCH(GY$1,$B$1:$B$193,0),MATCH(1,($B$1:$W$1=$AB6)*($B$2:$W$2=$AC6),0))</f>
        <v>0</v>
      </c>
      <c r="GZ6" t="b" cm="1">
        <f t="array" ref="GZ6">INDEX($B$1:$W$193,MATCH(GZ$1,$B$1:$B$193,0),MATCH(1,($B$1:$W$1=$AB6)*($B$2:$W$2=$AC6),0))</f>
        <v>0</v>
      </c>
      <c r="HA6" t="b" cm="1">
        <f t="array" ref="HA6">INDEX($B$1:$W$193,MATCH(HA$1,$B$1:$B$193,0),MATCH(1,($B$1:$W$1=$AB6)*($B$2:$W$2=$AC6),0))</f>
        <v>0</v>
      </c>
      <c r="HB6" t="b" cm="1">
        <f t="array" ref="HB6">INDEX($B$1:$W$193,MATCH(HB$1,$B$1:$B$193,0),MATCH(1,($B$1:$W$1=$AB6)*($B$2:$W$2=$AC6),0))</f>
        <v>0</v>
      </c>
      <c r="HC6" t="b" cm="1">
        <f t="array" ref="HC6">INDEX($B$1:$W$193,MATCH(HC$1,$B$1:$B$193,0),MATCH(1,($B$1:$W$1=$AB6)*($B$2:$W$2=$AC6),0))</f>
        <v>0</v>
      </c>
      <c r="HD6" t="b" cm="1">
        <f t="array" ref="HD6">INDEX($B$1:$W$193,MATCH(HD$1,$B$1:$B$193,0),MATCH(1,($B$1:$W$1=$AB6)*($B$2:$W$2=$AC6),0))</f>
        <v>0</v>
      </c>
      <c r="HE6" t="b" cm="1">
        <f t="array" ref="HE6">INDEX($B$1:$W$193,MATCH(HE$1,$B$1:$B$193,0),MATCH(1,($B$1:$W$1=$AB6)*($B$2:$W$2=$AC6),0))</f>
        <v>0</v>
      </c>
      <c r="HF6" t="b" cm="1">
        <f t="array" ref="HF6">INDEX($B$1:$W$193,MATCH(HF$1,$B$1:$B$193,0),MATCH(1,($B$1:$W$1=$AB6)*($B$2:$W$2=$AC6),0))</f>
        <v>0</v>
      </c>
      <c r="HG6" t="b" cm="1">
        <f t="array" ref="HG6">INDEX($B$1:$W$193,MATCH(HG$1,$B$1:$B$193,0),MATCH(1,($B$1:$W$1=$AB6)*($B$2:$W$2=$AC6),0))</f>
        <v>0</v>
      </c>
      <c r="HH6" t="b" cm="1">
        <f t="array" ref="HH6">INDEX($B$1:$W$193,MATCH(HH$1,$B$1:$B$193,0),MATCH(1,($B$1:$W$1=$AB6)*($B$2:$W$2=$AC6),0))</f>
        <v>0</v>
      </c>
      <c r="HI6" t="b" cm="1">
        <f t="array" ref="HI6">INDEX($B$1:$W$193,MATCH(HI$1,$B$1:$B$193,0),MATCH(1,($B$1:$W$1=$AB6)*($B$2:$W$2=$AC6),0))</f>
        <v>0</v>
      </c>
      <c r="HJ6" t="b" cm="1">
        <f t="array" ref="HJ6">INDEX($B$1:$W$193,MATCH(HJ$1,$B$1:$B$193,0),MATCH(1,($B$1:$W$1=$AB6)*($B$2:$W$2=$AC6),0))</f>
        <v>0</v>
      </c>
      <c r="HK6" t="b" cm="1">
        <f t="array" ref="HK6">INDEX($B$1:$W$193,MATCH(HK$1,$B$1:$B$193,0),MATCH(1,($B$1:$W$1=$AB6)*($B$2:$W$2=$AC6),0))</f>
        <v>0</v>
      </c>
      <c r="HL6" t="b" cm="1">
        <f t="array" ref="HL6">INDEX($B$1:$W$193,MATCH(HL$1,$B$1:$B$193,0),MATCH(1,($B$1:$W$1=$AB6)*($B$2:$W$2=$AC6),0))</f>
        <v>0</v>
      </c>
      <c r="HM6" t="b" cm="1">
        <f t="array" ref="HM6">INDEX($B$1:$W$193,MATCH(HM$1,$B$1:$B$193,0),MATCH(1,($B$1:$W$1=$AB6)*($B$2:$W$2=$AC6),0))</f>
        <v>0</v>
      </c>
      <c r="HN6" t="b" cm="1">
        <f t="array" ref="HN6">INDEX($B$1:$W$193,MATCH(HN$1,$B$1:$B$193,0),MATCH(1,($B$1:$W$1=$AB6)*($B$2:$W$2=$AC6),0))</f>
        <v>0</v>
      </c>
      <c r="HO6" t="b" cm="1">
        <f t="array" ref="HO6">INDEX($B$1:$W$193,MATCH(HO$1,$B$1:$B$193,0),MATCH(1,($B$1:$W$1=$AB6)*($B$2:$W$2=$AC6),0))</f>
        <v>0</v>
      </c>
      <c r="HP6" t="b" cm="1">
        <f t="array" ref="HP6">INDEX($B$1:$W$193,MATCH(HP$1,$B$1:$B$193,0),MATCH(1,($B$1:$W$1=$AB6)*($B$2:$W$2=$AC6),0))</f>
        <v>0</v>
      </c>
      <c r="HQ6" t="b" cm="1">
        <f t="array" ref="HQ6">INDEX($B$1:$W$193,MATCH(HQ$1,$B$1:$B$193,0),MATCH(1,($B$1:$W$1=$AB6)*($B$2:$W$2=$AC6),0))</f>
        <v>0</v>
      </c>
      <c r="HR6" t="b" cm="1">
        <f t="array" ref="HR6">INDEX($B$1:$W$193,MATCH(HR$1,$B$1:$B$193,0),MATCH(1,($B$1:$W$1=$AB6)*($B$2:$W$2=$AC6),0))</f>
        <v>0</v>
      </c>
      <c r="HS6" t="b" cm="1">
        <f t="array" ref="HS6">INDEX($B$1:$W$193,MATCH(HS$1,$B$1:$B$193,0),MATCH(1,($B$1:$W$1=$AB6)*($B$2:$W$2=$AC6),0))</f>
        <v>0</v>
      </c>
      <c r="HT6" t="b" cm="1">
        <f t="array" ref="HT6">INDEX($B$1:$W$193,MATCH(HT$1,$B$1:$B$193,0),MATCH(1,($B$1:$W$1=$AB6)*($B$2:$W$2=$AC6),0))</f>
        <v>0</v>
      </c>
      <c r="HU6" t="b" cm="1">
        <f t="array" ref="HU6">INDEX($B$1:$W$193,MATCH(HU$1,$B$1:$B$193,0),MATCH(1,($B$1:$W$1=$AB6)*($B$2:$W$2=$AC6),0))</f>
        <v>0</v>
      </c>
      <c r="HV6" t="b" cm="1">
        <f t="array" ref="HV6">INDEX($B$1:$W$193,MATCH(HV$1,$B$1:$B$193,0),MATCH(1,($B$1:$W$1=$AB6)*($B$2:$W$2=$AC6),0))</f>
        <v>0</v>
      </c>
      <c r="HW6" t="b" cm="1">
        <f t="array" ref="HW6">INDEX($B$1:$W$193,MATCH(HW$1,$B$1:$B$193,0),MATCH(1,($B$1:$W$1=$AB6)*($B$2:$W$2=$AC6),0))</f>
        <v>0</v>
      </c>
      <c r="HX6" t="b" cm="1">
        <f t="array" ref="HX6">INDEX($B$1:$W$193,MATCH(HX$1,$B$1:$B$193,0),MATCH(1,($B$1:$W$1=$AB6)*($B$2:$W$2=$AC6),0))</f>
        <v>0</v>
      </c>
      <c r="HY6" t="b" cm="1">
        <f t="array" ref="HY6">INDEX($B$1:$W$193,MATCH(HY$1,$B$1:$B$193,0),MATCH(1,($B$1:$W$1=$AB6)*($B$2:$W$2=$AC6),0))</f>
        <v>0</v>
      </c>
      <c r="HZ6" t="b" cm="1">
        <f t="array" ref="HZ6">INDEX($B$1:$W$193,MATCH(HZ$1,$B$1:$B$193,0),MATCH(1,($B$1:$W$1=$AB6)*($B$2:$W$2=$AC6),0))</f>
        <v>0</v>
      </c>
      <c r="IA6" t="b" cm="1">
        <f t="array" ref="IA6">INDEX($B$1:$W$193,MATCH(IA$1,$B$1:$B$193,0),MATCH(1,($B$1:$W$1=$AB6)*($B$2:$W$2=$AC6),0))</f>
        <v>0</v>
      </c>
      <c r="IB6" t="b" cm="1">
        <f t="array" ref="IB6">INDEX($B$1:$W$193,MATCH(IB$1,$B$1:$B$193,0),MATCH(1,($B$1:$W$1=$AB6)*($B$2:$W$2=$AC6),0))</f>
        <v>0</v>
      </c>
      <c r="IC6" t="b" cm="1">
        <f t="array" ref="IC6">INDEX($B$1:$W$193,MATCH(IC$1,$B$1:$B$193,0),MATCH(1,($B$1:$W$1=$AB6)*($B$2:$W$2=$AC6),0))</f>
        <v>0</v>
      </c>
      <c r="ID6" t="b" cm="1">
        <f t="array" ref="ID6">INDEX($B$1:$W$193,MATCH(ID$1,$B$1:$B$193,0),MATCH(1,($B$1:$W$1=$AB6)*($B$2:$W$2=$AC6),0))</f>
        <v>0</v>
      </c>
      <c r="IE6" t="b" cm="1">
        <f t="array" ref="IE6">INDEX($B$1:$W$193,MATCH(IE$1,$B$1:$B$193,0),MATCH(1,($B$1:$W$1=$AB6)*($B$2:$W$2=$AC6),0))</f>
        <v>0</v>
      </c>
      <c r="IF6" t="b" cm="1">
        <f t="array" ref="IF6">INDEX($B$1:$W$193,MATCH(IF$1,$B$1:$B$193,0),MATCH(1,($B$1:$W$1=$AB6)*($B$2:$W$2=$AC6),0))</f>
        <v>0</v>
      </c>
      <c r="IG6" t="b" cm="1">
        <f t="array" ref="IG6">INDEX($B$1:$W$193,MATCH(IG$1,$B$1:$B$193,0),MATCH(1,($B$1:$W$1=$AB6)*($B$2:$W$2=$AC6),0))</f>
        <v>0</v>
      </c>
      <c r="IH6" t="b" cm="1">
        <f t="array" ref="IH6">INDEX($B$1:$W$193,MATCH(IH$1,$B$1:$B$193,0),MATCH(1,($B$1:$W$1=$AB6)*($B$2:$W$2=$AC6),0))</f>
        <v>0</v>
      </c>
      <c r="II6" t="b" cm="1">
        <f t="array" ref="II6">INDEX($B$1:$W$193,MATCH(II$1,$B$1:$B$193,0),MATCH(1,($B$1:$W$1=$AB6)*($B$2:$W$2=$AC6),0))</f>
        <v>0</v>
      </c>
      <c r="IJ6" t="b" cm="1">
        <f t="array" ref="IJ6">INDEX($B$1:$W$193,MATCH(IJ$1,$B$1:$B$193,0),MATCH(1,($B$1:$W$1=$AB6)*($B$2:$W$2=$AC6),0))</f>
        <v>0</v>
      </c>
      <c r="IK6" t="b" cm="1">
        <f t="array" ref="IK6">INDEX($B$1:$W$193,MATCH(IK$1,$B$1:$B$193,0),MATCH(1,($B$1:$W$1=$AB6)*($B$2:$W$2=$AC6),0))</f>
        <v>0</v>
      </c>
      <c r="IL6" t="b" cm="1">
        <f t="array" ref="IL6">INDEX($B$1:$W$193,MATCH(IL$1,$B$1:$B$193,0),MATCH(1,($B$1:$W$1=$AB6)*($B$2:$W$2=$AC6),0))</f>
        <v>0</v>
      </c>
      <c r="IM6" t="b" cm="1">
        <f t="array" ref="IM6">INDEX($B$1:$W$193,MATCH(IM$1,$B$1:$B$193,0),MATCH(1,($B$1:$W$1=$AB6)*($B$2:$W$2=$AC6),0))</f>
        <v>0</v>
      </c>
      <c r="IN6" t="b" cm="1">
        <f t="array" ref="IN6">INDEX($B$1:$W$193,MATCH(IN$1,$B$1:$B$193,0),MATCH(1,($B$1:$W$1=$AB6)*($B$2:$W$2=$AC6),0))</f>
        <v>0</v>
      </c>
      <c r="IO6" t="b" cm="1">
        <f t="array" ref="IO6">INDEX($B$1:$W$193,MATCH(IO$1,$B$1:$B$193,0),MATCH(1,($B$1:$W$1=$AB6)*($B$2:$W$2=$AC6),0))</f>
        <v>0</v>
      </c>
      <c r="IP6" t="b" cm="1">
        <f t="array" ref="IP6">INDEX($B$1:$W$193,MATCH(IP$1,$B$1:$B$193,0),MATCH(1,($B$1:$W$1=$AB6)*($B$2:$W$2=$AC6),0))</f>
        <v>0</v>
      </c>
      <c r="IQ6" t="b" cm="1">
        <f t="array" ref="IQ6">INDEX($B$1:$W$193,MATCH(IQ$1,$B$1:$B$193,0),MATCH(1,($B$1:$W$1=$AB6)*($B$2:$W$2=$AC6),0))</f>
        <v>0</v>
      </c>
      <c r="IR6" t="b" cm="1">
        <f t="array" ref="IR6">INDEX($B$1:$W$193,MATCH(IR$1,$B$1:$B$193,0),MATCH(1,($B$1:$W$1=$AB6)*($B$2:$W$2=$AC6),0))</f>
        <v>0</v>
      </c>
      <c r="IS6" t="b" cm="1">
        <f t="array" ref="IS6">INDEX($B$1:$W$193,MATCH(IS$1,$B$1:$B$193,0),MATCH(1,($B$1:$W$1=$AB6)*($B$2:$W$2=$AC6),0))</f>
        <v>0</v>
      </c>
      <c r="IT6" t="b" cm="1">
        <f t="array" ref="IT6">INDEX($B$1:$W$193,MATCH(IT$1,$B$1:$B$193,0),MATCH(1,($B$1:$W$1=$AB6)*($B$2:$W$2=$AC6),0))</f>
        <v>0</v>
      </c>
      <c r="IU6" t="b" cm="1">
        <f t="array" ref="IU6">INDEX($B$1:$W$193,MATCH(IU$1,$B$1:$B$193,0),MATCH(1,($B$1:$W$1=$AB6)*($B$2:$W$2=$AC6),0))</f>
        <v>0</v>
      </c>
      <c r="IV6" t="b" cm="1">
        <f t="array" ref="IV6">INDEX($B$1:$W$193,MATCH(IV$1,$B$1:$B$193,0),MATCH(1,($B$1:$W$1=$AB6)*($B$2:$W$2=$AC6),0))</f>
        <v>0</v>
      </c>
      <c r="IW6" t="b" cm="1">
        <f t="array" ref="IW6">INDEX($B$1:$W$193,MATCH(IW$1,$B$1:$B$193,0),MATCH(1,($B$1:$W$1=$AB6)*($B$2:$W$2=$AC6),0))</f>
        <v>0</v>
      </c>
      <c r="IX6" t="b" cm="1">
        <f t="array" ref="IX6">INDEX($B$1:$W$193,MATCH(IX$1,$B$1:$B$193,0),MATCH(1,($B$1:$W$1=$AB6)*($B$2:$W$2=$AC6),0))</f>
        <v>0</v>
      </c>
      <c r="IY6" t="b" cm="1">
        <f t="array" ref="IY6">INDEX($B$1:$W$193,MATCH(IY$1,$B$1:$B$193,0),MATCH(1,($B$1:$W$1=$AB6)*($B$2:$W$2=$AC6),0))</f>
        <v>0</v>
      </c>
      <c r="IZ6" t="b" cm="1">
        <f t="array" ref="IZ6">INDEX($B$1:$W$193,MATCH(IZ$1,$B$1:$B$193,0),MATCH(1,($B$1:$W$1=$AB6)*($B$2:$W$2=$AC6),0))</f>
        <v>0</v>
      </c>
      <c r="JA6" t="b" cm="1">
        <f t="array" ref="JA6">INDEX($B$1:$W$193,MATCH(JA$1,$B$1:$B$193,0),MATCH(1,($B$1:$W$1=$AB6)*($B$2:$W$2=$AC6),0))</f>
        <v>0</v>
      </c>
      <c r="JB6" t="b" cm="1">
        <f t="array" ref="JB6">INDEX($B$1:$W$193,MATCH(JB$1,$B$1:$B$193,0),MATCH(1,($B$1:$W$1=$AB6)*($B$2:$W$2=$AC6),0))</f>
        <v>0</v>
      </c>
      <c r="JC6" t="b" cm="1">
        <f t="array" ref="JC6">INDEX($B$1:$W$193,MATCH(JC$1,$B$1:$B$193,0),MATCH(1,($B$1:$W$1=$AB6)*($B$2:$W$2=$AC6),0))</f>
        <v>0</v>
      </c>
      <c r="JD6" t="b" cm="1">
        <f t="array" ref="JD6">INDEX($B$1:$W$193,MATCH(JD$1,$B$1:$B$193,0),MATCH(1,($B$1:$W$1=$AB6)*($B$2:$W$2=$AC6),0))</f>
        <v>0</v>
      </c>
      <c r="JE6" t="b" cm="1">
        <f t="array" ref="JE6">INDEX($B$1:$W$193,MATCH(JE$1,$B$1:$B$193,0),MATCH(1,($B$1:$W$1=$AB6)*($B$2:$W$2=$AC6),0))</f>
        <v>0</v>
      </c>
      <c r="JF6" t="b" cm="1">
        <f t="array" ref="JF6">INDEX($B$1:$W$193,MATCH(JF$1,$B$1:$B$193,0),MATCH(1,($B$1:$W$1=$AB6)*($B$2:$W$2=$AC6),0))</f>
        <v>0</v>
      </c>
      <c r="JG6" t="b" cm="1">
        <f t="array" ref="JG6">INDEX($B$1:$W$193,MATCH(JG$1,$B$1:$B$193,0),MATCH(1,($B$1:$W$1=$AB6)*($B$2:$W$2=$AC6),0))</f>
        <v>0</v>
      </c>
      <c r="JH6" t="b" cm="1">
        <f t="array" ref="JH6">INDEX($B$1:$W$193,MATCH(JH$1,$B$1:$B$193,0),MATCH(1,($B$1:$W$1=$AB6)*($B$2:$W$2=$AC6),0))</f>
        <v>0</v>
      </c>
    </row>
    <row r="7" spans="1:268" x14ac:dyDescent="0.25">
      <c r="A7" t="s">
        <v>165</v>
      </c>
      <c r="B7" s="51" t="s">
        <v>169</v>
      </c>
      <c r="C7">
        <v>2</v>
      </c>
      <c r="D7">
        <v>3</v>
      </c>
      <c r="E7" t="b">
        <f t="shared" si="1"/>
        <v>1</v>
      </c>
      <c r="F7" t="b">
        <f t="shared" si="0"/>
        <v>1</v>
      </c>
      <c r="G7" t="b">
        <f t="shared" si="0"/>
        <v>1</v>
      </c>
      <c r="H7" t="b">
        <f t="shared" si="0"/>
        <v>0</v>
      </c>
      <c r="I7" t="b">
        <f t="shared" si="0"/>
        <v>0</v>
      </c>
      <c r="J7" t="b">
        <f t="shared" si="0"/>
        <v>0</v>
      </c>
      <c r="K7" t="b">
        <f t="shared" si="0"/>
        <v>1</v>
      </c>
      <c r="L7" t="b">
        <f t="shared" si="0"/>
        <v>1</v>
      </c>
      <c r="M7" t="b">
        <f t="shared" si="0"/>
        <v>1</v>
      </c>
      <c r="N7" t="b">
        <f t="shared" si="0"/>
        <v>0</v>
      </c>
      <c r="O7" t="b">
        <f t="shared" si="0"/>
        <v>0</v>
      </c>
      <c r="P7" t="b">
        <f t="shared" si="0"/>
        <v>0</v>
      </c>
      <c r="Q7" t="b">
        <v>1</v>
      </c>
      <c r="R7" t="b" cm="1">
        <f t="array" ref="R7">_xlfn.IFS(C7=1,FALSE,OR(C7=2,C7&gt;2),TRUE)</f>
        <v>1</v>
      </c>
      <c r="S7" t="b" cm="1">
        <f t="array" ref="S7">_xlfn.IFS(OR(C7=1,C7=2),FALSE,OR(C7=3,C7&gt;3),TRUE)</f>
        <v>0</v>
      </c>
      <c r="T7" t="str">
        <f t="shared" si="2"/>
        <v>TRUE</v>
      </c>
      <c r="U7" t="str">
        <f t="shared" si="3"/>
        <v>FALSE</v>
      </c>
      <c r="V7" t="str">
        <f t="shared" si="4"/>
        <v>FALSE</v>
      </c>
      <c r="W7" t="b" cm="1">
        <f t="array" ref="W7">_xlfn.IFS(H7=1,FALSE,OR(H7=2,H7&gt;2),TRUE)</f>
        <v>1</v>
      </c>
      <c r="X7" t="b" cm="1">
        <f t="array" ref="X7">_xlfn.IFS(H7=1,FALSE,OR(H7=2,H7&gt;2),TRUE)</f>
        <v>1</v>
      </c>
      <c r="Y7" t="b" cm="1">
        <f t="array" ref="Y7">_xlfn.IFS(H7=1,FALSE,OR(H7=2,H7&gt;2),TRUE)</f>
        <v>1</v>
      </c>
      <c r="AB7" t="s">
        <v>0</v>
      </c>
      <c r="AC7" t="s">
        <v>82</v>
      </c>
      <c r="AD7" t="b" cm="1">
        <f t="array" ref="AD7">INDEX($B$1:$W$193,MATCH(AD$1,$B$1:$B$193,0),MATCH(1,($B$1:$W$1=$AB7)*($B$2:$W$2=$AC7),0))</f>
        <v>0</v>
      </c>
      <c r="AE7" t="b" cm="1">
        <f t="array" ref="AE7">INDEX($B$1:$W$193,MATCH(AE$1,$B$1:$B$193,0),MATCH(1,($B$1:$W$1=$AB7)*($B$2:$W$2=$AC7),0))</f>
        <v>0</v>
      </c>
      <c r="AF7" t="b" cm="1">
        <f t="array" ref="AF7">INDEX($B$1:$W$193,MATCH(AF$1,$B$1:$B$193,0),MATCH(1,($B$1:$W$1=$AB7)*($B$2:$W$2=$AC7),0))</f>
        <v>0</v>
      </c>
      <c r="AG7" t="b" cm="1">
        <f t="array" ref="AG7">INDEX($B$1:$W$193,MATCH(AG$1,$B$1:$B$193,0),MATCH(1,($B$1:$W$1=$AB7)*($B$2:$W$2=$AC7),0))</f>
        <v>0</v>
      </c>
      <c r="AH7" t="b" cm="1">
        <f t="array" ref="AH7">INDEX($B$1:$W$193,MATCH(AH$1,$B$1:$B$193,0),MATCH(1,($B$1:$W$1=$AB7)*($B$2:$W$2=$AC7),0))</f>
        <v>0</v>
      </c>
      <c r="AI7" t="b" cm="1">
        <f t="array" ref="AI7">INDEX($B$1:$W$193,MATCH(AI$1,$B$1:$B$193,0),MATCH(1,($B$1:$W$1=$AB7)*($B$2:$W$2=$AC7),0))</f>
        <v>0</v>
      </c>
      <c r="AJ7" t="b" cm="1">
        <f t="array" ref="AJ7">INDEX($B$1:$W$193,MATCH(AJ$1,$B$1:$B$193,0),MATCH(1,($B$1:$W$1=$AB7)*($B$2:$W$2=$AC7),0))</f>
        <v>0</v>
      </c>
      <c r="AK7" t="b" cm="1">
        <f t="array" ref="AK7">INDEX($B$1:$W$193,MATCH(AK$1,$B$1:$B$193,0),MATCH(1,($B$1:$W$1=$AB7)*($B$2:$W$2=$AC7),0))</f>
        <v>0</v>
      </c>
      <c r="AL7" t="b" cm="1">
        <f t="array" ref="AL7">INDEX($B$1:$W$193,MATCH(AL$1,$B$1:$B$193,0),MATCH(1,($B$1:$W$1=$AB7)*($B$2:$W$2=$AC7),0))</f>
        <v>0</v>
      </c>
      <c r="AM7" t="b" cm="1">
        <f t="array" ref="AM7">INDEX($B$1:$W$193,MATCH(AM$1,$B$1:$B$193,0),MATCH(1,($B$1:$W$1=$AB7)*($B$2:$W$2=$AC7),0))</f>
        <v>0</v>
      </c>
      <c r="AN7" t="b" cm="1">
        <f t="array" ref="AN7">INDEX($B$1:$W$193,MATCH(AN$1,$B$1:$B$193,0),MATCH(1,($B$1:$W$1=$AB7)*($B$2:$W$2=$AC7),0))</f>
        <v>0</v>
      </c>
      <c r="AO7" t="b" cm="1">
        <f t="array" ref="AO7">INDEX($B$1:$W$193,MATCH(AO$1,$B$1:$B$193,0),MATCH(1,($B$1:$W$1=$AB7)*($B$2:$W$2=$AC7),0))</f>
        <v>0</v>
      </c>
      <c r="AP7" t="b" cm="1">
        <f t="array" ref="AP7">INDEX($B$1:$W$193,MATCH(AP$1,$B$1:$B$193,0),MATCH(1,($B$1:$W$1=$AB7)*($B$2:$W$2=$AC7),0))</f>
        <v>0</v>
      </c>
      <c r="AQ7" t="b" cm="1">
        <f t="array" ref="AQ7">INDEX($B$1:$W$193,MATCH(AQ$1,$B$1:$B$193,0),MATCH(1,($B$1:$W$1=$AB7)*($B$2:$W$2=$AC7),0))</f>
        <v>0</v>
      </c>
      <c r="AR7" t="b" cm="1">
        <f t="array" ref="AR7">INDEX($B$1:$W$193,MATCH(AR$1,$B$1:$B$193,0),MATCH(1,($B$1:$W$1=$AB7)*($B$2:$W$2=$AC7),0))</f>
        <v>0</v>
      </c>
      <c r="AS7" t="b" cm="1">
        <f t="array" ref="AS7">INDEX($B$1:$W$193,MATCH(AS$1,$B$1:$B$193,0),MATCH(1,($B$1:$W$1=$AB7)*($B$2:$W$2=$AC7),0))</f>
        <v>0</v>
      </c>
      <c r="AT7" t="b" cm="1">
        <f t="array" ref="AT7">INDEX($B$1:$W$193,MATCH(AT$1,$B$1:$B$193,0),MATCH(1,($B$1:$W$1=$AB7)*($B$2:$W$2=$AC7),0))</f>
        <v>0</v>
      </c>
      <c r="AU7" t="b" cm="1">
        <f t="array" ref="AU7">INDEX($B$1:$W$193,MATCH(AU$1,$B$1:$B$193,0),MATCH(1,($B$1:$W$1=$AB7)*($B$2:$W$2=$AC7),0))</f>
        <v>0</v>
      </c>
      <c r="AV7" t="b" cm="1">
        <f t="array" ref="AV7">INDEX($B$1:$W$193,MATCH(AV$1,$B$1:$B$193,0),MATCH(1,($B$1:$W$1=$AB7)*($B$2:$W$2=$AC7),0))</f>
        <v>0</v>
      </c>
      <c r="AW7" t="b" cm="1">
        <f t="array" ref="AW7">INDEX($B$1:$W$193,MATCH(AW$1,$B$1:$B$193,0),MATCH(1,($B$1:$W$1=$AB7)*($B$2:$W$2=$AC7),0))</f>
        <v>0</v>
      </c>
      <c r="AX7" t="b" cm="1">
        <f t="array" ref="AX7">INDEX($B$1:$W$193,MATCH(AX$1,$B$1:$B$193,0),MATCH(1,($B$1:$W$1=$AB7)*($B$2:$W$2=$AC7),0))</f>
        <v>0</v>
      </c>
      <c r="AY7" t="b" cm="1">
        <f t="array" ref="AY7">INDEX($B$1:$W$193,MATCH(AY$1,$B$1:$B$193,0),MATCH(1,($B$1:$W$1=$AB7)*($B$2:$W$2=$AC7),0))</f>
        <v>0</v>
      </c>
      <c r="AZ7" t="b" cm="1">
        <f t="array" ref="AZ7">INDEX($B$1:$W$193,MATCH(AZ$1,$B$1:$B$193,0),MATCH(1,($B$1:$W$1=$AB7)*($B$2:$W$2=$AC7),0))</f>
        <v>0</v>
      </c>
      <c r="BA7" t="b" cm="1">
        <f t="array" ref="BA7">INDEX($B$1:$W$193,MATCH(BA$1,$B$1:$B$193,0),MATCH(1,($B$1:$W$1=$AB7)*($B$2:$W$2=$AC7),0))</f>
        <v>0</v>
      </c>
      <c r="BB7" t="b" cm="1">
        <f t="array" ref="BB7">INDEX($B$1:$W$193,MATCH(BB$1,$B$1:$B$193,0),MATCH(1,($B$1:$W$1=$AB7)*($B$2:$W$2=$AC7),0))</f>
        <v>0</v>
      </c>
      <c r="BC7" t="b" cm="1">
        <f t="array" ref="BC7">INDEX($B$1:$W$193,MATCH(BC$1,$B$1:$B$193,0),MATCH(1,($B$1:$W$1=$AB7)*($B$2:$W$2=$AC7),0))</f>
        <v>0</v>
      </c>
      <c r="BD7" t="b" cm="1">
        <f t="array" ref="BD7">INDEX($B$1:$W$193,MATCH(BD$1,$B$1:$B$193,0),MATCH(1,($B$1:$W$1=$AB7)*($B$2:$W$2=$AC7),0))</f>
        <v>0</v>
      </c>
      <c r="BE7" t="b" cm="1">
        <f t="array" ref="BE7">INDEX($B$1:$W$193,MATCH(BE$1,$B$1:$B$193,0),MATCH(1,($B$1:$W$1=$AB7)*($B$2:$W$2=$AC7),0))</f>
        <v>0</v>
      </c>
      <c r="BF7" t="b" cm="1">
        <f t="array" ref="BF7">INDEX($B$1:$W$193,MATCH(BF$1,$B$1:$B$193,0),MATCH(1,($B$1:$W$1=$AB7)*($B$2:$W$2=$AC7),0))</f>
        <v>0</v>
      </c>
      <c r="BG7" t="b" cm="1">
        <f t="array" ref="BG7">INDEX($B$1:$W$193,MATCH(BG$1,$B$1:$B$193,0),MATCH(1,($B$1:$W$1=$AB7)*($B$2:$W$2=$AC7),0))</f>
        <v>0</v>
      </c>
      <c r="BH7" t="b" cm="1">
        <f t="array" ref="BH7">INDEX($B$1:$W$193,MATCH(BH$1,$B$1:$B$193,0),MATCH(1,($B$1:$W$1=$AB7)*($B$2:$W$2=$AC7),0))</f>
        <v>0</v>
      </c>
      <c r="BI7" t="b" cm="1">
        <f t="array" ref="BI7">INDEX($B$1:$W$193,MATCH(BI$1,$B$1:$B$193,0),MATCH(1,($B$1:$W$1=$AB7)*($B$2:$W$2=$AC7),0))</f>
        <v>0</v>
      </c>
      <c r="BJ7" t="b" cm="1">
        <f t="array" ref="BJ7">INDEX($B$1:$W$193,MATCH(BJ$1,$B$1:$B$193,0),MATCH(1,($B$1:$W$1=$AB7)*($B$2:$W$2=$AC7),0))</f>
        <v>0</v>
      </c>
      <c r="BK7" t="b" cm="1">
        <f t="array" ref="BK7">INDEX($B$1:$W$193,MATCH(BK$1,$B$1:$B$193,0),MATCH(1,($B$1:$W$1=$AB7)*($B$2:$W$2=$AC7),0))</f>
        <v>0</v>
      </c>
      <c r="BL7" t="b" cm="1">
        <f t="array" ref="BL7">INDEX($B$1:$W$193,MATCH(BL$1,$B$1:$B$193,0),MATCH(1,($B$1:$W$1=$AB7)*($B$2:$W$2=$AC7),0))</f>
        <v>0</v>
      </c>
      <c r="BM7" t="b" cm="1">
        <f t="array" ref="BM7">INDEX($B$1:$W$193,MATCH(BM$1,$B$1:$B$193,0),MATCH(1,($B$1:$W$1=$AB7)*($B$2:$W$2=$AC7),0))</f>
        <v>0</v>
      </c>
      <c r="BN7" t="b" cm="1">
        <f t="array" ref="BN7">INDEX($B$1:$W$193,MATCH(BN$1,$B$1:$B$193,0),MATCH(1,($B$1:$W$1=$AB7)*($B$2:$W$2=$AC7),0))</f>
        <v>0</v>
      </c>
      <c r="BO7" t="b" cm="1">
        <f t="array" ref="BO7">INDEX($B$1:$W$193,MATCH(BO$1,$B$1:$B$193,0),MATCH(1,($B$1:$W$1=$AB7)*($B$2:$W$2=$AC7),0))</f>
        <v>0</v>
      </c>
      <c r="BP7" t="b" cm="1">
        <f t="array" ref="BP7">INDEX($B$1:$W$193,MATCH(BP$1,$B$1:$B$193,0),MATCH(1,($B$1:$W$1=$AB7)*($B$2:$W$2=$AC7),0))</f>
        <v>0</v>
      </c>
      <c r="BQ7" t="b" cm="1">
        <f t="array" ref="BQ7">INDEX($B$1:$W$193,MATCH(BQ$1,$B$1:$B$193,0),MATCH(1,($B$1:$W$1=$AB7)*($B$2:$W$2=$AC7),0))</f>
        <v>0</v>
      </c>
      <c r="BR7" t="b" cm="1">
        <f t="array" ref="BR7">INDEX($B$1:$W$193,MATCH(BR$1,$B$1:$B$193,0),MATCH(1,($B$1:$W$1=$AB7)*($B$2:$W$2=$AC7),0))</f>
        <v>0</v>
      </c>
      <c r="BS7" t="b" cm="1">
        <f t="array" ref="BS7">INDEX($B$1:$W$193,MATCH(BS$1,$B$1:$B$193,0),MATCH(1,($B$1:$W$1=$AB7)*($B$2:$W$2=$AC7),0))</f>
        <v>0</v>
      </c>
      <c r="BT7" t="b" cm="1">
        <f t="array" ref="BT7">INDEX($B$1:$W$193,MATCH(BT$1,$B$1:$B$193,0),MATCH(1,($B$1:$W$1=$AB7)*($B$2:$W$2=$AC7),0))</f>
        <v>0</v>
      </c>
      <c r="BU7" t="b" cm="1">
        <f t="array" ref="BU7">INDEX($B$1:$W$193,MATCH(BU$1,$B$1:$B$193,0),MATCH(1,($B$1:$W$1=$AB7)*($B$2:$W$2=$AC7),0))</f>
        <v>0</v>
      </c>
      <c r="BV7" t="b" cm="1">
        <f t="array" ref="BV7">INDEX($B$1:$W$193,MATCH(BV$1,$B$1:$B$193,0),MATCH(1,($B$1:$W$1=$AB7)*($B$2:$W$2=$AC7),0))</f>
        <v>0</v>
      </c>
      <c r="BW7" t="b" cm="1">
        <f t="array" ref="BW7">INDEX($B$1:$W$193,MATCH(BW$1,$B$1:$B$193,0),MATCH(1,($B$1:$W$1=$AB7)*($B$2:$W$2=$AC7),0))</f>
        <v>0</v>
      </c>
      <c r="BX7" t="b" cm="1">
        <f t="array" ref="BX7">INDEX($B$1:$W$193,MATCH(BX$1,$B$1:$B$193,0),MATCH(1,($B$1:$W$1=$AB7)*($B$2:$W$2=$AC7),0))</f>
        <v>0</v>
      </c>
      <c r="BY7" t="b" cm="1">
        <f t="array" ref="BY7">INDEX($B$1:$W$193,MATCH(BY$1,$B$1:$B$193,0),MATCH(1,($B$1:$W$1=$AB7)*($B$2:$W$2=$AC7),0))</f>
        <v>0</v>
      </c>
      <c r="BZ7" t="b" cm="1">
        <f t="array" ref="BZ7">INDEX($B$1:$W$193,MATCH(BZ$1,$B$1:$B$193,0),MATCH(1,($B$1:$W$1=$AB7)*($B$2:$W$2=$AC7),0))</f>
        <v>0</v>
      </c>
      <c r="CA7" t="b" cm="1">
        <f t="array" ref="CA7">INDEX($B$1:$W$193,MATCH(CA$1,$B$1:$B$193,0),MATCH(1,($B$1:$W$1=$AB7)*($B$2:$W$2=$AC7),0))</f>
        <v>0</v>
      </c>
      <c r="CB7" t="b" cm="1">
        <f t="array" ref="CB7">INDEX($B$1:$W$193,MATCH(CB$1,$B$1:$B$193,0),MATCH(1,($B$1:$W$1=$AB7)*($B$2:$W$2=$AC7),0))</f>
        <v>0</v>
      </c>
      <c r="CC7" t="b" cm="1">
        <f t="array" ref="CC7">INDEX($B$1:$W$193,MATCH(CC$1,$B$1:$B$193,0),MATCH(1,($B$1:$W$1=$AB7)*($B$2:$W$2=$AC7),0))</f>
        <v>0</v>
      </c>
      <c r="CD7" t="b" cm="1">
        <f t="array" ref="CD7">INDEX($B$1:$W$193,MATCH(CD$1,$B$1:$B$193,0),MATCH(1,($B$1:$W$1=$AB7)*($B$2:$W$2=$AC7),0))</f>
        <v>0</v>
      </c>
      <c r="CE7" t="b" cm="1">
        <f t="array" ref="CE7">INDEX($B$1:$W$193,MATCH(CE$1,$B$1:$B$193,0),MATCH(1,($B$1:$W$1=$AB7)*($B$2:$W$2=$AC7),0))</f>
        <v>0</v>
      </c>
      <c r="CF7" t="b" cm="1">
        <f t="array" ref="CF7">INDEX($B$1:$W$193,MATCH(CF$1,$B$1:$B$193,0),MATCH(1,($B$1:$W$1=$AB7)*($B$2:$W$2=$AC7),0))</f>
        <v>0</v>
      </c>
      <c r="CG7" t="b" cm="1">
        <f t="array" ref="CG7">INDEX($B$1:$W$193,MATCH(CG$1,$B$1:$B$193,0),MATCH(1,($B$1:$W$1=$AB7)*($B$2:$W$2=$AC7),0))</f>
        <v>0</v>
      </c>
      <c r="CH7" t="b" cm="1">
        <f t="array" ref="CH7">INDEX($B$1:$W$193,MATCH(CH$1,$B$1:$B$193,0),MATCH(1,($B$1:$W$1=$AB7)*($B$2:$W$2=$AC7),0))</f>
        <v>0</v>
      </c>
      <c r="CI7" t="b" cm="1">
        <f t="array" ref="CI7">INDEX($B$1:$W$193,MATCH(CI$1,$B$1:$B$193,0),MATCH(1,($B$1:$W$1=$AB7)*($B$2:$W$2=$AC7),0))</f>
        <v>0</v>
      </c>
      <c r="CJ7" t="b" cm="1">
        <f t="array" ref="CJ7">INDEX($B$1:$W$193,MATCH(CJ$1,$B$1:$B$193,0),MATCH(1,($B$1:$W$1=$AB7)*($B$2:$W$2=$AC7),0))</f>
        <v>0</v>
      </c>
      <c r="CK7" t="b" cm="1">
        <f t="array" ref="CK7">INDEX($B$1:$W$193,MATCH(CK$1,$B$1:$B$193,0),MATCH(1,($B$1:$W$1=$AB7)*($B$2:$W$2=$AC7),0))</f>
        <v>0</v>
      </c>
      <c r="CL7" t="b" cm="1">
        <f t="array" ref="CL7">INDEX($B$1:$W$193,MATCH(CL$1,$B$1:$B$193,0),MATCH(1,($B$1:$W$1=$AB7)*($B$2:$W$2=$AC7),0))</f>
        <v>0</v>
      </c>
      <c r="CM7" t="b" cm="1">
        <f t="array" ref="CM7">INDEX($B$1:$W$193,MATCH(CM$1,$B$1:$B$193,0),MATCH(1,($B$1:$W$1=$AB7)*($B$2:$W$2=$AC7),0))</f>
        <v>0</v>
      </c>
      <c r="CN7" t="b" cm="1">
        <f t="array" ref="CN7">INDEX($B$1:$W$193,MATCH(CN$1,$B$1:$B$193,0),MATCH(1,($B$1:$W$1=$AB7)*($B$2:$W$2=$AC7),0))</f>
        <v>0</v>
      </c>
      <c r="CO7" t="b" cm="1">
        <f t="array" ref="CO7">INDEX($B$1:$W$193,MATCH(CO$1,$B$1:$B$193,0),MATCH(1,($B$1:$W$1=$AB7)*($B$2:$W$2=$AC7),0))</f>
        <v>0</v>
      </c>
      <c r="CP7" t="b" cm="1">
        <f t="array" ref="CP7">INDEX($B$1:$W$193,MATCH(CP$1,$B$1:$B$193,0),MATCH(1,($B$1:$W$1=$AB7)*($B$2:$W$2=$AC7),0))</f>
        <v>0</v>
      </c>
      <c r="CQ7" t="b" cm="1">
        <f t="array" ref="CQ7">INDEX($B$1:$W$193,MATCH(CQ$1,$B$1:$B$193,0),MATCH(1,($B$1:$W$1=$AB7)*($B$2:$W$2=$AC7),0))</f>
        <v>0</v>
      </c>
      <c r="CR7" t="b" cm="1">
        <f t="array" ref="CR7">INDEX($B$1:$W$193,MATCH(CR$1,$B$1:$B$193,0),MATCH(1,($B$1:$W$1=$AB7)*($B$2:$W$2=$AC7),0))</f>
        <v>0</v>
      </c>
      <c r="CS7" t="b" cm="1">
        <f t="array" ref="CS7">INDEX($B$1:$W$193,MATCH(CS$1,$B$1:$B$193,0),MATCH(1,($B$1:$W$1=$AB7)*($B$2:$W$2=$AC7),0))</f>
        <v>0</v>
      </c>
      <c r="CT7" t="b" cm="1">
        <f t="array" ref="CT7">INDEX($B$1:$W$193,MATCH(CT$1,$B$1:$B$193,0),MATCH(1,($B$1:$W$1=$AB7)*($B$2:$W$2=$AC7),0))</f>
        <v>0</v>
      </c>
      <c r="CU7" t="b" cm="1">
        <f t="array" ref="CU7">INDEX($B$1:$W$193,MATCH(CU$1,$B$1:$B$193,0),MATCH(1,($B$1:$W$1=$AB7)*($B$2:$W$2=$AC7),0))</f>
        <v>0</v>
      </c>
      <c r="CV7" t="b" cm="1">
        <f t="array" ref="CV7">INDEX($B$1:$W$193,MATCH(CV$1,$B$1:$B$193,0),MATCH(1,($B$1:$W$1=$AB7)*($B$2:$W$2=$AC7),0))</f>
        <v>0</v>
      </c>
      <c r="CW7" t="b" cm="1">
        <f t="array" ref="CW7">INDEX($B$1:$W$193,MATCH(CW$1,$B$1:$B$193,0),MATCH(1,($B$1:$W$1=$AB7)*($B$2:$W$2=$AC7),0))</f>
        <v>0</v>
      </c>
      <c r="CX7" t="b" cm="1">
        <f t="array" ref="CX7">INDEX($B$1:$W$193,MATCH(CX$1,$B$1:$B$193,0),MATCH(1,($B$1:$W$1=$AB7)*($B$2:$W$2=$AC7),0))</f>
        <v>0</v>
      </c>
      <c r="CY7" t="b" cm="1">
        <f t="array" ref="CY7">INDEX($B$1:$W$193,MATCH(CY$1,$B$1:$B$193,0),MATCH(1,($B$1:$W$1=$AB7)*($B$2:$W$2=$AC7),0))</f>
        <v>0</v>
      </c>
      <c r="CZ7" t="b" cm="1">
        <f t="array" ref="CZ7">INDEX($B$1:$W$193,MATCH(CZ$1,$B$1:$B$193,0),MATCH(1,($B$1:$W$1=$AB7)*($B$2:$W$2=$AC7),0))</f>
        <v>0</v>
      </c>
      <c r="DA7" t="b" cm="1">
        <f t="array" ref="DA7">INDEX($B$1:$W$193,MATCH(DA$1,$B$1:$B$193,0),MATCH(1,($B$1:$W$1=$AB7)*($B$2:$W$2=$AC7),0))</f>
        <v>0</v>
      </c>
      <c r="DB7" t="b" cm="1">
        <f t="array" ref="DB7">INDEX($B$1:$W$193,MATCH(DB$1,$B$1:$B$193,0),MATCH(1,($B$1:$W$1=$AB7)*($B$2:$W$2=$AC7),0))</f>
        <v>0</v>
      </c>
      <c r="DC7" t="b" cm="1">
        <f t="array" ref="DC7">INDEX($B$1:$W$193,MATCH(DC$1,$B$1:$B$193,0),MATCH(1,($B$1:$W$1=$AB7)*($B$2:$W$2=$AC7),0))</f>
        <v>0</v>
      </c>
      <c r="DD7" t="b" cm="1">
        <f t="array" ref="DD7">INDEX($B$1:$W$193,MATCH(DD$1,$B$1:$B$193,0),MATCH(1,($B$1:$W$1=$AB7)*($B$2:$W$2=$AC7),0))</f>
        <v>0</v>
      </c>
      <c r="DE7" t="b" cm="1">
        <f t="array" ref="DE7">INDEX($B$1:$W$193,MATCH(DE$1,$B$1:$B$193,0),MATCH(1,($B$1:$W$1=$AB7)*($B$2:$W$2=$AC7),0))</f>
        <v>0</v>
      </c>
      <c r="DF7" t="b" cm="1">
        <f t="array" ref="DF7">INDEX($B$1:$W$193,MATCH(DF$1,$B$1:$B$193,0),MATCH(1,($B$1:$W$1=$AB7)*($B$2:$W$2=$AC7),0))</f>
        <v>0</v>
      </c>
      <c r="DG7" t="b" cm="1">
        <f t="array" ref="DG7">INDEX($B$1:$W$193,MATCH(DG$1,$B$1:$B$193,0),MATCH(1,($B$1:$W$1=$AB7)*($B$2:$W$2=$AC7),0))</f>
        <v>0</v>
      </c>
      <c r="DH7" t="b" cm="1">
        <f t="array" ref="DH7">INDEX($B$1:$W$193,MATCH(DH$1,$B$1:$B$193,0),MATCH(1,($B$1:$W$1=$AB7)*($B$2:$W$2=$AC7),0))</f>
        <v>0</v>
      </c>
      <c r="DI7" t="b" cm="1">
        <f t="array" ref="DI7">INDEX($B$1:$W$193,MATCH(DI$1,$B$1:$B$193,0),MATCH(1,($B$1:$W$1=$AB7)*($B$2:$W$2=$AC7),0))</f>
        <v>0</v>
      </c>
      <c r="DJ7" t="b" cm="1">
        <f t="array" ref="DJ7">INDEX($B$1:$W$193,MATCH(DJ$1,$B$1:$B$193,0),MATCH(1,($B$1:$W$1=$AB7)*($B$2:$W$2=$AC7),0))</f>
        <v>0</v>
      </c>
      <c r="DK7" t="b" cm="1">
        <f t="array" ref="DK7">INDEX($B$1:$W$193,MATCH(DK$1,$B$1:$B$193,0),MATCH(1,($B$1:$W$1=$AB7)*($B$2:$W$2=$AC7),0))</f>
        <v>0</v>
      </c>
      <c r="DL7" t="b" cm="1">
        <f t="array" ref="DL7">INDEX($B$1:$W$193,MATCH(DL$1,$B$1:$B$193,0),MATCH(1,($B$1:$W$1=$AB7)*($B$2:$W$2=$AC7),0))</f>
        <v>0</v>
      </c>
      <c r="DM7" t="b" cm="1">
        <f t="array" ref="DM7">INDEX($B$1:$W$193,MATCH(DM$1,$B$1:$B$193,0),MATCH(1,($B$1:$W$1=$AB7)*($B$2:$W$2=$AC7),0))</f>
        <v>0</v>
      </c>
      <c r="DN7" t="b" cm="1">
        <f t="array" ref="DN7">INDEX($B$1:$W$193,MATCH(DN$1,$B$1:$B$193,0),MATCH(1,($B$1:$W$1=$AB7)*($B$2:$W$2=$AC7),0))</f>
        <v>0</v>
      </c>
      <c r="DO7" t="b" cm="1">
        <f t="array" ref="DO7">INDEX($B$1:$W$193,MATCH(DO$1,$B$1:$B$193,0),MATCH(1,($B$1:$W$1=$AB7)*($B$2:$W$2=$AC7),0))</f>
        <v>0</v>
      </c>
      <c r="DP7" t="b" cm="1">
        <f t="array" ref="DP7">INDEX($B$1:$W$193,MATCH(DP$1,$B$1:$B$193,0),MATCH(1,($B$1:$W$1=$AB7)*($B$2:$W$2=$AC7),0))</f>
        <v>0</v>
      </c>
      <c r="DQ7" t="b" cm="1">
        <f t="array" ref="DQ7">INDEX($B$1:$W$193,MATCH(DQ$1,$B$1:$B$193,0),MATCH(1,($B$1:$W$1=$AB7)*($B$2:$W$2=$AC7),0))</f>
        <v>0</v>
      </c>
      <c r="DR7" t="b" cm="1">
        <f t="array" ref="DR7">INDEX($B$1:$W$193,MATCH(DR$1,$B$1:$B$193,0),MATCH(1,($B$1:$W$1=$AB7)*($B$2:$W$2=$AC7),0))</f>
        <v>0</v>
      </c>
      <c r="DS7" t="b" cm="1">
        <f t="array" ref="DS7">INDEX($B$1:$W$193,MATCH(DS$1,$B$1:$B$193,0),MATCH(1,($B$1:$W$1=$AB7)*($B$2:$W$2=$AC7),0))</f>
        <v>0</v>
      </c>
      <c r="DT7" t="b" cm="1">
        <f t="array" ref="DT7">INDEX($B$1:$W$193,MATCH(DT$1,$B$1:$B$193,0),MATCH(1,($B$1:$W$1=$AB7)*($B$2:$W$2=$AC7),0))</f>
        <v>0</v>
      </c>
      <c r="DU7" t="b" cm="1">
        <f t="array" ref="DU7">INDEX($B$1:$W$193,MATCH(DU$1,$B$1:$B$193,0),MATCH(1,($B$1:$W$1=$AB7)*($B$2:$W$2=$AC7),0))</f>
        <v>0</v>
      </c>
      <c r="DV7" t="b" cm="1">
        <f t="array" ref="DV7">INDEX($B$1:$W$193,MATCH(DV$1,$B$1:$B$193,0),MATCH(1,($B$1:$W$1=$AB7)*($B$2:$W$2=$AC7),0))</f>
        <v>0</v>
      </c>
      <c r="DW7" t="b" cm="1">
        <f t="array" ref="DW7">INDEX($B$1:$W$193,MATCH(DW$1,$B$1:$B$193,0),MATCH(1,($B$1:$W$1=$AB7)*($B$2:$W$2=$AC7),0))</f>
        <v>0</v>
      </c>
      <c r="DX7" t="b" cm="1">
        <f t="array" ref="DX7">INDEX($B$1:$W$193,MATCH(DX$1,$B$1:$B$193,0),MATCH(1,($B$1:$W$1=$AB7)*($B$2:$W$2=$AC7),0))</f>
        <v>0</v>
      </c>
      <c r="DY7" t="b" cm="1">
        <f t="array" ref="DY7">INDEX($B$1:$W$193,MATCH(DY$1,$B$1:$B$193,0),MATCH(1,($B$1:$W$1=$AB7)*($B$2:$W$2=$AC7),0))</f>
        <v>0</v>
      </c>
      <c r="DZ7" t="b" cm="1">
        <f t="array" ref="DZ7">INDEX($B$1:$W$193,MATCH(DZ$1,$B$1:$B$193,0),MATCH(1,($B$1:$W$1=$AB7)*($B$2:$W$2=$AC7),0))</f>
        <v>0</v>
      </c>
      <c r="EA7" t="b" cm="1">
        <f t="array" ref="EA7">INDEX($B$1:$W$193,MATCH(EA$1,$B$1:$B$193,0),MATCH(1,($B$1:$W$1=$AB7)*($B$2:$W$2=$AC7),0))</f>
        <v>0</v>
      </c>
      <c r="EB7" t="b" cm="1">
        <f t="array" ref="EB7">INDEX($B$1:$W$193,MATCH(EB$1,$B$1:$B$193,0),MATCH(1,($B$1:$W$1=$AB7)*($B$2:$W$2=$AC7),0))</f>
        <v>0</v>
      </c>
      <c r="EC7" t="b" cm="1">
        <f t="array" ref="EC7">INDEX($B$1:$W$193,MATCH(EC$1,$B$1:$B$193,0),MATCH(1,($B$1:$W$1=$AB7)*($B$2:$W$2=$AC7),0))</f>
        <v>0</v>
      </c>
      <c r="ED7" t="b" cm="1">
        <f t="array" ref="ED7">INDEX($B$1:$W$193,MATCH(ED$1,$B$1:$B$193,0),MATCH(1,($B$1:$W$1=$AB7)*($B$2:$W$2=$AC7),0))</f>
        <v>0</v>
      </c>
      <c r="EE7" t="b" cm="1">
        <f t="array" ref="EE7">INDEX($B$1:$W$193,MATCH(EE$1,$B$1:$B$193,0),MATCH(1,($B$1:$W$1=$AB7)*($B$2:$W$2=$AC7),0))</f>
        <v>0</v>
      </c>
      <c r="EF7" t="b" cm="1">
        <f t="array" ref="EF7">INDEX($B$1:$W$193,MATCH(EF$1,$B$1:$B$193,0),MATCH(1,($B$1:$W$1=$AB7)*($B$2:$W$2=$AC7),0))</f>
        <v>0</v>
      </c>
      <c r="EG7" t="b" cm="1">
        <f t="array" ref="EG7">INDEX($B$1:$W$193,MATCH(EG$1,$B$1:$B$193,0),MATCH(1,($B$1:$W$1=$AB7)*($B$2:$W$2=$AC7),0))</f>
        <v>0</v>
      </c>
      <c r="EH7" t="b" cm="1">
        <f t="array" ref="EH7">INDEX($B$1:$W$193,MATCH(EH$1,$B$1:$B$193,0),MATCH(1,($B$1:$W$1=$AB7)*($B$2:$W$2=$AC7),0))</f>
        <v>0</v>
      </c>
      <c r="EI7" t="b" cm="1">
        <f t="array" ref="EI7">INDEX($B$1:$W$193,MATCH(EI$1,$B$1:$B$193,0),MATCH(1,($B$1:$W$1=$AB7)*($B$2:$W$2=$AC7),0))</f>
        <v>0</v>
      </c>
      <c r="EJ7" t="b" cm="1">
        <f t="array" ref="EJ7">INDEX($B$1:$W$193,MATCH(EJ$1,$B$1:$B$193,0),MATCH(1,($B$1:$W$1=$AB7)*($B$2:$W$2=$AC7),0))</f>
        <v>0</v>
      </c>
      <c r="EK7" t="b" cm="1">
        <f t="array" ref="EK7">INDEX($B$1:$W$193,MATCH(EK$1,$B$1:$B$193,0),MATCH(1,($B$1:$W$1=$AB7)*($B$2:$W$2=$AC7),0))</f>
        <v>0</v>
      </c>
      <c r="EL7" t="b" cm="1">
        <f t="array" ref="EL7">INDEX($B$1:$W$193,MATCH(EL$1,$B$1:$B$193,0),MATCH(1,($B$1:$W$1=$AB7)*($B$2:$W$2=$AC7),0))</f>
        <v>0</v>
      </c>
      <c r="EM7" t="b" cm="1">
        <f t="array" ref="EM7">INDEX($B$1:$W$193,MATCH(EM$1,$B$1:$B$193,0),MATCH(1,($B$1:$W$1=$AB7)*($B$2:$W$2=$AC7),0))</f>
        <v>0</v>
      </c>
      <c r="EN7" t="b" cm="1">
        <f t="array" ref="EN7">INDEX($B$1:$W$193,MATCH(EN$1,$B$1:$B$193,0),MATCH(1,($B$1:$W$1=$AB7)*($B$2:$W$2=$AC7),0))</f>
        <v>0</v>
      </c>
      <c r="EO7" t="b" cm="1">
        <f t="array" ref="EO7">INDEX($B$1:$W$193,MATCH(EO$1,$B$1:$B$193,0),MATCH(1,($B$1:$W$1=$AB7)*($B$2:$W$2=$AC7),0))</f>
        <v>0</v>
      </c>
      <c r="EP7" t="b" cm="1">
        <f t="array" ref="EP7">INDEX($B$1:$W$193,MATCH(EP$1,$B$1:$B$193,0),MATCH(1,($B$1:$W$1=$AB7)*($B$2:$W$2=$AC7),0))</f>
        <v>0</v>
      </c>
      <c r="EQ7" t="b" cm="1">
        <f t="array" ref="EQ7">INDEX($B$1:$W$193,MATCH(EQ$1,$B$1:$B$193,0),MATCH(1,($B$1:$W$1=$AB7)*($B$2:$W$2=$AC7),0))</f>
        <v>1</v>
      </c>
      <c r="ER7" t="b" cm="1">
        <f t="array" ref="ER7">INDEX($B$1:$W$193,MATCH(ER$1,$B$1:$B$193,0),MATCH(1,($B$1:$W$1=$AB7)*($B$2:$W$2=$AC7),0))</f>
        <v>0</v>
      </c>
      <c r="ES7" t="b" cm="1">
        <f t="array" ref="ES7">INDEX($B$1:$W$193,MATCH(ES$1,$B$1:$B$193,0),MATCH(1,($B$1:$W$1=$AB7)*($B$2:$W$2=$AC7),0))</f>
        <v>0</v>
      </c>
      <c r="ET7" t="b" cm="1">
        <f t="array" ref="ET7">INDEX($B$1:$W$193,MATCH(ET$1,$B$1:$B$193,0),MATCH(1,($B$1:$W$1=$AB7)*($B$2:$W$2=$AC7),0))</f>
        <v>0</v>
      </c>
      <c r="EU7" t="b" cm="1">
        <f t="array" ref="EU7">INDEX($B$1:$W$193,MATCH(EU$1,$B$1:$B$193,0),MATCH(1,($B$1:$W$1=$AB7)*($B$2:$W$2=$AC7),0))</f>
        <v>0</v>
      </c>
      <c r="EV7" t="b" cm="1">
        <f t="array" ref="EV7">INDEX($B$1:$W$193,MATCH(EV$1,$B$1:$B$193,0),MATCH(1,($B$1:$W$1=$AB7)*($B$2:$W$2=$AC7),0))</f>
        <v>0</v>
      </c>
      <c r="EW7" t="b" cm="1">
        <f t="array" ref="EW7">INDEX($B$1:$W$193,MATCH(EW$1,$B$1:$B$193,0),MATCH(1,($B$1:$W$1=$AB7)*($B$2:$W$2=$AC7),0))</f>
        <v>0</v>
      </c>
      <c r="EX7" t="b" cm="1">
        <f t="array" ref="EX7">INDEX($B$1:$W$193,MATCH(EX$1,$B$1:$B$193,0),MATCH(1,($B$1:$W$1=$AB7)*($B$2:$W$2=$AC7),0))</f>
        <v>0</v>
      </c>
      <c r="EY7" t="b" cm="1">
        <f t="array" ref="EY7">INDEX($B$1:$W$193,MATCH(EY$1,$B$1:$B$193,0),MATCH(1,($B$1:$W$1=$AB7)*($B$2:$W$2=$AC7),0))</f>
        <v>0</v>
      </c>
      <c r="EZ7" t="b" cm="1">
        <f t="array" ref="EZ7">INDEX($B$1:$W$193,MATCH(EZ$1,$B$1:$B$193,0),MATCH(1,($B$1:$W$1=$AB7)*($B$2:$W$2=$AC7),0))</f>
        <v>0</v>
      </c>
      <c r="FA7" t="b" cm="1">
        <f t="array" ref="FA7">INDEX($B$1:$W$193,MATCH(FA$1,$B$1:$B$193,0),MATCH(1,($B$1:$W$1=$AB7)*($B$2:$W$2=$AC7),0))</f>
        <v>0</v>
      </c>
      <c r="FB7" t="b" cm="1">
        <f t="array" ref="FB7">INDEX($B$1:$W$193,MATCH(FB$1,$B$1:$B$193,0),MATCH(1,($B$1:$W$1=$AB7)*($B$2:$W$2=$AC7),0))</f>
        <v>0</v>
      </c>
      <c r="FC7" t="b" cm="1">
        <f t="array" ref="FC7">INDEX($B$1:$W$193,MATCH(FC$1,$B$1:$B$193,0),MATCH(1,($B$1:$W$1=$AB7)*($B$2:$W$2=$AC7),0))</f>
        <v>0</v>
      </c>
      <c r="FD7" t="b" cm="1">
        <f t="array" ref="FD7">INDEX($B$1:$W$193,MATCH(FD$1,$B$1:$B$193,0),MATCH(1,($B$1:$W$1=$AB7)*($B$2:$W$2=$AC7),0))</f>
        <v>0</v>
      </c>
      <c r="FE7" t="b" cm="1">
        <f t="array" ref="FE7">INDEX($B$1:$W$193,MATCH(FE$1,$B$1:$B$193,0),MATCH(1,($B$1:$W$1=$AB7)*($B$2:$W$2=$AC7),0))</f>
        <v>0</v>
      </c>
      <c r="FF7" t="b" cm="1">
        <f t="array" ref="FF7">INDEX($B$1:$W$193,MATCH(FF$1,$B$1:$B$193,0),MATCH(1,($B$1:$W$1=$AB7)*($B$2:$W$2=$AC7),0))</f>
        <v>0</v>
      </c>
      <c r="FG7" t="b" cm="1">
        <f t="array" ref="FG7">INDEX($B$1:$W$193,MATCH(FG$1,$B$1:$B$193,0),MATCH(1,($B$1:$W$1=$AB7)*($B$2:$W$2=$AC7),0))</f>
        <v>0</v>
      </c>
      <c r="FH7" t="b" cm="1">
        <f t="array" ref="FH7">INDEX($B$1:$W$193,MATCH(FH$1,$B$1:$B$193,0),MATCH(1,($B$1:$W$1=$AB7)*($B$2:$W$2=$AC7),0))</f>
        <v>0</v>
      </c>
      <c r="FI7" t="b" cm="1">
        <f t="array" ref="FI7">INDEX($B$1:$W$193,MATCH(FI$1,$B$1:$B$193,0),MATCH(1,($B$1:$W$1=$AB7)*($B$2:$W$2=$AC7),0))</f>
        <v>0</v>
      </c>
      <c r="FJ7" t="b" cm="1">
        <f t="array" ref="FJ7">INDEX($B$1:$W$193,MATCH(FJ$1,$B$1:$B$193,0),MATCH(1,($B$1:$W$1=$AB7)*($B$2:$W$2=$AC7),0))</f>
        <v>0</v>
      </c>
      <c r="FK7" t="b" cm="1">
        <f t="array" ref="FK7">INDEX($B$1:$W$193,MATCH(FK$1,$B$1:$B$193,0),MATCH(1,($B$1:$W$1=$AB7)*($B$2:$W$2=$AC7),0))</f>
        <v>0</v>
      </c>
      <c r="FL7" t="b" cm="1">
        <f t="array" ref="FL7">INDEX($B$1:$W$193,MATCH(FL$1,$B$1:$B$193,0),MATCH(1,($B$1:$W$1=$AB7)*($B$2:$W$2=$AC7),0))</f>
        <v>0</v>
      </c>
      <c r="FM7" t="b" cm="1">
        <f t="array" ref="FM7">INDEX($B$1:$W$193,MATCH(FM$1,$B$1:$B$193,0),MATCH(1,($B$1:$W$1=$AB7)*($B$2:$W$2=$AC7),0))</f>
        <v>0</v>
      </c>
      <c r="FN7" t="b" cm="1">
        <f t="array" ref="FN7">INDEX($B$1:$W$193,MATCH(FN$1,$B$1:$B$193,0),MATCH(1,($B$1:$W$1=$AB7)*($B$2:$W$2=$AC7),0))</f>
        <v>0</v>
      </c>
      <c r="FO7" t="b" cm="1">
        <f t="array" ref="FO7">INDEX($B$1:$W$193,MATCH(FO$1,$B$1:$B$193,0),MATCH(1,($B$1:$W$1=$AB7)*($B$2:$W$2=$AC7),0))</f>
        <v>0</v>
      </c>
      <c r="FP7" t="b" cm="1">
        <f t="array" ref="FP7">INDEX($B$1:$W$193,MATCH(FP$1,$B$1:$B$193,0),MATCH(1,($B$1:$W$1=$AB7)*($B$2:$W$2=$AC7),0))</f>
        <v>0</v>
      </c>
      <c r="FQ7" t="b" cm="1">
        <f t="array" ref="FQ7">INDEX($B$1:$W$193,MATCH(FQ$1,$B$1:$B$193,0),MATCH(1,($B$1:$W$1=$AB7)*($B$2:$W$2=$AC7),0))</f>
        <v>0</v>
      </c>
      <c r="FR7" t="b" cm="1">
        <f t="array" ref="FR7">INDEX($B$1:$W$193,MATCH(FR$1,$B$1:$B$193,0),MATCH(1,($B$1:$W$1=$AB7)*($B$2:$W$2=$AC7),0))</f>
        <v>0</v>
      </c>
      <c r="FS7" t="b" cm="1">
        <f t="array" ref="FS7">INDEX($B$1:$W$193,MATCH(FS$1,$B$1:$B$193,0),MATCH(1,($B$1:$W$1=$AB7)*($B$2:$W$2=$AC7),0))</f>
        <v>0</v>
      </c>
      <c r="FT7" t="b" cm="1">
        <f t="array" ref="FT7">INDEX($B$1:$W$193,MATCH(FT$1,$B$1:$B$193,0),MATCH(1,($B$1:$W$1=$AB7)*($B$2:$W$2=$AC7),0))</f>
        <v>0</v>
      </c>
      <c r="FU7" t="b" cm="1">
        <f t="array" ref="FU7">INDEX($B$1:$W$193,MATCH(FU$1,$B$1:$B$193,0),MATCH(1,($B$1:$W$1=$AB7)*($B$2:$W$2=$AC7),0))</f>
        <v>0</v>
      </c>
      <c r="FV7" t="b" cm="1">
        <f t="array" ref="FV7">INDEX($B$1:$W$193,MATCH(FV$1,$B$1:$B$193,0),MATCH(1,($B$1:$W$1=$AB7)*($B$2:$W$2=$AC7),0))</f>
        <v>0</v>
      </c>
      <c r="FW7" t="b" cm="1">
        <f t="array" ref="FW7">INDEX($B$1:$W$193,MATCH(FW$1,$B$1:$B$193,0),MATCH(1,($B$1:$W$1=$AB7)*($B$2:$W$2=$AC7),0))</f>
        <v>0</v>
      </c>
      <c r="FX7" t="b" cm="1">
        <f t="array" ref="FX7">INDEX($B$1:$W$193,MATCH(FX$1,$B$1:$B$193,0),MATCH(1,($B$1:$W$1=$AB7)*($B$2:$W$2=$AC7),0))</f>
        <v>0</v>
      </c>
      <c r="FY7" t="b" cm="1">
        <f t="array" ref="FY7">INDEX($B$1:$W$193,MATCH(FY$1,$B$1:$B$193,0),MATCH(1,($B$1:$W$1=$AB7)*($B$2:$W$2=$AC7),0))</f>
        <v>0</v>
      </c>
      <c r="FZ7" t="b" cm="1">
        <f t="array" ref="FZ7">INDEX($B$1:$W$193,MATCH(FZ$1,$B$1:$B$193,0),MATCH(1,($B$1:$W$1=$AB7)*($B$2:$W$2=$AC7),0))</f>
        <v>0</v>
      </c>
      <c r="GA7" t="b" cm="1">
        <f t="array" ref="GA7">INDEX($B$1:$W$193,MATCH(GA$1,$B$1:$B$193,0),MATCH(1,($B$1:$W$1=$AB7)*($B$2:$W$2=$AC7),0))</f>
        <v>0</v>
      </c>
      <c r="GB7" t="b" cm="1">
        <f t="array" ref="GB7">INDEX($B$1:$W$193,MATCH(GB$1,$B$1:$B$193,0),MATCH(1,($B$1:$W$1=$AB7)*($B$2:$W$2=$AC7),0))</f>
        <v>0</v>
      </c>
      <c r="GC7" t="b" cm="1">
        <f t="array" ref="GC7">INDEX($B$1:$W$193,MATCH(GC$1,$B$1:$B$193,0),MATCH(1,($B$1:$W$1=$AB7)*($B$2:$W$2=$AC7),0))</f>
        <v>0</v>
      </c>
      <c r="GD7" t="b" cm="1">
        <f t="array" ref="GD7">INDEX($B$1:$W$193,MATCH(GD$1,$B$1:$B$193,0),MATCH(1,($B$1:$W$1=$AB7)*($B$2:$W$2=$AC7),0))</f>
        <v>0</v>
      </c>
      <c r="GE7" t="b" cm="1">
        <f t="array" ref="GE7">INDEX($B$1:$W$193,MATCH(GE$1,$B$1:$B$193,0),MATCH(1,($B$1:$W$1=$AB7)*($B$2:$W$2=$AC7),0))</f>
        <v>0</v>
      </c>
      <c r="GF7" t="b" cm="1">
        <f t="array" ref="GF7">INDEX($B$1:$W$193,MATCH(GF$1,$B$1:$B$193,0),MATCH(1,($B$1:$W$1=$AB7)*($B$2:$W$2=$AC7),0))</f>
        <v>0</v>
      </c>
      <c r="GG7" t="b" cm="1">
        <f t="array" ref="GG7">INDEX($B$1:$W$193,MATCH(GG$1,$B$1:$B$193,0),MATCH(1,($B$1:$W$1=$AB7)*($B$2:$W$2=$AC7),0))</f>
        <v>0</v>
      </c>
      <c r="GH7" t="b" cm="1">
        <f t="array" ref="GH7">INDEX($B$1:$W$193,MATCH(GH$1,$B$1:$B$193,0),MATCH(1,($B$1:$W$1=$AB7)*($B$2:$W$2=$AC7),0))</f>
        <v>0</v>
      </c>
      <c r="GI7" t="b" cm="1">
        <f t="array" ref="GI7">INDEX($B$1:$W$193,MATCH(GI$1,$B$1:$B$193,0),MATCH(1,($B$1:$W$1=$AB7)*($B$2:$W$2=$AC7),0))</f>
        <v>0</v>
      </c>
      <c r="GJ7" t="b" cm="1">
        <f t="array" ref="GJ7">INDEX($B$1:$W$193,MATCH(GJ$1,$B$1:$B$193,0),MATCH(1,($B$1:$W$1=$AB7)*($B$2:$W$2=$AC7),0))</f>
        <v>0</v>
      </c>
      <c r="GK7" t="b" cm="1">
        <f t="array" ref="GK7">INDEX($B$1:$W$193,MATCH(GK$1,$B$1:$B$193,0),MATCH(1,($B$1:$W$1=$AB7)*($B$2:$W$2=$AC7),0))</f>
        <v>0</v>
      </c>
      <c r="GL7" t="b" cm="1">
        <f t="array" ref="GL7">INDEX($B$1:$W$193,MATCH(GL$1,$B$1:$B$193,0),MATCH(1,($B$1:$W$1=$AB7)*($B$2:$W$2=$AC7),0))</f>
        <v>0</v>
      </c>
      <c r="GM7" t="b" cm="1">
        <f t="array" ref="GM7">INDEX($B$1:$W$193,MATCH(GM$1,$B$1:$B$193,0),MATCH(1,($B$1:$W$1=$AB7)*($B$2:$W$2=$AC7),0))</f>
        <v>0</v>
      </c>
      <c r="GN7" t="b" cm="1">
        <f t="array" ref="GN7">INDEX($B$1:$W$193,MATCH(GN$1,$B$1:$B$193,0),MATCH(1,($B$1:$W$1=$AB7)*($B$2:$W$2=$AC7),0))</f>
        <v>0</v>
      </c>
      <c r="GO7" t="b" cm="1">
        <f t="array" ref="GO7">INDEX($B$1:$W$193,MATCH(GO$1,$B$1:$B$193,0),MATCH(1,($B$1:$W$1=$AB7)*($B$2:$W$2=$AC7),0))</f>
        <v>0</v>
      </c>
      <c r="GP7" t="b" cm="1">
        <f t="array" ref="GP7">INDEX($B$1:$W$193,MATCH(GP$1,$B$1:$B$193,0),MATCH(1,($B$1:$W$1=$AB7)*($B$2:$W$2=$AC7),0))</f>
        <v>0</v>
      </c>
      <c r="GQ7" t="b" cm="1">
        <f t="array" ref="GQ7">INDEX($B$1:$W$193,MATCH(GQ$1,$B$1:$B$193,0),MATCH(1,($B$1:$W$1=$AB7)*($B$2:$W$2=$AC7),0))</f>
        <v>0</v>
      </c>
      <c r="GR7" t="b" cm="1">
        <f t="array" ref="GR7">INDEX($B$1:$W$193,MATCH(GR$1,$B$1:$B$193,0),MATCH(1,($B$1:$W$1=$AB7)*($B$2:$W$2=$AC7),0))</f>
        <v>0</v>
      </c>
      <c r="GS7" t="b" cm="1">
        <f t="array" ref="GS7">INDEX($B$1:$W$193,MATCH(GS$1,$B$1:$B$193,0),MATCH(1,($B$1:$W$1=$AB7)*($B$2:$W$2=$AC7),0))</f>
        <v>0</v>
      </c>
      <c r="GT7" t="b" cm="1">
        <f t="array" ref="GT7">INDEX($B$1:$W$193,MATCH(GT$1,$B$1:$B$193,0),MATCH(1,($B$1:$W$1=$AB7)*($B$2:$W$2=$AC7),0))</f>
        <v>0</v>
      </c>
      <c r="GU7" t="b" cm="1">
        <f t="array" ref="GU7">INDEX($B$1:$W$193,MATCH(GU$1,$B$1:$B$193,0),MATCH(1,($B$1:$W$1=$AB7)*($B$2:$W$2=$AC7),0))</f>
        <v>0</v>
      </c>
      <c r="GV7" t="b" cm="1">
        <f t="array" ref="GV7">INDEX($B$1:$W$193,MATCH(GV$1,$B$1:$B$193,0),MATCH(1,($B$1:$W$1=$AB7)*($B$2:$W$2=$AC7),0))</f>
        <v>0</v>
      </c>
      <c r="GW7" t="b" cm="1">
        <f t="array" ref="GW7">INDEX($B$1:$W$193,MATCH(GW$1,$B$1:$B$193,0),MATCH(1,($B$1:$W$1=$AB7)*($B$2:$W$2=$AC7),0))</f>
        <v>0</v>
      </c>
      <c r="GX7" t="b" cm="1">
        <f t="array" ref="GX7">INDEX($B$1:$W$193,MATCH(GX$1,$B$1:$B$193,0),MATCH(1,($B$1:$W$1=$AB7)*($B$2:$W$2=$AC7),0))</f>
        <v>0</v>
      </c>
      <c r="GY7" t="b" cm="1">
        <f t="array" ref="GY7">INDEX($B$1:$W$193,MATCH(GY$1,$B$1:$B$193,0),MATCH(1,($B$1:$W$1=$AB7)*($B$2:$W$2=$AC7),0))</f>
        <v>0</v>
      </c>
      <c r="GZ7" t="b" cm="1">
        <f t="array" ref="GZ7">INDEX($B$1:$W$193,MATCH(GZ$1,$B$1:$B$193,0),MATCH(1,($B$1:$W$1=$AB7)*($B$2:$W$2=$AC7),0))</f>
        <v>0</v>
      </c>
      <c r="HA7" t="b" cm="1">
        <f t="array" ref="HA7">INDEX($B$1:$W$193,MATCH(HA$1,$B$1:$B$193,0),MATCH(1,($B$1:$W$1=$AB7)*($B$2:$W$2=$AC7),0))</f>
        <v>0</v>
      </c>
      <c r="HB7" t="b" cm="1">
        <f t="array" ref="HB7">INDEX($B$1:$W$193,MATCH(HB$1,$B$1:$B$193,0),MATCH(1,($B$1:$W$1=$AB7)*($B$2:$W$2=$AC7),0))</f>
        <v>0</v>
      </c>
      <c r="HC7" t="b" cm="1">
        <f t="array" ref="HC7">INDEX($B$1:$W$193,MATCH(HC$1,$B$1:$B$193,0),MATCH(1,($B$1:$W$1=$AB7)*($B$2:$W$2=$AC7),0))</f>
        <v>0</v>
      </c>
      <c r="HD7" t="b" cm="1">
        <f t="array" ref="HD7">INDEX($B$1:$W$193,MATCH(HD$1,$B$1:$B$193,0),MATCH(1,($B$1:$W$1=$AB7)*($B$2:$W$2=$AC7),0))</f>
        <v>0</v>
      </c>
      <c r="HE7" t="b" cm="1">
        <f t="array" ref="HE7">INDEX($B$1:$W$193,MATCH(HE$1,$B$1:$B$193,0),MATCH(1,($B$1:$W$1=$AB7)*($B$2:$W$2=$AC7),0))</f>
        <v>0</v>
      </c>
      <c r="HF7" t="b" cm="1">
        <f t="array" ref="HF7">INDEX($B$1:$W$193,MATCH(HF$1,$B$1:$B$193,0),MATCH(1,($B$1:$W$1=$AB7)*($B$2:$W$2=$AC7),0))</f>
        <v>0</v>
      </c>
      <c r="HG7" t="b" cm="1">
        <f t="array" ref="HG7">INDEX($B$1:$W$193,MATCH(HG$1,$B$1:$B$193,0),MATCH(1,($B$1:$W$1=$AB7)*($B$2:$W$2=$AC7),0))</f>
        <v>0</v>
      </c>
      <c r="HH7" t="b" cm="1">
        <f t="array" ref="HH7">INDEX($B$1:$W$193,MATCH(HH$1,$B$1:$B$193,0),MATCH(1,($B$1:$W$1=$AB7)*($B$2:$W$2=$AC7),0))</f>
        <v>0</v>
      </c>
      <c r="HI7" t="b" cm="1">
        <f t="array" ref="HI7">INDEX($B$1:$W$193,MATCH(HI$1,$B$1:$B$193,0),MATCH(1,($B$1:$W$1=$AB7)*($B$2:$W$2=$AC7),0))</f>
        <v>0</v>
      </c>
      <c r="HJ7" t="b" cm="1">
        <f t="array" ref="HJ7">INDEX($B$1:$W$193,MATCH(HJ$1,$B$1:$B$193,0),MATCH(1,($B$1:$W$1=$AB7)*($B$2:$W$2=$AC7),0))</f>
        <v>0</v>
      </c>
      <c r="HK7" t="b" cm="1">
        <f t="array" ref="HK7">INDEX($B$1:$W$193,MATCH(HK$1,$B$1:$B$193,0),MATCH(1,($B$1:$W$1=$AB7)*($B$2:$W$2=$AC7),0))</f>
        <v>0</v>
      </c>
      <c r="HL7" t="b" cm="1">
        <f t="array" ref="HL7">INDEX($B$1:$W$193,MATCH(HL$1,$B$1:$B$193,0),MATCH(1,($B$1:$W$1=$AB7)*($B$2:$W$2=$AC7),0))</f>
        <v>0</v>
      </c>
      <c r="HM7" t="b" cm="1">
        <f t="array" ref="HM7">INDEX($B$1:$W$193,MATCH(HM$1,$B$1:$B$193,0),MATCH(1,($B$1:$W$1=$AB7)*($B$2:$W$2=$AC7),0))</f>
        <v>0</v>
      </c>
      <c r="HN7" t="b" cm="1">
        <f t="array" ref="HN7">INDEX($B$1:$W$193,MATCH(HN$1,$B$1:$B$193,0),MATCH(1,($B$1:$W$1=$AB7)*($B$2:$W$2=$AC7),0))</f>
        <v>0</v>
      </c>
      <c r="HO7" t="b" cm="1">
        <f t="array" ref="HO7">INDEX($B$1:$W$193,MATCH(HO$1,$B$1:$B$193,0),MATCH(1,($B$1:$W$1=$AB7)*($B$2:$W$2=$AC7),0))</f>
        <v>0</v>
      </c>
      <c r="HP7" t="b" cm="1">
        <f t="array" ref="HP7">INDEX($B$1:$W$193,MATCH(HP$1,$B$1:$B$193,0),MATCH(1,($B$1:$W$1=$AB7)*($B$2:$W$2=$AC7),0))</f>
        <v>0</v>
      </c>
      <c r="HQ7" t="b" cm="1">
        <f t="array" ref="HQ7">INDEX($B$1:$W$193,MATCH(HQ$1,$B$1:$B$193,0),MATCH(1,($B$1:$W$1=$AB7)*($B$2:$W$2=$AC7),0))</f>
        <v>0</v>
      </c>
      <c r="HR7" t="b" cm="1">
        <f t="array" ref="HR7">INDEX($B$1:$W$193,MATCH(HR$1,$B$1:$B$193,0),MATCH(1,($B$1:$W$1=$AB7)*($B$2:$W$2=$AC7),0))</f>
        <v>0</v>
      </c>
      <c r="HS7" t="b" cm="1">
        <f t="array" ref="HS7">INDEX($B$1:$W$193,MATCH(HS$1,$B$1:$B$193,0),MATCH(1,($B$1:$W$1=$AB7)*($B$2:$W$2=$AC7),0))</f>
        <v>0</v>
      </c>
      <c r="HT7" t="b" cm="1">
        <f t="array" ref="HT7">INDEX($B$1:$W$193,MATCH(HT$1,$B$1:$B$193,0),MATCH(1,($B$1:$W$1=$AB7)*($B$2:$W$2=$AC7),0))</f>
        <v>0</v>
      </c>
      <c r="HU7" t="b" cm="1">
        <f t="array" ref="HU7">INDEX($B$1:$W$193,MATCH(HU$1,$B$1:$B$193,0),MATCH(1,($B$1:$W$1=$AB7)*($B$2:$W$2=$AC7),0))</f>
        <v>0</v>
      </c>
      <c r="HV7" t="b" cm="1">
        <f t="array" ref="HV7">INDEX($B$1:$W$193,MATCH(HV$1,$B$1:$B$193,0),MATCH(1,($B$1:$W$1=$AB7)*($B$2:$W$2=$AC7),0))</f>
        <v>0</v>
      </c>
      <c r="HW7" t="b" cm="1">
        <f t="array" ref="HW7">INDEX($B$1:$W$193,MATCH(HW$1,$B$1:$B$193,0),MATCH(1,($B$1:$W$1=$AB7)*($B$2:$W$2=$AC7),0))</f>
        <v>0</v>
      </c>
      <c r="HX7" t="b" cm="1">
        <f t="array" ref="HX7">INDEX($B$1:$W$193,MATCH(HX$1,$B$1:$B$193,0),MATCH(1,($B$1:$W$1=$AB7)*($B$2:$W$2=$AC7),0))</f>
        <v>0</v>
      </c>
      <c r="HY7" t="b" cm="1">
        <f t="array" ref="HY7">INDEX($B$1:$W$193,MATCH(HY$1,$B$1:$B$193,0),MATCH(1,($B$1:$W$1=$AB7)*($B$2:$W$2=$AC7),0))</f>
        <v>0</v>
      </c>
      <c r="HZ7" t="b" cm="1">
        <f t="array" ref="HZ7">INDEX($B$1:$W$193,MATCH(HZ$1,$B$1:$B$193,0),MATCH(1,($B$1:$W$1=$AB7)*($B$2:$W$2=$AC7),0))</f>
        <v>0</v>
      </c>
      <c r="IA7" t="b" cm="1">
        <f t="array" ref="IA7">INDEX($B$1:$W$193,MATCH(IA$1,$B$1:$B$193,0),MATCH(1,($B$1:$W$1=$AB7)*($B$2:$W$2=$AC7),0))</f>
        <v>0</v>
      </c>
      <c r="IB7" t="b" cm="1">
        <f t="array" ref="IB7">INDEX($B$1:$W$193,MATCH(IB$1,$B$1:$B$193,0),MATCH(1,($B$1:$W$1=$AB7)*($B$2:$W$2=$AC7),0))</f>
        <v>0</v>
      </c>
      <c r="IC7" t="b" cm="1">
        <f t="array" ref="IC7">INDEX($B$1:$W$193,MATCH(IC$1,$B$1:$B$193,0),MATCH(1,($B$1:$W$1=$AB7)*($B$2:$W$2=$AC7),0))</f>
        <v>0</v>
      </c>
      <c r="ID7" t="b" cm="1">
        <f t="array" ref="ID7">INDEX($B$1:$W$193,MATCH(ID$1,$B$1:$B$193,0),MATCH(1,($B$1:$W$1=$AB7)*($B$2:$W$2=$AC7),0))</f>
        <v>0</v>
      </c>
      <c r="IE7" t="b" cm="1">
        <f t="array" ref="IE7">INDEX($B$1:$W$193,MATCH(IE$1,$B$1:$B$193,0),MATCH(1,($B$1:$W$1=$AB7)*($B$2:$W$2=$AC7),0))</f>
        <v>0</v>
      </c>
      <c r="IF7" t="b" cm="1">
        <f t="array" ref="IF7">INDEX($B$1:$W$193,MATCH(IF$1,$B$1:$B$193,0),MATCH(1,($B$1:$W$1=$AB7)*($B$2:$W$2=$AC7),0))</f>
        <v>0</v>
      </c>
      <c r="IG7" t="b" cm="1">
        <f t="array" ref="IG7">INDEX($B$1:$W$193,MATCH(IG$1,$B$1:$B$193,0),MATCH(1,($B$1:$W$1=$AB7)*($B$2:$W$2=$AC7),0))</f>
        <v>0</v>
      </c>
      <c r="IH7" t="b" cm="1">
        <f t="array" ref="IH7">INDEX($B$1:$W$193,MATCH(IH$1,$B$1:$B$193,0),MATCH(1,($B$1:$W$1=$AB7)*($B$2:$W$2=$AC7),0))</f>
        <v>0</v>
      </c>
      <c r="II7" t="b" cm="1">
        <f t="array" ref="II7">INDEX($B$1:$W$193,MATCH(II$1,$B$1:$B$193,0),MATCH(1,($B$1:$W$1=$AB7)*($B$2:$W$2=$AC7),0))</f>
        <v>0</v>
      </c>
      <c r="IJ7" t="b" cm="1">
        <f t="array" ref="IJ7">INDEX($B$1:$W$193,MATCH(IJ$1,$B$1:$B$193,0),MATCH(1,($B$1:$W$1=$AB7)*($B$2:$W$2=$AC7),0))</f>
        <v>0</v>
      </c>
      <c r="IK7" t="b" cm="1">
        <f t="array" ref="IK7">INDEX($B$1:$W$193,MATCH(IK$1,$B$1:$B$193,0),MATCH(1,($B$1:$W$1=$AB7)*($B$2:$W$2=$AC7),0))</f>
        <v>0</v>
      </c>
      <c r="IL7" t="b" cm="1">
        <f t="array" ref="IL7">INDEX($B$1:$W$193,MATCH(IL$1,$B$1:$B$193,0),MATCH(1,($B$1:$W$1=$AB7)*($B$2:$W$2=$AC7),0))</f>
        <v>0</v>
      </c>
      <c r="IM7" t="b" cm="1">
        <f t="array" ref="IM7">INDEX($B$1:$W$193,MATCH(IM$1,$B$1:$B$193,0),MATCH(1,($B$1:$W$1=$AB7)*($B$2:$W$2=$AC7),0))</f>
        <v>0</v>
      </c>
      <c r="IN7" t="b" cm="1">
        <f t="array" ref="IN7">INDEX($B$1:$W$193,MATCH(IN$1,$B$1:$B$193,0),MATCH(1,($B$1:$W$1=$AB7)*($B$2:$W$2=$AC7),0))</f>
        <v>0</v>
      </c>
      <c r="IO7" t="b" cm="1">
        <f t="array" ref="IO7">INDEX($B$1:$W$193,MATCH(IO$1,$B$1:$B$193,0),MATCH(1,($B$1:$W$1=$AB7)*($B$2:$W$2=$AC7),0))</f>
        <v>0</v>
      </c>
      <c r="IP7" t="b" cm="1">
        <f t="array" ref="IP7">INDEX($B$1:$W$193,MATCH(IP$1,$B$1:$B$193,0),MATCH(1,($B$1:$W$1=$AB7)*($B$2:$W$2=$AC7),0))</f>
        <v>0</v>
      </c>
      <c r="IQ7" t="b" cm="1">
        <f t="array" ref="IQ7">INDEX($B$1:$W$193,MATCH(IQ$1,$B$1:$B$193,0),MATCH(1,($B$1:$W$1=$AB7)*($B$2:$W$2=$AC7),0))</f>
        <v>0</v>
      </c>
      <c r="IR7" t="b" cm="1">
        <f t="array" ref="IR7">INDEX($B$1:$W$193,MATCH(IR$1,$B$1:$B$193,0),MATCH(1,($B$1:$W$1=$AB7)*($B$2:$W$2=$AC7),0))</f>
        <v>0</v>
      </c>
      <c r="IS7" t="b" cm="1">
        <f t="array" ref="IS7">INDEX($B$1:$W$193,MATCH(IS$1,$B$1:$B$193,0),MATCH(1,($B$1:$W$1=$AB7)*($B$2:$W$2=$AC7),0))</f>
        <v>0</v>
      </c>
      <c r="IT7" t="b" cm="1">
        <f t="array" ref="IT7">INDEX($B$1:$W$193,MATCH(IT$1,$B$1:$B$193,0),MATCH(1,($B$1:$W$1=$AB7)*($B$2:$W$2=$AC7),0))</f>
        <v>0</v>
      </c>
      <c r="IU7" t="b" cm="1">
        <f t="array" ref="IU7">INDEX($B$1:$W$193,MATCH(IU$1,$B$1:$B$193,0),MATCH(1,($B$1:$W$1=$AB7)*($B$2:$W$2=$AC7),0))</f>
        <v>0</v>
      </c>
      <c r="IV7" t="b" cm="1">
        <f t="array" ref="IV7">INDEX($B$1:$W$193,MATCH(IV$1,$B$1:$B$193,0),MATCH(1,($B$1:$W$1=$AB7)*($B$2:$W$2=$AC7),0))</f>
        <v>0</v>
      </c>
      <c r="IW7" t="b" cm="1">
        <f t="array" ref="IW7">INDEX($B$1:$W$193,MATCH(IW$1,$B$1:$B$193,0),MATCH(1,($B$1:$W$1=$AB7)*($B$2:$W$2=$AC7),0))</f>
        <v>0</v>
      </c>
      <c r="IX7" t="b" cm="1">
        <f t="array" ref="IX7">INDEX($B$1:$W$193,MATCH(IX$1,$B$1:$B$193,0),MATCH(1,($B$1:$W$1=$AB7)*($B$2:$W$2=$AC7),0))</f>
        <v>0</v>
      </c>
      <c r="IY7" t="b" cm="1">
        <f t="array" ref="IY7">INDEX($B$1:$W$193,MATCH(IY$1,$B$1:$B$193,0),MATCH(1,($B$1:$W$1=$AB7)*($B$2:$W$2=$AC7),0))</f>
        <v>0</v>
      </c>
      <c r="IZ7" t="b" cm="1">
        <f t="array" ref="IZ7">INDEX($B$1:$W$193,MATCH(IZ$1,$B$1:$B$193,0),MATCH(1,($B$1:$W$1=$AB7)*($B$2:$W$2=$AC7),0))</f>
        <v>0</v>
      </c>
      <c r="JA7" t="b" cm="1">
        <f t="array" ref="JA7">INDEX($B$1:$W$193,MATCH(JA$1,$B$1:$B$193,0),MATCH(1,($B$1:$W$1=$AB7)*($B$2:$W$2=$AC7),0))</f>
        <v>0</v>
      </c>
      <c r="JB7" t="b" cm="1">
        <f t="array" ref="JB7">INDEX($B$1:$W$193,MATCH(JB$1,$B$1:$B$193,0),MATCH(1,($B$1:$W$1=$AB7)*($B$2:$W$2=$AC7),0))</f>
        <v>0</v>
      </c>
      <c r="JC7" t="b" cm="1">
        <f t="array" ref="JC7">INDEX($B$1:$W$193,MATCH(JC$1,$B$1:$B$193,0),MATCH(1,($B$1:$W$1=$AB7)*($B$2:$W$2=$AC7),0))</f>
        <v>0</v>
      </c>
      <c r="JD7" t="b" cm="1">
        <f t="array" ref="JD7">INDEX($B$1:$W$193,MATCH(JD$1,$B$1:$B$193,0),MATCH(1,($B$1:$W$1=$AB7)*($B$2:$W$2=$AC7),0))</f>
        <v>0</v>
      </c>
      <c r="JE7" t="b" cm="1">
        <f t="array" ref="JE7">INDEX($B$1:$W$193,MATCH(JE$1,$B$1:$B$193,0),MATCH(1,($B$1:$W$1=$AB7)*($B$2:$W$2=$AC7),0))</f>
        <v>0</v>
      </c>
      <c r="JF7" t="b" cm="1">
        <f t="array" ref="JF7">INDEX($B$1:$W$193,MATCH(JF$1,$B$1:$B$193,0),MATCH(1,($B$1:$W$1=$AB7)*($B$2:$W$2=$AC7),0))</f>
        <v>0</v>
      </c>
      <c r="JG7" t="b" cm="1">
        <f t="array" ref="JG7">INDEX($B$1:$W$193,MATCH(JG$1,$B$1:$B$193,0),MATCH(1,($B$1:$W$1=$AB7)*($B$2:$W$2=$AC7),0))</f>
        <v>0</v>
      </c>
      <c r="JH7" t="b" cm="1">
        <f t="array" ref="JH7">INDEX($B$1:$W$193,MATCH(JH$1,$B$1:$B$193,0),MATCH(1,($B$1:$W$1=$AB7)*($B$2:$W$2=$AC7),0))</f>
        <v>0</v>
      </c>
    </row>
    <row r="8" spans="1:268" x14ac:dyDescent="0.25">
      <c r="A8" t="s">
        <v>165</v>
      </c>
      <c r="B8" s="51" t="s">
        <v>170</v>
      </c>
      <c r="C8">
        <v>2</v>
      </c>
      <c r="D8">
        <v>3</v>
      </c>
      <c r="E8" t="b">
        <f t="shared" si="1"/>
        <v>1</v>
      </c>
      <c r="F8" t="b">
        <f t="shared" si="0"/>
        <v>1</v>
      </c>
      <c r="G8" t="b">
        <f t="shared" si="0"/>
        <v>1</v>
      </c>
      <c r="H8" t="b">
        <f t="shared" si="0"/>
        <v>0</v>
      </c>
      <c r="I8" t="b">
        <f t="shared" si="0"/>
        <v>0</v>
      </c>
      <c r="J8" t="b">
        <f t="shared" si="0"/>
        <v>0</v>
      </c>
      <c r="K8" t="b">
        <f t="shared" si="0"/>
        <v>1</v>
      </c>
      <c r="L8" t="b">
        <f t="shared" si="0"/>
        <v>1</v>
      </c>
      <c r="M8" t="b">
        <f t="shared" si="0"/>
        <v>1</v>
      </c>
      <c r="N8" t="b">
        <f t="shared" si="0"/>
        <v>0</v>
      </c>
      <c r="O8" t="b">
        <f t="shared" si="0"/>
        <v>0</v>
      </c>
      <c r="P8" t="b">
        <f t="shared" si="0"/>
        <v>0</v>
      </c>
      <c r="Q8" t="b">
        <v>1</v>
      </c>
      <c r="R8" t="b" cm="1">
        <f t="array" ref="R8">_xlfn.IFS(C8=1,FALSE,OR(C8=2,C8&gt;2),TRUE)</f>
        <v>1</v>
      </c>
      <c r="S8" t="b" cm="1">
        <f t="array" ref="S8">_xlfn.IFS(OR(C8=1,C8=2),FALSE,OR(C8=3,C8&gt;3),TRUE)</f>
        <v>0</v>
      </c>
      <c r="T8" t="str">
        <f t="shared" si="2"/>
        <v>TRUE</v>
      </c>
      <c r="U8" t="str">
        <f t="shared" si="3"/>
        <v>FALSE</v>
      </c>
      <c r="V8" t="str">
        <f t="shared" si="4"/>
        <v>FALSE</v>
      </c>
      <c r="W8" t="b" cm="1">
        <f t="array" ref="W8">_xlfn.IFS(H8=1,FALSE,OR(H8=2,H8&gt;2),TRUE)</f>
        <v>1</v>
      </c>
      <c r="X8" t="b" cm="1">
        <f t="array" ref="X8">_xlfn.IFS(H8=1,FALSE,OR(H8=2,H8&gt;2),TRUE)</f>
        <v>1</v>
      </c>
      <c r="Y8" t="b" cm="1">
        <f t="array" ref="Y8">_xlfn.IFS(H8=1,FALSE,OR(H8=2,H8&gt;2),TRUE)</f>
        <v>1</v>
      </c>
      <c r="AB8" t="s">
        <v>1</v>
      </c>
      <c r="AC8" t="s">
        <v>83</v>
      </c>
      <c r="AD8" t="b" cm="1">
        <f t="array" ref="AD8">INDEX($B$1:$W$193,MATCH(AD$1,$B$1:$B$193,0),MATCH(1,($B$1:$W$1=$AB8)*($B$2:$W$2=$AC8),0))</f>
        <v>1</v>
      </c>
      <c r="AE8" t="b" cm="1">
        <f t="array" ref="AE8">INDEX($B$1:$W$193,MATCH(AE$1,$B$1:$B$193,0),MATCH(1,($B$1:$W$1=$AB8)*($B$2:$W$2=$AC8),0))</f>
        <v>1</v>
      </c>
      <c r="AF8" t="b" cm="1">
        <f t="array" ref="AF8">INDEX($B$1:$W$193,MATCH(AF$1,$B$1:$B$193,0),MATCH(1,($B$1:$W$1=$AB8)*($B$2:$W$2=$AC8),0))</f>
        <v>1</v>
      </c>
      <c r="AG8" t="b" cm="1">
        <f t="array" ref="AG8">INDEX($B$1:$W$193,MATCH(AG$1,$B$1:$B$193,0),MATCH(1,($B$1:$W$1=$AB8)*($B$2:$W$2=$AC8),0))</f>
        <v>1</v>
      </c>
      <c r="AH8" t="b" cm="1">
        <f t="array" ref="AH8">INDEX($B$1:$W$193,MATCH(AH$1,$B$1:$B$193,0),MATCH(1,($B$1:$W$1=$AB8)*($B$2:$W$2=$AC8),0))</f>
        <v>1</v>
      </c>
      <c r="AI8" t="b" cm="1">
        <f t="array" ref="AI8">INDEX($B$1:$W$193,MATCH(AI$1,$B$1:$B$193,0),MATCH(1,($B$1:$W$1=$AB8)*($B$2:$W$2=$AC8),0))</f>
        <v>1</v>
      </c>
      <c r="AJ8" t="b" cm="1">
        <f t="array" ref="AJ8">INDEX($B$1:$W$193,MATCH(AJ$1,$B$1:$B$193,0),MATCH(1,($B$1:$W$1=$AB8)*($B$2:$W$2=$AC8),0))</f>
        <v>1</v>
      </c>
      <c r="AK8" t="b" cm="1">
        <f t="array" ref="AK8">INDEX($B$1:$W$193,MATCH(AK$1,$B$1:$B$193,0),MATCH(1,($B$1:$W$1=$AB8)*($B$2:$W$2=$AC8),0))</f>
        <v>1</v>
      </c>
      <c r="AL8" t="b" cm="1">
        <f t="array" ref="AL8">INDEX($B$1:$W$193,MATCH(AL$1,$B$1:$B$193,0),MATCH(1,($B$1:$W$1=$AB8)*($B$2:$W$2=$AC8),0))</f>
        <v>1</v>
      </c>
      <c r="AM8" t="b" cm="1">
        <f t="array" ref="AM8">INDEX($B$1:$W$193,MATCH(AM$1,$B$1:$B$193,0),MATCH(1,($B$1:$W$1=$AB8)*($B$2:$W$2=$AC8),0))</f>
        <v>1</v>
      </c>
      <c r="AN8" t="b" cm="1">
        <f t="array" ref="AN8">INDEX($B$1:$W$193,MATCH(AN$1,$B$1:$B$193,0),MATCH(1,($B$1:$W$1=$AB8)*($B$2:$W$2=$AC8),0))</f>
        <v>1</v>
      </c>
      <c r="AO8" t="b" cm="1">
        <f t="array" ref="AO8">INDEX($B$1:$W$193,MATCH(AO$1,$B$1:$B$193,0),MATCH(1,($B$1:$W$1=$AB8)*($B$2:$W$2=$AC8),0))</f>
        <v>1</v>
      </c>
      <c r="AP8" t="b" cm="1">
        <f t="array" ref="AP8">INDEX($B$1:$W$193,MATCH(AP$1,$B$1:$B$193,0),MATCH(1,($B$1:$W$1=$AB8)*($B$2:$W$2=$AC8),0))</f>
        <v>1</v>
      </c>
      <c r="AQ8" t="b" cm="1">
        <f t="array" ref="AQ8">INDEX($B$1:$W$193,MATCH(AQ$1,$B$1:$B$193,0),MATCH(1,($B$1:$W$1=$AB8)*($B$2:$W$2=$AC8),0))</f>
        <v>1</v>
      </c>
      <c r="AR8" t="b" cm="1">
        <f t="array" ref="AR8">INDEX($B$1:$W$193,MATCH(AR$1,$B$1:$B$193,0),MATCH(1,($B$1:$W$1=$AB8)*($B$2:$W$2=$AC8),0))</f>
        <v>1</v>
      </c>
      <c r="AS8" t="b" cm="1">
        <f t="array" ref="AS8">INDEX($B$1:$W$193,MATCH(AS$1,$B$1:$B$193,0),MATCH(1,($B$1:$W$1=$AB8)*($B$2:$W$2=$AC8),0))</f>
        <v>1</v>
      </c>
      <c r="AT8" t="b" cm="1">
        <f t="array" ref="AT8">INDEX($B$1:$W$193,MATCH(AT$1,$B$1:$B$193,0),MATCH(1,($B$1:$W$1=$AB8)*($B$2:$W$2=$AC8),0))</f>
        <v>1</v>
      </c>
      <c r="AU8" t="b" cm="1">
        <f t="array" ref="AU8">INDEX($B$1:$W$193,MATCH(AU$1,$B$1:$B$193,0),MATCH(1,($B$1:$W$1=$AB8)*($B$2:$W$2=$AC8),0))</f>
        <v>1</v>
      </c>
      <c r="AV8" t="b" cm="1">
        <f t="array" ref="AV8">INDEX($B$1:$W$193,MATCH(AV$1,$B$1:$B$193,0),MATCH(1,($B$1:$W$1=$AB8)*($B$2:$W$2=$AC8),0))</f>
        <v>1</v>
      </c>
      <c r="AW8" t="b" cm="1">
        <f t="array" ref="AW8">INDEX($B$1:$W$193,MATCH(AW$1,$B$1:$B$193,0),MATCH(1,($B$1:$W$1=$AB8)*($B$2:$W$2=$AC8),0))</f>
        <v>1</v>
      </c>
      <c r="AX8" t="b" cm="1">
        <f t="array" ref="AX8">INDEX($B$1:$W$193,MATCH(AX$1,$B$1:$B$193,0),MATCH(1,($B$1:$W$1=$AB8)*($B$2:$W$2=$AC8),0))</f>
        <v>1</v>
      </c>
      <c r="AY8" t="b" cm="1">
        <f t="array" ref="AY8">INDEX($B$1:$W$193,MATCH(AY$1,$B$1:$B$193,0),MATCH(1,($B$1:$W$1=$AB8)*($B$2:$W$2=$AC8),0))</f>
        <v>1</v>
      </c>
      <c r="AZ8" t="b" cm="1">
        <f t="array" ref="AZ8">INDEX($B$1:$W$193,MATCH(AZ$1,$B$1:$B$193,0),MATCH(1,($B$1:$W$1=$AB8)*($B$2:$W$2=$AC8),0))</f>
        <v>1</v>
      </c>
      <c r="BA8" t="b" cm="1">
        <f t="array" ref="BA8">INDEX($B$1:$W$193,MATCH(BA$1,$B$1:$B$193,0),MATCH(1,($B$1:$W$1=$AB8)*($B$2:$W$2=$AC8),0))</f>
        <v>1</v>
      </c>
      <c r="BB8" t="b" cm="1">
        <f t="array" ref="BB8">INDEX($B$1:$W$193,MATCH(BB$1,$B$1:$B$193,0),MATCH(1,($B$1:$W$1=$AB8)*($B$2:$W$2=$AC8),0))</f>
        <v>1</v>
      </c>
      <c r="BC8" t="b" cm="1">
        <f t="array" ref="BC8">INDEX($B$1:$W$193,MATCH(BC$1,$B$1:$B$193,0),MATCH(1,($B$1:$W$1=$AB8)*($B$2:$W$2=$AC8),0))</f>
        <v>1</v>
      </c>
      <c r="BD8" t="b" cm="1">
        <f t="array" ref="BD8">INDEX($B$1:$W$193,MATCH(BD$1,$B$1:$B$193,0),MATCH(1,($B$1:$W$1=$AB8)*($B$2:$W$2=$AC8),0))</f>
        <v>1</v>
      </c>
      <c r="BE8" t="b" cm="1">
        <f t="array" ref="BE8">INDEX($B$1:$W$193,MATCH(BE$1,$B$1:$B$193,0),MATCH(1,($B$1:$W$1=$AB8)*($B$2:$W$2=$AC8),0))</f>
        <v>1</v>
      </c>
      <c r="BF8" t="b" cm="1">
        <f t="array" ref="BF8">INDEX($B$1:$W$193,MATCH(BF$1,$B$1:$B$193,0),MATCH(1,($B$1:$W$1=$AB8)*($B$2:$W$2=$AC8),0))</f>
        <v>1</v>
      </c>
      <c r="BG8" t="b" cm="1">
        <f t="array" ref="BG8">INDEX($B$1:$W$193,MATCH(BG$1,$B$1:$B$193,0),MATCH(1,($B$1:$W$1=$AB8)*($B$2:$W$2=$AC8),0))</f>
        <v>1</v>
      </c>
      <c r="BH8" t="b" cm="1">
        <f t="array" ref="BH8">INDEX($B$1:$W$193,MATCH(BH$1,$B$1:$B$193,0),MATCH(1,($B$1:$W$1=$AB8)*($B$2:$W$2=$AC8),0))</f>
        <v>1</v>
      </c>
      <c r="BI8" t="b" cm="1">
        <f t="array" ref="BI8">INDEX($B$1:$W$193,MATCH(BI$1,$B$1:$B$193,0),MATCH(1,($B$1:$W$1=$AB8)*($B$2:$W$2=$AC8),0))</f>
        <v>1</v>
      </c>
      <c r="BJ8" t="b" cm="1">
        <f t="array" ref="BJ8">INDEX($B$1:$W$193,MATCH(BJ$1,$B$1:$B$193,0),MATCH(1,($B$1:$W$1=$AB8)*($B$2:$W$2=$AC8),0))</f>
        <v>1</v>
      </c>
      <c r="BK8" t="b" cm="1">
        <f t="array" ref="BK8">INDEX($B$1:$W$193,MATCH(BK$1,$B$1:$B$193,0),MATCH(1,($B$1:$W$1=$AB8)*($B$2:$W$2=$AC8),0))</f>
        <v>1</v>
      </c>
      <c r="BL8" t="b" cm="1">
        <f t="array" ref="BL8">INDEX($B$1:$W$193,MATCH(BL$1,$B$1:$B$193,0),MATCH(1,($B$1:$W$1=$AB8)*($B$2:$W$2=$AC8),0))</f>
        <v>1</v>
      </c>
      <c r="BM8" t="b" cm="1">
        <f t="array" ref="BM8">INDEX($B$1:$W$193,MATCH(BM$1,$B$1:$B$193,0),MATCH(1,($B$1:$W$1=$AB8)*($B$2:$W$2=$AC8),0))</f>
        <v>1</v>
      </c>
      <c r="BN8" t="b" cm="1">
        <f t="array" ref="BN8">INDEX($B$1:$W$193,MATCH(BN$1,$B$1:$B$193,0),MATCH(1,($B$1:$W$1=$AB8)*($B$2:$W$2=$AC8),0))</f>
        <v>1</v>
      </c>
      <c r="BO8" t="b" cm="1">
        <f t="array" ref="BO8">INDEX($B$1:$W$193,MATCH(BO$1,$B$1:$B$193,0),MATCH(1,($B$1:$W$1=$AB8)*($B$2:$W$2=$AC8),0))</f>
        <v>1</v>
      </c>
      <c r="BP8" t="b" cm="1">
        <f t="array" ref="BP8">INDEX($B$1:$W$193,MATCH(BP$1,$B$1:$B$193,0),MATCH(1,($B$1:$W$1=$AB8)*($B$2:$W$2=$AC8),0))</f>
        <v>1</v>
      </c>
      <c r="BQ8" t="b" cm="1">
        <f t="array" ref="BQ8">INDEX($B$1:$W$193,MATCH(BQ$1,$B$1:$B$193,0),MATCH(1,($B$1:$W$1=$AB8)*($B$2:$W$2=$AC8),0))</f>
        <v>1</v>
      </c>
      <c r="BR8" t="b" cm="1">
        <f t="array" ref="BR8">INDEX($B$1:$W$193,MATCH(BR$1,$B$1:$B$193,0),MATCH(1,($B$1:$W$1=$AB8)*($B$2:$W$2=$AC8),0))</f>
        <v>1</v>
      </c>
      <c r="BS8" t="b" cm="1">
        <f t="array" ref="BS8">INDEX($B$1:$W$193,MATCH(BS$1,$B$1:$B$193,0),MATCH(1,($B$1:$W$1=$AB8)*($B$2:$W$2=$AC8),0))</f>
        <v>1</v>
      </c>
      <c r="BT8" t="b" cm="1">
        <f t="array" ref="BT8">INDEX($B$1:$W$193,MATCH(BT$1,$B$1:$B$193,0),MATCH(1,($B$1:$W$1=$AB8)*($B$2:$W$2=$AC8),0))</f>
        <v>1</v>
      </c>
      <c r="BU8" t="b" cm="1">
        <f t="array" ref="BU8">INDEX($B$1:$W$193,MATCH(BU$1,$B$1:$B$193,0),MATCH(1,($B$1:$W$1=$AB8)*($B$2:$W$2=$AC8),0))</f>
        <v>1</v>
      </c>
      <c r="BV8" t="b" cm="1">
        <f t="array" ref="BV8">INDEX($B$1:$W$193,MATCH(BV$1,$B$1:$B$193,0),MATCH(1,($B$1:$W$1=$AB8)*($B$2:$W$2=$AC8),0))</f>
        <v>1</v>
      </c>
      <c r="BW8" t="b" cm="1">
        <f t="array" ref="BW8">INDEX($B$1:$W$193,MATCH(BW$1,$B$1:$B$193,0),MATCH(1,($B$1:$W$1=$AB8)*($B$2:$W$2=$AC8),0))</f>
        <v>1</v>
      </c>
      <c r="BX8" t="b" cm="1">
        <f t="array" ref="BX8">INDEX($B$1:$W$193,MATCH(BX$1,$B$1:$B$193,0),MATCH(1,($B$1:$W$1=$AB8)*($B$2:$W$2=$AC8),0))</f>
        <v>1</v>
      </c>
      <c r="BY8" t="b" cm="1">
        <f t="array" ref="BY8">INDEX($B$1:$W$193,MATCH(BY$1,$B$1:$B$193,0),MATCH(1,($B$1:$W$1=$AB8)*($B$2:$W$2=$AC8),0))</f>
        <v>1</v>
      </c>
      <c r="BZ8" t="b" cm="1">
        <f t="array" ref="BZ8">INDEX($B$1:$W$193,MATCH(BZ$1,$B$1:$B$193,0),MATCH(1,($B$1:$W$1=$AB8)*($B$2:$W$2=$AC8),0))</f>
        <v>1</v>
      </c>
      <c r="CA8" t="b" cm="1">
        <f t="array" ref="CA8">INDEX($B$1:$W$193,MATCH(CA$1,$B$1:$B$193,0),MATCH(1,($B$1:$W$1=$AB8)*($B$2:$W$2=$AC8),0))</f>
        <v>1</v>
      </c>
      <c r="CB8" t="b" cm="1">
        <f t="array" ref="CB8">INDEX($B$1:$W$193,MATCH(CB$1,$B$1:$B$193,0),MATCH(1,($B$1:$W$1=$AB8)*($B$2:$W$2=$AC8),0))</f>
        <v>1</v>
      </c>
      <c r="CC8" t="b" cm="1">
        <f t="array" ref="CC8">INDEX($B$1:$W$193,MATCH(CC$1,$B$1:$B$193,0),MATCH(1,($B$1:$W$1=$AB8)*($B$2:$W$2=$AC8),0))</f>
        <v>1</v>
      </c>
      <c r="CD8" t="b" cm="1">
        <f t="array" ref="CD8">INDEX($B$1:$W$193,MATCH(CD$1,$B$1:$B$193,0),MATCH(1,($B$1:$W$1=$AB8)*($B$2:$W$2=$AC8),0))</f>
        <v>1</v>
      </c>
      <c r="CE8" t="b" cm="1">
        <f t="array" ref="CE8">INDEX($B$1:$W$193,MATCH(CE$1,$B$1:$B$193,0),MATCH(1,($B$1:$W$1=$AB8)*($B$2:$W$2=$AC8),0))</f>
        <v>1</v>
      </c>
      <c r="CF8" t="b" cm="1">
        <f t="array" ref="CF8">INDEX($B$1:$W$193,MATCH(CF$1,$B$1:$B$193,0),MATCH(1,($B$1:$W$1=$AB8)*($B$2:$W$2=$AC8),0))</f>
        <v>1</v>
      </c>
      <c r="CG8" t="b" cm="1">
        <f t="array" ref="CG8">INDEX($B$1:$W$193,MATCH(CG$1,$B$1:$B$193,0),MATCH(1,($B$1:$W$1=$AB8)*($B$2:$W$2=$AC8),0))</f>
        <v>1</v>
      </c>
      <c r="CH8" t="b" cm="1">
        <f t="array" ref="CH8">INDEX($B$1:$W$193,MATCH(CH$1,$B$1:$B$193,0),MATCH(1,($B$1:$W$1=$AB8)*($B$2:$W$2=$AC8),0))</f>
        <v>1</v>
      </c>
      <c r="CI8" t="b" cm="1">
        <f t="array" ref="CI8">INDEX($B$1:$W$193,MATCH(CI$1,$B$1:$B$193,0),MATCH(1,($B$1:$W$1=$AB8)*($B$2:$W$2=$AC8),0))</f>
        <v>1</v>
      </c>
      <c r="CJ8" t="b" cm="1">
        <f t="array" ref="CJ8">INDEX($B$1:$W$193,MATCH(CJ$1,$B$1:$B$193,0),MATCH(1,($B$1:$W$1=$AB8)*($B$2:$W$2=$AC8),0))</f>
        <v>1</v>
      </c>
      <c r="CK8" t="b" cm="1">
        <f t="array" ref="CK8">INDEX($B$1:$W$193,MATCH(CK$1,$B$1:$B$193,0),MATCH(1,($B$1:$W$1=$AB8)*($B$2:$W$2=$AC8),0))</f>
        <v>1</v>
      </c>
      <c r="CL8" t="b" cm="1">
        <f t="array" ref="CL8">INDEX($B$1:$W$193,MATCH(CL$1,$B$1:$B$193,0),MATCH(1,($B$1:$W$1=$AB8)*($B$2:$W$2=$AC8),0))</f>
        <v>1</v>
      </c>
      <c r="CM8" t="b" cm="1">
        <f t="array" ref="CM8">INDEX($B$1:$W$193,MATCH(CM$1,$B$1:$B$193,0),MATCH(1,($B$1:$W$1=$AB8)*($B$2:$W$2=$AC8),0))</f>
        <v>1</v>
      </c>
      <c r="CN8" t="b" cm="1">
        <f t="array" ref="CN8">INDEX($B$1:$W$193,MATCH(CN$1,$B$1:$B$193,0),MATCH(1,($B$1:$W$1=$AB8)*($B$2:$W$2=$AC8),0))</f>
        <v>1</v>
      </c>
      <c r="CO8" t="b" cm="1">
        <f t="array" ref="CO8">INDEX($B$1:$W$193,MATCH(CO$1,$B$1:$B$193,0),MATCH(1,($B$1:$W$1=$AB8)*($B$2:$W$2=$AC8),0))</f>
        <v>1</v>
      </c>
      <c r="CP8" t="b" cm="1">
        <f t="array" ref="CP8">INDEX($B$1:$W$193,MATCH(CP$1,$B$1:$B$193,0),MATCH(1,($B$1:$W$1=$AB8)*($B$2:$W$2=$AC8),0))</f>
        <v>1</v>
      </c>
      <c r="CQ8" t="b" cm="1">
        <f t="array" ref="CQ8">INDEX($B$1:$W$193,MATCH(CQ$1,$B$1:$B$193,0),MATCH(1,($B$1:$W$1=$AB8)*($B$2:$W$2=$AC8),0))</f>
        <v>1</v>
      </c>
      <c r="CR8" t="b" cm="1">
        <f t="array" ref="CR8">INDEX($B$1:$W$193,MATCH(CR$1,$B$1:$B$193,0),MATCH(1,($B$1:$W$1=$AB8)*($B$2:$W$2=$AC8),0))</f>
        <v>1</v>
      </c>
      <c r="CS8" t="b" cm="1">
        <f t="array" ref="CS8">INDEX($B$1:$W$193,MATCH(CS$1,$B$1:$B$193,0),MATCH(1,($B$1:$W$1=$AB8)*($B$2:$W$2=$AC8),0))</f>
        <v>1</v>
      </c>
      <c r="CT8" t="b" cm="1">
        <f t="array" ref="CT8">INDEX($B$1:$W$193,MATCH(CT$1,$B$1:$B$193,0),MATCH(1,($B$1:$W$1=$AB8)*($B$2:$W$2=$AC8),0))</f>
        <v>1</v>
      </c>
      <c r="CU8" t="b" cm="1">
        <f t="array" ref="CU8">INDEX($B$1:$W$193,MATCH(CU$1,$B$1:$B$193,0),MATCH(1,($B$1:$W$1=$AB8)*($B$2:$W$2=$AC8),0))</f>
        <v>1</v>
      </c>
      <c r="CV8" t="b" cm="1">
        <f t="array" ref="CV8">INDEX($B$1:$W$193,MATCH(CV$1,$B$1:$B$193,0),MATCH(1,($B$1:$W$1=$AB8)*($B$2:$W$2=$AC8),0))</f>
        <v>1</v>
      </c>
      <c r="CW8" t="b" cm="1">
        <f t="array" ref="CW8">INDEX($B$1:$W$193,MATCH(CW$1,$B$1:$B$193,0),MATCH(1,($B$1:$W$1=$AB8)*($B$2:$W$2=$AC8),0))</f>
        <v>1</v>
      </c>
      <c r="CX8" t="b" cm="1">
        <f t="array" ref="CX8">INDEX($B$1:$W$193,MATCH(CX$1,$B$1:$B$193,0),MATCH(1,($B$1:$W$1=$AB8)*($B$2:$W$2=$AC8),0))</f>
        <v>1</v>
      </c>
      <c r="CY8" t="b" cm="1">
        <f t="array" ref="CY8">INDEX($B$1:$W$193,MATCH(CY$1,$B$1:$B$193,0),MATCH(1,($B$1:$W$1=$AB8)*($B$2:$W$2=$AC8),0))</f>
        <v>1</v>
      </c>
      <c r="CZ8" t="b" cm="1">
        <f t="array" ref="CZ8">INDEX($B$1:$W$193,MATCH(CZ$1,$B$1:$B$193,0),MATCH(1,($B$1:$W$1=$AB8)*($B$2:$W$2=$AC8),0))</f>
        <v>1</v>
      </c>
      <c r="DA8" t="b" cm="1">
        <f t="array" ref="DA8">INDEX($B$1:$W$193,MATCH(DA$1,$B$1:$B$193,0),MATCH(1,($B$1:$W$1=$AB8)*($B$2:$W$2=$AC8),0))</f>
        <v>1</v>
      </c>
      <c r="DB8" t="b" cm="1">
        <f t="array" ref="DB8">INDEX($B$1:$W$193,MATCH(DB$1,$B$1:$B$193,0),MATCH(1,($B$1:$W$1=$AB8)*($B$2:$W$2=$AC8),0))</f>
        <v>1</v>
      </c>
      <c r="DC8" t="b" cm="1">
        <f t="array" ref="DC8">INDEX($B$1:$W$193,MATCH(DC$1,$B$1:$B$193,0),MATCH(1,($B$1:$W$1=$AB8)*($B$2:$W$2=$AC8),0))</f>
        <v>1</v>
      </c>
      <c r="DD8" t="b" cm="1">
        <f t="array" ref="DD8">INDEX($B$1:$W$193,MATCH(DD$1,$B$1:$B$193,0),MATCH(1,($B$1:$W$1=$AB8)*($B$2:$W$2=$AC8),0))</f>
        <v>1</v>
      </c>
      <c r="DE8" t="b" cm="1">
        <f t="array" ref="DE8">INDEX($B$1:$W$193,MATCH(DE$1,$B$1:$B$193,0),MATCH(1,($B$1:$W$1=$AB8)*($B$2:$W$2=$AC8),0))</f>
        <v>1</v>
      </c>
      <c r="DF8" t="b" cm="1">
        <f t="array" ref="DF8">INDEX($B$1:$W$193,MATCH(DF$1,$B$1:$B$193,0),MATCH(1,($B$1:$W$1=$AB8)*($B$2:$W$2=$AC8),0))</f>
        <v>1</v>
      </c>
      <c r="DG8" t="b" cm="1">
        <f t="array" ref="DG8">INDEX($B$1:$W$193,MATCH(DG$1,$B$1:$B$193,0),MATCH(1,($B$1:$W$1=$AB8)*($B$2:$W$2=$AC8),0))</f>
        <v>1</v>
      </c>
      <c r="DH8" t="b" cm="1">
        <f t="array" ref="DH8">INDEX($B$1:$W$193,MATCH(DH$1,$B$1:$B$193,0),MATCH(1,($B$1:$W$1=$AB8)*($B$2:$W$2=$AC8),0))</f>
        <v>1</v>
      </c>
      <c r="DI8" t="b" cm="1">
        <f t="array" ref="DI8">INDEX($B$1:$W$193,MATCH(DI$1,$B$1:$B$193,0),MATCH(1,($B$1:$W$1=$AB8)*($B$2:$W$2=$AC8),0))</f>
        <v>1</v>
      </c>
      <c r="DJ8" t="b" cm="1">
        <f t="array" ref="DJ8">INDEX($B$1:$W$193,MATCH(DJ$1,$B$1:$B$193,0),MATCH(1,($B$1:$W$1=$AB8)*($B$2:$W$2=$AC8),0))</f>
        <v>1</v>
      </c>
      <c r="DK8" t="b" cm="1">
        <f t="array" ref="DK8">INDEX($B$1:$W$193,MATCH(DK$1,$B$1:$B$193,0),MATCH(1,($B$1:$W$1=$AB8)*($B$2:$W$2=$AC8),0))</f>
        <v>1</v>
      </c>
      <c r="DL8" t="b" cm="1">
        <f t="array" ref="DL8">INDEX($B$1:$W$193,MATCH(DL$1,$B$1:$B$193,0),MATCH(1,($B$1:$W$1=$AB8)*($B$2:$W$2=$AC8),0))</f>
        <v>1</v>
      </c>
      <c r="DM8" t="b" cm="1">
        <f t="array" ref="DM8">INDEX($B$1:$W$193,MATCH(DM$1,$B$1:$B$193,0),MATCH(1,($B$1:$W$1=$AB8)*($B$2:$W$2=$AC8),0))</f>
        <v>1</v>
      </c>
      <c r="DN8" t="b" cm="1">
        <f t="array" ref="DN8">INDEX($B$1:$W$193,MATCH(DN$1,$B$1:$B$193,0),MATCH(1,($B$1:$W$1=$AB8)*($B$2:$W$2=$AC8),0))</f>
        <v>1</v>
      </c>
      <c r="DO8" t="b" cm="1">
        <f t="array" ref="DO8">INDEX($B$1:$W$193,MATCH(DO$1,$B$1:$B$193,0),MATCH(1,($B$1:$W$1=$AB8)*($B$2:$W$2=$AC8),0))</f>
        <v>1</v>
      </c>
      <c r="DP8" t="b" cm="1">
        <f t="array" ref="DP8">INDEX($B$1:$W$193,MATCH(DP$1,$B$1:$B$193,0),MATCH(1,($B$1:$W$1=$AB8)*($B$2:$W$2=$AC8),0))</f>
        <v>1</v>
      </c>
      <c r="DQ8" t="b" cm="1">
        <f t="array" ref="DQ8">INDEX($B$1:$W$193,MATCH(DQ$1,$B$1:$B$193,0),MATCH(1,($B$1:$W$1=$AB8)*($B$2:$W$2=$AC8),0))</f>
        <v>1</v>
      </c>
      <c r="DR8" t="b" cm="1">
        <f t="array" ref="DR8">INDEX($B$1:$W$193,MATCH(DR$1,$B$1:$B$193,0),MATCH(1,($B$1:$W$1=$AB8)*($B$2:$W$2=$AC8),0))</f>
        <v>1</v>
      </c>
      <c r="DS8" t="b" cm="1">
        <f t="array" ref="DS8">INDEX($B$1:$W$193,MATCH(DS$1,$B$1:$B$193,0),MATCH(1,($B$1:$W$1=$AB8)*($B$2:$W$2=$AC8),0))</f>
        <v>1</v>
      </c>
      <c r="DT8" t="b" cm="1">
        <f t="array" ref="DT8">INDEX($B$1:$W$193,MATCH(DT$1,$B$1:$B$193,0),MATCH(1,($B$1:$W$1=$AB8)*($B$2:$W$2=$AC8),0))</f>
        <v>1</v>
      </c>
      <c r="DU8" t="b" cm="1">
        <f t="array" ref="DU8">INDEX($B$1:$W$193,MATCH(DU$1,$B$1:$B$193,0),MATCH(1,($B$1:$W$1=$AB8)*($B$2:$W$2=$AC8),0))</f>
        <v>1</v>
      </c>
      <c r="DV8" t="b" cm="1">
        <f t="array" ref="DV8">INDEX($B$1:$W$193,MATCH(DV$1,$B$1:$B$193,0),MATCH(1,($B$1:$W$1=$AB8)*($B$2:$W$2=$AC8),0))</f>
        <v>1</v>
      </c>
      <c r="DW8" t="b" cm="1">
        <f t="array" ref="DW8">INDEX($B$1:$W$193,MATCH(DW$1,$B$1:$B$193,0),MATCH(1,($B$1:$W$1=$AB8)*($B$2:$W$2=$AC8),0))</f>
        <v>1</v>
      </c>
      <c r="DX8" t="b" cm="1">
        <f t="array" ref="DX8">INDEX($B$1:$W$193,MATCH(DX$1,$B$1:$B$193,0),MATCH(1,($B$1:$W$1=$AB8)*($B$2:$W$2=$AC8),0))</f>
        <v>1</v>
      </c>
      <c r="DY8" t="b" cm="1">
        <f t="array" ref="DY8">INDEX($B$1:$W$193,MATCH(DY$1,$B$1:$B$193,0),MATCH(1,($B$1:$W$1=$AB8)*($B$2:$W$2=$AC8),0))</f>
        <v>1</v>
      </c>
      <c r="DZ8" t="b" cm="1">
        <f t="array" ref="DZ8">INDEX($B$1:$W$193,MATCH(DZ$1,$B$1:$B$193,0),MATCH(1,($B$1:$W$1=$AB8)*($B$2:$W$2=$AC8),0))</f>
        <v>1</v>
      </c>
      <c r="EA8" t="b" cm="1">
        <f t="array" ref="EA8">INDEX($B$1:$W$193,MATCH(EA$1,$B$1:$B$193,0),MATCH(1,($B$1:$W$1=$AB8)*($B$2:$W$2=$AC8),0))</f>
        <v>1</v>
      </c>
      <c r="EB8" t="b" cm="1">
        <f t="array" ref="EB8">INDEX($B$1:$W$193,MATCH(EB$1,$B$1:$B$193,0),MATCH(1,($B$1:$W$1=$AB8)*($B$2:$W$2=$AC8),0))</f>
        <v>1</v>
      </c>
      <c r="EC8" t="b" cm="1">
        <f t="array" ref="EC8">INDEX($B$1:$W$193,MATCH(EC$1,$B$1:$B$193,0),MATCH(1,($B$1:$W$1=$AB8)*($B$2:$W$2=$AC8),0))</f>
        <v>1</v>
      </c>
      <c r="ED8" t="b" cm="1">
        <f t="array" ref="ED8">INDEX($B$1:$W$193,MATCH(ED$1,$B$1:$B$193,0),MATCH(1,($B$1:$W$1=$AB8)*($B$2:$W$2=$AC8),0))</f>
        <v>1</v>
      </c>
      <c r="EE8" t="b" cm="1">
        <f t="array" ref="EE8">INDEX($B$1:$W$193,MATCH(EE$1,$B$1:$B$193,0),MATCH(1,($B$1:$W$1=$AB8)*($B$2:$W$2=$AC8),0))</f>
        <v>1</v>
      </c>
      <c r="EF8" t="b" cm="1">
        <f t="array" ref="EF8">INDEX($B$1:$W$193,MATCH(EF$1,$B$1:$B$193,0),MATCH(1,($B$1:$W$1=$AB8)*($B$2:$W$2=$AC8),0))</f>
        <v>1</v>
      </c>
      <c r="EG8" t="b" cm="1">
        <f t="array" ref="EG8">INDEX($B$1:$W$193,MATCH(EG$1,$B$1:$B$193,0),MATCH(1,($B$1:$W$1=$AB8)*($B$2:$W$2=$AC8),0))</f>
        <v>1</v>
      </c>
      <c r="EH8" t="b" cm="1">
        <f t="array" ref="EH8">INDEX($B$1:$W$193,MATCH(EH$1,$B$1:$B$193,0),MATCH(1,($B$1:$W$1=$AB8)*($B$2:$W$2=$AC8),0))</f>
        <v>1</v>
      </c>
      <c r="EI8" t="b" cm="1">
        <f t="array" ref="EI8">INDEX($B$1:$W$193,MATCH(EI$1,$B$1:$B$193,0),MATCH(1,($B$1:$W$1=$AB8)*($B$2:$W$2=$AC8),0))</f>
        <v>1</v>
      </c>
      <c r="EJ8" t="b" cm="1">
        <f t="array" ref="EJ8">INDEX($B$1:$W$193,MATCH(EJ$1,$B$1:$B$193,0),MATCH(1,($B$1:$W$1=$AB8)*($B$2:$W$2=$AC8),0))</f>
        <v>1</v>
      </c>
      <c r="EK8" t="b" cm="1">
        <f t="array" ref="EK8">INDEX($B$1:$W$193,MATCH(EK$1,$B$1:$B$193,0),MATCH(1,($B$1:$W$1=$AB8)*($B$2:$W$2=$AC8),0))</f>
        <v>1</v>
      </c>
      <c r="EL8" t="b" cm="1">
        <f t="array" ref="EL8">INDEX($B$1:$W$193,MATCH(EL$1,$B$1:$B$193,0),MATCH(1,($B$1:$W$1=$AB8)*($B$2:$W$2=$AC8),0))</f>
        <v>1</v>
      </c>
      <c r="EM8" t="b" cm="1">
        <f t="array" ref="EM8">INDEX($B$1:$W$193,MATCH(EM$1,$B$1:$B$193,0),MATCH(1,($B$1:$W$1=$AB8)*($B$2:$W$2=$AC8),0))</f>
        <v>1</v>
      </c>
      <c r="EN8" t="b" cm="1">
        <f t="array" ref="EN8">INDEX($B$1:$W$193,MATCH(EN$1,$B$1:$B$193,0),MATCH(1,($B$1:$W$1=$AB8)*($B$2:$W$2=$AC8),0))</f>
        <v>1</v>
      </c>
      <c r="EO8" t="b" cm="1">
        <f t="array" ref="EO8">INDEX($B$1:$W$193,MATCH(EO$1,$B$1:$B$193,0),MATCH(1,($B$1:$W$1=$AB8)*($B$2:$W$2=$AC8),0))</f>
        <v>1</v>
      </c>
      <c r="EP8" t="b" cm="1">
        <f t="array" ref="EP8">INDEX($B$1:$W$193,MATCH(EP$1,$B$1:$B$193,0),MATCH(1,($B$1:$W$1=$AB8)*($B$2:$W$2=$AC8),0))</f>
        <v>1</v>
      </c>
      <c r="EQ8" t="b" cm="1">
        <f t="array" ref="EQ8">INDEX($B$1:$W$193,MATCH(EQ$1,$B$1:$B$193,0),MATCH(1,($B$1:$W$1=$AB8)*($B$2:$W$2=$AC8),0))</f>
        <v>1</v>
      </c>
      <c r="ER8" t="b" cm="1">
        <f t="array" ref="ER8">INDEX($B$1:$W$193,MATCH(ER$1,$B$1:$B$193,0),MATCH(1,($B$1:$W$1=$AB8)*($B$2:$W$2=$AC8),0))</f>
        <v>1</v>
      </c>
      <c r="ES8" t="b" cm="1">
        <f t="array" ref="ES8">INDEX($B$1:$W$193,MATCH(ES$1,$B$1:$B$193,0),MATCH(1,($B$1:$W$1=$AB8)*($B$2:$W$2=$AC8),0))</f>
        <v>1</v>
      </c>
      <c r="ET8" t="b" cm="1">
        <f t="array" ref="ET8">INDEX($B$1:$W$193,MATCH(ET$1,$B$1:$B$193,0),MATCH(1,($B$1:$W$1=$AB8)*($B$2:$W$2=$AC8),0))</f>
        <v>1</v>
      </c>
      <c r="EU8" t="b" cm="1">
        <f t="array" ref="EU8">INDEX($B$1:$W$193,MATCH(EU$1,$B$1:$B$193,0),MATCH(1,($B$1:$W$1=$AB8)*($B$2:$W$2=$AC8),0))</f>
        <v>1</v>
      </c>
      <c r="EV8" t="b" cm="1">
        <f t="array" ref="EV8">INDEX($B$1:$W$193,MATCH(EV$1,$B$1:$B$193,0),MATCH(1,($B$1:$W$1=$AB8)*($B$2:$W$2=$AC8),0))</f>
        <v>1</v>
      </c>
      <c r="EW8" t="b" cm="1">
        <f t="array" ref="EW8">INDEX($B$1:$W$193,MATCH(EW$1,$B$1:$B$193,0),MATCH(1,($B$1:$W$1=$AB8)*($B$2:$W$2=$AC8),0))</f>
        <v>1</v>
      </c>
      <c r="EX8" t="b" cm="1">
        <f t="array" ref="EX8">INDEX($B$1:$W$193,MATCH(EX$1,$B$1:$B$193,0),MATCH(1,($B$1:$W$1=$AB8)*($B$2:$W$2=$AC8),0))</f>
        <v>1</v>
      </c>
      <c r="EY8" t="b" cm="1">
        <f t="array" ref="EY8">INDEX($B$1:$W$193,MATCH(EY$1,$B$1:$B$193,0),MATCH(1,($B$1:$W$1=$AB8)*($B$2:$W$2=$AC8),0))</f>
        <v>1</v>
      </c>
      <c r="EZ8" t="b" cm="1">
        <f t="array" ref="EZ8">INDEX($B$1:$W$193,MATCH(EZ$1,$B$1:$B$193,0),MATCH(1,($B$1:$W$1=$AB8)*($B$2:$W$2=$AC8),0))</f>
        <v>1</v>
      </c>
      <c r="FA8" t="b" cm="1">
        <f t="array" ref="FA8">INDEX($B$1:$W$193,MATCH(FA$1,$B$1:$B$193,0),MATCH(1,($B$1:$W$1=$AB8)*($B$2:$W$2=$AC8),0))</f>
        <v>1</v>
      </c>
      <c r="FB8" t="b" cm="1">
        <f t="array" ref="FB8">INDEX($B$1:$W$193,MATCH(FB$1,$B$1:$B$193,0),MATCH(1,($B$1:$W$1=$AB8)*($B$2:$W$2=$AC8),0))</f>
        <v>1</v>
      </c>
      <c r="FC8" t="b" cm="1">
        <f t="array" ref="FC8">INDEX($B$1:$W$193,MATCH(FC$1,$B$1:$B$193,0),MATCH(1,($B$1:$W$1=$AB8)*($B$2:$W$2=$AC8),0))</f>
        <v>1</v>
      </c>
      <c r="FD8" t="b" cm="1">
        <f t="array" ref="FD8">INDEX($B$1:$W$193,MATCH(FD$1,$B$1:$B$193,0),MATCH(1,($B$1:$W$1=$AB8)*($B$2:$W$2=$AC8),0))</f>
        <v>1</v>
      </c>
      <c r="FE8" t="b" cm="1">
        <f t="array" ref="FE8">INDEX($B$1:$W$193,MATCH(FE$1,$B$1:$B$193,0),MATCH(1,($B$1:$W$1=$AB8)*($B$2:$W$2=$AC8),0))</f>
        <v>1</v>
      </c>
      <c r="FF8" t="b" cm="1">
        <f t="array" ref="FF8">INDEX($B$1:$W$193,MATCH(FF$1,$B$1:$B$193,0),MATCH(1,($B$1:$W$1=$AB8)*($B$2:$W$2=$AC8),0))</f>
        <v>1</v>
      </c>
      <c r="FG8" t="b" cm="1">
        <f t="array" ref="FG8">INDEX($B$1:$W$193,MATCH(FG$1,$B$1:$B$193,0),MATCH(1,($B$1:$W$1=$AB8)*($B$2:$W$2=$AC8),0))</f>
        <v>1</v>
      </c>
      <c r="FH8" t="b" cm="1">
        <f t="array" ref="FH8">INDEX($B$1:$W$193,MATCH(FH$1,$B$1:$B$193,0),MATCH(1,($B$1:$W$1=$AB8)*($B$2:$W$2=$AC8),0))</f>
        <v>1</v>
      </c>
      <c r="FI8" t="b" cm="1">
        <f t="array" ref="FI8">INDEX($B$1:$W$193,MATCH(FI$1,$B$1:$B$193,0),MATCH(1,($B$1:$W$1=$AB8)*($B$2:$W$2=$AC8),0))</f>
        <v>1</v>
      </c>
      <c r="FJ8" t="b" cm="1">
        <f t="array" ref="FJ8">INDEX($B$1:$W$193,MATCH(FJ$1,$B$1:$B$193,0),MATCH(1,($B$1:$W$1=$AB8)*($B$2:$W$2=$AC8),0))</f>
        <v>1</v>
      </c>
      <c r="FK8" t="b" cm="1">
        <f t="array" ref="FK8">INDEX($B$1:$W$193,MATCH(FK$1,$B$1:$B$193,0),MATCH(1,($B$1:$W$1=$AB8)*($B$2:$W$2=$AC8),0))</f>
        <v>1</v>
      </c>
      <c r="FL8" t="b" cm="1">
        <f t="array" ref="FL8">INDEX($B$1:$W$193,MATCH(FL$1,$B$1:$B$193,0),MATCH(1,($B$1:$W$1=$AB8)*($B$2:$W$2=$AC8),0))</f>
        <v>1</v>
      </c>
      <c r="FM8" t="b" cm="1">
        <f t="array" ref="FM8">INDEX($B$1:$W$193,MATCH(FM$1,$B$1:$B$193,0),MATCH(1,($B$1:$W$1=$AB8)*($B$2:$W$2=$AC8),0))</f>
        <v>1</v>
      </c>
      <c r="FN8" t="b" cm="1">
        <f t="array" ref="FN8">INDEX($B$1:$W$193,MATCH(FN$1,$B$1:$B$193,0),MATCH(1,($B$1:$W$1=$AB8)*($B$2:$W$2=$AC8),0))</f>
        <v>1</v>
      </c>
      <c r="FO8" t="b" cm="1">
        <f t="array" ref="FO8">INDEX($B$1:$W$193,MATCH(FO$1,$B$1:$B$193,0),MATCH(1,($B$1:$W$1=$AB8)*($B$2:$W$2=$AC8),0))</f>
        <v>1</v>
      </c>
      <c r="FP8" t="b" cm="1">
        <f t="array" ref="FP8">INDEX($B$1:$W$193,MATCH(FP$1,$B$1:$B$193,0),MATCH(1,($B$1:$W$1=$AB8)*($B$2:$W$2=$AC8),0))</f>
        <v>1</v>
      </c>
      <c r="FQ8" t="b" cm="1">
        <f t="array" ref="FQ8">INDEX($B$1:$W$193,MATCH(FQ$1,$B$1:$B$193,0),MATCH(1,($B$1:$W$1=$AB8)*($B$2:$W$2=$AC8),0))</f>
        <v>1</v>
      </c>
      <c r="FR8" t="b" cm="1">
        <f t="array" ref="FR8">INDEX($B$1:$W$193,MATCH(FR$1,$B$1:$B$193,0),MATCH(1,($B$1:$W$1=$AB8)*($B$2:$W$2=$AC8),0))</f>
        <v>1</v>
      </c>
      <c r="FS8" t="b" cm="1">
        <f t="array" ref="FS8">INDEX($B$1:$W$193,MATCH(FS$1,$B$1:$B$193,0),MATCH(1,($B$1:$W$1=$AB8)*($B$2:$W$2=$AC8),0))</f>
        <v>1</v>
      </c>
      <c r="FT8" t="b" cm="1">
        <f t="array" ref="FT8">INDEX($B$1:$W$193,MATCH(FT$1,$B$1:$B$193,0),MATCH(1,($B$1:$W$1=$AB8)*($B$2:$W$2=$AC8),0))</f>
        <v>1</v>
      </c>
      <c r="FU8" t="b" cm="1">
        <f t="array" ref="FU8">INDEX($B$1:$W$193,MATCH(FU$1,$B$1:$B$193,0),MATCH(1,($B$1:$W$1=$AB8)*($B$2:$W$2=$AC8),0))</f>
        <v>1</v>
      </c>
      <c r="FV8" t="b" cm="1">
        <f t="array" ref="FV8">INDEX($B$1:$W$193,MATCH(FV$1,$B$1:$B$193,0),MATCH(1,($B$1:$W$1=$AB8)*($B$2:$W$2=$AC8),0))</f>
        <v>1</v>
      </c>
      <c r="FW8" t="b" cm="1">
        <f t="array" ref="FW8">INDEX($B$1:$W$193,MATCH(FW$1,$B$1:$B$193,0),MATCH(1,($B$1:$W$1=$AB8)*($B$2:$W$2=$AC8),0))</f>
        <v>1</v>
      </c>
      <c r="FX8" t="b" cm="1">
        <f t="array" ref="FX8">INDEX($B$1:$W$193,MATCH(FX$1,$B$1:$B$193,0),MATCH(1,($B$1:$W$1=$AB8)*($B$2:$W$2=$AC8),0))</f>
        <v>1</v>
      </c>
      <c r="FY8" t="b" cm="1">
        <f t="array" ref="FY8">INDEX($B$1:$W$193,MATCH(FY$1,$B$1:$B$193,0),MATCH(1,($B$1:$W$1=$AB8)*($B$2:$W$2=$AC8),0))</f>
        <v>1</v>
      </c>
      <c r="FZ8" t="b" cm="1">
        <f t="array" ref="FZ8">INDEX($B$1:$W$193,MATCH(FZ$1,$B$1:$B$193,0),MATCH(1,($B$1:$W$1=$AB8)*($B$2:$W$2=$AC8),0))</f>
        <v>1</v>
      </c>
      <c r="GA8" t="b" cm="1">
        <f t="array" ref="GA8">INDEX($B$1:$W$193,MATCH(GA$1,$B$1:$B$193,0),MATCH(1,($B$1:$W$1=$AB8)*($B$2:$W$2=$AC8),0))</f>
        <v>1</v>
      </c>
      <c r="GB8" t="b" cm="1">
        <f t="array" ref="GB8">INDEX($B$1:$W$193,MATCH(GB$1,$B$1:$B$193,0),MATCH(1,($B$1:$W$1=$AB8)*($B$2:$W$2=$AC8),0))</f>
        <v>1</v>
      </c>
      <c r="GC8" t="b" cm="1">
        <f t="array" ref="GC8">INDEX($B$1:$W$193,MATCH(GC$1,$B$1:$B$193,0),MATCH(1,($B$1:$W$1=$AB8)*($B$2:$W$2=$AC8),0))</f>
        <v>1</v>
      </c>
      <c r="GD8" t="b" cm="1">
        <f t="array" ref="GD8">INDEX($B$1:$W$193,MATCH(GD$1,$B$1:$B$193,0),MATCH(1,($B$1:$W$1=$AB8)*($B$2:$W$2=$AC8),0))</f>
        <v>1</v>
      </c>
      <c r="GE8" t="b" cm="1">
        <f t="array" ref="GE8">INDEX($B$1:$W$193,MATCH(GE$1,$B$1:$B$193,0),MATCH(1,($B$1:$W$1=$AB8)*($B$2:$W$2=$AC8),0))</f>
        <v>1</v>
      </c>
      <c r="GF8" t="b" cm="1">
        <f t="array" ref="GF8">INDEX($B$1:$W$193,MATCH(GF$1,$B$1:$B$193,0),MATCH(1,($B$1:$W$1=$AB8)*($B$2:$W$2=$AC8),0))</f>
        <v>1</v>
      </c>
      <c r="GG8" t="b" cm="1">
        <f t="array" ref="GG8">INDEX($B$1:$W$193,MATCH(GG$1,$B$1:$B$193,0),MATCH(1,($B$1:$W$1=$AB8)*($B$2:$W$2=$AC8),0))</f>
        <v>1</v>
      </c>
      <c r="GH8" t="b" cm="1">
        <f t="array" ref="GH8">INDEX($B$1:$W$193,MATCH(GH$1,$B$1:$B$193,0),MATCH(1,($B$1:$W$1=$AB8)*($B$2:$W$2=$AC8),0))</f>
        <v>1</v>
      </c>
      <c r="GI8" t="b" cm="1">
        <f t="array" ref="GI8">INDEX($B$1:$W$193,MATCH(GI$1,$B$1:$B$193,0),MATCH(1,($B$1:$W$1=$AB8)*($B$2:$W$2=$AC8),0))</f>
        <v>1</v>
      </c>
      <c r="GJ8" t="b" cm="1">
        <f t="array" ref="GJ8">INDEX($B$1:$W$193,MATCH(GJ$1,$B$1:$B$193,0),MATCH(1,($B$1:$W$1=$AB8)*($B$2:$W$2=$AC8),0))</f>
        <v>1</v>
      </c>
      <c r="GK8" t="b" cm="1">
        <f t="array" ref="GK8">INDEX($B$1:$W$193,MATCH(GK$1,$B$1:$B$193,0),MATCH(1,($B$1:$W$1=$AB8)*($B$2:$W$2=$AC8),0))</f>
        <v>1</v>
      </c>
      <c r="GL8" t="b" cm="1">
        <f t="array" ref="GL8">INDEX($B$1:$W$193,MATCH(GL$1,$B$1:$B$193,0),MATCH(1,($B$1:$W$1=$AB8)*($B$2:$W$2=$AC8),0))</f>
        <v>1</v>
      </c>
      <c r="GM8" t="b" cm="1">
        <f t="array" ref="GM8">INDEX($B$1:$W$193,MATCH(GM$1,$B$1:$B$193,0),MATCH(1,($B$1:$W$1=$AB8)*($B$2:$W$2=$AC8),0))</f>
        <v>1</v>
      </c>
      <c r="GN8" t="b" cm="1">
        <f t="array" ref="GN8">INDEX($B$1:$W$193,MATCH(GN$1,$B$1:$B$193,0),MATCH(1,($B$1:$W$1=$AB8)*($B$2:$W$2=$AC8),0))</f>
        <v>1</v>
      </c>
      <c r="GO8" t="b" cm="1">
        <f t="array" ref="GO8">INDEX($B$1:$W$193,MATCH(GO$1,$B$1:$B$193,0),MATCH(1,($B$1:$W$1=$AB8)*($B$2:$W$2=$AC8),0))</f>
        <v>1</v>
      </c>
      <c r="GP8" t="b" cm="1">
        <f t="array" ref="GP8">INDEX($B$1:$W$193,MATCH(GP$1,$B$1:$B$193,0),MATCH(1,($B$1:$W$1=$AB8)*($B$2:$W$2=$AC8),0))</f>
        <v>1</v>
      </c>
      <c r="GQ8" t="b" cm="1">
        <f t="array" ref="GQ8">INDEX($B$1:$W$193,MATCH(GQ$1,$B$1:$B$193,0),MATCH(1,($B$1:$W$1=$AB8)*($B$2:$W$2=$AC8),0))</f>
        <v>1</v>
      </c>
      <c r="GR8" t="b" cm="1">
        <f t="array" ref="GR8">INDEX($B$1:$W$193,MATCH(GR$1,$B$1:$B$193,0),MATCH(1,($B$1:$W$1=$AB8)*($B$2:$W$2=$AC8),0))</f>
        <v>1</v>
      </c>
      <c r="GS8" t="b" cm="1">
        <f t="array" ref="GS8">INDEX($B$1:$W$193,MATCH(GS$1,$B$1:$B$193,0),MATCH(1,($B$1:$W$1=$AB8)*($B$2:$W$2=$AC8),0))</f>
        <v>1</v>
      </c>
      <c r="GT8" t="b" cm="1">
        <f t="array" ref="GT8">INDEX($B$1:$W$193,MATCH(GT$1,$B$1:$B$193,0),MATCH(1,($B$1:$W$1=$AB8)*($B$2:$W$2=$AC8),0))</f>
        <v>1</v>
      </c>
      <c r="GU8" t="b" cm="1">
        <f t="array" ref="GU8">INDEX($B$1:$W$193,MATCH(GU$1,$B$1:$B$193,0),MATCH(1,($B$1:$W$1=$AB8)*($B$2:$W$2=$AC8),0))</f>
        <v>1</v>
      </c>
      <c r="GV8" t="b" cm="1">
        <f t="array" ref="GV8">INDEX($B$1:$W$193,MATCH(GV$1,$B$1:$B$193,0),MATCH(1,($B$1:$W$1=$AB8)*($B$2:$W$2=$AC8),0))</f>
        <v>1</v>
      </c>
      <c r="GW8" t="b" cm="1">
        <f t="array" ref="GW8">INDEX($B$1:$W$193,MATCH(GW$1,$B$1:$B$193,0),MATCH(1,($B$1:$W$1=$AB8)*($B$2:$W$2=$AC8),0))</f>
        <v>1</v>
      </c>
      <c r="GX8" t="b" cm="1">
        <f t="array" ref="GX8">INDEX($B$1:$W$193,MATCH(GX$1,$B$1:$B$193,0),MATCH(1,($B$1:$W$1=$AB8)*($B$2:$W$2=$AC8),0))</f>
        <v>1</v>
      </c>
      <c r="GY8" t="b" cm="1">
        <f t="array" ref="GY8">INDEX($B$1:$W$193,MATCH(GY$1,$B$1:$B$193,0),MATCH(1,($B$1:$W$1=$AB8)*($B$2:$W$2=$AC8),0))</f>
        <v>1</v>
      </c>
      <c r="GZ8" t="b" cm="1">
        <f t="array" ref="GZ8">INDEX($B$1:$W$193,MATCH(GZ$1,$B$1:$B$193,0),MATCH(1,($B$1:$W$1=$AB8)*($B$2:$W$2=$AC8),0))</f>
        <v>1</v>
      </c>
      <c r="HA8" t="b" cm="1">
        <f t="array" ref="HA8">INDEX($B$1:$W$193,MATCH(HA$1,$B$1:$B$193,0),MATCH(1,($B$1:$W$1=$AB8)*($B$2:$W$2=$AC8),0))</f>
        <v>1</v>
      </c>
      <c r="HB8" t="b" cm="1">
        <f t="array" ref="HB8">INDEX($B$1:$W$193,MATCH(HB$1,$B$1:$B$193,0),MATCH(1,($B$1:$W$1=$AB8)*($B$2:$W$2=$AC8),0))</f>
        <v>1</v>
      </c>
      <c r="HC8" t="b" cm="1">
        <f t="array" ref="HC8">INDEX($B$1:$W$193,MATCH(HC$1,$B$1:$B$193,0),MATCH(1,($B$1:$W$1=$AB8)*($B$2:$W$2=$AC8),0))</f>
        <v>1</v>
      </c>
      <c r="HD8" t="b" cm="1">
        <f t="array" ref="HD8">INDEX($B$1:$W$193,MATCH(HD$1,$B$1:$B$193,0),MATCH(1,($B$1:$W$1=$AB8)*($B$2:$W$2=$AC8),0))</f>
        <v>1</v>
      </c>
      <c r="HE8" t="b" cm="1">
        <f t="array" ref="HE8">INDEX($B$1:$W$193,MATCH(HE$1,$B$1:$B$193,0),MATCH(1,($B$1:$W$1=$AB8)*($B$2:$W$2=$AC8),0))</f>
        <v>1</v>
      </c>
      <c r="HF8" t="b" cm="1">
        <f t="array" ref="HF8">INDEX($B$1:$W$193,MATCH(HF$1,$B$1:$B$193,0),MATCH(1,($B$1:$W$1=$AB8)*($B$2:$W$2=$AC8),0))</f>
        <v>1</v>
      </c>
      <c r="HG8" t="b" cm="1">
        <f t="array" ref="HG8">INDEX($B$1:$W$193,MATCH(HG$1,$B$1:$B$193,0),MATCH(1,($B$1:$W$1=$AB8)*($B$2:$W$2=$AC8),0))</f>
        <v>1</v>
      </c>
      <c r="HH8" t="b" cm="1">
        <f t="array" ref="HH8">INDEX($B$1:$W$193,MATCH(HH$1,$B$1:$B$193,0),MATCH(1,($B$1:$W$1=$AB8)*($B$2:$W$2=$AC8),0))</f>
        <v>1</v>
      </c>
      <c r="HI8" t="b" cm="1">
        <f t="array" ref="HI8">INDEX($B$1:$W$193,MATCH(HI$1,$B$1:$B$193,0),MATCH(1,($B$1:$W$1=$AB8)*($B$2:$W$2=$AC8),0))</f>
        <v>1</v>
      </c>
      <c r="HJ8" t="b" cm="1">
        <f t="array" ref="HJ8">INDEX($B$1:$W$193,MATCH(HJ$1,$B$1:$B$193,0),MATCH(1,($B$1:$W$1=$AB8)*($B$2:$W$2=$AC8),0))</f>
        <v>1</v>
      </c>
      <c r="HK8" t="b" cm="1">
        <f t="array" ref="HK8">INDEX($B$1:$W$193,MATCH(HK$1,$B$1:$B$193,0),MATCH(1,($B$1:$W$1=$AB8)*($B$2:$W$2=$AC8),0))</f>
        <v>1</v>
      </c>
      <c r="HL8" t="b" cm="1">
        <f t="array" ref="HL8">INDEX($B$1:$W$193,MATCH(HL$1,$B$1:$B$193,0),MATCH(1,($B$1:$W$1=$AB8)*($B$2:$W$2=$AC8),0))</f>
        <v>1</v>
      </c>
      <c r="HM8" t="b" cm="1">
        <f t="array" ref="HM8">INDEX($B$1:$W$193,MATCH(HM$1,$B$1:$B$193,0),MATCH(1,($B$1:$W$1=$AB8)*($B$2:$W$2=$AC8),0))</f>
        <v>1</v>
      </c>
      <c r="HN8" t="b" cm="1">
        <f t="array" ref="HN8">INDEX($B$1:$W$193,MATCH(HN$1,$B$1:$B$193,0),MATCH(1,($B$1:$W$1=$AB8)*($B$2:$W$2=$AC8),0))</f>
        <v>1</v>
      </c>
      <c r="HO8" t="b" cm="1">
        <f t="array" ref="HO8">INDEX($B$1:$W$193,MATCH(HO$1,$B$1:$B$193,0),MATCH(1,($B$1:$W$1=$AB8)*($B$2:$W$2=$AC8),0))</f>
        <v>1</v>
      </c>
      <c r="HP8" t="b" cm="1">
        <f t="array" ref="HP8">INDEX($B$1:$W$193,MATCH(HP$1,$B$1:$B$193,0),MATCH(1,($B$1:$W$1=$AB8)*($B$2:$W$2=$AC8),0))</f>
        <v>1</v>
      </c>
      <c r="HQ8" t="b" cm="1">
        <f t="array" ref="HQ8">INDEX($B$1:$W$193,MATCH(HQ$1,$B$1:$B$193,0),MATCH(1,($B$1:$W$1=$AB8)*($B$2:$W$2=$AC8),0))</f>
        <v>1</v>
      </c>
      <c r="HR8" t="b" cm="1">
        <f t="array" ref="HR8">INDEX($B$1:$W$193,MATCH(HR$1,$B$1:$B$193,0),MATCH(1,($B$1:$W$1=$AB8)*($B$2:$W$2=$AC8),0))</f>
        <v>1</v>
      </c>
      <c r="HS8" t="b" cm="1">
        <f t="array" ref="HS8">INDEX($B$1:$W$193,MATCH(HS$1,$B$1:$B$193,0),MATCH(1,($B$1:$W$1=$AB8)*($B$2:$W$2=$AC8),0))</f>
        <v>1</v>
      </c>
      <c r="HT8" t="b" cm="1">
        <f t="array" ref="HT8">INDEX($B$1:$W$193,MATCH(HT$1,$B$1:$B$193,0),MATCH(1,($B$1:$W$1=$AB8)*($B$2:$W$2=$AC8),0))</f>
        <v>1</v>
      </c>
      <c r="HU8" t="b" cm="1">
        <f t="array" ref="HU8">INDEX($B$1:$W$193,MATCH(HU$1,$B$1:$B$193,0),MATCH(1,($B$1:$W$1=$AB8)*($B$2:$W$2=$AC8),0))</f>
        <v>1</v>
      </c>
      <c r="HV8" t="b" cm="1">
        <f t="array" ref="HV8">INDEX($B$1:$W$193,MATCH(HV$1,$B$1:$B$193,0),MATCH(1,($B$1:$W$1=$AB8)*($B$2:$W$2=$AC8),0))</f>
        <v>1</v>
      </c>
      <c r="HW8" t="b" cm="1">
        <f t="array" ref="HW8">INDEX($B$1:$W$193,MATCH(HW$1,$B$1:$B$193,0),MATCH(1,($B$1:$W$1=$AB8)*($B$2:$W$2=$AC8),0))</f>
        <v>1</v>
      </c>
      <c r="HX8" t="b" cm="1">
        <f t="array" ref="HX8">INDEX($B$1:$W$193,MATCH(HX$1,$B$1:$B$193,0),MATCH(1,($B$1:$W$1=$AB8)*($B$2:$W$2=$AC8),0))</f>
        <v>1</v>
      </c>
      <c r="HY8" t="b" cm="1">
        <f t="array" ref="HY8">INDEX($B$1:$W$193,MATCH(HY$1,$B$1:$B$193,0),MATCH(1,($B$1:$W$1=$AB8)*($B$2:$W$2=$AC8),0))</f>
        <v>1</v>
      </c>
      <c r="HZ8" t="b" cm="1">
        <f t="array" ref="HZ8">INDEX($B$1:$W$193,MATCH(HZ$1,$B$1:$B$193,0),MATCH(1,($B$1:$W$1=$AB8)*($B$2:$W$2=$AC8),0))</f>
        <v>1</v>
      </c>
      <c r="IA8" t="b" cm="1">
        <f t="array" ref="IA8">INDEX($B$1:$W$193,MATCH(IA$1,$B$1:$B$193,0),MATCH(1,($B$1:$W$1=$AB8)*($B$2:$W$2=$AC8),0))</f>
        <v>1</v>
      </c>
      <c r="IB8" t="b" cm="1">
        <f t="array" ref="IB8">INDEX($B$1:$W$193,MATCH(IB$1,$B$1:$B$193,0),MATCH(1,($B$1:$W$1=$AB8)*($B$2:$W$2=$AC8),0))</f>
        <v>1</v>
      </c>
      <c r="IC8" t="b" cm="1">
        <f t="array" ref="IC8">INDEX($B$1:$W$193,MATCH(IC$1,$B$1:$B$193,0),MATCH(1,($B$1:$W$1=$AB8)*($B$2:$W$2=$AC8),0))</f>
        <v>1</v>
      </c>
      <c r="ID8" t="b" cm="1">
        <f t="array" ref="ID8">INDEX($B$1:$W$193,MATCH(ID$1,$B$1:$B$193,0),MATCH(1,($B$1:$W$1=$AB8)*($B$2:$W$2=$AC8),0))</f>
        <v>1</v>
      </c>
      <c r="IE8" t="b" cm="1">
        <f t="array" ref="IE8">INDEX($B$1:$W$193,MATCH(IE$1,$B$1:$B$193,0),MATCH(1,($B$1:$W$1=$AB8)*($B$2:$W$2=$AC8),0))</f>
        <v>1</v>
      </c>
      <c r="IF8" t="b" cm="1">
        <f t="array" ref="IF8">INDEX($B$1:$W$193,MATCH(IF$1,$B$1:$B$193,0),MATCH(1,($B$1:$W$1=$AB8)*($B$2:$W$2=$AC8),0))</f>
        <v>1</v>
      </c>
      <c r="IG8" t="b" cm="1">
        <f t="array" ref="IG8">INDEX($B$1:$W$193,MATCH(IG$1,$B$1:$B$193,0),MATCH(1,($B$1:$W$1=$AB8)*($B$2:$W$2=$AC8),0))</f>
        <v>1</v>
      </c>
      <c r="IH8" t="b" cm="1">
        <f t="array" ref="IH8">INDEX($B$1:$W$193,MATCH(IH$1,$B$1:$B$193,0),MATCH(1,($B$1:$W$1=$AB8)*($B$2:$W$2=$AC8),0))</f>
        <v>1</v>
      </c>
      <c r="II8" t="b" cm="1">
        <f t="array" ref="II8">INDEX($B$1:$W$193,MATCH(II$1,$B$1:$B$193,0),MATCH(1,($B$1:$W$1=$AB8)*($B$2:$W$2=$AC8),0))</f>
        <v>1</v>
      </c>
      <c r="IJ8" t="b" cm="1">
        <f t="array" ref="IJ8">INDEX($B$1:$W$193,MATCH(IJ$1,$B$1:$B$193,0),MATCH(1,($B$1:$W$1=$AB8)*($B$2:$W$2=$AC8),0))</f>
        <v>1</v>
      </c>
      <c r="IK8" t="b" cm="1">
        <f t="array" ref="IK8">INDEX($B$1:$W$193,MATCH(IK$1,$B$1:$B$193,0),MATCH(1,($B$1:$W$1=$AB8)*($B$2:$W$2=$AC8),0))</f>
        <v>1</v>
      </c>
      <c r="IL8" t="b" cm="1">
        <f t="array" ref="IL8">INDEX($B$1:$W$193,MATCH(IL$1,$B$1:$B$193,0),MATCH(1,($B$1:$W$1=$AB8)*($B$2:$W$2=$AC8),0))</f>
        <v>1</v>
      </c>
      <c r="IM8" t="b" cm="1">
        <f t="array" ref="IM8">INDEX($B$1:$W$193,MATCH(IM$1,$B$1:$B$193,0),MATCH(1,($B$1:$W$1=$AB8)*($B$2:$W$2=$AC8),0))</f>
        <v>1</v>
      </c>
      <c r="IN8" t="b" cm="1">
        <f t="array" ref="IN8">INDEX($B$1:$W$193,MATCH(IN$1,$B$1:$B$193,0),MATCH(1,($B$1:$W$1=$AB8)*($B$2:$W$2=$AC8),0))</f>
        <v>1</v>
      </c>
      <c r="IO8" t="b" cm="1">
        <f t="array" ref="IO8">INDEX($B$1:$W$193,MATCH(IO$1,$B$1:$B$193,0),MATCH(1,($B$1:$W$1=$AB8)*($B$2:$W$2=$AC8),0))</f>
        <v>1</v>
      </c>
      <c r="IP8" t="b" cm="1">
        <f t="array" ref="IP8">INDEX($B$1:$W$193,MATCH(IP$1,$B$1:$B$193,0),MATCH(1,($B$1:$W$1=$AB8)*($B$2:$W$2=$AC8),0))</f>
        <v>1</v>
      </c>
      <c r="IQ8" t="b" cm="1">
        <f t="array" ref="IQ8">INDEX($B$1:$W$193,MATCH(IQ$1,$B$1:$B$193,0),MATCH(1,($B$1:$W$1=$AB8)*($B$2:$W$2=$AC8),0))</f>
        <v>1</v>
      </c>
      <c r="IR8" t="b" cm="1">
        <f t="array" ref="IR8">INDEX($B$1:$W$193,MATCH(IR$1,$B$1:$B$193,0),MATCH(1,($B$1:$W$1=$AB8)*($B$2:$W$2=$AC8),0))</f>
        <v>1</v>
      </c>
      <c r="IS8" t="b" cm="1">
        <f t="array" ref="IS8">INDEX($B$1:$W$193,MATCH(IS$1,$B$1:$B$193,0),MATCH(1,($B$1:$W$1=$AB8)*($B$2:$W$2=$AC8),0))</f>
        <v>1</v>
      </c>
      <c r="IT8" t="b" cm="1">
        <f t="array" ref="IT8">INDEX($B$1:$W$193,MATCH(IT$1,$B$1:$B$193,0),MATCH(1,($B$1:$W$1=$AB8)*($B$2:$W$2=$AC8),0))</f>
        <v>1</v>
      </c>
      <c r="IU8" t="b" cm="1">
        <f t="array" ref="IU8">INDEX($B$1:$W$193,MATCH(IU$1,$B$1:$B$193,0),MATCH(1,($B$1:$W$1=$AB8)*($B$2:$W$2=$AC8),0))</f>
        <v>1</v>
      </c>
      <c r="IV8" t="b" cm="1">
        <f t="array" ref="IV8">INDEX($B$1:$W$193,MATCH(IV$1,$B$1:$B$193,0),MATCH(1,($B$1:$W$1=$AB8)*($B$2:$W$2=$AC8),0))</f>
        <v>1</v>
      </c>
      <c r="IW8" t="b" cm="1">
        <f t="array" ref="IW8">INDEX($B$1:$W$193,MATCH(IW$1,$B$1:$B$193,0),MATCH(1,($B$1:$W$1=$AB8)*($B$2:$W$2=$AC8),0))</f>
        <v>1</v>
      </c>
      <c r="IX8" t="b" cm="1">
        <f t="array" ref="IX8">INDEX($B$1:$W$193,MATCH(IX$1,$B$1:$B$193,0),MATCH(1,($B$1:$W$1=$AB8)*($B$2:$W$2=$AC8),0))</f>
        <v>1</v>
      </c>
      <c r="IY8" t="b" cm="1">
        <f t="array" ref="IY8">INDEX($B$1:$W$193,MATCH(IY$1,$B$1:$B$193,0),MATCH(1,($B$1:$W$1=$AB8)*($B$2:$W$2=$AC8),0))</f>
        <v>1</v>
      </c>
      <c r="IZ8" t="b" cm="1">
        <f t="array" ref="IZ8">INDEX($B$1:$W$193,MATCH(IZ$1,$B$1:$B$193,0),MATCH(1,($B$1:$W$1=$AB8)*($B$2:$W$2=$AC8),0))</f>
        <v>1</v>
      </c>
      <c r="JA8" t="b" cm="1">
        <f t="array" ref="JA8">INDEX($B$1:$W$193,MATCH(JA$1,$B$1:$B$193,0),MATCH(1,($B$1:$W$1=$AB8)*($B$2:$W$2=$AC8),0))</f>
        <v>1</v>
      </c>
      <c r="JB8" t="b" cm="1">
        <f t="array" ref="JB8">INDEX($B$1:$W$193,MATCH(JB$1,$B$1:$B$193,0),MATCH(1,($B$1:$W$1=$AB8)*($B$2:$W$2=$AC8),0))</f>
        <v>1</v>
      </c>
      <c r="JC8" t="b" cm="1">
        <f t="array" ref="JC8">INDEX($B$1:$W$193,MATCH(JC$1,$B$1:$B$193,0),MATCH(1,($B$1:$W$1=$AB8)*($B$2:$W$2=$AC8),0))</f>
        <v>1</v>
      </c>
      <c r="JD8" t="b" cm="1">
        <f t="array" ref="JD8">INDEX($B$1:$W$193,MATCH(JD$1,$B$1:$B$193,0),MATCH(1,($B$1:$W$1=$AB8)*($B$2:$W$2=$AC8),0))</f>
        <v>1</v>
      </c>
      <c r="JE8" t="b" cm="1">
        <f t="array" ref="JE8">INDEX($B$1:$W$193,MATCH(JE$1,$B$1:$B$193,0),MATCH(1,($B$1:$W$1=$AB8)*($B$2:$W$2=$AC8),0))</f>
        <v>1</v>
      </c>
      <c r="JF8" t="b" cm="1">
        <f t="array" ref="JF8">INDEX($B$1:$W$193,MATCH(JF$1,$B$1:$B$193,0),MATCH(1,($B$1:$W$1=$AB8)*($B$2:$W$2=$AC8),0))</f>
        <v>1</v>
      </c>
      <c r="JG8" t="b" cm="1">
        <f t="array" ref="JG8">INDEX($B$1:$W$193,MATCH(JG$1,$B$1:$B$193,0),MATCH(1,($B$1:$W$1=$AB8)*($B$2:$W$2=$AC8),0))</f>
        <v>1</v>
      </c>
      <c r="JH8" t="b" cm="1">
        <f t="array" ref="JH8">INDEX($B$1:$W$193,MATCH(JH$1,$B$1:$B$193,0),MATCH(1,($B$1:$W$1=$AB8)*($B$2:$W$2=$AC8),0))</f>
        <v>1</v>
      </c>
    </row>
    <row r="9" spans="1:268" x14ac:dyDescent="0.25">
      <c r="A9" t="s">
        <v>164</v>
      </c>
      <c r="B9" s="51">
        <v>14</v>
      </c>
      <c r="C9">
        <v>2</v>
      </c>
      <c r="D9">
        <v>3</v>
      </c>
      <c r="E9" t="b">
        <f t="shared" si="1"/>
        <v>1</v>
      </c>
      <c r="F9" t="b">
        <f t="shared" si="0"/>
        <v>1</v>
      </c>
      <c r="G9" t="b">
        <f t="shared" si="0"/>
        <v>1</v>
      </c>
      <c r="H9" t="b">
        <f t="shared" si="0"/>
        <v>0</v>
      </c>
      <c r="I9" t="b">
        <f t="shared" si="0"/>
        <v>0</v>
      </c>
      <c r="J9" t="b">
        <f t="shared" si="0"/>
        <v>0</v>
      </c>
      <c r="K9" t="b">
        <f t="shared" si="0"/>
        <v>1</v>
      </c>
      <c r="L9" t="b">
        <f t="shared" si="0"/>
        <v>1</v>
      </c>
      <c r="M9" t="b">
        <f t="shared" si="0"/>
        <v>1</v>
      </c>
      <c r="N9" t="b">
        <f t="shared" si="0"/>
        <v>0</v>
      </c>
      <c r="O9" t="b">
        <f t="shared" si="0"/>
        <v>0</v>
      </c>
      <c r="P9" t="b">
        <f t="shared" si="0"/>
        <v>0</v>
      </c>
      <c r="Q9" t="b">
        <v>1</v>
      </c>
      <c r="R9" t="b" cm="1">
        <f t="array" ref="R9">_xlfn.IFS(C9=1,FALSE,OR(C9=2,C9&gt;2),TRUE)</f>
        <v>1</v>
      </c>
      <c r="S9" t="b" cm="1">
        <f t="array" ref="S9">_xlfn.IFS(OR(C9=1,C9=2),FALSE,OR(C9=3,C9&gt;3),TRUE)</f>
        <v>0</v>
      </c>
      <c r="T9" t="str">
        <f t="shared" si="2"/>
        <v>TRUE</v>
      </c>
      <c r="U9" t="str">
        <f t="shared" si="3"/>
        <v>FALSE</v>
      </c>
      <c r="V9" t="str">
        <f t="shared" si="4"/>
        <v>FALSE</v>
      </c>
      <c r="W9" t="b" cm="1">
        <f t="array" ref="W9">_xlfn.IFS(H9=1,FALSE,OR(H9=2,H9&gt;2),TRUE)</f>
        <v>1</v>
      </c>
      <c r="X9" t="b" cm="1">
        <f t="array" ref="X9">_xlfn.IFS(H9=1,FALSE,OR(H9=2,H9&gt;2),TRUE)</f>
        <v>1</v>
      </c>
      <c r="Y9" t="b" cm="1">
        <f t="array" ref="Y9">_xlfn.IFS(H9=1,FALSE,OR(H9=2,H9&gt;2),TRUE)</f>
        <v>1</v>
      </c>
      <c r="AB9" t="s">
        <v>1</v>
      </c>
      <c r="AC9" t="s">
        <v>84</v>
      </c>
      <c r="AD9" t="b" cm="1">
        <f t="array" ref="AD9">INDEX($B$1:$W$193,MATCH(AD$1,$B$1:$B$193,0),MATCH(1,($B$1:$W$1=$AB9)*($B$2:$W$2=$AC9),0))</f>
        <v>1</v>
      </c>
      <c r="AE9" t="b" cm="1">
        <f t="array" ref="AE9">INDEX($B$1:$W$193,MATCH(AE$1,$B$1:$B$193,0),MATCH(1,($B$1:$W$1=$AB9)*($B$2:$W$2=$AC9),0))</f>
        <v>1</v>
      </c>
      <c r="AF9" t="b" cm="1">
        <f t="array" ref="AF9">INDEX($B$1:$W$193,MATCH(AF$1,$B$1:$B$193,0),MATCH(1,($B$1:$W$1=$AB9)*($B$2:$W$2=$AC9),0))</f>
        <v>1</v>
      </c>
      <c r="AG9" t="b" cm="1">
        <f t="array" ref="AG9">INDEX($B$1:$W$193,MATCH(AG$1,$B$1:$B$193,0),MATCH(1,($B$1:$W$1=$AB9)*($B$2:$W$2=$AC9),0))</f>
        <v>1</v>
      </c>
      <c r="AH9" t="b" cm="1">
        <f t="array" ref="AH9">INDEX($B$1:$W$193,MATCH(AH$1,$B$1:$B$193,0),MATCH(1,($B$1:$W$1=$AB9)*($B$2:$W$2=$AC9),0))</f>
        <v>1</v>
      </c>
      <c r="AI9" t="b" cm="1">
        <f t="array" ref="AI9">INDEX($B$1:$W$193,MATCH(AI$1,$B$1:$B$193,0),MATCH(1,($B$1:$W$1=$AB9)*($B$2:$W$2=$AC9),0))</f>
        <v>1</v>
      </c>
      <c r="AJ9" t="b" cm="1">
        <f t="array" ref="AJ9">INDEX($B$1:$W$193,MATCH(AJ$1,$B$1:$B$193,0),MATCH(1,($B$1:$W$1=$AB9)*($B$2:$W$2=$AC9),0))</f>
        <v>1</v>
      </c>
      <c r="AK9" t="b" cm="1">
        <f t="array" ref="AK9">INDEX($B$1:$W$193,MATCH(AK$1,$B$1:$B$193,0),MATCH(1,($B$1:$W$1=$AB9)*($B$2:$W$2=$AC9),0))</f>
        <v>1</v>
      </c>
      <c r="AL9" t="b" cm="1">
        <f t="array" ref="AL9">INDEX($B$1:$W$193,MATCH(AL$1,$B$1:$B$193,0),MATCH(1,($B$1:$W$1=$AB9)*($B$2:$W$2=$AC9),0))</f>
        <v>1</v>
      </c>
      <c r="AM9" t="b" cm="1">
        <f t="array" ref="AM9">INDEX($B$1:$W$193,MATCH(AM$1,$B$1:$B$193,0),MATCH(1,($B$1:$W$1=$AB9)*($B$2:$W$2=$AC9),0))</f>
        <v>1</v>
      </c>
      <c r="AN9" t="b" cm="1">
        <f t="array" ref="AN9">INDEX($B$1:$W$193,MATCH(AN$1,$B$1:$B$193,0),MATCH(1,($B$1:$W$1=$AB9)*($B$2:$W$2=$AC9),0))</f>
        <v>1</v>
      </c>
      <c r="AO9" t="b" cm="1">
        <f t="array" ref="AO9">INDEX($B$1:$W$193,MATCH(AO$1,$B$1:$B$193,0),MATCH(1,($B$1:$W$1=$AB9)*($B$2:$W$2=$AC9),0))</f>
        <v>1</v>
      </c>
      <c r="AP9" t="b" cm="1">
        <f t="array" ref="AP9">INDEX($B$1:$W$193,MATCH(AP$1,$B$1:$B$193,0),MATCH(1,($B$1:$W$1=$AB9)*($B$2:$W$2=$AC9),0))</f>
        <v>1</v>
      </c>
      <c r="AQ9" t="b" cm="1">
        <f t="array" ref="AQ9">INDEX($B$1:$W$193,MATCH(AQ$1,$B$1:$B$193,0),MATCH(1,($B$1:$W$1=$AB9)*($B$2:$W$2=$AC9),0))</f>
        <v>1</v>
      </c>
      <c r="AR9" t="b" cm="1">
        <f t="array" ref="AR9">INDEX($B$1:$W$193,MATCH(AR$1,$B$1:$B$193,0),MATCH(1,($B$1:$W$1=$AB9)*($B$2:$W$2=$AC9),0))</f>
        <v>1</v>
      </c>
      <c r="AS9" t="b" cm="1">
        <f t="array" ref="AS9">INDEX($B$1:$W$193,MATCH(AS$1,$B$1:$B$193,0),MATCH(1,($B$1:$W$1=$AB9)*($B$2:$W$2=$AC9),0))</f>
        <v>1</v>
      </c>
      <c r="AT9" t="b" cm="1">
        <f t="array" ref="AT9">INDEX($B$1:$W$193,MATCH(AT$1,$B$1:$B$193,0),MATCH(1,($B$1:$W$1=$AB9)*($B$2:$W$2=$AC9),0))</f>
        <v>1</v>
      </c>
      <c r="AU9" t="b" cm="1">
        <f t="array" ref="AU9">INDEX($B$1:$W$193,MATCH(AU$1,$B$1:$B$193,0),MATCH(1,($B$1:$W$1=$AB9)*($B$2:$W$2=$AC9),0))</f>
        <v>1</v>
      </c>
      <c r="AV9" t="b" cm="1">
        <f t="array" ref="AV9">INDEX($B$1:$W$193,MATCH(AV$1,$B$1:$B$193,0),MATCH(1,($B$1:$W$1=$AB9)*($B$2:$W$2=$AC9),0))</f>
        <v>1</v>
      </c>
      <c r="AW9" t="b" cm="1">
        <f t="array" ref="AW9">INDEX($B$1:$W$193,MATCH(AW$1,$B$1:$B$193,0),MATCH(1,($B$1:$W$1=$AB9)*($B$2:$W$2=$AC9),0))</f>
        <v>1</v>
      </c>
      <c r="AX9" t="b" cm="1">
        <f t="array" ref="AX9">INDEX($B$1:$W$193,MATCH(AX$1,$B$1:$B$193,0),MATCH(1,($B$1:$W$1=$AB9)*($B$2:$W$2=$AC9),0))</f>
        <v>1</v>
      </c>
      <c r="AY9" t="b" cm="1">
        <f t="array" ref="AY9">INDEX($B$1:$W$193,MATCH(AY$1,$B$1:$B$193,0),MATCH(1,($B$1:$W$1=$AB9)*($B$2:$W$2=$AC9),0))</f>
        <v>1</v>
      </c>
      <c r="AZ9" t="b" cm="1">
        <f t="array" ref="AZ9">INDEX($B$1:$W$193,MATCH(AZ$1,$B$1:$B$193,0),MATCH(1,($B$1:$W$1=$AB9)*($B$2:$W$2=$AC9),0))</f>
        <v>1</v>
      </c>
      <c r="BA9" t="b" cm="1">
        <f t="array" ref="BA9">INDEX($B$1:$W$193,MATCH(BA$1,$B$1:$B$193,0),MATCH(1,($B$1:$W$1=$AB9)*($B$2:$W$2=$AC9),0))</f>
        <v>1</v>
      </c>
      <c r="BB9" t="b" cm="1">
        <f t="array" ref="BB9">INDEX($B$1:$W$193,MATCH(BB$1,$B$1:$B$193,0),MATCH(1,($B$1:$W$1=$AB9)*($B$2:$W$2=$AC9),0))</f>
        <v>1</v>
      </c>
      <c r="BC9" t="b" cm="1">
        <f t="array" ref="BC9">INDEX($B$1:$W$193,MATCH(BC$1,$B$1:$B$193,0),MATCH(1,($B$1:$W$1=$AB9)*($B$2:$W$2=$AC9),0))</f>
        <v>1</v>
      </c>
      <c r="BD9" t="b" cm="1">
        <f t="array" ref="BD9">INDEX($B$1:$W$193,MATCH(BD$1,$B$1:$B$193,0),MATCH(1,($B$1:$W$1=$AB9)*($B$2:$W$2=$AC9),0))</f>
        <v>1</v>
      </c>
      <c r="BE9" t="b" cm="1">
        <f t="array" ref="BE9">INDEX($B$1:$W$193,MATCH(BE$1,$B$1:$B$193,0),MATCH(1,($B$1:$W$1=$AB9)*($B$2:$W$2=$AC9),0))</f>
        <v>1</v>
      </c>
      <c r="BF9" t="b" cm="1">
        <f t="array" ref="BF9">INDEX($B$1:$W$193,MATCH(BF$1,$B$1:$B$193,0),MATCH(1,($B$1:$W$1=$AB9)*($B$2:$W$2=$AC9),0))</f>
        <v>1</v>
      </c>
      <c r="BG9" t="b" cm="1">
        <f t="array" ref="BG9">INDEX($B$1:$W$193,MATCH(BG$1,$B$1:$B$193,0),MATCH(1,($B$1:$W$1=$AB9)*($B$2:$W$2=$AC9),0))</f>
        <v>1</v>
      </c>
      <c r="BH9" t="b" cm="1">
        <f t="array" ref="BH9">INDEX($B$1:$W$193,MATCH(BH$1,$B$1:$B$193,0),MATCH(1,($B$1:$W$1=$AB9)*($B$2:$W$2=$AC9),0))</f>
        <v>1</v>
      </c>
      <c r="BI9" t="b" cm="1">
        <f t="array" ref="BI9">INDEX($B$1:$W$193,MATCH(BI$1,$B$1:$B$193,0),MATCH(1,($B$1:$W$1=$AB9)*($B$2:$W$2=$AC9),0))</f>
        <v>1</v>
      </c>
      <c r="BJ9" t="b" cm="1">
        <f t="array" ref="BJ9">INDEX($B$1:$W$193,MATCH(BJ$1,$B$1:$B$193,0),MATCH(1,($B$1:$W$1=$AB9)*($B$2:$W$2=$AC9),0))</f>
        <v>1</v>
      </c>
      <c r="BK9" t="b" cm="1">
        <f t="array" ref="BK9">INDEX($B$1:$W$193,MATCH(BK$1,$B$1:$B$193,0),MATCH(1,($B$1:$W$1=$AB9)*($B$2:$W$2=$AC9),0))</f>
        <v>1</v>
      </c>
      <c r="BL9" t="b" cm="1">
        <f t="array" ref="BL9">INDEX($B$1:$W$193,MATCH(BL$1,$B$1:$B$193,0),MATCH(1,($B$1:$W$1=$AB9)*($B$2:$W$2=$AC9),0))</f>
        <v>1</v>
      </c>
      <c r="BM9" t="b" cm="1">
        <f t="array" ref="BM9">INDEX($B$1:$W$193,MATCH(BM$1,$B$1:$B$193,0),MATCH(1,($B$1:$W$1=$AB9)*($B$2:$W$2=$AC9),0))</f>
        <v>1</v>
      </c>
      <c r="BN9" t="b" cm="1">
        <f t="array" ref="BN9">INDEX($B$1:$W$193,MATCH(BN$1,$B$1:$B$193,0),MATCH(1,($B$1:$W$1=$AB9)*($B$2:$W$2=$AC9),0))</f>
        <v>1</v>
      </c>
      <c r="BO9" t="b" cm="1">
        <f t="array" ref="BO9">INDEX($B$1:$W$193,MATCH(BO$1,$B$1:$B$193,0),MATCH(1,($B$1:$W$1=$AB9)*($B$2:$W$2=$AC9),0))</f>
        <v>1</v>
      </c>
      <c r="BP9" t="b" cm="1">
        <f t="array" ref="BP9">INDEX($B$1:$W$193,MATCH(BP$1,$B$1:$B$193,0),MATCH(1,($B$1:$W$1=$AB9)*($B$2:$W$2=$AC9),0))</f>
        <v>1</v>
      </c>
      <c r="BQ9" t="b" cm="1">
        <f t="array" ref="BQ9">INDEX($B$1:$W$193,MATCH(BQ$1,$B$1:$B$193,0),MATCH(1,($B$1:$W$1=$AB9)*($B$2:$W$2=$AC9),0))</f>
        <v>1</v>
      </c>
      <c r="BR9" t="b" cm="1">
        <f t="array" ref="BR9">INDEX($B$1:$W$193,MATCH(BR$1,$B$1:$B$193,0),MATCH(1,($B$1:$W$1=$AB9)*($B$2:$W$2=$AC9),0))</f>
        <v>1</v>
      </c>
      <c r="BS9" t="b" cm="1">
        <f t="array" ref="BS9">INDEX($B$1:$W$193,MATCH(BS$1,$B$1:$B$193,0),MATCH(1,($B$1:$W$1=$AB9)*($B$2:$W$2=$AC9),0))</f>
        <v>1</v>
      </c>
      <c r="BT9" t="b" cm="1">
        <f t="array" ref="BT9">INDEX($B$1:$W$193,MATCH(BT$1,$B$1:$B$193,0),MATCH(1,($B$1:$W$1=$AB9)*($B$2:$W$2=$AC9),0))</f>
        <v>1</v>
      </c>
      <c r="BU9" t="b" cm="1">
        <f t="array" ref="BU9">INDEX($B$1:$W$193,MATCH(BU$1,$B$1:$B$193,0),MATCH(1,($B$1:$W$1=$AB9)*($B$2:$W$2=$AC9),0))</f>
        <v>1</v>
      </c>
      <c r="BV9" t="b" cm="1">
        <f t="array" ref="BV9">INDEX($B$1:$W$193,MATCH(BV$1,$B$1:$B$193,0),MATCH(1,($B$1:$W$1=$AB9)*($B$2:$W$2=$AC9),0))</f>
        <v>1</v>
      </c>
      <c r="BW9" t="b" cm="1">
        <f t="array" ref="BW9">INDEX($B$1:$W$193,MATCH(BW$1,$B$1:$B$193,0),MATCH(1,($B$1:$W$1=$AB9)*($B$2:$W$2=$AC9),0))</f>
        <v>1</v>
      </c>
      <c r="BX9" t="b" cm="1">
        <f t="array" ref="BX9">INDEX($B$1:$W$193,MATCH(BX$1,$B$1:$B$193,0),MATCH(1,($B$1:$W$1=$AB9)*($B$2:$W$2=$AC9),0))</f>
        <v>1</v>
      </c>
      <c r="BY9" t="b" cm="1">
        <f t="array" ref="BY9">INDEX($B$1:$W$193,MATCH(BY$1,$B$1:$B$193,0),MATCH(1,($B$1:$W$1=$AB9)*($B$2:$W$2=$AC9),0))</f>
        <v>1</v>
      </c>
      <c r="BZ9" t="b" cm="1">
        <f t="array" ref="BZ9">INDEX($B$1:$W$193,MATCH(BZ$1,$B$1:$B$193,0),MATCH(1,($B$1:$W$1=$AB9)*($B$2:$W$2=$AC9),0))</f>
        <v>1</v>
      </c>
      <c r="CA9" t="b" cm="1">
        <f t="array" ref="CA9">INDEX($B$1:$W$193,MATCH(CA$1,$B$1:$B$193,0),MATCH(1,($B$1:$W$1=$AB9)*($B$2:$W$2=$AC9),0))</f>
        <v>1</v>
      </c>
      <c r="CB9" t="b" cm="1">
        <f t="array" ref="CB9">INDEX($B$1:$W$193,MATCH(CB$1,$B$1:$B$193,0),MATCH(1,($B$1:$W$1=$AB9)*($B$2:$W$2=$AC9),0))</f>
        <v>1</v>
      </c>
      <c r="CC9" t="b" cm="1">
        <f t="array" ref="CC9">INDEX($B$1:$W$193,MATCH(CC$1,$B$1:$B$193,0),MATCH(1,($B$1:$W$1=$AB9)*($B$2:$W$2=$AC9),0))</f>
        <v>1</v>
      </c>
      <c r="CD9" t="b" cm="1">
        <f t="array" ref="CD9">INDEX($B$1:$W$193,MATCH(CD$1,$B$1:$B$193,0),MATCH(1,($B$1:$W$1=$AB9)*($B$2:$W$2=$AC9),0))</f>
        <v>1</v>
      </c>
      <c r="CE9" t="b" cm="1">
        <f t="array" ref="CE9">INDEX($B$1:$W$193,MATCH(CE$1,$B$1:$B$193,0),MATCH(1,($B$1:$W$1=$AB9)*($B$2:$W$2=$AC9),0))</f>
        <v>1</v>
      </c>
      <c r="CF9" t="b" cm="1">
        <f t="array" ref="CF9">INDEX($B$1:$W$193,MATCH(CF$1,$B$1:$B$193,0),MATCH(1,($B$1:$W$1=$AB9)*($B$2:$W$2=$AC9),0))</f>
        <v>1</v>
      </c>
      <c r="CG9" t="b" cm="1">
        <f t="array" ref="CG9">INDEX($B$1:$W$193,MATCH(CG$1,$B$1:$B$193,0),MATCH(1,($B$1:$W$1=$AB9)*($B$2:$W$2=$AC9),0))</f>
        <v>1</v>
      </c>
      <c r="CH9" t="b" cm="1">
        <f t="array" ref="CH9">INDEX($B$1:$W$193,MATCH(CH$1,$B$1:$B$193,0),MATCH(1,($B$1:$W$1=$AB9)*($B$2:$W$2=$AC9),0))</f>
        <v>1</v>
      </c>
      <c r="CI9" t="b" cm="1">
        <f t="array" ref="CI9">INDEX($B$1:$W$193,MATCH(CI$1,$B$1:$B$193,0),MATCH(1,($B$1:$W$1=$AB9)*($B$2:$W$2=$AC9),0))</f>
        <v>1</v>
      </c>
      <c r="CJ9" t="b" cm="1">
        <f t="array" ref="CJ9">INDEX($B$1:$W$193,MATCH(CJ$1,$B$1:$B$193,0),MATCH(1,($B$1:$W$1=$AB9)*($B$2:$W$2=$AC9),0))</f>
        <v>1</v>
      </c>
      <c r="CK9" t="b" cm="1">
        <f t="array" ref="CK9">INDEX($B$1:$W$193,MATCH(CK$1,$B$1:$B$193,0),MATCH(1,($B$1:$W$1=$AB9)*($B$2:$W$2=$AC9),0))</f>
        <v>1</v>
      </c>
      <c r="CL9" t="b" cm="1">
        <f t="array" ref="CL9">INDEX($B$1:$W$193,MATCH(CL$1,$B$1:$B$193,0),MATCH(1,($B$1:$W$1=$AB9)*($B$2:$W$2=$AC9),0))</f>
        <v>1</v>
      </c>
      <c r="CM9" t="b" cm="1">
        <f t="array" ref="CM9">INDEX($B$1:$W$193,MATCH(CM$1,$B$1:$B$193,0),MATCH(1,($B$1:$W$1=$AB9)*($B$2:$W$2=$AC9),0))</f>
        <v>1</v>
      </c>
      <c r="CN9" t="b" cm="1">
        <f t="array" ref="CN9">INDEX($B$1:$W$193,MATCH(CN$1,$B$1:$B$193,0),MATCH(1,($B$1:$W$1=$AB9)*($B$2:$W$2=$AC9),0))</f>
        <v>1</v>
      </c>
      <c r="CO9" t="b" cm="1">
        <f t="array" ref="CO9">INDEX($B$1:$W$193,MATCH(CO$1,$B$1:$B$193,0),MATCH(1,($B$1:$W$1=$AB9)*($B$2:$W$2=$AC9),0))</f>
        <v>1</v>
      </c>
      <c r="CP9" t="b" cm="1">
        <f t="array" ref="CP9">INDEX($B$1:$W$193,MATCH(CP$1,$B$1:$B$193,0),MATCH(1,($B$1:$W$1=$AB9)*($B$2:$W$2=$AC9),0))</f>
        <v>1</v>
      </c>
      <c r="CQ9" t="b" cm="1">
        <f t="array" ref="CQ9">INDEX($B$1:$W$193,MATCH(CQ$1,$B$1:$B$193,0),MATCH(1,($B$1:$W$1=$AB9)*($B$2:$W$2=$AC9),0))</f>
        <v>1</v>
      </c>
      <c r="CR9" t="b" cm="1">
        <f t="array" ref="CR9">INDEX($B$1:$W$193,MATCH(CR$1,$B$1:$B$193,0),MATCH(1,($B$1:$W$1=$AB9)*($B$2:$W$2=$AC9),0))</f>
        <v>1</v>
      </c>
      <c r="CS9" t="b" cm="1">
        <f t="array" ref="CS9">INDEX($B$1:$W$193,MATCH(CS$1,$B$1:$B$193,0),MATCH(1,($B$1:$W$1=$AB9)*($B$2:$W$2=$AC9),0))</f>
        <v>1</v>
      </c>
      <c r="CT9" t="b" cm="1">
        <f t="array" ref="CT9">INDEX($B$1:$W$193,MATCH(CT$1,$B$1:$B$193,0),MATCH(1,($B$1:$W$1=$AB9)*($B$2:$W$2=$AC9),0))</f>
        <v>1</v>
      </c>
      <c r="CU9" t="b" cm="1">
        <f t="array" ref="CU9">INDEX($B$1:$W$193,MATCH(CU$1,$B$1:$B$193,0),MATCH(1,($B$1:$W$1=$AB9)*($B$2:$W$2=$AC9),0))</f>
        <v>1</v>
      </c>
      <c r="CV9" t="b" cm="1">
        <f t="array" ref="CV9">INDEX($B$1:$W$193,MATCH(CV$1,$B$1:$B$193,0),MATCH(1,($B$1:$W$1=$AB9)*($B$2:$W$2=$AC9),0))</f>
        <v>1</v>
      </c>
      <c r="CW9" t="b" cm="1">
        <f t="array" ref="CW9">INDEX($B$1:$W$193,MATCH(CW$1,$B$1:$B$193,0),MATCH(1,($B$1:$W$1=$AB9)*($B$2:$W$2=$AC9),0))</f>
        <v>1</v>
      </c>
      <c r="CX9" t="b" cm="1">
        <f t="array" ref="CX9">INDEX($B$1:$W$193,MATCH(CX$1,$B$1:$B$193,0),MATCH(1,($B$1:$W$1=$AB9)*($B$2:$W$2=$AC9),0))</f>
        <v>1</v>
      </c>
      <c r="CY9" t="b" cm="1">
        <f t="array" ref="CY9">INDEX($B$1:$W$193,MATCH(CY$1,$B$1:$B$193,0),MATCH(1,($B$1:$W$1=$AB9)*($B$2:$W$2=$AC9),0))</f>
        <v>1</v>
      </c>
      <c r="CZ9" t="b" cm="1">
        <f t="array" ref="CZ9">INDEX($B$1:$W$193,MATCH(CZ$1,$B$1:$B$193,0),MATCH(1,($B$1:$W$1=$AB9)*($B$2:$W$2=$AC9),0))</f>
        <v>1</v>
      </c>
      <c r="DA9" t="b" cm="1">
        <f t="array" ref="DA9">INDEX($B$1:$W$193,MATCH(DA$1,$B$1:$B$193,0),MATCH(1,($B$1:$W$1=$AB9)*($B$2:$W$2=$AC9),0))</f>
        <v>1</v>
      </c>
      <c r="DB9" t="b" cm="1">
        <f t="array" ref="DB9">INDEX($B$1:$W$193,MATCH(DB$1,$B$1:$B$193,0),MATCH(1,($B$1:$W$1=$AB9)*($B$2:$W$2=$AC9),0))</f>
        <v>1</v>
      </c>
      <c r="DC9" t="b" cm="1">
        <f t="array" ref="DC9">INDEX($B$1:$W$193,MATCH(DC$1,$B$1:$B$193,0),MATCH(1,($B$1:$W$1=$AB9)*($B$2:$W$2=$AC9),0))</f>
        <v>1</v>
      </c>
      <c r="DD9" t="b" cm="1">
        <f t="array" ref="DD9">INDEX($B$1:$W$193,MATCH(DD$1,$B$1:$B$193,0),MATCH(1,($B$1:$W$1=$AB9)*($B$2:$W$2=$AC9),0))</f>
        <v>1</v>
      </c>
      <c r="DE9" t="b" cm="1">
        <f t="array" ref="DE9">INDEX($B$1:$W$193,MATCH(DE$1,$B$1:$B$193,0),MATCH(1,($B$1:$W$1=$AB9)*($B$2:$W$2=$AC9),0))</f>
        <v>1</v>
      </c>
      <c r="DF9" t="b" cm="1">
        <f t="array" ref="DF9">INDEX($B$1:$W$193,MATCH(DF$1,$B$1:$B$193,0),MATCH(1,($B$1:$W$1=$AB9)*($B$2:$W$2=$AC9),0))</f>
        <v>1</v>
      </c>
      <c r="DG9" t="b" cm="1">
        <f t="array" ref="DG9">INDEX($B$1:$W$193,MATCH(DG$1,$B$1:$B$193,0),MATCH(1,($B$1:$W$1=$AB9)*($B$2:$W$2=$AC9),0))</f>
        <v>1</v>
      </c>
      <c r="DH9" t="b" cm="1">
        <f t="array" ref="DH9">INDEX($B$1:$W$193,MATCH(DH$1,$B$1:$B$193,0),MATCH(1,($B$1:$W$1=$AB9)*($B$2:$W$2=$AC9),0))</f>
        <v>1</v>
      </c>
      <c r="DI9" t="b" cm="1">
        <f t="array" ref="DI9">INDEX($B$1:$W$193,MATCH(DI$1,$B$1:$B$193,0),MATCH(1,($B$1:$W$1=$AB9)*($B$2:$W$2=$AC9),0))</f>
        <v>1</v>
      </c>
      <c r="DJ9" t="b" cm="1">
        <f t="array" ref="DJ9">INDEX($B$1:$W$193,MATCH(DJ$1,$B$1:$B$193,0),MATCH(1,($B$1:$W$1=$AB9)*($B$2:$W$2=$AC9),0))</f>
        <v>1</v>
      </c>
      <c r="DK9" t="b" cm="1">
        <f t="array" ref="DK9">INDEX($B$1:$W$193,MATCH(DK$1,$B$1:$B$193,0),MATCH(1,($B$1:$W$1=$AB9)*($B$2:$W$2=$AC9),0))</f>
        <v>1</v>
      </c>
      <c r="DL9" t="b" cm="1">
        <f t="array" ref="DL9">INDEX($B$1:$W$193,MATCH(DL$1,$B$1:$B$193,0),MATCH(1,($B$1:$W$1=$AB9)*($B$2:$W$2=$AC9),0))</f>
        <v>1</v>
      </c>
      <c r="DM9" t="b" cm="1">
        <f t="array" ref="DM9">INDEX($B$1:$W$193,MATCH(DM$1,$B$1:$B$193,0),MATCH(1,($B$1:$W$1=$AB9)*($B$2:$W$2=$AC9),0))</f>
        <v>1</v>
      </c>
      <c r="DN9" t="b" cm="1">
        <f t="array" ref="DN9">INDEX($B$1:$W$193,MATCH(DN$1,$B$1:$B$193,0),MATCH(1,($B$1:$W$1=$AB9)*($B$2:$W$2=$AC9),0))</f>
        <v>1</v>
      </c>
      <c r="DO9" t="b" cm="1">
        <f t="array" ref="DO9">INDEX($B$1:$W$193,MATCH(DO$1,$B$1:$B$193,0),MATCH(1,($B$1:$W$1=$AB9)*($B$2:$W$2=$AC9),0))</f>
        <v>1</v>
      </c>
      <c r="DP9" t="b" cm="1">
        <f t="array" ref="DP9">INDEX($B$1:$W$193,MATCH(DP$1,$B$1:$B$193,0),MATCH(1,($B$1:$W$1=$AB9)*($B$2:$W$2=$AC9),0))</f>
        <v>1</v>
      </c>
      <c r="DQ9" t="b" cm="1">
        <f t="array" ref="DQ9">INDEX($B$1:$W$193,MATCH(DQ$1,$B$1:$B$193,0),MATCH(1,($B$1:$W$1=$AB9)*($B$2:$W$2=$AC9),0))</f>
        <v>1</v>
      </c>
      <c r="DR9" t="b" cm="1">
        <f t="array" ref="DR9">INDEX($B$1:$W$193,MATCH(DR$1,$B$1:$B$193,0),MATCH(1,($B$1:$W$1=$AB9)*($B$2:$W$2=$AC9),0))</f>
        <v>1</v>
      </c>
      <c r="DS9" t="b" cm="1">
        <f t="array" ref="DS9">INDEX($B$1:$W$193,MATCH(DS$1,$B$1:$B$193,0),MATCH(1,($B$1:$W$1=$AB9)*($B$2:$W$2=$AC9),0))</f>
        <v>1</v>
      </c>
      <c r="DT9" t="b" cm="1">
        <f t="array" ref="DT9">INDEX($B$1:$W$193,MATCH(DT$1,$B$1:$B$193,0),MATCH(1,($B$1:$W$1=$AB9)*($B$2:$W$2=$AC9),0))</f>
        <v>1</v>
      </c>
      <c r="DU9" t="b" cm="1">
        <f t="array" ref="DU9">INDEX($B$1:$W$193,MATCH(DU$1,$B$1:$B$193,0),MATCH(1,($B$1:$W$1=$AB9)*($B$2:$W$2=$AC9),0))</f>
        <v>1</v>
      </c>
      <c r="DV9" t="b" cm="1">
        <f t="array" ref="DV9">INDEX($B$1:$W$193,MATCH(DV$1,$B$1:$B$193,0),MATCH(1,($B$1:$W$1=$AB9)*($B$2:$W$2=$AC9),0))</f>
        <v>1</v>
      </c>
      <c r="DW9" t="b" cm="1">
        <f t="array" ref="DW9">INDEX($B$1:$W$193,MATCH(DW$1,$B$1:$B$193,0),MATCH(1,($B$1:$W$1=$AB9)*($B$2:$W$2=$AC9),0))</f>
        <v>1</v>
      </c>
      <c r="DX9" t="b" cm="1">
        <f t="array" ref="DX9">INDEX($B$1:$W$193,MATCH(DX$1,$B$1:$B$193,0),MATCH(1,($B$1:$W$1=$AB9)*($B$2:$W$2=$AC9),0))</f>
        <v>1</v>
      </c>
      <c r="DY9" t="b" cm="1">
        <f t="array" ref="DY9">INDEX($B$1:$W$193,MATCH(DY$1,$B$1:$B$193,0),MATCH(1,($B$1:$W$1=$AB9)*($B$2:$W$2=$AC9),0))</f>
        <v>1</v>
      </c>
      <c r="DZ9" t="b" cm="1">
        <f t="array" ref="DZ9">INDEX($B$1:$W$193,MATCH(DZ$1,$B$1:$B$193,0),MATCH(1,($B$1:$W$1=$AB9)*($B$2:$W$2=$AC9),0))</f>
        <v>1</v>
      </c>
      <c r="EA9" t="b" cm="1">
        <f t="array" ref="EA9">INDEX($B$1:$W$193,MATCH(EA$1,$B$1:$B$193,0),MATCH(1,($B$1:$W$1=$AB9)*($B$2:$W$2=$AC9),0))</f>
        <v>1</v>
      </c>
      <c r="EB9" t="b" cm="1">
        <f t="array" ref="EB9">INDEX($B$1:$W$193,MATCH(EB$1,$B$1:$B$193,0),MATCH(1,($B$1:$W$1=$AB9)*($B$2:$W$2=$AC9),0))</f>
        <v>1</v>
      </c>
      <c r="EC9" t="b" cm="1">
        <f t="array" ref="EC9">INDEX($B$1:$W$193,MATCH(EC$1,$B$1:$B$193,0),MATCH(1,($B$1:$W$1=$AB9)*($B$2:$W$2=$AC9),0))</f>
        <v>1</v>
      </c>
      <c r="ED9" t="b" cm="1">
        <f t="array" ref="ED9">INDEX($B$1:$W$193,MATCH(ED$1,$B$1:$B$193,0),MATCH(1,($B$1:$W$1=$AB9)*($B$2:$W$2=$AC9),0))</f>
        <v>1</v>
      </c>
      <c r="EE9" t="b" cm="1">
        <f t="array" ref="EE9">INDEX($B$1:$W$193,MATCH(EE$1,$B$1:$B$193,0),MATCH(1,($B$1:$W$1=$AB9)*($B$2:$W$2=$AC9),0))</f>
        <v>1</v>
      </c>
      <c r="EF9" t="b" cm="1">
        <f t="array" ref="EF9">INDEX($B$1:$W$193,MATCH(EF$1,$B$1:$B$193,0),MATCH(1,($B$1:$W$1=$AB9)*($B$2:$W$2=$AC9),0))</f>
        <v>1</v>
      </c>
      <c r="EG9" t="b" cm="1">
        <f t="array" ref="EG9">INDEX($B$1:$W$193,MATCH(EG$1,$B$1:$B$193,0),MATCH(1,($B$1:$W$1=$AB9)*($B$2:$W$2=$AC9),0))</f>
        <v>1</v>
      </c>
      <c r="EH9" t="b" cm="1">
        <f t="array" ref="EH9">INDEX($B$1:$W$193,MATCH(EH$1,$B$1:$B$193,0),MATCH(1,($B$1:$W$1=$AB9)*($B$2:$W$2=$AC9),0))</f>
        <v>1</v>
      </c>
      <c r="EI9" t="b" cm="1">
        <f t="array" ref="EI9">INDEX($B$1:$W$193,MATCH(EI$1,$B$1:$B$193,0),MATCH(1,($B$1:$W$1=$AB9)*($B$2:$W$2=$AC9),0))</f>
        <v>1</v>
      </c>
      <c r="EJ9" t="b" cm="1">
        <f t="array" ref="EJ9">INDEX($B$1:$W$193,MATCH(EJ$1,$B$1:$B$193,0),MATCH(1,($B$1:$W$1=$AB9)*($B$2:$W$2=$AC9),0))</f>
        <v>1</v>
      </c>
      <c r="EK9" t="b" cm="1">
        <f t="array" ref="EK9">INDEX($B$1:$W$193,MATCH(EK$1,$B$1:$B$193,0),MATCH(1,($B$1:$W$1=$AB9)*($B$2:$W$2=$AC9),0))</f>
        <v>1</v>
      </c>
      <c r="EL9" t="b" cm="1">
        <f t="array" ref="EL9">INDEX($B$1:$W$193,MATCH(EL$1,$B$1:$B$193,0),MATCH(1,($B$1:$W$1=$AB9)*($B$2:$W$2=$AC9),0))</f>
        <v>1</v>
      </c>
      <c r="EM9" t="b" cm="1">
        <f t="array" ref="EM9">INDEX($B$1:$W$193,MATCH(EM$1,$B$1:$B$193,0),MATCH(1,($B$1:$W$1=$AB9)*($B$2:$W$2=$AC9),0))</f>
        <v>1</v>
      </c>
      <c r="EN9" t="b" cm="1">
        <f t="array" ref="EN9">INDEX($B$1:$W$193,MATCH(EN$1,$B$1:$B$193,0),MATCH(1,($B$1:$W$1=$AB9)*($B$2:$W$2=$AC9),0))</f>
        <v>1</v>
      </c>
      <c r="EO9" t="b" cm="1">
        <f t="array" ref="EO9">INDEX($B$1:$W$193,MATCH(EO$1,$B$1:$B$193,0),MATCH(1,($B$1:$W$1=$AB9)*($B$2:$W$2=$AC9),0))</f>
        <v>1</v>
      </c>
      <c r="EP9" t="b" cm="1">
        <f t="array" ref="EP9">INDEX($B$1:$W$193,MATCH(EP$1,$B$1:$B$193,0),MATCH(1,($B$1:$W$1=$AB9)*($B$2:$W$2=$AC9),0))</f>
        <v>1</v>
      </c>
      <c r="EQ9" t="b" cm="1">
        <f t="array" ref="EQ9">INDEX($B$1:$W$193,MATCH(EQ$1,$B$1:$B$193,0),MATCH(1,($B$1:$W$1=$AB9)*($B$2:$W$2=$AC9),0))</f>
        <v>1</v>
      </c>
      <c r="ER9" t="b" cm="1">
        <f t="array" ref="ER9">INDEX($B$1:$W$193,MATCH(ER$1,$B$1:$B$193,0),MATCH(1,($B$1:$W$1=$AB9)*($B$2:$W$2=$AC9),0))</f>
        <v>1</v>
      </c>
      <c r="ES9" t="b" cm="1">
        <f t="array" ref="ES9">INDEX($B$1:$W$193,MATCH(ES$1,$B$1:$B$193,0),MATCH(1,($B$1:$W$1=$AB9)*($B$2:$W$2=$AC9),0))</f>
        <v>1</v>
      </c>
      <c r="ET9" t="b" cm="1">
        <f t="array" ref="ET9">INDEX($B$1:$W$193,MATCH(ET$1,$B$1:$B$193,0),MATCH(1,($B$1:$W$1=$AB9)*($B$2:$W$2=$AC9),0))</f>
        <v>1</v>
      </c>
      <c r="EU9" t="b" cm="1">
        <f t="array" ref="EU9">INDEX($B$1:$W$193,MATCH(EU$1,$B$1:$B$193,0),MATCH(1,($B$1:$W$1=$AB9)*($B$2:$W$2=$AC9),0))</f>
        <v>1</v>
      </c>
      <c r="EV9" t="b" cm="1">
        <f t="array" ref="EV9">INDEX($B$1:$W$193,MATCH(EV$1,$B$1:$B$193,0),MATCH(1,($B$1:$W$1=$AB9)*($B$2:$W$2=$AC9),0))</f>
        <v>1</v>
      </c>
      <c r="EW9" t="b" cm="1">
        <f t="array" ref="EW9">INDEX($B$1:$W$193,MATCH(EW$1,$B$1:$B$193,0),MATCH(1,($B$1:$W$1=$AB9)*($B$2:$W$2=$AC9),0))</f>
        <v>1</v>
      </c>
      <c r="EX9" t="b" cm="1">
        <f t="array" ref="EX9">INDEX($B$1:$W$193,MATCH(EX$1,$B$1:$B$193,0),MATCH(1,($B$1:$W$1=$AB9)*($B$2:$W$2=$AC9),0))</f>
        <v>1</v>
      </c>
      <c r="EY9" t="b" cm="1">
        <f t="array" ref="EY9">INDEX($B$1:$W$193,MATCH(EY$1,$B$1:$B$193,0),MATCH(1,($B$1:$W$1=$AB9)*($B$2:$W$2=$AC9),0))</f>
        <v>1</v>
      </c>
      <c r="EZ9" t="b" cm="1">
        <f t="array" ref="EZ9">INDEX($B$1:$W$193,MATCH(EZ$1,$B$1:$B$193,0),MATCH(1,($B$1:$W$1=$AB9)*($B$2:$W$2=$AC9),0))</f>
        <v>1</v>
      </c>
      <c r="FA9" t="b" cm="1">
        <f t="array" ref="FA9">INDEX($B$1:$W$193,MATCH(FA$1,$B$1:$B$193,0),MATCH(1,($B$1:$W$1=$AB9)*($B$2:$W$2=$AC9),0))</f>
        <v>1</v>
      </c>
      <c r="FB9" t="b" cm="1">
        <f t="array" ref="FB9">INDEX($B$1:$W$193,MATCH(FB$1,$B$1:$B$193,0),MATCH(1,($B$1:$W$1=$AB9)*($B$2:$W$2=$AC9),0))</f>
        <v>1</v>
      </c>
      <c r="FC9" t="b" cm="1">
        <f t="array" ref="FC9">INDEX($B$1:$W$193,MATCH(FC$1,$B$1:$B$193,0),MATCH(1,($B$1:$W$1=$AB9)*($B$2:$W$2=$AC9),0))</f>
        <v>1</v>
      </c>
      <c r="FD9" t="b" cm="1">
        <f t="array" ref="FD9">INDEX($B$1:$W$193,MATCH(FD$1,$B$1:$B$193,0),MATCH(1,($B$1:$W$1=$AB9)*($B$2:$W$2=$AC9),0))</f>
        <v>1</v>
      </c>
      <c r="FE9" t="b" cm="1">
        <f t="array" ref="FE9">INDEX($B$1:$W$193,MATCH(FE$1,$B$1:$B$193,0),MATCH(1,($B$1:$W$1=$AB9)*($B$2:$W$2=$AC9),0))</f>
        <v>1</v>
      </c>
      <c r="FF9" t="b" cm="1">
        <f t="array" ref="FF9">INDEX($B$1:$W$193,MATCH(FF$1,$B$1:$B$193,0),MATCH(1,($B$1:$W$1=$AB9)*($B$2:$W$2=$AC9),0))</f>
        <v>1</v>
      </c>
      <c r="FG9" t="b" cm="1">
        <f t="array" ref="FG9">INDEX($B$1:$W$193,MATCH(FG$1,$B$1:$B$193,0),MATCH(1,($B$1:$W$1=$AB9)*($B$2:$W$2=$AC9),0))</f>
        <v>1</v>
      </c>
      <c r="FH9" t="b" cm="1">
        <f t="array" ref="FH9">INDEX($B$1:$W$193,MATCH(FH$1,$B$1:$B$193,0),MATCH(1,($B$1:$W$1=$AB9)*($B$2:$W$2=$AC9),0))</f>
        <v>1</v>
      </c>
      <c r="FI9" t="b" cm="1">
        <f t="array" ref="FI9">INDEX($B$1:$W$193,MATCH(FI$1,$B$1:$B$193,0),MATCH(1,($B$1:$W$1=$AB9)*($B$2:$W$2=$AC9),0))</f>
        <v>1</v>
      </c>
      <c r="FJ9" t="b" cm="1">
        <f t="array" ref="FJ9">INDEX($B$1:$W$193,MATCH(FJ$1,$B$1:$B$193,0),MATCH(1,($B$1:$W$1=$AB9)*($B$2:$W$2=$AC9),0))</f>
        <v>1</v>
      </c>
      <c r="FK9" t="b" cm="1">
        <f t="array" ref="FK9">INDEX($B$1:$W$193,MATCH(FK$1,$B$1:$B$193,0),MATCH(1,($B$1:$W$1=$AB9)*($B$2:$W$2=$AC9),0))</f>
        <v>1</v>
      </c>
      <c r="FL9" t="b" cm="1">
        <f t="array" ref="FL9">INDEX($B$1:$W$193,MATCH(FL$1,$B$1:$B$193,0),MATCH(1,($B$1:$W$1=$AB9)*($B$2:$W$2=$AC9),0))</f>
        <v>1</v>
      </c>
      <c r="FM9" t="b" cm="1">
        <f t="array" ref="FM9">INDEX($B$1:$W$193,MATCH(FM$1,$B$1:$B$193,0),MATCH(1,($B$1:$W$1=$AB9)*($B$2:$W$2=$AC9),0))</f>
        <v>1</v>
      </c>
      <c r="FN9" t="b" cm="1">
        <f t="array" ref="FN9">INDEX($B$1:$W$193,MATCH(FN$1,$B$1:$B$193,0),MATCH(1,($B$1:$W$1=$AB9)*($B$2:$W$2=$AC9),0))</f>
        <v>1</v>
      </c>
      <c r="FO9" t="b" cm="1">
        <f t="array" ref="FO9">INDEX($B$1:$W$193,MATCH(FO$1,$B$1:$B$193,0),MATCH(1,($B$1:$W$1=$AB9)*($B$2:$W$2=$AC9),0))</f>
        <v>1</v>
      </c>
      <c r="FP9" t="b" cm="1">
        <f t="array" ref="FP9">INDEX($B$1:$W$193,MATCH(FP$1,$B$1:$B$193,0),MATCH(1,($B$1:$W$1=$AB9)*($B$2:$W$2=$AC9),0))</f>
        <v>1</v>
      </c>
      <c r="FQ9" t="b" cm="1">
        <f t="array" ref="FQ9">INDEX($B$1:$W$193,MATCH(FQ$1,$B$1:$B$193,0),MATCH(1,($B$1:$W$1=$AB9)*($B$2:$W$2=$AC9),0))</f>
        <v>1</v>
      </c>
      <c r="FR9" t="b" cm="1">
        <f t="array" ref="FR9">INDEX($B$1:$W$193,MATCH(FR$1,$B$1:$B$193,0),MATCH(1,($B$1:$W$1=$AB9)*($B$2:$W$2=$AC9),0))</f>
        <v>1</v>
      </c>
      <c r="FS9" t="b" cm="1">
        <f t="array" ref="FS9">INDEX($B$1:$W$193,MATCH(FS$1,$B$1:$B$193,0),MATCH(1,($B$1:$W$1=$AB9)*($B$2:$W$2=$AC9),0))</f>
        <v>1</v>
      </c>
      <c r="FT9" t="b" cm="1">
        <f t="array" ref="FT9">INDEX($B$1:$W$193,MATCH(FT$1,$B$1:$B$193,0),MATCH(1,($B$1:$W$1=$AB9)*($B$2:$W$2=$AC9),0))</f>
        <v>1</v>
      </c>
      <c r="FU9" t="b" cm="1">
        <f t="array" ref="FU9">INDEX($B$1:$W$193,MATCH(FU$1,$B$1:$B$193,0),MATCH(1,($B$1:$W$1=$AB9)*($B$2:$W$2=$AC9),0))</f>
        <v>1</v>
      </c>
      <c r="FV9" t="b" cm="1">
        <f t="array" ref="FV9">INDEX($B$1:$W$193,MATCH(FV$1,$B$1:$B$193,0),MATCH(1,($B$1:$W$1=$AB9)*($B$2:$W$2=$AC9),0))</f>
        <v>1</v>
      </c>
      <c r="FW9" t="b" cm="1">
        <f t="array" ref="FW9">INDEX($B$1:$W$193,MATCH(FW$1,$B$1:$B$193,0),MATCH(1,($B$1:$W$1=$AB9)*($B$2:$W$2=$AC9),0))</f>
        <v>1</v>
      </c>
      <c r="FX9" t="b" cm="1">
        <f t="array" ref="FX9">INDEX($B$1:$W$193,MATCH(FX$1,$B$1:$B$193,0),MATCH(1,($B$1:$W$1=$AB9)*($B$2:$W$2=$AC9),0))</f>
        <v>1</v>
      </c>
      <c r="FY9" t="b" cm="1">
        <f t="array" ref="FY9">INDEX($B$1:$W$193,MATCH(FY$1,$B$1:$B$193,0),MATCH(1,($B$1:$W$1=$AB9)*($B$2:$W$2=$AC9),0))</f>
        <v>1</v>
      </c>
      <c r="FZ9" t="b" cm="1">
        <f t="array" ref="FZ9">INDEX($B$1:$W$193,MATCH(FZ$1,$B$1:$B$193,0),MATCH(1,($B$1:$W$1=$AB9)*($B$2:$W$2=$AC9),0))</f>
        <v>1</v>
      </c>
      <c r="GA9" t="b" cm="1">
        <f t="array" ref="GA9">INDEX($B$1:$W$193,MATCH(GA$1,$B$1:$B$193,0),MATCH(1,($B$1:$W$1=$AB9)*($B$2:$W$2=$AC9),0))</f>
        <v>1</v>
      </c>
      <c r="GB9" t="b" cm="1">
        <f t="array" ref="GB9">INDEX($B$1:$W$193,MATCH(GB$1,$B$1:$B$193,0),MATCH(1,($B$1:$W$1=$AB9)*($B$2:$W$2=$AC9),0))</f>
        <v>1</v>
      </c>
      <c r="GC9" t="b" cm="1">
        <f t="array" ref="GC9">INDEX($B$1:$W$193,MATCH(GC$1,$B$1:$B$193,0),MATCH(1,($B$1:$W$1=$AB9)*($B$2:$W$2=$AC9),0))</f>
        <v>1</v>
      </c>
      <c r="GD9" t="b" cm="1">
        <f t="array" ref="GD9">INDEX($B$1:$W$193,MATCH(GD$1,$B$1:$B$193,0),MATCH(1,($B$1:$W$1=$AB9)*($B$2:$W$2=$AC9),0))</f>
        <v>1</v>
      </c>
      <c r="GE9" t="b" cm="1">
        <f t="array" ref="GE9">INDEX($B$1:$W$193,MATCH(GE$1,$B$1:$B$193,0),MATCH(1,($B$1:$W$1=$AB9)*($B$2:$W$2=$AC9),0))</f>
        <v>1</v>
      </c>
      <c r="GF9" t="b" cm="1">
        <f t="array" ref="GF9">INDEX($B$1:$W$193,MATCH(GF$1,$B$1:$B$193,0),MATCH(1,($B$1:$W$1=$AB9)*($B$2:$W$2=$AC9),0))</f>
        <v>1</v>
      </c>
      <c r="GG9" t="b" cm="1">
        <f t="array" ref="GG9">INDEX($B$1:$W$193,MATCH(GG$1,$B$1:$B$193,0),MATCH(1,($B$1:$W$1=$AB9)*($B$2:$W$2=$AC9),0))</f>
        <v>1</v>
      </c>
      <c r="GH9" t="b" cm="1">
        <f t="array" ref="GH9">INDEX($B$1:$W$193,MATCH(GH$1,$B$1:$B$193,0),MATCH(1,($B$1:$W$1=$AB9)*($B$2:$W$2=$AC9),0))</f>
        <v>1</v>
      </c>
      <c r="GI9" t="b" cm="1">
        <f t="array" ref="GI9">INDEX($B$1:$W$193,MATCH(GI$1,$B$1:$B$193,0),MATCH(1,($B$1:$W$1=$AB9)*($B$2:$W$2=$AC9),0))</f>
        <v>1</v>
      </c>
      <c r="GJ9" t="b" cm="1">
        <f t="array" ref="GJ9">INDEX($B$1:$W$193,MATCH(GJ$1,$B$1:$B$193,0),MATCH(1,($B$1:$W$1=$AB9)*($B$2:$W$2=$AC9),0))</f>
        <v>1</v>
      </c>
      <c r="GK9" t="b" cm="1">
        <f t="array" ref="GK9">INDEX($B$1:$W$193,MATCH(GK$1,$B$1:$B$193,0),MATCH(1,($B$1:$W$1=$AB9)*($B$2:$W$2=$AC9),0))</f>
        <v>1</v>
      </c>
      <c r="GL9" t="b" cm="1">
        <f t="array" ref="GL9">INDEX($B$1:$W$193,MATCH(GL$1,$B$1:$B$193,0),MATCH(1,($B$1:$W$1=$AB9)*($B$2:$W$2=$AC9),0))</f>
        <v>1</v>
      </c>
      <c r="GM9" t="b" cm="1">
        <f t="array" ref="GM9">INDEX($B$1:$W$193,MATCH(GM$1,$B$1:$B$193,0),MATCH(1,($B$1:$W$1=$AB9)*($B$2:$W$2=$AC9),0))</f>
        <v>1</v>
      </c>
      <c r="GN9" t="b" cm="1">
        <f t="array" ref="GN9">INDEX($B$1:$W$193,MATCH(GN$1,$B$1:$B$193,0),MATCH(1,($B$1:$W$1=$AB9)*($B$2:$W$2=$AC9),0))</f>
        <v>1</v>
      </c>
      <c r="GO9" t="b" cm="1">
        <f t="array" ref="GO9">INDEX($B$1:$W$193,MATCH(GO$1,$B$1:$B$193,0),MATCH(1,($B$1:$W$1=$AB9)*($B$2:$W$2=$AC9),0))</f>
        <v>1</v>
      </c>
      <c r="GP9" t="b" cm="1">
        <f t="array" ref="GP9">INDEX($B$1:$W$193,MATCH(GP$1,$B$1:$B$193,0),MATCH(1,($B$1:$W$1=$AB9)*($B$2:$W$2=$AC9),0))</f>
        <v>1</v>
      </c>
      <c r="GQ9" t="b" cm="1">
        <f t="array" ref="GQ9">INDEX($B$1:$W$193,MATCH(GQ$1,$B$1:$B$193,0),MATCH(1,($B$1:$W$1=$AB9)*($B$2:$W$2=$AC9),0))</f>
        <v>1</v>
      </c>
      <c r="GR9" t="b" cm="1">
        <f t="array" ref="GR9">INDEX($B$1:$W$193,MATCH(GR$1,$B$1:$B$193,0),MATCH(1,($B$1:$W$1=$AB9)*($B$2:$W$2=$AC9),0))</f>
        <v>1</v>
      </c>
      <c r="GS9" t="b" cm="1">
        <f t="array" ref="GS9">INDEX($B$1:$W$193,MATCH(GS$1,$B$1:$B$193,0),MATCH(1,($B$1:$W$1=$AB9)*($B$2:$W$2=$AC9),0))</f>
        <v>1</v>
      </c>
      <c r="GT9" t="b" cm="1">
        <f t="array" ref="GT9">INDEX($B$1:$W$193,MATCH(GT$1,$B$1:$B$193,0),MATCH(1,($B$1:$W$1=$AB9)*($B$2:$W$2=$AC9),0))</f>
        <v>1</v>
      </c>
      <c r="GU9" t="b" cm="1">
        <f t="array" ref="GU9">INDEX($B$1:$W$193,MATCH(GU$1,$B$1:$B$193,0),MATCH(1,($B$1:$W$1=$AB9)*($B$2:$W$2=$AC9),0))</f>
        <v>1</v>
      </c>
      <c r="GV9" t="b" cm="1">
        <f t="array" ref="GV9">INDEX($B$1:$W$193,MATCH(GV$1,$B$1:$B$193,0),MATCH(1,($B$1:$W$1=$AB9)*($B$2:$W$2=$AC9),0))</f>
        <v>1</v>
      </c>
      <c r="GW9" t="b" cm="1">
        <f t="array" ref="GW9">INDEX($B$1:$W$193,MATCH(GW$1,$B$1:$B$193,0),MATCH(1,($B$1:$W$1=$AB9)*($B$2:$W$2=$AC9),0))</f>
        <v>1</v>
      </c>
      <c r="GX9" t="b" cm="1">
        <f t="array" ref="GX9">INDEX($B$1:$W$193,MATCH(GX$1,$B$1:$B$193,0),MATCH(1,($B$1:$W$1=$AB9)*($B$2:$W$2=$AC9),0))</f>
        <v>1</v>
      </c>
      <c r="GY9" t="b" cm="1">
        <f t="array" ref="GY9">INDEX($B$1:$W$193,MATCH(GY$1,$B$1:$B$193,0),MATCH(1,($B$1:$W$1=$AB9)*($B$2:$W$2=$AC9),0))</f>
        <v>1</v>
      </c>
      <c r="GZ9" t="b" cm="1">
        <f t="array" ref="GZ9">INDEX($B$1:$W$193,MATCH(GZ$1,$B$1:$B$193,0),MATCH(1,($B$1:$W$1=$AB9)*($B$2:$W$2=$AC9),0))</f>
        <v>1</v>
      </c>
      <c r="HA9" t="b" cm="1">
        <f t="array" ref="HA9">INDEX($B$1:$W$193,MATCH(HA$1,$B$1:$B$193,0),MATCH(1,($B$1:$W$1=$AB9)*($B$2:$W$2=$AC9),0))</f>
        <v>1</v>
      </c>
      <c r="HB9" t="b" cm="1">
        <f t="array" ref="HB9">INDEX($B$1:$W$193,MATCH(HB$1,$B$1:$B$193,0),MATCH(1,($B$1:$W$1=$AB9)*($B$2:$W$2=$AC9),0))</f>
        <v>1</v>
      </c>
      <c r="HC9" t="b" cm="1">
        <f t="array" ref="HC9">INDEX($B$1:$W$193,MATCH(HC$1,$B$1:$B$193,0),MATCH(1,($B$1:$W$1=$AB9)*($B$2:$W$2=$AC9),0))</f>
        <v>1</v>
      </c>
      <c r="HD9" t="b" cm="1">
        <f t="array" ref="HD9">INDEX($B$1:$W$193,MATCH(HD$1,$B$1:$B$193,0),MATCH(1,($B$1:$W$1=$AB9)*($B$2:$W$2=$AC9),0))</f>
        <v>1</v>
      </c>
      <c r="HE9" t="b" cm="1">
        <f t="array" ref="HE9">INDEX($B$1:$W$193,MATCH(HE$1,$B$1:$B$193,0),MATCH(1,($B$1:$W$1=$AB9)*($B$2:$W$2=$AC9),0))</f>
        <v>1</v>
      </c>
      <c r="HF9" t="b" cm="1">
        <f t="array" ref="HF9">INDEX($B$1:$W$193,MATCH(HF$1,$B$1:$B$193,0),MATCH(1,($B$1:$W$1=$AB9)*($B$2:$W$2=$AC9),0))</f>
        <v>1</v>
      </c>
      <c r="HG9" t="b" cm="1">
        <f t="array" ref="HG9">INDEX($B$1:$W$193,MATCH(HG$1,$B$1:$B$193,0),MATCH(1,($B$1:$W$1=$AB9)*($B$2:$W$2=$AC9),0))</f>
        <v>1</v>
      </c>
      <c r="HH9" t="b" cm="1">
        <f t="array" ref="HH9">INDEX($B$1:$W$193,MATCH(HH$1,$B$1:$B$193,0),MATCH(1,($B$1:$W$1=$AB9)*($B$2:$W$2=$AC9),0))</f>
        <v>1</v>
      </c>
      <c r="HI9" t="b" cm="1">
        <f t="array" ref="HI9">INDEX($B$1:$W$193,MATCH(HI$1,$B$1:$B$193,0),MATCH(1,($B$1:$W$1=$AB9)*($B$2:$W$2=$AC9),0))</f>
        <v>1</v>
      </c>
      <c r="HJ9" t="b" cm="1">
        <f t="array" ref="HJ9">INDEX($B$1:$W$193,MATCH(HJ$1,$B$1:$B$193,0),MATCH(1,($B$1:$W$1=$AB9)*($B$2:$W$2=$AC9),0))</f>
        <v>1</v>
      </c>
      <c r="HK9" t="b" cm="1">
        <f t="array" ref="HK9">INDEX($B$1:$W$193,MATCH(HK$1,$B$1:$B$193,0),MATCH(1,($B$1:$W$1=$AB9)*($B$2:$W$2=$AC9),0))</f>
        <v>1</v>
      </c>
      <c r="HL9" t="b" cm="1">
        <f t="array" ref="HL9">INDEX($B$1:$W$193,MATCH(HL$1,$B$1:$B$193,0),MATCH(1,($B$1:$W$1=$AB9)*($B$2:$W$2=$AC9),0))</f>
        <v>1</v>
      </c>
      <c r="HM9" t="b" cm="1">
        <f t="array" ref="HM9">INDEX($B$1:$W$193,MATCH(HM$1,$B$1:$B$193,0),MATCH(1,($B$1:$W$1=$AB9)*($B$2:$W$2=$AC9),0))</f>
        <v>1</v>
      </c>
      <c r="HN9" t="b" cm="1">
        <f t="array" ref="HN9">INDEX($B$1:$W$193,MATCH(HN$1,$B$1:$B$193,0),MATCH(1,($B$1:$W$1=$AB9)*($B$2:$W$2=$AC9),0))</f>
        <v>1</v>
      </c>
      <c r="HO9" t="b" cm="1">
        <f t="array" ref="HO9">INDEX($B$1:$W$193,MATCH(HO$1,$B$1:$B$193,0),MATCH(1,($B$1:$W$1=$AB9)*($B$2:$W$2=$AC9),0))</f>
        <v>1</v>
      </c>
      <c r="HP9" t="b" cm="1">
        <f t="array" ref="HP9">INDEX($B$1:$W$193,MATCH(HP$1,$B$1:$B$193,0),MATCH(1,($B$1:$W$1=$AB9)*($B$2:$W$2=$AC9),0))</f>
        <v>1</v>
      </c>
      <c r="HQ9" t="b" cm="1">
        <f t="array" ref="HQ9">INDEX($B$1:$W$193,MATCH(HQ$1,$B$1:$B$193,0),MATCH(1,($B$1:$W$1=$AB9)*($B$2:$W$2=$AC9),0))</f>
        <v>1</v>
      </c>
      <c r="HR9" t="b" cm="1">
        <f t="array" ref="HR9">INDEX($B$1:$W$193,MATCH(HR$1,$B$1:$B$193,0),MATCH(1,($B$1:$W$1=$AB9)*($B$2:$W$2=$AC9),0))</f>
        <v>1</v>
      </c>
      <c r="HS9" t="b" cm="1">
        <f t="array" ref="HS9">INDEX($B$1:$W$193,MATCH(HS$1,$B$1:$B$193,0),MATCH(1,($B$1:$W$1=$AB9)*($B$2:$W$2=$AC9),0))</f>
        <v>1</v>
      </c>
      <c r="HT9" t="b" cm="1">
        <f t="array" ref="HT9">INDEX($B$1:$W$193,MATCH(HT$1,$B$1:$B$193,0),MATCH(1,($B$1:$W$1=$AB9)*($B$2:$W$2=$AC9),0))</f>
        <v>1</v>
      </c>
      <c r="HU9" t="b" cm="1">
        <f t="array" ref="HU9">INDEX($B$1:$W$193,MATCH(HU$1,$B$1:$B$193,0),MATCH(1,($B$1:$W$1=$AB9)*($B$2:$W$2=$AC9),0))</f>
        <v>1</v>
      </c>
      <c r="HV9" t="b" cm="1">
        <f t="array" ref="HV9">INDEX($B$1:$W$193,MATCH(HV$1,$B$1:$B$193,0),MATCH(1,($B$1:$W$1=$AB9)*($B$2:$W$2=$AC9),0))</f>
        <v>1</v>
      </c>
      <c r="HW9" t="b" cm="1">
        <f t="array" ref="HW9">INDEX($B$1:$W$193,MATCH(HW$1,$B$1:$B$193,0),MATCH(1,($B$1:$W$1=$AB9)*($B$2:$W$2=$AC9),0))</f>
        <v>1</v>
      </c>
      <c r="HX9" t="b" cm="1">
        <f t="array" ref="HX9">INDEX($B$1:$W$193,MATCH(HX$1,$B$1:$B$193,0),MATCH(1,($B$1:$W$1=$AB9)*($B$2:$W$2=$AC9),0))</f>
        <v>1</v>
      </c>
      <c r="HY9" t="b" cm="1">
        <f t="array" ref="HY9">INDEX($B$1:$W$193,MATCH(HY$1,$B$1:$B$193,0),MATCH(1,($B$1:$W$1=$AB9)*($B$2:$W$2=$AC9),0))</f>
        <v>1</v>
      </c>
      <c r="HZ9" t="b" cm="1">
        <f t="array" ref="HZ9">INDEX($B$1:$W$193,MATCH(HZ$1,$B$1:$B$193,0),MATCH(1,($B$1:$W$1=$AB9)*($B$2:$W$2=$AC9),0))</f>
        <v>1</v>
      </c>
      <c r="IA9" t="b" cm="1">
        <f t="array" ref="IA9">INDEX($B$1:$W$193,MATCH(IA$1,$B$1:$B$193,0),MATCH(1,($B$1:$W$1=$AB9)*($B$2:$W$2=$AC9),0))</f>
        <v>1</v>
      </c>
      <c r="IB9" t="b" cm="1">
        <f t="array" ref="IB9">INDEX($B$1:$W$193,MATCH(IB$1,$B$1:$B$193,0),MATCH(1,($B$1:$W$1=$AB9)*($B$2:$W$2=$AC9),0))</f>
        <v>1</v>
      </c>
      <c r="IC9" t="b" cm="1">
        <f t="array" ref="IC9">INDEX($B$1:$W$193,MATCH(IC$1,$B$1:$B$193,0),MATCH(1,($B$1:$W$1=$AB9)*($B$2:$W$2=$AC9),0))</f>
        <v>1</v>
      </c>
      <c r="ID9" t="b" cm="1">
        <f t="array" ref="ID9">INDEX($B$1:$W$193,MATCH(ID$1,$B$1:$B$193,0),MATCH(1,($B$1:$W$1=$AB9)*($B$2:$W$2=$AC9),0))</f>
        <v>1</v>
      </c>
      <c r="IE9" t="b" cm="1">
        <f t="array" ref="IE9">INDEX($B$1:$W$193,MATCH(IE$1,$B$1:$B$193,0),MATCH(1,($B$1:$W$1=$AB9)*($B$2:$W$2=$AC9),0))</f>
        <v>1</v>
      </c>
      <c r="IF9" t="b" cm="1">
        <f t="array" ref="IF9">INDEX($B$1:$W$193,MATCH(IF$1,$B$1:$B$193,0),MATCH(1,($B$1:$W$1=$AB9)*($B$2:$W$2=$AC9),0))</f>
        <v>1</v>
      </c>
      <c r="IG9" t="b" cm="1">
        <f t="array" ref="IG9">INDEX($B$1:$W$193,MATCH(IG$1,$B$1:$B$193,0),MATCH(1,($B$1:$W$1=$AB9)*($B$2:$W$2=$AC9),0))</f>
        <v>1</v>
      </c>
      <c r="IH9" t="b" cm="1">
        <f t="array" ref="IH9">INDEX($B$1:$W$193,MATCH(IH$1,$B$1:$B$193,0),MATCH(1,($B$1:$W$1=$AB9)*($B$2:$W$2=$AC9),0))</f>
        <v>1</v>
      </c>
      <c r="II9" t="b" cm="1">
        <f t="array" ref="II9">INDEX($B$1:$W$193,MATCH(II$1,$B$1:$B$193,0),MATCH(1,($B$1:$W$1=$AB9)*($B$2:$W$2=$AC9),0))</f>
        <v>1</v>
      </c>
      <c r="IJ9" t="b" cm="1">
        <f t="array" ref="IJ9">INDEX($B$1:$W$193,MATCH(IJ$1,$B$1:$B$193,0),MATCH(1,($B$1:$W$1=$AB9)*($B$2:$W$2=$AC9),0))</f>
        <v>1</v>
      </c>
      <c r="IK9" t="b" cm="1">
        <f t="array" ref="IK9">INDEX($B$1:$W$193,MATCH(IK$1,$B$1:$B$193,0),MATCH(1,($B$1:$W$1=$AB9)*($B$2:$W$2=$AC9),0))</f>
        <v>1</v>
      </c>
      <c r="IL9" t="b" cm="1">
        <f t="array" ref="IL9">INDEX($B$1:$W$193,MATCH(IL$1,$B$1:$B$193,0),MATCH(1,($B$1:$W$1=$AB9)*($B$2:$W$2=$AC9),0))</f>
        <v>1</v>
      </c>
      <c r="IM9" t="b" cm="1">
        <f t="array" ref="IM9">INDEX($B$1:$W$193,MATCH(IM$1,$B$1:$B$193,0),MATCH(1,($B$1:$W$1=$AB9)*($B$2:$W$2=$AC9),0))</f>
        <v>1</v>
      </c>
      <c r="IN9" t="b" cm="1">
        <f t="array" ref="IN9">INDEX($B$1:$W$193,MATCH(IN$1,$B$1:$B$193,0),MATCH(1,($B$1:$W$1=$AB9)*($B$2:$W$2=$AC9),0))</f>
        <v>1</v>
      </c>
      <c r="IO9" t="b" cm="1">
        <f t="array" ref="IO9">INDEX($B$1:$W$193,MATCH(IO$1,$B$1:$B$193,0),MATCH(1,($B$1:$W$1=$AB9)*($B$2:$W$2=$AC9),0))</f>
        <v>1</v>
      </c>
      <c r="IP9" t="b" cm="1">
        <f t="array" ref="IP9">INDEX($B$1:$W$193,MATCH(IP$1,$B$1:$B$193,0),MATCH(1,($B$1:$W$1=$AB9)*($B$2:$W$2=$AC9),0))</f>
        <v>1</v>
      </c>
      <c r="IQ9" t="b" cm="1">
        <f t="array" ref="IQ9">INDEX($B$1:$W$193,MATCH(IQ$1,$B$1:$B$193,0),MATCH(1,($B$1:$W$1=$AB9)*($B$2:$W$2=$AC9),0))</f>
        <v>1</v>
      </c>
      <c r="IR9" t="b" cm="1">
        <f t="array" ref="IR9">INDEX($B$1:$W$193,MATCH(IR$1,$B$1:$B$193,0),MATCH(1,($B$1:$W$1=$AB9)*($B$2:$W$2=$AC9),0))</f>
        <v>1</v>
      </c>
      <c r="IS9" t="b" cm="1">
        <f t="array" ref="IS9">INDEX($B$1:$W$193,MATCH(IS$1,$B$1:$B$193,0),MATCH(1,($B$1:$W$1=$AB9)*($B$2:$W$2=$AC9),0))</f>
        <v>1</v>
      </c>
      <c r="IT9" t="b" cm="1">
        <f t="array" ref="IT9">INDEX($B$1:$W$193,MATCH(IT$1,$B$1:$B$193,0),MATCH(1,($B$1:$W$1=$AB9)*($B$2:$W$2=$AC9),0))</f>
        <v>1</v>
      </c>
      <c r="IU9" t="b" cm="1">
        <f t="array" ref="IU9">INDEX($B$1:$W$193,MATCH(IU$1,$B$1:$B$193,0),MATCH(1,($B$1:$W$1=$AB9)*($B$2:$W$2=$AC9),0))</f>
        <v>1</v>
      </c>
      <c r="IV9" t="b" cm="1">
        <f t="array" ref="IV9">INDEX($B$1:$W$193,MATCH(IV$1,$B$1:$B$193,0),MATCH(1,($B$1:$W$1=$AB9)*($B$2:$W$2=$AC9),0))</f>
        <v>1</v>
      </c>
      <c r="IW9" t="b" cm="1">
        <f t="array" ref="IW9">INDEX($B$1:$W$193,MATCH(IW$1,$B$1:$B$193,0),MATCH(1,($B$1:$W$1=$AB9)*($B$2:$W$2=$AC9),0))</f>
        <v>1</v>
      </c>
      <c r="IX9" t="b" cm="1">
        <f t="array" ref="IX9">INDEX($B$1:$W$193,MATCH(IX$1,$B$1:$B$193,0),MATCH(1,($B$1:$W$1=$AB9)*($B$2:$W$2=$AC9),0))</f>
        <v>1</v>
      </c>
      <c r="IY9" t="b" cm="1">
        <f t="array" ref="IY9">INDEX($B$1:$W$193,MATCH(IY$1,$B$1:$B$193,0),MATCH(1,($B$1:$W$1=$AB9)*($B$2:$W$2=$AC9),0))</f>
        <v>1</v>
      </c>
      <c r="IZ9" t="b" cm="1">
        <f t="array" ref="IZ9">INDEX($B$1:$W$193,MATCH(IZ$1,$B$1:$B$193,0),MATCH(1,($B$1:$W$1=$AB9)*($B$2:$W$2=$AC9),0))</f>
        <v>1</v>
      </c>
      <c r="JA9" t="b" cm="1">
        <f t="array" ref="JA9">INDEX($B$1:$W$193,MATCH(JA$1,$B$1:$B$193,0),MATCH(1,($B$1:$W$1=$AB9)*($B$2:$W$2=$AC9),0))</f>
        <v>1</v>
      </c>
      <c r="JB9" t="b" cm="1">
        <f t="array" ref="JB9">INDEX($B$1:$W$193,MATCH(JB$1,$B$1:$B$193,0),MATCH(1,($B$1:$W$1=$AB9)*($B$2:$W$2=$AC9),0))</f>
        <v>1</v>
      </c>
      <c r="JC9" t="b" cm="1">
        <f t="array" ref="JC9">INDEX($B$1:$W$193,MATCH(JC$1,$B$1:$B$193,0),MATCH(1,($B$1:$W$1=$AB9)*($B$2:$W$2=$AC9),0))</f>
        <v>1</v>
      </c>
      <c r="JD9" t="b" cm="1">
        <f t="array" ref="JD9">INDEX($B$1:$W$193,MATCH(JD$1,$B$1:$B$193,0),MATCH(1,($B$1:$W$1=$AB9)*($B$2:$W$2=$AC9),0))</f>
        <v>1</v>
      </c>
      <c r="JE9" t="b" cm="1">
        <f t="array" ref="JE9">INDEX($B$1:$W$193,MATCH(JE$1,$B$1:$B$193,0),MATCH(1,($B$1:$W$1=$AB9)*($B$2:$W$2=$AC9),0))</f>
        <v>1</v>
      </c>
      <c r="JF9" t="b" cm="1">
        <f t="array" ref="JF9">INDEX($B$1:$W$193,MATCH(JF$1,$B$1:$B$193,0),MATCH(1,($B$1:$W$1=$AB9)*($B$2:$W$2=$AC9),0))</f>
        <v>1</v>
      </c>
      <c r="JG9" t="b" cm="1">
        <f t="array" ref="JG9">INDEX($B$1:$W$193,MATCH(JG$1,$B$1:$B$193,0),MATCH(1,($B$1:$W$1=$AB9)*($B$2:$W$2=$AC9),0))</f>
        <v>1</v>
      </c>
      <c r="JH9" t="b" cm="1">
        <f t="array" ref="JH9">INDEX($B$1:$W$193,MATCH(JH$1,$B$1:$B$193,0),MATCH(1,($B$1:$W$1=$AB9)*($B$2:$W$2=$AC9),0))</f>
        <v>1</v>
      </c>
    </row>
    <row r="10" spans="1:268" x14ac:dyDescent="0.25">
      <c r="A10" t="s">
        <v>164</v>
      </c>
      <c r="B10" s="51">
        <v>15</v>
      </c>
      <c r="C10">
        <v>2</v>
      </c>
      <c r="D10">
        <v>3</v>
      </c>
      <c r="E10" t="b">
        <f t="shared" si="1"/>
        <v>1</v>
      </c>
      <c r="F10" t="b">
        <f t="shared" si="0"/>
        <v>1</v>
      </c>
      <c r="G10" t="b">
        <f t="shared" si="0"/>
        <v>1</v>
      </c>
      <c r="H10" t="b">
        <f t="shared" si="0"/>
        <v>0</v>
      </c>
      <c r="I10" t="b">
        <f t="shared" si="0"/>
        <v>0</v>
      </c>
      <c r="J10" t="b">
        <f t="shared" si="0"/>
        <v>0</v>
      </c>
      <c r="K10" t="b">
        <f t="shared" si="0"/>
        <v>1</v>
      </c>
      <c r="L10" t="b">
        <f t="shared" si="0"/>
        <v>1</v>
      </c>
      <c r="M10" t="b">
        <f t="shared" si="0"/>
        <v>1</v>
      </c>
      <c r="N10" t="b">
        <f t="shared" si="0"/>
        <v>0</v>
      </c>
      <c r="O10" t="b">
        <f t="shared" si="0"/>
        <v>0</v>
      </c>
      <c r="P10" t="b">
        <f t="shared" si="0"/>
        <v>0</v>
      </c>
      <c r="Q10" t="b">
        <v>1</v>
      </c>
      <c r="R10" t="b" cm="1">
        <f t="array" ref="R10">_xlfn.IFS(C10=1,FALSE,OR(C10=2,C10&gt;2),TRUE)</f>
        <v>1</v>
      </c>
      <c r="S10" t="b" cm="1">
        <f t="array" ref="S10">_xlfn.IFS(OR(C10=1,C10=2),FALSE,OR(C10=3,C10&gt;3),TRUE)</f>
        <v>0</v>
      </c>
      <c r="T10" t="str">
        <f t="shared" si="2"/>
        <v>TRUE</v>
      </c>
      <c r="U10" t="str">
        <f t="shared" si="3"/>
        <v>FALSE</v>
      </c>
      <c r="V10" t="str">
        <f t="shared" si="4"/>
        <v>FALSE</v>
      </c>
      <c r="W10" t="b" cm="1">
        <f t="array" ref="W10">_xlfn.IFS(H10=1,FALSE,OR(H10=2,H10&gt;2),TRUE)</f>
        <v>1</v>
      </c>
      <c r="X10" t="b" cm="1">
        <f t="array" ref="X10">_xlfn.IFS(H10=1,FALSE,OR(H10=2,H10&gt;2),TRUE)</f>
        <v>1</v>
      </c>
      <c r="Y10" t="b" cm="1">
        <f t="array" ref="Y10">_xlfn.IFS(H10=1,FALSE,OR(H10=2,H10&gt;2),TRUE)</f>
        <v>1</v>
      </c>
      <c r="AB10" t="s">
        <v>1</v>
      </c>
      <c r="AC10" t="s">
        <v>85</v>
      </c>
      <c r="AD10" t="b" cm="1">
        <f t="array" ref="AD10">INDEX($B$1:$W$193,MATCH(AD$1,$B$1:$B$193,0),MATCH(1,($B$1:$W$1=$AB10)*($B$2:$W$2=$AC10),0))</f>
        <v>1</v>
      </c>
      <c r="AE10" t="b" cm="1">
        <f t="array" ref="AE10">INDEX($B$1:$W$193,MATCH(AE$1,$B$1:$B$193,0),MATCH(1,($B$1:$W$1=$AB10)*($B$2:$W$2=$AC10),0))</f>
        <v>1</v>
      </c>
      <c r="AF10" t="b" cm="1">
        <f t="array" ref="AF10">INDEX($B$1:$W$193,MATCH(AF$1,$B$1:$B$193,0),MATCH(1,($B$1:$W$1=$AB10)*($B$2:$W$2=$AC10),0))</f>
        <v>1</v>
      </c>
      <c r="AG10" t="b" cm="1">
        <f t="array" ref="AG10">INDEX($B$1:$W$193,MATCH(AG$1,$B$1:$B$193,0),MATCH(1,($B$1:$W$1=$AB10)*($B$2:$W$2=$AC10),0))</f>
        <v>1</v>
      </c>
      <c r="AH10" t="b" cm="1">
        <f t="array" ref="AH10">INDEX($B$1:$W$193,MATCH(AH$1,$B$1:$B$193,0),MATCH(1,($B$1:$W$1=$AB10)*($B$2:$W$2=$AC10),0))</f>
        <v>1</v>
      </c>
      <c r="AI10" t="b" cm="1">
        <f t="array" ref="AI10">INDEX($B$1:$W$193,MATCH(AI$1,$B$1:$B$193,0),MATCH(1,($B$1:$W$1=$AB10)*($B$2:$W$2=$AC10),0))</f>
        <v>1</v>
      </c>
      <c r="AJ10" t="b" cm="1">
        <f t="array" ref="AJ10">INDEX($B$1:$W$193,MATCH(AJ$1,$B$1:$B$193,0),MATCH(1,($B$1:$W$1=$AB10)*($B$2:$W$2=$AC10),0))</f>
        <v>1</v>
      </c>
      <c r="AK10" t="b" cm="1">
        <f t="array" ref="AK10">INDEX($B$1:$W$193,MATCH(AK$1,$B$1:$B$193,0),MATCH(1,($B$1:$W$1=$AB10)*($B$2:$W$2=$AC10),0))</f>
        <v>1</v>
      </c>
      <c r="AL10" t="b" cm="1">
        <f t="array" ref="AL10">INDEX($B$1:$W$193,MATCH(AL$1,$B$1:$B$193,0),MATCH(1,($B$1:$W$1=$AB10)*($B$2:$W$2=$AC10),0))</f>
        <v>1</v>
      </c>
      <c r="AM10" t="b" cm="1">
        <f t="array" ref="AM10">INDEX($B$1:$W$193,MATCH(AM$1,$B$1:$B$193,0),MATCH(1,($B$1:$W$1=$AB10)*($B$2:$W$2=$AC10),0))</f>
        <v>1</v>
      </c>
      <c r="AN10" t="b" cm="1">
        <f t="array" ref="AN10">INDEX($B$1:$W$193,MATCH(AN$1,$B$1:$B$193,0),MATCH(1,($B$1:$W$1=$AB10)*($B$2:$W$2=$AC10),0))</f>
        <v>1</v>
      </c>
      <c r="AO10" t="b" cm="1">
        <f t="array" ref="AO10">INDEX($B$1:$W$193,MATCH(AO$1,$B$1:$B$193,0),MATCH(1,($B$1:$W$1=$AB10)*($B$2:$W$2=$AC10),0))</f>
        <v>1</v>
      </c>
      <c r="AP10" t="b" cm="1">
        <f t="array" ref="AP10">INDEX($B$1:$W$193,MATCH(AP$1,$B$1:$B$193,0),MATCH(1,($B$1:$W$1=$AB10)*($B$2:$W$2=$AC10),0))</f>
        <v>1</v>
      </c>
      <c r="AQ10" t="b" cm="1">
        <f t="array" ref="AQ10">INDEX($B$1:$W$193,MATCH(AQ$1,$B$1:$B$193,0),MATCH(1,($B$1:$W$1=$AB10)*($B$2:$W$2=$AC10),0))</f>
        <v>1</v>
      </c>
      <c r="AR10" t="b" cm="1">
        <f t="array" ref="AR10">INDEX($B$1:$W$193,MATCH(AR$1,$B$1:$B$193,0),MATCH(1,($B$1:$W$1=$AB10)*($B$2:$W$2=$AC10),0))</f>
        <v>1</v>
      </c>
      <c r="AS10" t="b" cm="1">
        <f t="array" ref="AS10">INDEX($B$1:$W$193,MATCH(AS$1,$B$1:$B$193,0),MATCH(1,($B$1:$W$1=$AB10)*($B$2:$W$2=$AC10),0))</f>
        <v>1</v>
      </c>
      <c r="AT10" t="b" cm="1">
        <f t="array" ref="AT10">INDEX($B$1:$W$193,MATCH(AT$1,$B$1:$B$193,0),MATCH(1,($B$1:$W$1=$AB10)*($B$2:$W$2=$AC10),0))</f>
        <v>1</v>
      </c>
      <c r="AU10" t="b" cm="1">
        <f t="array" ref="AU10">INDEX($B$1:$W$193,MATCH(AU$1,$B$1:$B$193,0),MATCH(1,($B$1:$W$1=$AB10)*($B$2:$W$2=$AC10),0))</f>
        <v>1</v>
      </c>
      <c r="AV10" t="b" cm="1">
        <f t="array" ref="AV10">INDEX($B$1:$W$193,MATCH(AV$1,$B$1:$B$193,0),MATCH(1,($B$1:$W$1=$AB10)*($B$2:$W$2=$AC10),0))</f>
        <v>1</v>
      </c>
      <c r="AW10" t="b" cm="1">
        <f t="array" ref="AW10">INDEX($B$1:$W$193,MATCH(AW$1,$B$1:$B$193,0),MATCH(1,($B$1:$W$1=$AB10)*($B$2:$W$2=$AC10),0))</f>
        <v>1</v>
      </c>
      <c r="AX10" t="b" cm="1">
        <f t="array" ref="AX10">INDEX($B$1:$W$193,MATCH(AX$1,$B$1:$B$193,0),MATCH(1,($B$1:$W$1=$AB10)*($B$2:$W$2=$AC10),0))</f>
        <v>1</v>
      </c>
      <c r="AY10" t="b" cm="1">
        <f t="array" ref="AY10">INDEX($B$1:$W$193,MATCH(AY$1,$B$1:$B$193,0),MATCH(1,($B$1:$W$1=$AB10)*($B$2:$W$2=$AC10),0))</f>
        <v>1</v>
      </c>
      <c r="AZ10" t="b" cm="1">
        <f t="array" ref="AZ10">INDEX($B$1:$W$193,MATCH(AZ$1,$B$1:$B$193,0),MATCH(1,($B$1:$W$1=$AB10)*($B$2:$W$2=$AC10),0))</f>
        <v>1</v>
      </c>
      <c r="BA10" t="b" cm="1">
        <f t="array" ref="BA10">INDEX($B$1:$W$193,MATCH(BA$1,$B$1:$B$193,0),MATCH(1,($B$1:$W$1=$AB10)*($B$2:$W$2=$AC10),0))</f>
        <v>1</v>
      </c>
      <c r="BB10" t="b" cm="1">
        <f t="array" ref="BB10">INDEX($B$1:$W$193,MATCH(BB$1,$B$1:$B$193,0),MATCH(1,($B$1:$W$1=$AB10)*($B$2:$W$2=$AC10),0))</f>
        <v>1</v>
      </c>
      <c r="BC10" t="b" cm="1">
        <f t="array" ref="BC10">INDEX($B$1:$W$193,MATCH(BC$1,$B$1:$B$193,0),MATCH(1,($B$1:$W$1=$AB10)*($B$2:$W$2=$AC10),0))</f>
        <v>1</v>
      </c>
      <c r="BD10" t="b" cm="1">
        <f t="array" ref="BD10">INDEX($B$1:$W$193,MATCH(BD$1,$B$1:$B$193,0),MATCH(1,($B$1:$W$1=$AB10)*($B$2:$W$2=$AC10),0))</f>
        <v>1</v>
      </c>
      <c r="BE10" t="b" cm="1">
        <f t="array" ref="BE10">INDEX($B$1:$W$193,MATCH(BE$1,$B$1:$B$193,0),MATCH(1,($B$1:$W$1=$AB10)*($B$2:$W$2=$AC10),0))</f>
        <v>1</v>
      </c>
      <c r="BF10" t="b" cm="1">
        <f t="array" ref="BF10">INDEX($B$1:$W$193,MATCH(BF$1,$B$1:$B$193,0),MATCH(1,($B$1:$W$1=$AB10)*($B$2:$W$2=$AC10),0))</f>
        <v>0</v>
      </c>
      <c r="BG10" t="b" cm="1">
        <f t="array" ref="BG10">INDEX($B$1:$W$193,MATCH(BG$1,$B$1:$B$193,0),MATCH(1,($B$1:$W$1=$AB10)*($B$2:$W$2=$AC10),0))</f>
        <v>0</v>
      </c>
      <c r="BH10" t="b" cm="1">
        <f t="array" ref="BH10">INDEX($B$1:$W$193,MATCH(BH$1,$B$1:$B$193,0),MATCH(1,($B$1:$W$1=$AB10)*($B$2:$W$2=$AC10),0))</f>
        <v>1</v>
      </c>
      <c r="BI10" t="b" cm="1">
        <f t="array" ref="BI10">INDEX($B$1:$W$193,MATCH(BI$1,$B$1:$B$193,0),MATCH(1,($B$1:$W$1=$AB10)*($B$2:$W$2=$AC10),0))</f>
        <v>1</v>
      </c>
      <c r="BJ10" t="b" cm="1">
        <f t="array" ref="BJ10">INDEX($B$1:$W$193,MATCH(BJ$1,$B$1:$B$193,0),MATCH(1,($B$1:$W$1=$AB10)*($B$2:$W$2=$AC10),0))</f>
        <v>1</v>
      </c>
      <c r="BK10" t="b" cm="1">
        <f t="array" ref="BK10">INDEX($B$1:$W$193,MATCH(BK$1,$B$1:$B$193,0),MATCH(1,($B$1:$W$1=$AB10)*($B$2:$W$2=$AC10),0))</f>
        <v>1</v>
      </c>
      <c r="BL10" t="b" cm="1">
        <f t="array" ref="BL10">INDEX($B$1:$W$193,MATCH(BL$1,$B$1:$B$193,0),MATCH(1,($B$1:$W$1=$AB10)*($B$2:$W$2=$AC10),0))</f>
        <v>1</v>
      </c>
      <c r="BM10" t="b" cm="1">
        <f t="array" ref="BM10">INDEX($B$1:$W$193,MATCH(BM$1,$B$1:$B$193,0),MATCH(1,($B$1:$W$1=$AB10)*($B$2:$W$2=$AC10),0))</f>
        <v>1</v>
      </c>
      <c r="BN10" t="b" cm="1">
        <f t="array" ref="BN10">INDEX($B$1:$W$193,MATCH(BN$1,$B$1:$B$193,0),MATCH(1,($B$1:$W$1=$AB10)*($B$2:$W$2=$AC10),0))</f>
        <v>1</v>
      </c>
      <c r="BO10" t="b" cm="1">
        <f t="array" ref="BO10">INDEX($B$1:$W$193,MATCH(BO$1,$B$1:$B$193,0),MATCH(1,($B$1:$W$1=$AB10)*($B$2:$W$2=$AC10),0))</f>
        <v>1</v>
      </c>
      <c r="BP10" t="b" cm="1">
        <f t="array" ref="BP10">INDEX($B$1:$W$193,MATCH(BP$1,$B$1:$B$193,0),MATCH(1,($B$1:$W$1=$AB10)*($B$2:$W$2=$AC10),0))</f>
        <v>1</v>
      </c>
      <c r="BQ10" t="b" cm="1">
        <f t="array" ref="BQ10">INDEX($B$1:$W$193,MATCH(BQ$1,$B$1:$B$193,0),MATCH(1,($B$1:$W$1=$AB10)*($B$2:$W$2=$AC10),0))</f>
        <v>1</v>
      </c>
      <c r="BR10" t="b" cm="1">
        <f t="array" ref="BR10">INDEX($B$1:$W$193,MATCH(BR$1,$B$1:$B$193,0),MATCH(1,($B$1:$W$1=$AB10)*($B$2:$W$2=$AC10),0))</f>
        <v>1</v>
      </c>
      <c r="BS10" t="b" cm="1">
        <f t="array" ref="BS10">INDEX($B$1:$W$193,MATCH(BS$1,$B$1:$B$193,0),MATCH(1,($B$1:$W$1=$AB10)*($B$2:$W$2=$AC10),0))</f>
        <v>1</v>
      </c>
      <c r="BT10" t="b" cm="1">
        <f t="array" ref="BT10">INDEX($B$1:$W$193,MATCH(BT$1,$B$1:$B$193,0),MATCH(1,($B$1:$W$1=$AB10)*($B$2:$W$2=$AC10),0))</f>
        <v>1</v>
      </c>
      <c r="BU10" t="b" cm="1">
        <f t="array" ref="BU10">INDEX($B$1:$W$193,MATCH(BU$1,$B$1:$B$193,0),MATCH(1,($B$1:$W$1=$AB10)*($B$2:$W$2=$AC10),0))</f>
        <v>1</v>
      </c>
      <c r="BV10" t="b" cm="1">
        <f t="array" ref="BV10">INDEX($B$1:$W$193,MATCH(BV$1,$B$1:$B$193,0),MATCH(1,($B$1:$W$1=$AB10)*($B$2:$W$2=$AC10),0))</f>
        <v>1</v>
      </c>
      <c r="BW10" t="b" cm="1">
        <f t="array" ref="BW10">INDEX($B$1:$W$193,MATCH(BW$1,$B$1:$B$193,0),MATCH(1,($B$1:$W$1=$AB10)*($B$2:$W$2=$AC10),0))</f>
        <v>1</v>
      </c>
      <c r="BX10" t="b" cm="1">
        <f t="array" ref="BX10">INDEX($B$1:$W$193,MATCH(BX$1,$B$1:$B$193,0),MATCH(1,($B$1:$W$1=$AB10)*($B$2:$W$2=$AC10),0))</f>
        <v>1</v>
      </c>
      <c r="BY10" t="b" cm="1">
        <f t="array" ref="BY10">INDEX($B$1:$W$193,MATCH(BY$1,$B$1:$B$193,0),MATCH(1,($B$1:$W$1=$AB10)*($B$2:$W$2=$AC10),0))</f>
        <v>1</v>
      </c>
      <c r="BZ10" t="b" cm="1">
        <f t="array" ref="BZ10">INDEX($B$1:$W$193,MATCH(BZ$1,$B$1:$B$193,0),MATCH(1,($B$1:$W$1=$AB10)*($B$2:$W$2=$AC10),0))</f>
        <v>1</v>
      </c>
      <c r="CA10" t="b" cm="1">
        <f t="array" ref="CA10">INDEX($B$1:$W$193,MATCH(CA$1,$B$1:$B$193,0),MATCH(1,($B$1:$W$1=$AB10)*($B$2:$W$2=$AC10),0))</f>
        <v>1</v>
      </c>
      <c r="CB10" t="b" cm="1">
        <f t="array" ref="CB10">INDEX($B$1:$W$193,MATCH(CB$1,$B$1:$B$193,0),MATCH(1,($B$1:$W$1=$AB10)*($B$2:$W$2=$AC10),0))</f>
        <v>1</v>
      </c>
      <c r="CC10" t="b" cm="1">
        <f t="array" ref="CC10">INDEX($B$1:$W$193,MATCH(CC$1,$B$1:$B$193,0),MATCH(1,($B$1:$W$1=$AB10)*($B$2:$W$2=$AC10),0))</f>
        <v>1</v>
      </c>
      <c r="CD10" t="b" cm="1">
        <f t="array" ref="CD10">INDEX($B$1:$W$193,MATCH(CD$1,$B$1:$B$193,0),MATCH(1,($B$1:$W$1=$AB10)*($B$2:$W$2=$AC10),0))</f>
        <v>1</v>
      </c>
      <c r="CE10" t="b" cm="1">
        <f t="array" ref="CE10">INDEX($B$1:$W$193,MATCH(CE$1,$B$1:$B$193,0),MATCH(1,($B$1:$W$1=$AB10)*($B$2:$W$2=$AC10),0))</f>
        <v>1</v>
      </c>
      <c r="CF10" t="b" cm="1">
        <f t="array" ref="CF10">INDEX($B$1:$W$193,MATCH(CF$1,$B$1:$B$193,0),MATCH(1,($B$1:$W$1=$AB10)*($B$2:$W$2=$AC10),0))</f>
        <v>1</v>
      </c>
      <c r="CG10" t="b" cm="1">
        <f t="array" ref="CG10">INDEX($B$1:$W$193,MATCH(CG$1,$B$1:$B$193,0),MATCH(1,($B$1:$W$1=$AB10)*($B$2:$W$2=$AC10),0))</f>
        <v>1</v>
      </c>
      <c r="CH10" t="b" cm="1">
        <f t="array" ref="CH10">INDEX($B$1:$W$193,MATCH(CH$1,$B$1:$B$193,0),MATCH(1,($B$1:$W$1=$AB10)*($B$2:$W$2=$AC10),0))</f>
        <v>1</v>
      </c>
      <c r="CI10" t="b" cm="1">
        <f t="array" ref="CI10">INDEX($B$1:$W$193,MATCH(CI$1,$B$1:$B$193,0),MATCH(1,($B$1:$W$1=$AB10)*($B$2:$W$2=$AC10),0))</f>
        <v>1</v>
      </c>
      <c r="CJ10" t="b" cm="1">
        <f t="array" ref="CJ10">INDEX($B$1:$W$193,MATCH(CJ$1,$B$1:$B$193,0),MATCH(1,($B$1:$W$1=$AB10)*($B$2:$W$2=$AC10),0))</f>
        <v>1</v>
      </c>
      <c r="CK10" t="b" cm="1">
        <f t="array" ref="CK10">INDEX($B$1:$W$193,MATCH(CK$1,$B$1:$B$193,0),MATCH(1,($B$1:$W$1=$AB10)*($B$2:$W$2=$AC10),0))</f>
        <v>1</v>
      </c>
      <c r="CL10" t="b" cm="1">
        <f t="array" ref="CL10">INDEX($B$1:$W$193,MATCH(CL$1,$B$1:$B$193,0),MATCH(1,($B$1:$W$1=$AB10)*($B$2:$W$2=$AC10),0))</f>
        <v>1</v>
      </c>
      <c r="CM10" t="b" cm="1">
        <f t="array" ref="CM10">INDEX($B$1:$W$193,MATCH(CM$1,$B$1:$B$193,0),MATCH(1,($B$1:$W$1=$AB10)*($B$2:$W$2=$AC10),0))</f>
        <v>1</v>
      </c>
      <c r="CN10" t="b" cm="1">
        <f t="array" ref="CN10">INDEX($B$1:$W$193,MATCH(CN$1,$B$1:$B$193,0),MATCH(1,($B$1:$W$1=$AB10)*($B$2:$W$2=$AC10),0))</f>
        <v>1</v>
      </c>
      <c r="CO10" t="b" cm="1">
        <f t="array" ref="CO10">INDEX($B$1:$W$193,MATCH(CO$1,$B$1:$B$193,0),MATCH(1,($B$1:$W$1=$AB10)*($B$2:$W$2=$AC10),0))</f>
        <v>1</v>
      </c>
      <c r="CP10" t="b" cm="1">
        <f t="array" ref="CP10">INDEX($B$1:$W$193,MATCH(CP$1,$B$1:$B$193,0),MATCH(1,($B$1:$W$1=$AB10)*($B$2:$W$2=$AC10),0))</f>
        <v>1</v>
      </c>
      <c r="CQ10" t="b" cm="1">
        <f t="array" ref="CQ10">INDEX($B$1:$W$193,MATCH(CQ$1,$B$1:$B$193,0),MATCH(1,($B$1:$W$1=$AB10)*($B$2:$W$2=$AC10),0))</f>
        <v>1</v>
      </c>
      <c r="CR10" t="b" cm="1">
        <f t="array" ref="CR10">INDEX($B$1:$W$193,MATCH(CR$1,$B$1:$B$193,0),MATCH(1,($B$1:$W$1=$AB10)*($B$2:$W$2=$AC10),0))</f>
        <v>1</v>
      </c>
      <c r="CS10" t="b" cm="1">
        <f t="array" ref="CS10">INDEX($B$1:$W$193,MATCH(CS$1,$B$1:$B$193,0),MATCH(1,($B$1:$W$1=$AB10)*($B$2:$W$2=$AC10),0))</f>
        <v>1</v>
      </c>
      <c r="CT10" t="b" cm="1">
        <f t="array" ref="CT10">INDEX($B$1:$W$193,MATCH(CT$1,$B$1:$B$193,0),MATCH(1,($B$1:$W$1=$AB10)*($B$2:$W$2=$AC10),0))</f>
        <v>1</v>
      </c>
      <c r="CU10" t="b" cm="1">
        <f t="array" ref="CU10">INDEX($B$1:$W$193,MATCH(CU$1,$B$1:$B$193,0),MATCH(1,($B$1:$W$1=$AB10)*($B$2:$W$2=$AC10),0))</f>
        <v>1</v>
      </c>
      <c r="CV10" t="b" cm="1">
        <f t="array" ref="CV10">INDEX($B$1:$W$193,MATCH(CV$1,$B$1:$B$193,0),MATCH(1,($B$1:$W$1=$AB10)*($B$2:$W$2=$AC10),0))</f>
        <v>1</v>
      </c>
      <c r="CW10" t="b" cm="1">
        <f t="array" ref="CW10">INDEX($B$1:$W$193,MATCH(CW$1,$B$1:$B$193,0),MATCH(1,($B$1:$W$1=$AB10)*($B$2:$W$2=$AC10),0))</f>
        <v>1</v>
      </c>
      <c r="CX10" t="b" cm="1">
        <f t="array" ref="CX10">INDEX($B$1:$W$193,MATCH(CX$1,$B$1:$B$193,0),MATCH(1,($B$1:$W$1=$AB10)*($B$2:$W$2=$AC10),0))</f>
        <v>1</v>
      </c>
      <c r="CY10" t="b" cm="1">
        <f t="array" ref="CY10">INDEX($B$1:$W$193,MATCH(CY$1,$B$1:$B$193,0),MATCH(1,($B$1:$W$1=$AB10)*($B$2:$W$2=$AC10),0))</f>
        <v>1</v>
      </c>
      <c r="CZ10" t="b" cm="1">
        <f t="array" ref="CZ10">INDEX($B$1:$W$193,MATCH(CZ$1,$B$1:$B$193,0),MATCH(1,($B$1:$W$1=$AB10)*($B$2:$W$2=$AC10),0))</f>
        <v>1</v>
      </c>
      <c r="DA10" t="b" cm="1">
        <f t="array" ref="DA10">INDEX($B$1:$W$193,MATCH(DA$1,$B$1:$B$193,0),MATCH(1,($B$1:$W$1=$AB10)*($B$2:$W$2=$AC10),0))</f>
        <v>1</v>
      </c>
      <c r="DB10" t="b" cm="1">
        <f t="array" ref="DB10">INDEX($B$1:$W$193,MATCH(DB$1,$B$1:$B$193,0),MATCH(1,($B$1:$W$1=$AB10)*($B$2:$W$2=$AC10),0))</f>
        <v>1</v>
      </c>
      <c r="DC10" t="b" cm="1">
        <f t="array" ref="DC10">INDEX($B$1:$W$193,MATCH(DC$1,$B$1:$B$193,0),MATCH(1,($B$1:$W$1=$AB10)*($B$2:$W$2=$AC10),0))</f>
        <v>1</v>
      </c>
      <c r="DD10" t="b" cm="1">
        <f t="array" ref="DD10">INDEX($B$1:$W$193,MATCH(DD$1,$B$1:$B$193,0),MATCH(1,($B$1:$W$1=$AB10)*($B$2:$W$2=$AC10),0))</f>
        <v>1</v>
      </c>
      <c r="DE10" t="b" cm="1">
        <f t="array" ref="DE10">INDEX($B$1:$W$193,MATCH(DE$1,$B$1:$B$193,0),MATCH(1,($B$1:$W$1=$AB10)*($B$2:$W$2=$AC10),0))</f>
        <v>1</v>
      </c>
      <c r="DF10" t="b" cm="1">
        <f t="array" ref="DF10">INDEX($B$1:$W$193,MATCH(DF$1,$B$1:$B$193,0),MATCH(1,($B$1:$W$1=$AB10)*($B$2:$W$2=$AC10),0))</f>
        <v>1</v>
      </c>
      <c r="DG10" t="b" cm="1">
        <f t="array" ref="DG10">INDEX($B$1:$W$193,MATCH(DG$1,$B$1:$B$193,0),MATCH(1,($B$1:$W$1=$AB10)*($B$2:$W$2=$AC10),0))</f>
        <v>1</v>
      </c>
      <c r="DH10" t="b" cm="1">
        <f t="array" ref="DH10">INDEX($B$1:$W$193,MATCH(DH$1,$B$1:$B$193,0),MATCH(1,($B$1:$W$1=$AB10)*($B$2:$W$2=$AC10),0))</f>
        <v>1</v>
      </c>
      <c r="DI10" t="b" cm="1">
        <f t="array" ref="DI10">INDEX($B$1:$W$193,MATCH(DI$1,$B$1:$B$193,0),MATCH(1,($B$1:$W$1=$AB10)*($B$2:$W$2=$AC10),0))</f>
        <v>1</v>
      </c>
      <c r="DJ10" t="b" cm="1">
        <f t="array" ref="DJ10">INDEX($B$1:$W$193,MATCH(DJ$1,$B$1:$B$193,0),MATCH(1,($B$1:$W$1=$AB10)*($B$2:$W$2=$AC10),0))</f>
        <v>1</v>
      </c>
      <c r="DK10" t="b" cm="1">
        <f t="array" ref="DK10">INDEX($B$1:$W$193,MATCH(DK$1,$B$1:$B$193,0),MATCH(1,($B$1:$W$1=$AB10)*($B$2:$W$2=$AC10),0))</f>
        <v>1</v>
      </c>
      <c r="DL10" t="b" cm="1">
        <f t="array" ref="DL10">INDEX($B$1:$W$193,MATCH(DL$1,$B$1:$B$193,0),MATCH(1,($B$1:$W$1=$AB10)*($B$2:$W$2=$AC10),0))</f>
        <v>1</v>
      </c>
      <c r="DM10" t="b" cm="1">
        <f t="array" ref="DM10">INDEX($B$1:$W$193,MATCH(DM$1,$B$1:$B$193,0),MATCH(1,($B$1:$W$1=$AB10)*($B$2:$W$2=$AC10),0))</f>
        <v>1</v>
      </c>
      <c r="DN10" t="b" cm="1">
        <f t="array" ref="DN10">INDEX($B$1:$W$193,MATCH(DN$1,$B$1:$B$193,0),MATCH(1,($B$1:$W$1=$AB10)*($B$2:$W$2=$AC10),0))</f>
        <v>1</v>
      </c>
      <c r="DO10" t="b" cm="1">
        <f t="array" ref="DO10">INDEX($B$1:$W$193,MATCH(DO$1,$B$1:$B$193,0),MATCH(1,($B$1:$W$1=$AB10)*($B$2:$W$2=$AC10),0))</f>
        <v>1</v>
      </c>
      <c r="DP10" t="b" cm="1">
        <f t="array" ref="DP10">INDEX($B$1:$W$193,MATCH(DP$1,$B$1:$B$193,0),MATCH(1,($B$1:$W$1=$AB10)*($B$2:$W$2=$AC10),0))</f>
        <v>1</v>
      </c>
      <c r="DQ10" t="b" cm="1">
        <f t="array" ref="DQ10">INDEX($B$1:$W$193,MATCH(DQ$1,$B$1:$B$193,0),MATCH(1,($B$1:$W$1=$AB10)*($B$2:$W$2=$AC10),0))</f>
        <v>1</v>
      </c>
      <c r="DR10" t="b" cm="1">
        <f t="array" ref="DR10">INDEX($B$1:$W$193,MATCH(DR$1,$B$1:$B$193,0),MATCH(1,($B$1:$W$1=$AB10)*($B$2:$W$2=$AC10),0))</f>
        <v>1</v>
      </c>
      <c r="DS10" t="b" cm="1">
        <f t="array" ref="DS10">INDEX($B$1:$W$193,MATCH(DS$1,$B$1:$B$193,0),MATCH(1,($B$1:$W$1=$AB10)*($B$2:$W$2=$AC10),0))</f>
        <v>1</v>
      </c>
      <c r="DT10" t="b" cm="1">
        <f t="array" ref="DT10">INDEX($B$1:$W$193,MATCH(DT$1,$B$1:$B$193,0),MATCH(1,($B$1:$W$1=$AB10)*($B$2:$W$2=$AC10),0))</f>
        <v>1</v>
      </c>
      <c r="DU10" t="b" cm="1">
        <f t="array" ref="DU10">INDEX($B$1:$W$193,MATCH(DU$1,$B$1:$B$193,0),MATCH(1,($B$1:$W$1=$AB10)*($B$2:$W$2=$AC10),0))</f>
        <v>1</v>
      </c>
      <c r="DV10" t="b" cm="1">
        <f t="array" ref="DV10">INDEX($B$1:$W$193,MATCH(DV$1,$B$1:$B$193,0),MATCH(1,($B$1:$W$1=$AB10)*($B$2:$W$2=$AC10),0))</f>
        <v>1</v>
      </c>
      <c r="DW10" t="b" cm="1">
        <f t="array" ref="DW10">INDEX($B$1:$W$193,MATCH(DW$1,$B$1:$B$193,0),MATCH(1,($B$1:$W$1=$AB10)*($B$2:$W$2=$AC10),0))</f>
        <v>1</v>
      </c>
      <c r="DX10" t="b" cm="1">
        <f t="array" ref="DX10">INDEX($B$1:$W$193,MATCH(DX$1,$B$1:$B$193,0),MATCH(1,($B$1:$W$1=$AB10)*($B$2:$W$2=$AC10),0))</f>
        <v>1</v>
      </c>
      <c r="DY10" t="b" cm="1">
        <f t="array" ref="DY10">INDEX($B$1:$W$193,MATCH(DY$1,$B$1:$B$193,0),MATCH(1,($B$1:$W$1=$AB10)*($B$2:$W$2=$AC10),0))</f>
        <v>1</v>
      </c>
      <c r="DZ10" t="b" cm="1">
        <f t="array" ref="DZ10">INDEX($B$1:$W$193,MATCH(DZ$1,$B$1:$B$193,0),MATCH(1,($B$1:$W$1=$AB10)*($B$2:$W$2=$AC10),0))</f>
        <v>1</v>
      </c>
      <c r="EA10" t="b" cm="1">
        <f t="array" ref="EA10">INDEX($B$1:$W$193,MATCH(EA$1,$B$1:$B$193,0),MATCH(1,($B$1:$W$1=$AB10)*($B$2:$W$2=$AC10),0))</f>
        <v>1</v>
      </c>
      <c r="EB10" t="b" cm="1">
        <f t="array" ref="EB10">INDEX($B$1:$W$193,MATCH(EB$1,$B$1:$B$193,0),MATCH(1,($B$1:$W$1=$AB10)*($B$2:$W$2=$AC10),0))</f>
        <v>1</v>
      </c>
      <c r="EC10" t="b" cm="1">
        <f t="array" ref="EC10">INDEX($B$1:$W$193,MATCH(EC$1,$B$1:$B$193,0),MATCH(1,($B$1:$W$1=$AB10)*($B$2:$W$2=$AC10),0))</f>
        <v>1</v>
      </c>
      <c r="ED10" t="b" cm="1">
        <f t="array" ref="ED10">INDEX($B$1:$W$193,MATCH(ED$1,$B$1:$B$193,0),MATCH(1,($B$1:$W$1=$AB10)*($B$2:$W$2=$AC10),0))</f>
        <v>1</v>
      </c>
      <c r="EE10" t="b" cm="1">
        <f t="array" ref="EE10">INDEX($B$1:$W$193,MATCH(EE$1,$B$1:$B$193,0),MATCH(1,($B$1:$W$1=$AB10)*($B$2:$W$2=$AC10),0))</f>
        <v>1</v>
      </c>
      <c r="EF10" t="b" cm="1">
        <f t="array" ref="EF10">INDEX($B$1:$W$193,MATCH(EF$1,$B$1:$B$193,0),MATCH(1,($B$1:$W$1=$AB10)*($B$2:$W$2=$AC10),0))</f>
        <v>1</v>
      </c>
      <c r="EG10" t="b" cm="1">
        <f t="array" ref="EG10">INDEX($B$1:$W$193,MATCH(EG$1,$B$1:$B$193,0),MATCH(1,($B$1:$W$1=$AB10)*($B$2:$W$2=$AC10),0))</f>
        <v>1</v>
      </c>
      <c r="EH10" t="b" cm="1">
        <f t="array" ref="EH10">INDEX($B$1:$W$193,MATCH(EH$1,$B$1:$B$193,0),MATCH(1,($B$1:$W$1=$AB10)*($B$2:$W$2=$AC10),0))</f>
        <v>1</v>
      </c>
      <c r="EI10" t="b" cm="1">
        <f t="array" ref="EI10">INDEX($B$1:$W$193,MATCH(EI$1,$B$1:$B$193,0),MATCH(1,($B$1:$W$1=$AB10)*($B$2:$W$2=$AC10),0))</f>
        <v>1</v>
      </c>
      <c r="EJ10" t="b" cm="1">
        <f t="array" ref="EJ10">INDEX($B$1:$W$193,MATCH(EJ$1,$B$1:$B$193,0),MATCH(1,($B$1:$W$1=$AB10)*($B$2:$W$2=$AC10),0))</f>
        <v>1</v>
      </c>
      <c r="EK10" t="b" cm="1">
        <f t="array" ref="EK10">INDEX($B$1:$W$193,MATCH(EK$1,$B$1:$B$193,0),MATCH(1,($B$1:$W$1=$AB10)*($B$2:$W$2=$AC10),0))</f>
        <v>1</v>
      </c>
      <c r="EL10" t="b" cm="1">
        <f t="array" ref="EL10">INDEX($B$1:$W$193,MATCH(EL$1,$B$1:$B$193,0),MATCH(1,($B$1:$W$1=$AB10)*($B$2:$W$2=$AC10),0))</f>
        <v>0</v>
      </c>
      <c r="EM10" t="b" cm="1">
        <f t="array" ref="EM10">INDEX($B$1:$W$193,MATCH(EM$1,$B$1:$B$193,0),MATCH(1,($B$1:$W$1=$AB10)*($B$2:$W$2=$AC10),0))</f>
        <v>0</v>
      </c>
      <c r="EN10" t="b" cm="1">
        <f t="array" ref="EN10">INDEX($B$1:$W$193,MATCH(EN$1,$B$1:$B$193,0),MATCH(1,($B$1:$W$1=$AB10)*($B$2:$W$2=$AC10),0))</f>
        <v>1</v>
      </c>
      <c r="EO10" t="b" cm="1">
        <f t="array" ref="EO10">INDEX($B$1:$W$193,MATCH(EO$1,$B$1:$B$193,0),MATCH(1,($B$1:$W$1=$AB10)*($B$2:$W$2=$AC10),0))</f>
        <v>1</v>
      </c>
      <c r="EP10" t="b" cm="1">
        <f t="array" ref="EP10">INDEX($B$1:$W$193,MATCH(EP$1,$B$1:$B$193,0),MATCH(1,($B$1:$W$1=$AB10)*($B$2:$W$2=$AC10),0))</f>
        <v>1</v>
      </c>
      <c r="EQ10" t="b" cm="1">
        <f t="array" ref="EQ10">INDEX($B$1:$W$193,MATCH(EQ$1,$B$1:$B$193,0),MATCH(1,($B$1:$W$1=$AB10)*($B$2:$W$2=$AC10),0))</f>
        <v>1</v>
      </c>
      <c r="ER10" t="b" cm="1">
        <f t="array" ref="ER10">INDEX($B$1:$W$193,MATCH(ER$1,$B$1:$B$193,0),MATCH(1,($B$1:$W$1=$AB10)*($B$2:$W$2=$AC10),0))</f>
        <v>1</v>
      </c>
      <c r="ES10" t="b" cm="1">
        <f t="array" ref="ES10">INDEX($B$1:$W$193,MATCH(ES$1,$B$1:$B$193,0),MATCH(1,($B$1:$W$1=$AB10)*($B$2:$W$2=$AC10),0))</f>
        <v>1</v>
      </c>
      <c r="ET10" t="b" cm="1">
        <f t="array" ref="ET10">INDEX($B$1:$W$193,MATCH(ET$1,$B$1:$B$193,0),MATCH(1,($B$1:$W$1=$AB10)*($B$2:$W$2=$AC10),0))</f>
        <v>1</v>
      </c>
      <c r="EU10" t="b" cm="1">
        <f t="array" ref="EU10">INDEX($B$1:$W$193,MATCH(EU$1,$B$1:$B$193,0),MATCH(1,($B$1:$W$1=$AB10)*($B$2:$W$2=$AC10),0))</f>
        <v>1</v>
      </c>
      <c r="EV10" t="b" cm="1">
        <f t="array" ref="EV10">INDEX($B$1:$W$193,MATCH(EV$1,$B$1:$B$193,0),MATCH(1,($B$1:$W$1=$AB10)*($B$2:$W$2=$AC10),0))</f>
        <v>1</v>
      </c>
      <c r="EW10" t="b" cm="1">
        <f t="array" ref="EW10">INDEX($B$1:$W$193,MATCH(EW$1,$B$1:$B$193,0),MATCH(1,($B$1:$W$1=$AB10)*($B$2:$W$2=$AC10),0))</f>
        <v>1</v>
      </c>
      <c r="EX10" t="b" cm="1">
        <f t="array" ref="EX10">INDEX($B$1:$W$193,MATCH(EX$1,$B$1:$B$193,0),MATCH(1,($B$1:$W$1=$AB10)*($B$2:$W$2=$AC10),0))</f>
        <v>1</v>
      </c>
      <c r="EY10" t="b" cm="1">
        <f t="array" ref="EY10">INDEX($B$1:$W$193,MATCH(EY$1,$B$1:$B$193,0),MATCH(1,($B$1:$W$1=$AB10)*($B$2:$W$2=$AC10),0))</f>
        <v>1</v>
      </c>
      <c r="EZ10" t="b" cm="1">
        <f t="array" ref="EZ10">INDEX($B$1:$W$193,MATCH(EZ$1,$B$1:$B$193,0),MATCH(1,($B$1:$W$1=$AB10)*($B$2:$W$2=$AC10),0))</f>
        <v>1</v>
      </c>
      <c r="FA10" t="b" cm="1">
        <f t="array" ref="FA10">INDEX($B$1:$W$193,MATCH(FA$1,$B$1:$B$193,0),MATCH(1,($B$1:$W$1=$AB10)*($B$2:$W$2=$AC10),0))</f>
        <v>1</v>
      </c>
      <c r="FB10" t="b" cm="1">
        <f t="array" ref="FB10">INDEX($B$1:$W$193,MATCH(FB$1,$B$1:$B$193,0),MATCH(1,($B$1:$W$1=$AB10)*($B$2:$W$2=$AC10),0))</f>
        <v>1</v>
      </c>
      <c r="FC10" t="b" cm="1">
        <f t="array" ref="FC10">INDEX($B$1:$W$193,MATCH(FC$1,$B$1:$B$193,0),MATCH(1,($B$1:$W$1=$AB10)*($B$2:$W$2=$AC10),0))</f>
        <v>1</v>
      </c>
      <c r="FD10" t="b" cm="1">
        <f t="array" ref="FD10">INDEX($B$1:$W$193,MATCH(FD$1,$B$1:$B$193,0),MATCH(1,($B$1:$W$1=$AB10)*($B$2:$W$2=$AC10),0))</f>
        <v>1</v>
      </c>
      <c r="FE10" t="b" cm="1">
        <f t="array" ref="FE10">INDEX($B$1:$W$193,MATCH(FE$1,$B$1:$B$193,0),MATCH(1,($B$1:$W$1=$AB10)*($B$2:$W$2=$AC10),0))</f>
        <v>1</v>
      </c>
      <c r="FF10" t="b" cm="1">
        <f t="array" ref="FF10">INDEX($B$1:$W$193,MATCH(FF$1,$B$1:$B$193,0),MATCH(1,($B$1:$W$1=$AB10)*($B$2:$W$2=$AC10),0))</f>
        <v>1</v>
      </c>
      <c r="FG10" t="b" cm="1">
        <f t="array" ref="FG10">INDEX($B$1:$W$193,MATCH(FG$1,$B$1:$B$193,0),MATCH(1,($B$1:$W$1=$AB10)*($B$2:$W$2=$AC10),0))</f>
        <v>1</v>
      </c>
      <c r="FH10" t="b" cm="1">
        <f t="array" ref="FH10">INDEX($B$1:$W$193,MATCH(FH$1,$B$1:$B$193,0),MATCH(1,($B$1:$W$1=$AB10)*($B$2:$W$2=$AC10),0))</f>
        <v>1</v>
      </c>
      <c r="FI10" t="b" cm="1">
        <f t="array" ref="FI10">INDEX($B$1:$W$193,MATCH(FI$1,$B$1:$B$193,0),MATCH(1,($B$1:$W$1=$AB10)*($B$2:$W$2=$AC10),0))</f>
        <v>1</v>
      </c>
      <c r="FJ10" t="b" cm="1">
        <f t="array" ref="FJ10">INDEX($B$1:$W$193,MATCH(FJ$1,$B$1:$B$193,0),MATCH(1,($B$1:$W$1=$AB10)*($B$2:$W$2=$AC10),0))</f>
        <v>1</v>
      </c>
      <c r="FK10" t="b" cm="1">
        <f t="array" ref="FK10">INDEX($B$1:$W$193,MATCH(FK$1,$B$1:$B$193,0),MATCH(1,($B$1:$W$1=$AB10)*($B$2:$W$2=$AC10),0))</f>
        <v>1</v>
      </c>
      <c r="FL10" t="b" cm="1">
        <f t="array" ref="FL10">INDEX($B$1:$W$193,MATCH(FL$1,$B$1:$B$193,0),MATCH(1,($B$1:$W$1=$AB10)*($B$2:$W$2=$AC10),0))</f>
        <v>1</v>
      </c>
      <c r="FM10" t="b" cm="1">
        <f t="array" ref="FM10">INDEX($B$1:$W$193,MATCH(FM$1,$B$1:$B$193,0),MATCH(1,($B$1:$W$1=$AB10)*($B$2:$W$2=$AC10),0))</f>
        <v>1</v>
      </c>
      <c r="FN10" t="b" cm="1">
        <f t="array" ref="FN10">INDEX($B$1:$W$193,MATCH(FN$1,$B$1:$B$193,0),MATCH(1,($B$1:$W$1=$AB10)*($B$2:$W$2=$AC10),0))</f>
        <v>1</v>
      </c>
      <c r="FO10" t="b" cm="1">
        <f t="array" ref="FO10">INDEX($B$1:$W$193,MATCH(FO$1,$B$1:$B$193,0),MATCH(1,($B$1:$W$1=$AB10)*($B$2:$W$2=$AC10),0))</f>
        <v>1</v>
      </c>
      <c r="FP10" t="b" cm="1">
        <f t="array" ref="FP10">INDEX($B$1:$W$193,MATCH(FP$1,$B$1:$B$193,0),MATCH(1,($B$1:$W$1=$AB10)*($B$2:$W$2=$AC10),0))</f>
        <v>1</v>
      </c>
      <c r="FQ10" t="b" cm="1">
        <f t="array" ref="FQ10">INDEX($B$1:$W$193,MATCH(FQ$1,$B$1:$B$193,0),MATCH(1,($B$1:$W$1=$AB10)*($B$2:$W$2=$AC10),0))</f>
        <v>1</v>
      </c>
      <c r="FR10" t="b" cm="1">
        <f t="array" ref="FR10">INDEX($B$1:$W$193,MATCH(FR$1,$B$1:$B$193,0),MATCH(1,($B$1:$W$1=$AB10)*($B$2:$W$2=$AC10),0))</f>
        <v>1</v>
      </c>
      <c r="FS10" t="b" cm="1">
        <f t="array" ref="FS10">INDEX($B$1:$W$193,MATCH(FS$1,$B$1:$B$193,0),MATCH(1,($B$1:$W$1=$AB10)*($B$2:$W$2=$AC10),0))</f>
        <v>1</v>
      </c>
      <c r="FT10" t="b" cm="1">
        <f t="array" ref="FT10">INDEX($B$1:$W$193,MATCH(FT$1,$B$1:$B$193,0),MATCH(1,($B$1:$W$1=$AB10)*($B$2:$W$2=$AC10),0))</f>
        <v>1</v>
      </c>
      <c r="FU10" t="b" cm="1">
        <f t="array" ref="FU10">INDEX($B$1:$W$193,MATCH(FU$1,$B$1:$B$193,0),MATCH(1,($B$1:$W$1=$AB10)*($B$2:$W$2=$AC10),0))</f>
        <v>1</v>
      </c>
      <c r="FV10" t="b" cm="1">
        <f t="array" ref="FV10">INDEX($B$1:$W$193,MATCH(FV$1,$B$1:$B$193,0),MATCH(1,($B$1:$W$1=$AB10)*($B$2:$W$2=$AC10),0))</f>
        <v>1</v>
      </c>
      <c r="FW10" t="b" cm="1">
        <f t="array" ref="FW10">INDEX($B$1:$W$193,MATCH(FW$1,$B$1:$B$193,0),MATCH(1,($B$1:$W$1=$AB10)*($B$2:$W$2=$AC10),0))</f>
        <v>1</v>
      </c>
      <c r="FX10" t="b" cm="1">
        <f t="array" ref="FX10">INDEX($B$1:$W$193,MATCH(FX$1,$B$1:$B$193,0),MATCH(1,($B$1:$W$1=$AB10)*($B$2:$W$2=$AC10),0))</f>
        <v>1</v>
      </c>
      <c r="FY10" t="b" cm="1">
        <f t="array" ref="FY10">INDEX($B$1:$W$193,MATCH(FY$1,$B$1:$B$193,0),MATCH(1,($B$1:$W$1=$AB10)*($B$2:$W$2=$AC10),0))</f>
        <v>1</v>
      </c>
      <c r="FZ10" t="b" cm="1">
        <f t="array" ref="FZ10">INDEX($B$1:$W$193,MATCH(FZ$1,$B$1:$B$193,0),MATCH(1,($B$1:$W$1=$AB10)*($B$2:$W$2=$AC10),0))</f>
        <v>1</v>
      </c>
      <c r="GA10" t="b" cm="1">
        <f t="array" ref="GA10">INDEX($B$1:$W$193,MATCH(GA$1,$B$1:$B$193,0),MATCH(1,($B$1:$W$1=$AB10)*($B$2:$W$2=$AC10),0))</f>
        <v>1</v>
      </c>
      <c r="GB10" t="b" cm="1">
        <f t="array" ref="GB10">INDEX($B$1:$W$193,MATCH(GB$1,$B$1:$B$193,0),MATCH(1,($B$1:$W$1=$AB10)*($B$2:$W$2=$AC10),0))</f>
        <v>1</v>
      </c>
      <c r="GC10" t="b" cm="1">
        <f t="array" ref="GC10">INDEX($B$1:$W$193,MATCH(GC$1,$B$1:$B$193,0),MATCH(1,($B$1:$W$1=$AB10)*($B$2:$W$2=$AC10),0))</f>
        <v>1</v>
      </c>
      <c r="GD10" t="b" cm="1">
        <f t="array" ref="GD10">INDEX($B$1:$W$193,MATCH(GD$1,$B$1:$B$193,0),MATCH(1,($B$1:$W$1=$AB10)*($B$2:$W$2=$AC10),0))</f>
        <v>1</v>
      </c>
      <c r="GE10" t="b" cm="1">
        <f t="array" ref="GE10">INDEX($B$1:$W$193,MATCH(GE$1,$B$1:$B$193,0),MATCH(1,($B$1:$W$1=$AB10)*($B$2:$W$2=$AC10),0))</f>
        <v>1</v>
      </c>
      <c r="GF10" t="b" cm="1">
        <f t="array" ref="GF10">INDEX($B$1:$W$193,MATCH(GF$1,$B$1:$B$193,0),MATCH(1,($B$1:$W$1=$AB10)*($B$2:$W$2=$AC10),0))</f>
        <v>1</v>
      </c>
      <c r="GG10" t="b" cm="1">
        <f t="array" ref="GG10">INDEX($B$1:$W$193,MATCH(GG$1,$B$1:$B$193,0),MATCH(1,($B$1:$W$1=$AB10)*($B$2:$W$2=$AC10),0))</f>
        <v>1</v>
      </c>
      <c r="GH10" t="b" cm="1">
        <f t="array" ref="GH10">INDEX($B$1:$W$193,MATCH(GH$1,$B$1:$B$193,0),MATCH(1,($B$1:$W$1=$AB10)*($B$2:$W$2=$AC10),0))</f>
        <v>1</v>
      </c>
      <c r="GI10" t="b" cm="1">
        <f t="array" ref="GI10">INDEX($B$1:$W$193,MATCH(GI$1,$B$1:$B$193,0),MATCH(1,($B$1:$W$1=$AB10)*($B$2:$W$2=$AC10),0))</f>
        <v>1</v>
      </c>
      <c r="GJ10" t="b" cm="1">
        <f t="array" ref="GJ10">INDEX($B$1:$W$193,MATCH(GJ$1,$B$1:$B$193,0),MATCH(1,($B$1:$W$1=$AB10)*($B$2:$W$2=$AC10),0))</f>
        <v>1</v>
      </c>
      <c r="GK10" t="b" cm="1">
        <f t="array" ref="GK10">INDEX($B$1:$W$193,MATCH(GK$1,$B$1:$B$193,0),MATCH(1,($B$1:$W$1=$AB10)*($B$2:$W$2=$AC10),0))</f>
        <v>1</v>
      </c>
      <c r="GL10" t="b" cm="1">
        <f t="array" ref="GL10">INDEX($B$1:$W$193,MATCH(GL$1,$B$1:$B$193,0),MATCH(1,($B$1:$W$1=$AB10)*($B$2:$W$2=$AC10),0))</f>
        <v>1</v>
      </c>
      <c r="GM10" t="b" cm="1">
        <f t="array" ref="GM10">INDEX($B$1:$W$193,MATCH(GM$1,$B$1:$B$193,0),MATCH(1,($B$1:$W$1=$AB10)*($B$2:$W$2=$AC10),0))</f>
        <v>1</v>
      </c>
      <c r="GN10" t="b" cm="1">
        <f t="array" ref="GN10">INDEX($B$1:$W$193,MATCH(GN$1,$B$1:$B$193,0),MATCH(1,($B$1:$W$1=$AB10)*($B$2:$W$2=$AC10),0))</f>
        <v>1</v>
      </c>
      <c r="GO10" t="b" cm="1">
        <f t="array" ref="GO10">INDEX($B$1:$W$193,MATCH(GO$1,$B$1:$B$193,0),MATCH(1,($B$1:$W$1=$AB10)*($B$2:$W$2=$AC10),0))</f>
        <v>1</v>
      </c>
      <c r="GP10" t="b" cm="1">
        <f t="array" ref="GP10">INDEX($B$1:$W$193,MATCH(GP$1,$B$1:$B$193,0),MATCH(1,($B$1:$W$1=$AB10)*($B$2:$W$2=$AC10),0))</f>
        <v>1</v>
      </c>
      <c r="GQ10" t="b" cm="1">
        <f t="array" ref="GQ10">INDEX($B$1:$W$193,MATCH(GQ$1,$B$1:$B$193,0),MATCH(1,($B$1:$W$1=$AB10)*($B$2:$W$2=$AC10),0))</f>
        <v>1</v>
      </c>
      <c r="GR10" t="b" cm="1">
        <f t="array" ref="GR10">INDEX($B$1:$W$193,MATCH(GR$1,$B$1:$B$193,0),MATCH(1,($B$1:$W$1=$AB10)*($B$2:$W$2=$AC10),0))</f>
        <v>1</v>
      </c>
      <c r="GS10" t="b" cm="1">
        <f t="array" ref="GS10">INDEX($B$1:$W$193,MATCH(GS$1,$B$1:$B$193,0),MATCH(1,($B$1:$W$1=$AB10)*($B$2:$W$2=$AC10),0))</f>
        <v>1</v>
      </c>
      <c r="GT10" t="b" cm="1">
        <f t="array" ref="GT10">INDEX($B$1:$W$193,MATCH(GT$1,$B$1:$B$193,0),MATCH(1,($B$1:$W$1=$AB10)*($B$2:$W$2=$AC10),0))</f>
        <v>1</v>
      </c>
      <c r="GU10" t="b" cm="1">
        <f t="array" ref="GU10">INDEX($B$1:$W$193,MATCH(GU$1,$B$1:$B$193,0),MATCH(1,($B$1:$W$1=$AB10)*($B$2:$W$2=$AC10),0))</f>
        <v>1</v>
      </c>
      <c r="GV10" t="b" cm="1">
        <f t="array" ref="GV10">INDEX($B$1:$W$193,MATCH(GV$1,$B$1:$B$193,0),MATCH(1,($B$1:$W$1=$AB10)*($B$2:$W$2=$AC10),0))</f>
        <v>1</v>
      </c>
      <c r="GW10" t="b" cm="1">
        <f t="array" ref="GW10">INDEX($B$1:$W$193,MATCH(GW$1,$B$1:$B$193,0),MATCH(1,($B$1:$W$1=$AB10)*($B$2:$W$2=$AC10),0))</f>
        <v>1</v>
      </c>
      <c r="GX10" t="b" cm="1">
        <f t="array" ref="GX10">INDEX($B$1:$W$193,MATCH(GX$1,$B$1:$B$193,0),MATCH(1,($B$1:$W$1=$AB10)*($B$2:$W$2=$AC10),0))</f>
        <v>1</v>
      </c>
      <c r="GY10" t="b" cm="1">
        <f t="array" ref="GY10">INDEX($B$1:$W$193,MATCH(GY$1,$B$1:$B$193,0),MATCH(1,($B$1:$W$1=$AB10)*($B$2:$W$2=$AC10),0))</f>
        <v>1</v>
      </c>
      <c r="GZ10" t="b" cm="1">
        <f t="array" ref="GZ10">INDEX($B$1:$W$193,MATCH(GZ$1,$B$1:$B$193,0),MATCH(1,($B$1:$W$1=$AB10)*($B$2:$W$2=$AC10),0))</f>
        <v>1</v>
      </c>
      <c r="HA10" t="b" cm="1">
        <f t="array" ref="HA10">INDEX($B$1:$W$193,MATCH(HA$1,$B$1:$B$193,0),MATCH(1,($B$1:$W$1=$AB10)*($B$2:$W$2=$AC10),0))</f>
        <v>1</v>
      </c>
      <c r="HB10" t="b" cm="1">
        <f t="array" ref="HB10">INDEX($B$1:$W$193,MATCH(HB$1,$B$1:$B$193,0),MATCH(1,($B$1:$W$1=$AB10)*($B$2:$W$2=$AC10),0))</f>
        <v>1</v>
      </c>
      <c r="HC10" t="b" cm="1">
        <f t="array" ref="HC10">INDEX($B$1:$W$193,MATCH(HC$1,$B$1:$B$193,0),MATCH(1,($B$1:$W$1=$AB10)*($B$2:$W$2=$AC10),0))</f>
        <v>1</v>
      </c>
      <c r="HD10" t="b" cm="1">
        <f t="array" ref="HD10">INDEX($B$1:$W$193,MATCH(HD$1,$B$1:$B$193,0),MATCH(1,($B$1:$W$1=$AB10)*($B$2:$W$2=$AC10),0))</f>
        <v>1</v>
      </c>
      <c r="HE10" t="b" cm="1">
        <f t="array" ref="HE10">INDEX($B$1:$W$193,MATCH(HE$1,$B$1:$B$193,0),MATCH(1,($B$1:$W$1=$AB10)*($B$2:$W$2=$AC10),0))</f>
        <v>1</v>
      </c>
      <c r="HF10" t="b" cm="1">
        <f t="array" ref="HF10">INDEX($B$1:$W$193,MATCH(HF$1,$B$1:$B$193,0),MATCH(1,($B$1:$W$1=$AB10)*($B$2:$W$2=$AC10),0))</f>
        <v>1</v>
      </c>
      <c r="HG10" t="b" cm="1">
        <f t="array" ref="HG10">INDEX($B$1:$W$193,MATCH(HG$1,$B$1:$B$193,0),MATCH(1,($B$1:$W$1=$AB10)*($B$2:$W$2=$AC10),0))</f>
        <v>1</v>
      </c>
      <c r="HH10" t="b" cm="1">
        <f t="array" ref="HH10">INDEX($B$1:$W$193,MATCH(HH$1,$B$1:$B$193,0),MATCH(1,($B$1:$W$1=$AB10)*($B$2:$W$2=$AC10),0))</f>
        <v>1</v>
      </c>
      <c r="HI10" t="b" cm="1">
        <f t="array" ref="HI10">INDEX($B$1:$W$193,MATCH(HI$1,$B$1:$B$193,0),MATCH(1,($B$1:$W$1=$AB10)*($B$2:$W$2=$AC10),0))</f>
        <v>1</v>
      </c>
      <c r="HJ10" t="b" cm="1">
        <f t="array" ref="HJ10">INDEX($B$1:$W$193,MATCH(HJ$1,$B$1:$B$193,0),MATCH(1,($B$1:$W$1=$AB10)*($B$2:$W$2=$AC10),0))</f>
        <v>1</v>
      </c>
      <c r="HK10" t="b" cm="1">
        <f t="array" ref="HK10">INDEX($B$1:$W$193,MATCH(HK$1,$B$1:$B$193,0),MATCH(1,($B$1:$W$1=$AB10)*($B$2:$W$2=$AC10),0))</f>
        <v>1</v>
      </c>
      <c r="HL10" t="b" cm="1">
        <f t="array" ref="HL10">INDEX($B$1:$W$193,MATCH(HL$1,$B$1:$B$193,0),MATCH(1,($B$1:$W$1=$AB10)*($B$2:$W$2=$AC10),0))</f>
        <v>1</v>
      </c>
      <c r="HM10" t="b" cm="1">
        <f t="array" ref="HM10">INDEX($B$1:$W$193,MATCH(HM$1,$B$1:$B$193,0),MATCH(1,($B$1:$W$1=$AB10)*($B$2:$W$2=$AC10),0))</f>
        <v>1</v>
      </c>
      <c r="HN10" t="b" cm="1">
        <f t="array" ref="HN10">INDEX($B$1:$W$193,MATCH(HN$1,$B$1:$B$193,0),MATCH(1,($B$1:$W$1=$AB10)*($B$2:$W$2=$AC10),0))</f>
        <v>1</v>
      </c>
      <c r="HO10" t="b" cm="1">
        <f t="array" ref="HO10">INDEX($B$1:$W$193,MATCH(HO$1,$B$1:$B$193,0),MATCH(1,($B$1:$W$1=$AB10)*($B$2:$W$2=$AC10),0))</f>
        <v>1</v>
      </c>
      <c r="HP10" t="b" cm="1">
        <f t="array" ref="HP10">INDEX($B$1:$W$193,MATCH(HP$1,$B$1:$B$193,0),MATCH(1,($B$1:$W$1=$AB10)*($B$2:$W$2=$AC10),0))</f>
        <v>1</v>
      </c>
      <c r="HQ10" t="b" cm="1">
        <f t="array" ref="HQ10">INDEX($B$1:$W$193,MATCH(HQ$1,$B$1:$B$193,0),MATCH(1,($B$1:$W$1=$AB10)*($B$2:$W$2=$AC10),0))</f>
        <v>1</v>
      </c>
      <c r="HR10" t="b" cm="1">
        <f t="array" ref="HR10">INDEX($B$1:$W$193,MATCH(HR$1,$B$1:$B$193,0),MATCH(1,($B$1:$W$1=$AB10)*($B$2:$W$2=$AC10),0))</f>
        <v>1</v>
      </c>
      <c r="HS10" t="b" cm="1">
        <f t="array" ref="HS10">INDEX($B$1:$W$193,MATCH(HS$1,$B$1:$B$193,0),MATCH(1,($B$1:$W$1=$AB10)*($B$2:$W$2=$AC10),0))</f>
        <v>1</v>
      </c>
      <c r="HT10" t="b" cm="1">
        <f t="array" ref="HT10">INDEX($B$1:$W$193,MATCH(HT$1,$B$1:$B$193,0),MATCH(1,($B$1:$W$1=$AB10)*($B$2:$W$2=$AC10),0))</f>
        <v>1</v>
      </c>
      <c r="HU10" t="b" cm="1">
        <f t="array" ref="HU10">INDEX($B$1:$W$193,MATCH(HU$1,$B$1:$B$193,0),MATCH(1,($B$1:$W$1=$AB10)*($B$2:$W$2=$AC10),0))</f>
        <v>1</v>
      </c>
      <c r="HV10" t="b" cm="1">
        <f t="array" ref="HV10">INDEX($B$1:$W$193,MATCH(HV$1,$B$1:$B$193,0),MATCH(1,($B$1:$W$1=$AB10)*($B$2:$W$2=$AC10),0))</f>
        <v>1</v>
      </c>
      <c r="HW10" t="b" cm="1">
        <f t="array" ref="HW10">INDEX($B$1:$W$193,MATCH(HW$1,$B$1:$B$193,0),MATCH(1,($B$1:$W$1=$AB10)*($B$2:$W$2=$AC10),0))</f>
        <v>1</v>
      </c>
      <c r="HX10" t="b" cm="1">
        <f t="array" ref="HX10">INDEX($B$1:$W$193,MATCH(HX$1,$B$1:$B$193,0),MATCH(1,($B$1:$W$1=$AB10)*($B$2:$W$2=$AC10),0))</f>
        <v>1</v>
      </c>
      <c r="HY10" t="b" cm="1">
        <f t="array" ref="HY10">INDEX($B$1:$W$193,MATCH(HY$1,$B$1:$B$193,0),MATCH(1,($B$1:$W$1=$AB10)*($B$2:$W$2=$AC10),0))</f>
        <v>1</v>
      </c>
      <c r="HZ10" t="b" cm="1">
        <f t="array" ref="HZ10">INDEX($B$1:$W$193,MATCH(HZ$1,$B$1:$B$193,0),MATCH(1,($B$1:$W$1=$AB10)*($B$2:$W$2=$AC10),0))</f>
        <v>1</v>
      </c>
      <c r="IA10" t="b" cm="1">
        <f t="array" ref="IA10">INDEX($B$1:$W$193,MATCH(IA$1,$B$1:$B$193,0),MATCH(1,($B$1:$W$1=$AB10)*($B$2:$W$2=$AC10),0))</f>
        <v>1</v>
      </c>
      <c r="IB10" t="b" cm="1">
        <f t="array" ref="IB10">INDEX($B$1:$W$193,MATCH(IB$1,$B$1:$B$193,0),MATCH(1,($B$1:$W$1=$AB10)*($B$2:$W$2=$AC10),0))</f>
        <v>1</v>
      </c>
      <c r="IC10" t="b" cm="1">
        <f t="array" ref="IC10">INDEX($B$1:$W$193,MATCH(IC$1,$B$1:$B$193,0),MATCH(1,($B$1:$W$1=$AB10)*($B$2:$W$2=$AC10),0))</f>
        <v>1</v>
      </c>
      <c r="ID10" t="b" cm="1">
        <f t="array" ref="ID10">INDEX($B$1:$W$193,MATCH(ID$1,$B$1:$B$193,0),MATCH(1,($B$1:$W$1=$AB10)*($B$2:$W$2=$AC10),0))</f>
        <v>1</v>
      </c>
      <c r="IE10" t="b" cm="1">
        <f t="array" ref="IE10">INDEX($B$1:$W$193,MATCH(IE$1,$B$1:$B$193,0),MATCH(1,($B$1:$W$1=$AB10)*($B$2:$W$2=$AC10),0))</f>
        <v>1</v>
      </c>
      <c r="IF10" t="b" cm="1">
        <f t="array" ref="IF10">INDEX($B$1:$W$193,MATCH(IF$1,$B$1:$B$193,0),MATCH(1,($B$1:$W$1=$AB10)*($B$2:$W$2=$AC10),0))</f>
        <v>1</v>
      </c>
      <c r="IG10" t="b" cm="1">
        <f t="array" ref="IG10">INDEX($B$1:$W$193,MATCH(IG$1,$B$1:$B$193,0),MATCH(1,($B$1:$W$1=$AB10)*($B$2:$W$2=$AC10),0))</f>
        <v>1</v>
      </c>
      <c r="IH10" t="b" cm="1">
        <f t="array" ref="IH10">INDEX($B$1:$W$193,MATCH(IH$1,$B$1:$B$193,0),MATCH(1,($B$1:$W$1=$AB10)*($B$2:$W$2=$AC10),0))</f>
        <v>1</v>
      </c>
      <c r="II10" t="b" cm="1">
        <f t="array" ref="II10">INDEX($B$1:$W$193,MATCH(II$1,$B$1:$B$193,0),MATCH(1,($B$1:$W$1=$AB10)*($B$2:$W$2=$AC10),0))</f>
        <v>1</v>
      </c>
      <c r="IJ10" t="b" cm="1">
        <f t="array" ref="IJ10">INDEX($B$1:$W$193,MATCH(IJ$1,$B$1:$B$193,0),MATCH(1,($B$1:$W$1=$AB10)*($B$2:$W$2=$AC10),0))</f>
        <v>1</v>
      </c>
      <c r="IK10" t="b" cm="1">
        <f t="array" ref="IK10">INDEX($B$1:$W$193,MATCH(IK$1,$B$1:$B$193,0),MATCH(1,($B$1:$W$1=$AB10)*($B$2:$W$2=$AC10),0))</f>
        <v>1</v>
      </c>
      <c r="IL10" t="b" cm="1">
        <f t="array" ref="IL10">INDEX($B$1:$W$193,MATCH(IL$1,$B$1:$B$193,0),MATCH(1,($B$1:$W$1=$AB10)*($B$2:$W$2=$AC10),0))</f>
        <v>1</v>
      </c>
      <c r="IM10" t="b" cm="1">
        <f t="array" ref="IM10">INDEX($B$1:$W$193,MATCH(IM$1,$B$1:$B$193,0),MATCH(1,($B$1:$W$1=$AB10)*($B$2:$W$2=$AC10),0))</f>
        <v>1</v>
      </c>
      <c r="IN10" t="b" cm="1">
        <f t="array" ref="IN10">INDEX($B$1:$W$193,MATCH(IN$1,$B$1:$B$193,0),MATCH(1,($B$1:$W$1=$AB10)*($B$2:$W$2=$AC10),0))</f>
        <v>1</v>
      </c>
      <c r="IO10" t="b" cm="1">
        <f t="array" ref="IO10">INDEX($B$1:$W$193,MATCH(IO$1,$B$1:$B$193,0),MATCH(1,($B$1:$W$1=$AB10)*($B$2:$W$2=$AC10),0))</f>
        <v>1</v>
      </c>
      <c r="IP10" t="b" cm="1">
        <f t="array" ref="IP10">INDEX($B$1:$W$193,MATCH(IP$1,$B$1:$B$193,0),MATCH(1,($B$1:$W$1=$AB10)*($B$2:$W$2=$AC10),0))</f>
        <v>1</v>
      </c>
      <c r="IQ10" t="b" cm="1">
        <f t="array" ref="IQ10">INDEX($B$1:$W$193,MATCH(IQ$1,$B$1:$B$193,0),MATCH(1,($B$1:$W$1=$AB10)*($B$2:$W$2=$AC10),0))</f>
        <v>1</v>
      </c>
      <c r="IR10" t="b" cm="1">
        <f t="array" ref="IR10">INDEX($B$1:$W$193,MATCH(IR$1,$B$1:$B$193,0),MATCH(1,($B$1:$W$1=$AB10)*($B$2:$W$2=$AC10),0))</f>
        <v>1</v>
      </c>
      <c r="IS10" t="b" cm="1">
        <f t="array" ref="IS10">INDEX($B$1:$W$193,MATCH(IS$1,$B$1:$B$193,0),MATCH(1,($B$1:$W$1=$AB10)*($B$2:$W$2=$AC10),0))</f>
        <v>1</v>
      </c>
      <c r="IT10" t="b" cm="1">
        <f t="array" ref="IT10">INDEX($B$1:$W$193,MATCH(IT$1,$B$1:$B$193,0),MATCH(1,($B$1:$W$1=$AB10)*($B$2:$W$2=$AC10),0))</f>
        <v>1</v>
      </c>
      <c r="IU10" t="b" cm="1">
        <f t="array" ref="IU10">INDEX($B$1:$W$193,MATCH(IU$1,$B$1:$B$193,0),MATCH(1,($B$1:$W$1=$AB10)*($B$2:$W$2=$AC10),0))</f>
        <v>1</v>
      </c>
      <c r="IV10" t="b" cm="1">
        <f t="array" ref="IV10">INDEX($B$1:$W$193,MATCH(IV$1,$B$1:$B$193,0),MATCH(1,($B$1:$W$1=$AB10)*($B$2:$W$2=$AC10),0))</f>
        <v>1</v>
      </c>
      <c r="IW10" t="b" cm="1">
        <f t="array" ref="IW10">INDEX($B$1:$W$193,MATCH(IW$1,$B$1:$B$193,0),MATCH(1,($B$1:$W$1=$AB10)*($B$2:$W$2=$AC10),0))</f>
        <v>1</v>
      </c>
      <c r="IX10" t="b" cm="1">
        <f t="array" ref="IX10">INDEX($B$1:$W$193,MATCH(IX$1,$B$1:$B$193,0),MATCH(1,($B$1:$W$1=$AB10)*($B$2:$W$2=$AC10),0))</f>
        <v>1</v>
      </c>
      <c r="IY10" t="b" cm="1">
        <f t="array" ref="IY10">INDEX($B$1:$W$193,MATCH(IY$1,$B$1:$B$193,0),MATCH(1,($B$1:$W$1=$AB10)*($B$2:$W$2=$AC10),0))</f>
        <v>1</v>
      </c>
      <c r="IZ10" t="b" cm="1">
        <f t="array" ref="IZ10">INDEX($B$1:$W$193,MATCH(IZ$1,$B$1:$B$193,0),MATCH(1,($B$1:$W$1=$AB10)*($B$2:$W$2=$AC10),0))</f>
        <v>1</v>
      </c>
      <c r="JA10" t="b" cm="1">
        <f t="array" ref="JA10">INDEX($B$1:$W$193,MATCH(JA$1,$B$1:$B$193,0),MATCH(1,($B$1:$W$1=$AB10)*($B$2:$W$2=$AC10),0))</f>
        <v>1</v>
      </c>
      <c r="JB10" t="b" cm="1">
        <f t="array" ref="JB10">INDEX($B$1:$W$193,MATCH(JB$1,$B$1:$B$193,0),MATCH(1,($B$1:$W$1=$AB10)*($B$2:$W$2=$AC10),0))</f>
        <v>1</v>
      </c>
      <c r="JC10" t="b" cm="1">
        <f t="array" ref="JC10">INDEX($B$1:$W$193,MATCH(JC$1,$B$1:$B$193,0),MATCH(1,($B$1:$W$1=$AB10)*($B$2:$W$2=$AC10),0))</f>
        <v>1</v>
      </c>
      <c r="JD10" t="b" cm="1">
        <f t="array" ref="JD10">INDEX($B$1:$W$193,MATCH(JD$1,$B$1:$B$193,0),MATCH(1,($B$1:$W$1=$AB10)*($B$2:$W$2=$AC10),0))</f>
        <v>1</v>
      </c>
      <c r="JE10" t="b" cm="1">
        <f t="array" ref="JE10">INDEX($B$1:$W$193,MATCH(JE$1,$B$1:$B$193,0),MATCH(1,($B$1:$W$1=$AB10)*($B$2:$W$2=$AC10),0))</f>
        <v>1</v>
      </c>
      <c r="JF10" t="b" cm="1">
        <f t="array" ref="JF10">INDEX($B$1:$W$193,MATCH(JF$1,$B$1:$B$193,0),MATCH(1,($B$1:$W$1=$AB10)*($B$2:$W$2=$AC10),0))</f>
        <v>1</v>
      </c>
      <c r="JG10" t="b" cm="1">
        <f t="array" ref="JG10">INDEX($B$1:$W$193,MATCH(JG$1,$B$1:$B$193,0),MATCH(1,($B$1:$W$1=$AB10)*($B$2:$W$2=$AC10),0))</f>
        <v>1</v>
      </c>
      <c r="JH10" t="b" cm="1">
        <f t="array" ref="JH10">INDEX($B$1:$W$193,MATCH(JH$1,$B$1:$B$193,0),MATCH(1,($B$1:$W$1=$AB10)*($B$2:$W$2=$AC10),0))</f>
        <v>1</v>
      </c>
    </row>
    <row r="11" spans="1:268" x14ac:dyDescent="0.25">
      <c r="A11" t="s">
        <v>164</v>
      </c>
      <c r="B11" s="51">
        <v>16</v>
      </c>
      <c r="C11">
        <v>2</v>
      </c>
      <c r="D11">
        <v>3</v>
      </c>
      <c r="E11" t="b">
        <f t="shared" si="1"/>
        <v>1</v>
      </c>
      <c r="F11" t="b">
        <f t="shared" si="0"/>
        <v>1</v>
      </c>
      <c r="G11" t="b">
        <f t="shared" si="0"/>
        <v>1</v>
      </c>
      <c r="H11" t="b">
        <f t="shared" si="0"/>
        <v>0</v>
      </c>
      <c r="I11" t="b">
        <f t="shared" si="0"/>
        <v>0</v>
      </c>
      <c r="J11" t="b">
        <f t="shared" si="0"/>
        <v>0</v>
      </c>
      <c r="K11" t="b">
        <f t="shared" si="0"/>
        <v>1</v>
      </c>
      <c r="L11" t="b">
        <f t="shared" si="0"/>
        <v>1</v>
      </c>
      <c r="M11" t="b">
        <f t="shared" si="0"/>
        <v>1</v>
      </c>
      <c r="N11" t="b">
        <f t="shared" si="0"/>
        <v>0</v>
      </c>
      <c r="O11" t="b">
        <f t="shared" si="0"/>
        <v>0</v>
      </c>
      <c r="P11" t="b">
        <f t="shared" si="0"/>
        <v>0</v>
      </c>
      <c r="Q11" t="b">
        <v>1</v>
      </c>
      <c r="R11" t="b" cm="1">
        <f t="array" ref="R11">_xlfn.IFS(C11=1,FALSE,OR(C11=2,C11&gt;2),TRUE)</f>
        <v>1</v>
      </c>
      <c r="S11" t="b" cm="1">
        <f t="array" ref="S11">_xlfn.IFS(OR(C11=1,C11=2),FALSE,OR(C11=3,C11&gt;3),TRUE)</f>
        <v>0</v>
      </c>
      <c r="T11" t="str">
        <f t="shared" si="2"/>
        <v>TRUE</v>
      </c>
      <c r="U11" t="str">
        <f t="shared" si="3"/>
        <v>FALSE</v>
      </c>
      <c r="V11" t="str">
        <f t="shared" si="4"/>
        <v>FALSE</v>
      </c>
      <c r="W11" t="b" cm="1">
        <f t="array" ref="W11">_xlfn.IFS(H11=1,FALSE,OR(H11=2,H11&gt;2),TRUE)</f>
        <v>1</v>
      </c>
      <c r="X11" t="b" cm="1">
        <f t="array" ref="X11">_xlfn.IFS(H11=1,FALSE,OR(H11=2,H11&gt;2),TRUE)</f>
        <v>1</v>
      </c>
      <c r="Y11" t="b" cm="1">
        <f t="array" ref="Y11">_xlfn.IFS(H11=1,FALSE,OR(H11=2,H11&gt;2),TRUE)</f>
        <v>1</v>
      </c>
      <c r="AB11" t="s">
        <v>1</v>
      </c>
      <c r="AC11" t="s">
        <v>86</v>
      </c>
      <c r="AD11" t="b" cm="1">
        <f t="array" ref="AD11">INDEX($B$1:$W$193,MATCH(AD$1,$B$1:$B$193,0),MATCH(1,($B$1:$W$1=$AB11)*($B$2:$W$2=$AC11),0))</f>
        <v>0</v>
      </c>
      <c r="AE11" t="b" cm="1">
        <f t="array" ref="AE11">INDEX($B$1:$W$193,MATCH(AE$1,$B$1:$B$193,0),MATCH(1,($B$1:$W$1=$AB11)*($B$2:$W$2=$AC11),0))</f>
        <v>0</v>
      </c>
      <c r="AF11" t="b" cm="1">
        <f t="array" ref="AF11">INDEX($B$1:$W$193,MATCH(AF$1,$B$1:$B$193,0),MATCH(1,($B$1:$W$1=$AB11)*($B$2:$W$2=$AC11),0))</f>
        <v>0</v>
      </c>
      <c r="AG11" t="b" cm="1">
        <f t="array" ref="AG11">INDEX($B$1:$W$193,MATCH(AG$1,$B$1:$B$193,0),MATCH(1,($B$1:$W$1=$AB11)*($B$2:$W$2=$AC11),0))</f>
        <v>0</v>
      </c>
      <c r="AH11" t="b" cm="1">
        <f t="array" ref="AH11">INDEX($B$1:$W$193,MATCH(AH$1,$B$1:$B$193,0),MATCH(1,($B$1:$W$1=$AB11)*($B$2:$W$2=$AC11),0))</f>
        <v>0</v>
      </c>
      <c r="AI11" t="b" cm="1">
        <f t="array" ref="AI11">INDEX($B$1:$W$193,MATCH(AI$1,$B$1:$B$193,0),MATCH(1,($B$1:$W$1=$AB11)*($B$2:$W$2=$AC11),0))</f>
        <v>0</v>
      </c>
      <c r="AJ11" t="b" cm="1">
        <f t="array" ref="AJ11">INDEX($B$1:$W$193,MATCH(AJ$1,$B$1:$B$193,0),MATCH(1,($B$1:$W$1=$AB11)*($B$2:$W$2=$AC11),0))</f>
        <v>0</v>
      </c>
      <c r="AK11" t="b" cm="1">
        <f t="array" ref="AK11">INDEX($B$1:$W$193,MATCH(AK$1,$B$1:$B$193,0),MATCH(1,($B$1:$W$1=$AB11)*($B$2:$W$2=$AC11),0))</f>
        <v>0</v>
      </c>
      <c r="AL11" t="b" cm="1">
        <f t="array" ref="AL11">INDEX($B$1:$W$193,MATCH(AL$1,$B$1:$B$193,0),MATCH(1,($B$1:$W$1=$AB11)*($B$2:$W$2=$AC11),0))</f>
        <v>0</v>
      </c>
      <c r="AM11" t="b" cm="1">
        <f t="array" ref="AM11">INDEX($B$1:$W$193,MATCH(AM$1,$B$1:$B$193,0),MATCH(1,($B$1:$W$1=$AB11)*($B$2:$W$2=$AC11),0))</f>
        <v>0</v>
      </c>
      <c r="AN11" t="b" cm="1">
        <f t="array" ref="AN11">INDEX($B$1:$W$193,MATCH(AN$1,$B$1:$B$193,0),MATCH(1,($B$1:$W$1=$AB11)*($B$2:$W$2=$AC11),0))</f>
        <v>1</v>
      </c>
      <c r="AO11" t="b" cm="1">
        <f t="array" ref="AO11">INDEX($B$1:$W$193,MATCH(AO$1,$B$1:$B$193,0),MATCH(1,($B$1:$W$1=$AB11)*($B$2:$W$2=$AC11),0))</f>
        <v>0</v>
      </c>
      <c r="AP11" t="b" cm="1">
        <f t="array" ref="AP11">INDEX($B$1:$W$193,MATCH(AP$1,$B$1:$B$193,0),MATCH(1,($B$1:$W$1=$AB11)*($B$2:$W$2=$AC11),0))</f>
        <v>0</v>
      </c>
      <c r="AQ11" t="b" cm="1">
        <f t="array" ref="AQ11">INDEX($B$1:$W$193,MATCH(AQ$1,$B$1:$B$193,0),MATCH(1,($B$1:$W$1=$AB11)*($B$2:$W$2=$AC11),0))</f>
        <v>0</v>
      </c>
      <c r="AR11" t="b" cm="1">
        <f t="array" ref="AR11">INDEX($B$1:$W$193,MATCH(AR$1,$B$1:$B$193,0),MATCH(1,($B$1:$W$1=$AB11)*($B$2:$W$2=$AC11),0))</f>
        <v>0</v>
      </c>
      <c r="AS11" t="b" cm="1">
        <f t="array" ref="AS11">INDEX($B$1:$W$193,MATCH(AS$1,$B$1:$B$193,0),MATCH(1,($B$1:$W$1=$AB11)*($B$2:$W$2=$AC11),0))</f>
        <v>0</v>
      </c>
      <c r="AT11" t="b" cm="1">
        <f t="array" ref="AT11">INDEX($B$1:$W$193,MATCH(AT$1,$B$1:$B$193,0),MATCH(1,($B$1:$W$1=$AB11)*($B$2:$W$2=$AC11),0))</f>
        <v>1</v>
      </c>
      <c r="AU11" t="b" cm="1">
        <f t="array" ref="AU11">INDEX($B$1:$W$193,MATCH(AU$1,$B$1:$B$193,0),MATCH(1,($B$1:$W$1=$AB11)*($B$2:$W$2=$AC11),0))</f>
        <v>0</v>
      </c>
      <c r="AV11" t="b" cm="1">
        <f t="array" ref="AV11">INDEX($B$1:$W$193,MATCH(AV$1,$B$1:$B$193,0),MATCH(1,($B$1:$W$1=$AB11)*($B$2:$W$2=$AC11),0))</f>
        <v>1</v>
      </c>
      <c r="AW11" t="b" cm="1">
        <f t="array" ref="AW11">INDEX($B$1:$W$193,MATCH(AW$1,$B$1:$B$193,0),MATCH(1,($B$1:$W$1=$AB11)*($B$2:$W$2=$AC11),0))</f>
        <v>0</v>
      </c>
      <c r="AX11" t="b" cm="1">
        <f t="array" ref="AX11">INDEX($B$1:$W$193,MATCH(AX$1,$B$1:$B$193,0),MATCH(1,($B$1:$W$1=$AB11)*($B$2:$W$2=$AC11),0))</f>
        <v>0</v>
      </c>
      <c r="AY11" t="b" cm="1">
        <f t="array" ref="AY11">INDEX($B$1:$W$193,MATCH(AY$1,$B$1:$B$193,0),MATCH(1,($B$1:$W$1=$AB11)*($B$2:$W$2=$AC11),0))</f>
        <v>0</v>
      </c>
      <c r="AZ11" t="b" cm="1">
        <f t="array" ref="AZ11">INDEX($B$1:$W$193,MATCH(AZ$1,$B$1:$B$193,0),MATCH(1,($B$1:$W$1=$AB11)*($B$2:$W$2=$AC11),0))</f>
        <v>0</v>
      </c>
      <c r="BA11" t="b" cm="1">
        <f t="array" ref="BA11">INDEX($B$1:$W$193,MATCH(BA$1,$B$1:$B$193,0),MATCH(1,($B$1:$W$1=$AB11)*($B$2:$W$2=$AC11),0))</f>
        <v>0</v>
      </c>
      <c r="BB11" t="b" cm="1">
        <f t="array" ref="BB11">INDEX($B$1:$W$193,MATCH(BB$1,$B$1:$B$193,0),MATCH(1,($B$1:$W$1=$AB11)*($B$2:$W$2=$AC11),0))</f>
        <v>0</v>
      </c>
      <c r="BC11" t="b" cm="1">
        <f t="array" ref="BC11">INDEX($B$1:$W$193,MATCH(BC$1,$B$1:$B$193,0),MATCH(1,($B$1:$W$1=$AB11)*($B$2:$W$2=$AC11),0))</f>
        <v>0</v>
      </c>
      <c r="BD11" t="b" cm="1">
        <f t="array" ref="BD11">INDEX($B$1:$W$193,MATCH(BD$1,$B$1:$B$193,0),MATCH(1,($B$1:$W$1=$AB11)*($B$2:$W$2=$AC11),0))</f>
        <v>0</v>
      </c>
      <c r="BE11" t="b" cm="1">
        <f t="array" ref="BE11">INDEX($B$1:$W$193,MATCH(BE$1,$B$1:$B$193,0),MATCH(1,($B$1:$W$1=$AB11)*($B$2:$W$2=$AC11),0))</f>
        <v>0</v>
      </c>
      <c r="BF11" t="b" cm="1">
        <f t="array" ref="BF11">INDEX($B$1:$W$193,MATCH(BF$1,$B$1:$B$193,0),MATCH(1,($B$1:$W$1=$AB11)*($B$2:$W$2=$AC11),0))</f>
        <v>0</v>
      </c>
      <c r="BG11" t="b" cm="1">
        <f t="array" ref="BG11">INDEX($B$1:$W$193,MATCH(BG$1,$B$1:$B$193,0),MATCH(1,($B$1:$W$1=$AB11)*($B$2:$W$2=$AC11),0))</f>
        <v>0</v>
      </c>
      <c r="BH11" t="b" cm="1">
        <f t="array" ref="BH11">INDEX($B$1:$W$193,MATCH(BH$1,$B$1:$B$193,0),MATCH(1,($B$1:$W$1=$AB11)*($B$2:$W$2=$AC11),0))</f>
        <v>0</v>
      </c>
      <c r="BI11" t="b" cm="1">
        <f t="array" ref="BI11">INDEX($B$1:$W$193,MATCH(BI$1,$B$1:$B$193,0),MATCH(1,($B$1:$W$1=$AB11)*($B$2:$W$2=$AC11),0))</f>
        <v>1</v>
      </c>
      <c r="BJ11" t="b" cm="1">
        <f t="array" ref="BJ11">INDEX($B$1:$W$193,MATCH(BJ$1,$B$1:$B$193,0),MATCH(1,($B$1:$W$1=$AB11)*($B$2:$W$2=$AC11),0))</f>
        <v>0</v>
      </c>
      <c r="BK11" t="b" cm="1">
        <f t="array" ref="BK11">INDEX($B$1:$W$193,MATCH(BK$1,$B$1:$B$193,0),MATCH(1,($B$1:$W$1=$AB11)*($B$2:$W$2=$AC11),0))</f>
        <v>0</v>
      </c>
      <c r="BL11" t="b" cm="1">
        <f t="array" ref="BL11">INDEX($B$1:$W$193,MATCH(BL$1,$B$1:$B$193,0),MATCH(1,($B$1:$W$1=$AB11)*($B$2:$W$2=$AC11),0))</f>
        <v>0</v>
      </c>
      <c r="BM11" t="b" cm="1">
        <f t="array" ref="BM11">INDEX($B$1:$W$193,MATCH(BM$1,$B$1:$B$193,0),MATCH(1,($B$1:$W$1=$AB11)*($B$2:$W$2=$AC11),0))</f>
        <v>0</v>
      </c>
      <c r="BN11" t="b" cm="1">
        <f t="array" ref="BN11">INDEX($B$1:$W$193,MATCH(BN$1,$B$1:$B$193,0),MATCH(1,($B$1:$W$1=$AB11)*($B$2:$W$2=$AC11),0))</f>
        <v>0</v>
      </c>
      <c r="BO11" t="b" cm="1">
        <f t="array" ref="BO11">INDEX($B$1:$W$193,MATCH(BO$1,$B$1:$B$193,0),MATCH(1,($B$1:$W$1=$AB11)*($B$2:$W$2=$AC11),0))</f>
        <v>0</v>
      </c>
      <c r="BP11" t="b" cm="1">
        <f t="array" ref="BP11">INDEX($B$1:$W$193,MATCH(BP$1,$B$1:$B$193,0),MATCH(1,($B$1:$W$1=$AB11)*($B$2:$W$2=$AC11),0))</f>
        <v>0</v>
      </c>
      <c r="BQ11" t="b" cm="1">
        <f t="array" ref="BQ11">INDEX($B$1:$W$193,MATCH(BQ$1,$B$1:$B$193,0),MATCH(1,($B$1:$W$1=$AB11)*($B$2:$W$2=$AC11),0))</f>
        <v>0</v>
      </c>
      <c r="BR11" t="b" cm="1">
        <f t="array" ref="BR11">INDEX($B$1:$W$193,MATCH(BR$1,$B$1:$B$193,0),MATCH(1,($B$1:$W$1=$AB11)*($B$2:$W$2=$AC11),0))</f>
        <v>0</v>
      </c>
      <c r="BS11" t="b" cm="1">
        <f t="array" ref="BS11">INDEX($B$1:$W$193,MATCH(BS$1,$B$1:$B$193,0),MATCH(1,($B$1:$W$1=$AB11)*($B$2:$W$2=$AC11),0))</f>
        <v>1</v>
      </c>
      <c r="BT11" t="b" cm="1">
        <f t="array" ref="BT11">INDEX($B$1:$W$193,MATCH(BT$1,$B$1:$B$193,0),MATCH(1,($B$1:$W$1=$AB11)*($B$2:$W$2=$AC11),0))</f>
        <v>1</v>
      </c>
      <c r="BU11" t="b" cm="1">
        <f t="array" ref="BU11">INDEX($B$1:$W$193,MATCH(BU$1,$B$1:$B$193,0),MATCH(1,($B$1:$W$1=$AB11)*($B$2:$W$2=$AC11),0))</f>
        <v>0</v>
      </c>
      <c r="BV11" t="b" cm="1">
        <f t="array" ref="BV11">INDEX($B$1:$W$193,MATCH(BV$1,$B$1:$B$193,0),MATCH(1,($B$1:$W$1=$AB11)*($B$2:$W$2=$AC11),0))</f>
        <v>0</v>
      </c>
      <c r="BW11" t="b" cm="1">
        <f t="array" ref="BW11">INDEX($B$1:$W$193,MATCH(BW$1,$B$1:$B$193,0),MATCH(1,($B$1:$W$1=$AB11)*($B$2:$W$2=$AC11),0))</f>
        <v>0</v>
      </c>
      <c r="BX11" t="b" cm="1">
        <f t="array" ref="BX11">INDEX($B$1:$W$193,MATCH(BX$1,$B$1:$B$193,0),MATCH(1,($B$1:$W$1=$AB11)*($B$2:$W$2=$AC11),0))</f>
        <v>1</v>
      </c>
      <c r="BY11" t="b" cm="1">
        <f t="array" ref="BY11">INDEX($B$1:$W$193,MATCH(BY$1,$B$1:$B$193,0),MATCH(1,($B$1:$W$1=$AB11)*($B$2:$W$2=$AC11),0))</f>
        <v>0</v>
      </c>
      <c r="BZ11" t="b" cm="1">
        <f t="array" ref="BZ11">INDEX($B$1:$W$193,MATCH(BZ$1,$B$1:$B$193,0),MATCH(1,($B$1:$W$1=$AB11)*($B$2:$W$2=$AC11),0))</f>
        <v>1</v>
      </c>
      <c r="CA11" t="b" cm="1">
        <f t="array" ref="CA11">INDEX($B$1:$W$193,MATCH(CA$1,$B$1:$B$193,0),MATCH(1,($B$1:$W$1=$AB11)*($B$2:$W$2=$AC11),0))</f>
        <v>1</v>
      </c>
      <c r="CB11" t="b" cm="1">
        <f t="array" ref="CB11">INDEX($B$1:$W$193,MATCH(CB$1,$B$1:$B$193,0),MATCH(1,($B$1:$W$1=$AB11)*($B$2:$W$2=$AC11),0))</f>
        <v>0</v>
      </c>
      <c r="CC11" t="b" cm="1">
        <f t="array" ref="CC11">INDEX($B$1:$W$193,MATCH(CC$1,$B$1:$B$193,0),MATCH(1,($B$1:$W$1=$AB11)*($B$2:$W$2=$AC11),0))</f>
        <v>1</v>
      </c>
      <c r="CD11" t="b" cm="1">
        <f t="array" ref="CD11">INDEX($B$1:$W$193,MATCH(CD$1,$B$1:$B$193,0),MATCH(1,($B$1:$W$1=$AB11)*($B$2:$W$2=$AC11),0))</f>
        <v>0</v>
      </c>
      <c r="CE11" t="b" cm="1">
        <f t="array" ref="CE11">INDEX($B$1:$W$193,MATCH(CE$1,$B$1:$B$193,0),MATCH(1,($B$1:$W$1=$AB11)*($B$2:$W$2=$AC11),0))</f>
        <v>0</v>
      </c>
      <c r="CF11" t="b" cm="1">
        <f t="array" ref="CF11">INDEX($B$1:$W$193,MATCH(CF$1,$B$1:$B$193,0),MATCH(1,($B$1:$W$1=$AB11)*($B$2:$W$2=$AC11),0))</f>
        <v>0</v>
      </c>
      <c r="CG11" t="b" cm="1">
        <f t="array" ref="CG11">INDEX($B$1:$W$193,MATCH(CG$1,$B$1:$B$193,0),MATCH(1,($B$1:$W$1=$AB11)*($B$2:$W$2=$AC11),0))</f>
        <v>1</v>
      </c>
      <c r="CH11" t="b" cm="1">
        <f t="array" ref="CH11">INDEX($B$1:$W$193,MATCH(CH$1,$B$1:$B$193,0),MATCH(1,($B$1:$W$1=$AB11)*($B$2:$W$2=$AC11),0))</f>
        <v>0</v>
      </c>
      <c r="CI11" t="b" cm="1">
        <f t="array" ref="CI11">INDEX($B$1:$W$193,MATCH(CI$1,$B$1:$B$193,0),MATCH(1,($B$1:$W$1=$AB11)*($B$2:$W$2=$AC11),0))</f>
        <v>0</v>
      </c>
      <c r="CJ11" t="b" cm="1">
        <f t="array" ref="CJ11">INDEX($B$1:$W$193,MATCH(CJ$1,$B$1:$B$193,0),MATCH(1,($B$1:$W$1=$AB11)*($B$2:$W$2=$AC11),0))</f>
        <v>0</v>
      </c>
      <c r="CK11" t="b" cm="1">
        <f t="array" ref="CK11">INDEX($B$1:$W$193,MATCH(CK$1,$B$1:$B$193,0),MATCH(1,($B$1:$W$1=$AB11)*($B$2:$W$2=$AC11),0))</f>
        <v>0</v>
      </c>
      <c r="CL11" t="b" cm="1">
        <f t="array" ref="CL11">INDEX($B$1:$W$193,MATCH(CL$1,$B$1:$B$193,0),MATCH(1,($B$1:$W$1=$AB11)*($B$2:$W$2=$AC11),0))</f>
        <v>0</v>
      </c>
      <c r="CM11" t="b" cm="1">
        <f t="array" ref="CM11">INDEX($B$1:$W$193,MATCH(CM$1,$B$1:$B$193,0),MATCH(1,($B$1:$W$1=$AB11)*($B$2:$W$2=$AC11),0))</f>
        <v>0</v>
      </c>
      <c r="CN11" t="b" cm="1">
        <f t="array" ref="CN11">INDEX($B$1:$W$193,MATCH(CN$1,$B$1:$B$193,0),MATCH(1,($B$1:$W$1=$AB11)*($B$2:$W$2=$AC11),0))</f>
        <v>0</v>
      </c>
      <c r="CO11" t="b" cm="1">
        <f t="array" ref="CO11">INDEX($B$1:$W$193,MATCH(CO$1,$B$1:$B$193,0),MATCH(1,($B$1:$W$1=$AB11)*($B$2:$W$2=$AC11),0))</f>
        <v>1</v>
      </c>
      <c r="CP11" t="b" cm="1">
        <f t="array" ref="CP11">INDEX($B$1:$W$193,MATCH(CP$1,$B$1:$B$193,0),MATCH(1,($B$1:$W$1=$AB11)*($B$2:$W$2=$AC11),0))</f>
        <v>0</v>
      </c>
      <c r="CQ11" t="b" cm="1">
        <f t="array" ref="CQ11">INDEX($B$1:$W$193,MATCH(CQ$1,$B$1:$B$193,0),MATCH(1,($B$1:$W$1=$AB11)*($B$2:$W$2=$AC11),0))</f>
        <v>0</v>
      </c>
      <c r="CR11" t="b" cm="1">
        <f t="array" ref="CR11">INDEX($B$1:$W$193,MATCH(CR$1,$B$1:$B$193,0),MATCH(1,($B$1:$W$1=$AB11)*($B$2:$W$2=$AC11),0))</f>
        <v>0</v>
      </c>
      <c r="CS11" t="b" cm="1">
        <f t="array" ref="CS11">INDEX($B$1:$W$193,MATCH(CS$1,$B$1:$B$193,0),MATCH(1,($B$1:$W$1=$AB11)*($B$2:$W$2=$AC11),0))</f>
        <v>0</v>
      </c>
      <c r="CT11" t="b" cm="1">
        <f t="array" ref="CT11">INDEX($B$1:$W$193,MATCH(CT$1,$B$1:$B$193,0),MATCH(1,($B$1:$W$1=$AB11)*($B$2:$W$2=$AC11),0))</f>
        <v>0</v>
      </c>
      <c r="CU11" t="b" cm="1">
        <f t="array" ref="CU11">INDEX($B$1:$W$193,MATCH(CU$1,$B$1:$B$193,0),MATCH(1,($B$1:$W$1=$AB11)*($B$2:$W$2=$AC11),0))</f>
        <v>0</v>
      </c>
      <c r="CV11" t="b" cm="1">
        <f t="array" ref="CV11">INDEX($B$1:$W$193,MATCH(CV$1,$B$1:$B$193,0),MATCH(1,($B$1:$W$1=$AB11)*($B$2:$W$2=$AC11),0))</f>
        <v>0</v>
      </c>
      <c r="CW11" t="b" cm="1">
        <f t="array" ref="CW11">INDEX($B$1:$W$193,MATCH(CW$1,$B$1:$B$193,0),MATCH(1,($B$1:$W$1=$AB11)*($B$2:$W$2=$AC11),0))</f>
        <v>0</v>
      </c>
      <c r="CX11" t="b" cm="1">
        <f t="array" ref="CX11">INDEX($B$1:$W$193,MATCH(CX$1,$B$1:$B$193,0),MATCH(1,($B$1:$W$1=$AB11)*($B$2:$W$2=$AC11),0))</f>
        <v>0</v>
      </c>
      <c r="CY11" t="b" cm="1">
        <f t="array" ref="CY11">INDEX($B$1:$W$193,MATCH(CY$1,$B$1:$B$193,0),MATCH(1,($B$1:$W$1=$AB11)*($B$2:$W$2=$AC11),0))</f>
        <v>0</v>
      </c>
      <c r="CZ11" t="b" cm="1">
        <f t="array" ref="CZ11">INDEX($B$1:$W$193,MATCH(CZ$1,$B$1:$B$193,0),MATCH(1,($B$1:$W$1=$AB11)*($B$2:$W$2=$AC11),0))</f>
        <v>1</v>
      </c>
      <c r="DA11" t="b" cm="1">
        <f t="array" ref="DA11">INDEX($B$1:$W$193,MATCH(DA$1,$B$1:$B$193,0),MATCH(1,($B$1:$W$1=$AB11)*($B$2:$W$2=$AC11),0))</f>
        <v>0</v>
      </c>
      <c r="DB11" t="b" cm="1">
        <f t="array" ref="DB11">INDEX($B$1:$W$193,MATCH(DB$1,$B$1:$B$193,0),MATCH(1,($B$1:$W$1=$AB11)*($B$2:$W$2=$AC11),0))</f>
        <v>0</v>
      </c>
      <c r="DC11" t="b" cm="1">
        <f t="array" ref="DC11">INDEX($B$1:$W$193,MATCH(DC$1,$B$1:$B$193,0),MATCH(1,($B$1:$W$1=$AB11)*($B$2:$W$2=$AC11),0))</f>
        <v>0</v>
      </c>
      <c r="DD11" t="b" cm="1">
        <f t="array" ref="DD11">INDEX($B$1:$W$193,MATCH(DD$1,$B$1:$B$193,0),MATCH(1,($B$1:$W$1=$AB11)*($B$2:$W$2=$AC11),0))</f>
        <v>0</v>
      </c>
      <c r="DE11" t="b" cm="1">
        <f t="array" ref="DE11">INDEX($B$1:$W$193,MATCH(DE$1,$B$1:$B$193,0),MATCH(1,($B$1:$W$1=$AB11)*($B$2:$W$2=$AC11),0))</f>
        <v>1</v>
      </c>
      <c r="DF11" t="b" cm="1">
        <f t="array" ref="DF11">INDEX($B$1:$W$193,MATCH(DF$1,$B$1:$B$193,0),MATCH(1,($B$1:$W$1=$AB11)*($B$2:$W$2=$AC11),0))</f>
        <v>1</v>
      </c>
      <c r="DG11" t="b" cm="1">
        <f t="array" ref="DG11">INDEX($B$1:$W$193,MATCH(DG$1,$B$1:$B$193,0),MATCH(1,($B$1:$W$1=$AB11)*($B$2:$W$2=$AC11),0))</f>
        <v>0</v>
      </c>
      <c r="DH11" t="b" cm="1">
        <f t="array" ref="DH11">INDEX($B$1:$W$193,MATCH(DH$1,$B$1:$B$193,0),MATCH(1,($B$1:$W$1=$AB11)*($B$2:$W$2=$AC11),0))</f>
        <v>0</v>
      </c>
      <c r="DI11" t="b" cm="1">
        <f t="array" ref="DI11">INDEX($B$1:$W$193,MATCH(DI$1,$B$1:$B$193,0),MATCH(1,($B$1:$W$1=$AB11)*($B$2:$W$2=$AC11),0))</f>
        <v>1</v>
      </c>
      <c r="DJ11" t="b" cm="1">
        <f t="array" ref="DJ11">INDEX($B$1:$W$193,MATCH(DJ$1,$B$1:$B$193,0),MATCH(1,($B$1:$W$1=$AB11)*($B$2:$W$2=$AC11),0))</f>
        <v>0</v>
      </c>
      <c r="DK11" t="b" cm="1">
        <f t="array" ref="DK11">INDEX($B$1:$W$193,MATCH(DK$1,$B$1:$B$193,0),MATCH(1,($B$1:$W$1=$AB11)*($B$2:$W$2=$AC11),0))</f>
        <v>0</v>
      </c>
      <c r="DL11" t="b" cm="1">
        <f t="array" ref="DL11">INDEX($B$1:$W$193,MATCH(DL$1,$B$1:$B$193,0),MATCH(1,($B$1:$W$1=$AB11)*($B$2:$W$2=$AC11),0))</f>
        <v>0</v>
      </c>
      <c r="DM11" t="b" cm="1">
        <f t="array" ref="DM11">INDEX($B$1:$W$193,MATCH(DM$1,$B$1:$B$193,0),MATCH(1,($B$1:$W$1=$AB11)*($B$2:$W$2=$AC11),0))</f>
        <v>0</v>
      </c>
      <c r="DN11" t="b" cm="1">
        <f t="array" ref="DN11">INDEX($B$1:$W$193,MATCH(DN$1,$B$1:$B$193,0),MATCH(1,($B$1:$W$1=$AB11)*($B$2:$W$2=$AC11),0))</f>
        <v>0</v>
      </c>
      <c r="DO11" t="b" cm="1">
        <f t="array" ref="DO11">INDEX($B$1:$W$193,MATCH(DO$1,$B$1:$B$193,0),MATCH(1,($B$1:$W$1=$AB11)*($B$2:$W$2=$AC11),0))</f>
        <v>0</v>
      </c>
      <c r="DP11" t="b" cm="1">
        <f t="array" ref="DP11">INDEX($B$1:$W$193,MATCH(DP$1,$B$1:$B$193,0),MATCH(1,($B$1:$W$1=$AB11)*($B$2:$W$2=$AC11),0))</f>
        <v>1</v>
      </c>
      <c r="DQ11" t="b" cm="1">
        <f t="array" ref="DQ11">INDEX($B$1:$W$193,MATCH(DQ$1,$B$1:$B$193,0),MATCH(1,($B$1:$W$1=$AB11)*($B$2:$W$2=$AC11),0))</f>
        <v>0</v>
      </c>
      <c r="DR11" t="b" cm="1">
        <f t="array" ref="DR11">INDEX($B$1:$W$193,MATCH(DR$1,$B$1:$B$193,0),MATCH(1,($B$1:$W$1=$AB11)*($B$2:$W$2=$AC11),0))</f>
        <v>1</v>
      </c>
      <c r="DS11" t="b" cm="1">
        <f t="array" ref="DS11">INDEX($B$1:$W$193,MATCH(DS$1,$B$1:$B$193,0),MATCH(1,($B$1:$W$1=$AB11)*($B$2:$W$2=$AC11),0))</f>
        <v>0</v>
      </c>
      <c r="DT11" t="b" cm="1">
        <f t="array" ref="DT11">INDEX($B$1:$W$193,MATCH(DT$1,$B$1:$B$193,0),MATCH(1,($B$1:$W$1=$AB11)*($B$2:$W$2=$AC11),0))</f>
        <v>0</v>
      </c>
      <c r="DU11" t="b" cm="1">
        <f t="array" ref="DU11">INDEX($B$1:$W$193,MATCH(DU$1,$B$1:$B$193,0),MATCH(1,($B$1:$W$1=$AB11)*($B$2:$W$2=$AC11),0))</f>
        <v>1</v>
      </c>
      <c r="DV11" t="b" cm="1">
        <f t="array" ref="DV11">INDEX($B$1:$W$193,MATCH(DV$1,$B$1:$B$193,0),MATCH(1,($B$1:$W$1=$AB11)*($B$2:$W$2=$AC11),0))</f>
        <v>0</v>
      </c>
      <c r="DW11" t="b" cm="1">
        <f t="array" ref="DW11">INDEX($B$1:$W$193,MATCH(DW$1,$B$1:$B$193,0),MATCH(1,($B$1:$W$1=$AB11)*($B$2:$W$2=$AC11),0))</f>
        <v>0</v>
      </c>
      <c r="DX11" t="b" cm="1">
        <f t="array" ref="DX11">INDEX($B$1:$W$193,MATCH(DX$1,$B$1:$B$193,0),MATCH(1,($B$1:$W$1=$AB11)*($B$2:$W$2=$AC11),0))</f>
        <v>0</v>
      </c>
      <c r="DY11" t="b" cm="1">
        <f t="array" ref="DY11">INDEX($B$1:$W$193,MATCH(DY$1,$B$1:$B$193,0),MATCH(1,($B$1:$W$1=$AB11)*($B$2:$W$2=$AC11),0))</f>
        <v>0</v>
      </c>
      <c r="DZ11" t="b" cm="1">
        <f t="array" ref="DZ11">INDEX($B$1:$W$193,MATCH(DZ$1,$B$1:$B$193,0),MATCH(1,($B$1:$W$1=$AB11)*($B$2:$W$2=$AC11),0))</f>
        <v>0</v>
      </c>
      <c r="EA11" t="b" cm="1">
        <f t="array" ref="EA11">INDEX($B$1:$W$193,MATCH(EA$1,$B$1:$B$193,0),MATCH(1,($B$1:$W$1=$AB11)*($B$2:$W$2=$AC11),0))</f>
        <v>0</v>
      </c>
      <c r="EB11" t="b" cm="1">
        <f t="array" ref="EB11">INDEX($B$1:$W$193,MATCH(EB$1,$B$1:$B$193,0),MATCH(1,($B$1:$W$1=$AB11)*($B$2:$W$2=$AC11),0))</f>
        <v>0</v>
      </c>
      <c r="EC11" t="b" cm="1">
        <f t="array" ref="EC11">INDEX($B$1:$W$193,MATCH(EC$1,$B$1:$B$193,0),MATCH(1,($B$1:$W$1=$AB11)*($B$2:$W$2=$AC11),0))</f>
        <v>0</v>
      </c>
      <c r="ED11" t="b" cm="1">
        <f t="array" ref="ED11">INDEX($B$1:$W$193,MATCH(ED$1,$B$1:$B$193,0),MATCH(1,($B$1:$W$1=$AB11)*($B$2:$W$2=$AC11),0))</f>
        <v>1</v>
      </c>
      <c r="EE11" t="b" cm="1">
        <f t="array" ref="EE11">INDEX($B$1:$W$193,MATCH(EE$1,$B$1:$B$193,0),MATCH(1,($B$1:$W$1=$AB11)*($B$2:$W$2=$AC11),0))</f>
        <v>1</v>
      </c>
      <c r="EF11" t="b" cm="1">
        <f t="array" ref="EF11">INDEX($B$1:$W$193,MATCH(EF$1,$B$1:$B$193,0),MATCH(1,($B$1:$W$1=$AB11)*($B$2:$W$2=$AC11),0))</f>
        <v>1</v>
      </c>
      <c r="EG11" t="b" cm="1">
        <f t="array" ref="EG11">INDEX($B$1:$W$193,MATCH(EG$1,$B$1:$B$193,0),MATCH(1,($B$1:$W$1=$AB11)*($B$2:$W$2=$AC11),0))</f>
        <v>0</v>
      </c>
      <c r="EH11" t="b" cm="1">
        <f t="array" ref="EH11">INDEX($B$1:$W$193,MATCH(EH$1,$B$1:$B$193,0),MATCH(1,($B$1:$W$1=$AB11)*($B$2:$W$2=$AC11),0))</f>
        <v>0</v>
      </c>
      <c r="EI11" t="b" cm="1">
        <f t="array" ref="EI11">INDEX($B$1:$W$193,MATCH(EI$1,$B$1:$B$193,0),MATCH(1,($B$1:$W$1=$AB11)*($B$2:$W$2=$AC11),0))</f>
        <v>0</v>
      </c>
      <c r="EJ11" t="b" cm="1">
        <f t="array" ref="EJ11">INDEX($B$1:$W$193,MATCH(EJ$1,$B$1:$B$193,0),MATCH(1,($B$1:$W$1=$AB11)*($B$2:$W$2=$AC11),0))</f>
        <v>0</v>
      </c>
      <c r="EK11" t="b" cm="1">
        <f t="array" ref="EK11">INDEX($B$1:$W$193,MATCH(EK$1,$B$1:$B$193,0),MATCH(1,($B$1:$W$1=$AB11)*($B$2:$W$2=$AC11),0))</f>
        <v>0</v>
      </c>
      <c r="EL11" t="b" cm="1">
        <f t="array" ref="EL11">INDEX($B$1:$W$193,MATCH(EL$1,$B$1:$B$193,0),MATCH(1,($B$1:$W$1=$AB11)*($B$2:$W$2=$AC11),0))</f>
        <v>0</v>
      </c>
      <c r="EM11" t="b" cm="1">
        <f t="array" ref="EM11">INDEX($B$1:$W$193,MATCH(EM$1,$B$1:$B$193,0),MATCH(1,($B$1:$W$1=$AB11)*($B$2:$W$2=$AC11),0))</f>
        <v>0</v>
      </c>
      <c r="EN11" t="b" cm="1">
        <f t="array" ref="EN11">INDEX($B$1:$W$193,MATCH(EN$1,$B$1:$B$193,0),MATCH(1,($B$1:$W$1=$AB11)*($B$2:$W$2=$AC11),0))</f>
        <v>0</v>
      </c>
      <c r="EO11" t="b" cm="1">
        <f t="array" ref="EO11">INDEX($B$1:$W$193,MATCH(EO$1,$B$1:$B$193,0),MATCH(1,($B$1:$W$1=$AB11)*($B$2:$W$2=$AC11),0))</f>
        <v>0</v>
      </c>
      <c r="EP11" t="b" cm="1">
        <f t="array" ref="EP11">INDEX($B$1:$W$193,MATCH(EP$1,$B$1:$B$193,0),MATCH(1,($B$1:$W$1=$AB11)*($B$2:$W$2=$AC11),0))</f>
        <v>0</v>
      </c>
      <c r="EQ11" t="b" cm="1">
        <f t="array" ref="EQ11">INDEX($B$1:$W$193,MATCH(EQ$1,$B$1:$B$193,0),MATCH(1,($B$1:$W$1=$AB11)*($B$2:$W$2=$AC11),0))</f>
        <v>1</v>
      </c>
      <c r="ER11" t="b" cm="1">
        <f t="array" ref="ER11">INDEX($B$1:$W$193,MATCH(ER$1,$B$1:$B$193,0),MATCH(1,($B$1:$W$1=$AB11)*($B$2:$W$2=$AC11),0))</f>
        <v>0</v>
      </c>
      <c r="ES11" t="b" cm="1">
        <f t="array" ref="ES11">INDEX($B$1:$W$193,MATCH(ES$1,$B$1:$B$193,0),MATCH(1,($B$1:$W$1=$AB11)*($B$2:$W$2=$AC11),0))</f>
        <v>0</v>
      </c>
      <c r="ET11" t="b" cm="1">
        <f t="array" ref="ET11">INDEX($B$1:$W$193,MATCH(ET$1,$B$1:$B$193,0),MATCH(1,($B$1:$W$1=$AB11)*($B$2:$W$2=$AC11),0))</f>
        <v>0</v>
      </c>
      <c r="EU11" t="b" cm="1">
        <f t="array" ref="EU11">INDEX($B$1:$W$193,MATCH(EU$1,$B$1:$B$193,0),MATCH(1,($B$1:$W$1=$AB11)*($B$2:$W$2=$AC11),0))</f>
        <v>0</v>
      </c>
      <c r="EV11" t="b" cm="1">
        <f t="array" ref="EV11">INDEX($B$1:$W$193,MATCH(EV$1,$B$1:$B$193,0),MATCH(1,($B$1:$W$1=$AB11)*($B$2:$W$2=$AC11),0))</f>
        <v>0</v>
      </c>
      <c r="EW11" t="b" cm="1">
        <f t="array" ref="EW11">INDEX($B$1:$W$193,MATCH(EW$1,$B$1:$B$193,0),MATCH(1,($B$1:$W$1=$AB11)*($B$2:$W$2=$AC11),0))</f>
        <v>0</v>
      </c>
      <c r="EX11" t="b" cm="1">
        <f t="array" ref="EX11">INDEX($B$1:$W$193,MATCH(EX$1,$B$1:$B$193,0),MATCH(1,($B$1:$W$1=$AB11)*($B$2:$W$2=$AC11),0))</f>
        <v>0</v>
      </c>
      <c r="EY11" t="b" cm="1">
        <f t="array" ref="EY11">INDEX($B$1:$W$193,MATCH(EY$1,$B$1:$B$193,0),MATCH(1,($B$1:$W$1=$AB11)*($B$2:$W$2=$AC11),0))</f>
        <v>0</v>
      </c>
      <c r="EZ11" t="b" cm="1">
        <f t="array" ref="EZ11">INDEX($B$1:$W$193,MATCH(EZ$1,$B$1:$B$193,0),MATCH(1,($B$1:$W$1=$AB11)*($B$2:$W$2=$AC11),0))</f>
        <v>0</v>
      </c>
      <c r="FA11" t="b" cm="1">
        <f t="array" ref="FA11">INDEX($B$1:$W$193,MATCH(FA$1,$B$1:$B$193,0),MATCH(1,($B$1:$W$1=$AB11)*($B$2:$W$2=$AC11),0))</f>
        <v>0</v>
      </c>
      <c r="FB11" t="b" cm="1">
        <f t="array" ref="FB11">INDEX($B$1:$W$193,MATCH(FB$1,$B$1:$B$193,0),MATCH(1,($B$1:$W$1=$AB11)*($B$2:$W$2=$AC11),0))</f>
        <v>0</v>
      </c>
      <c r="FC11" t="b" cm="1">
        <f t="array" ref="FC11">INDEX($B$1:$W$193,MATCH(FC$1,$B$1:$B$193,0),MATCH(1,($B$1:$W$1=$AB11)*($B$2:$W$2=$AC11),0))</f>
        <v>0</v>
      </c>
      <c r="FD11" t="b" cm="1">
        <f t="array" ref="FD11">INDEX($B$1:$W$193,MATCH(FD$1,$B$1:$B$193,0),MATCH(1,($B$1:$W$1=$AB11)*($B$2:$W$2=$AC11),0))</f>
        <v>0</v>
      </c>
      <c r="FE11" t="b" cm="1">
        <f t="array" ref="FE11">INDEX($B$1:$W$193,MATCH(FE$1,$B$1:$B$193,0),MATCH(1,($B$1:$W$1=$AB11)*($B$2:$W$2=$AC11),0))</f>
        <v>0</v>
      </c>
      <c r="FF11" t="b" cm="1">
        <f t="array" ref="FF11">INDEX($B$1:$W$193,MATCH(FF$1,$B$1:$B$193,0),MATCH(1,($B$1:$W$1=$AB11)*($B$2:$W$2=$AC11),0))</f>
        <v>0</v>
      </c>
      <c r="FG11" t="b" cm="1">
        <f t="array" ref="FG11">INDEX($B$1:$W$193,MATCH(FG$1,$B$1:$B$193,0),MATCH(1,($B$1:$W$1=$AB11)*($B$2:$W$2=$AC11),0))</f>
        <v>0</v>
      </c>
      <c r="FH11" t="b" cm="1">
        <f t="array" ref="FH11">INDEX($B$1:$W$193,MATCH(FH$1,$B$1:$B$193,0),MATCH(1,($B$1:$W$1=$AB11)*($B$2:$W$2=$AC11),0))</f>
        <v>0</v>
      </c>
      <c r="FI11" t="b" cm="1">
        <f t="array" ref="FI11">INDEX($B$1:$W$193,MATCH(FI$1,$B$1:$B$193,0),MATCH(1,($B$1:$W$1=$AB11)*($B$2:$W$2=$AC11),0))</f>
        <v>0</v>
      </c>
      <c r="FJ11" t="b" cm="1">
        <f t="array" ref="FJ11">INDEX($B$1:$W$193,MATCH(FJ$1,$B$1:$B$193,0),MATCH(1,($B$1:$W$1=$AB11)*($B$2:$W$2=$AC11),0))</f>
        <v>0</v>
      </c>
      <c r="FK11" t="b" cm="1">
        <f t="array" ref="FK11">INDEX($B$1:$W$193,MATCH(FK$1,$B$1:$B$193,0),MATCH(1,($B$1:$W$1=$AB11)*($B$2:$W$2=$AC11),0))</f>
        <v>0</v>
      </c>
      <c r="FL11" t="b" cm="1">
        <f t="array" ref="FL11">INDEX($B$1:$W$193,MATCH(FL$1,$B$1:$B$193,0),MATCH(1,($B$1:$W$1=$AB11)*($B$2:$W$2=$AC11),0))</f>
        <v>0</v>
      </c>
      <c r="FM11" t="b" cm="1">
        <f t="array" ref="FM11">INDEX($B$1:$W$193,MATCH(FM$1,$B$1:$B$193,0),MATCH(1,($B$1:$W$1=$AB11)*($B$2:$W$2=$AC11),0))</f>
        <v>0</v>
      </c>
      <c r="FN11" t="b" cm="1">
        <f t="array" ref="FN11">INDEX($B$1:$W$193,MATCH(FN$1,$B$1:$B$193,0),MATCH(1,($B$1:$W$1=$AB11)*($B$2:$W$2=$AC11),0))</f>
        <v>0</v>
      </c>
      <c r="FO11" t="b" cm="1">
        <f t="array" ref="FO11">INDEX($B$1:$W$193,MATCH(FO$1,$B$1:$B$193,0),MATCH(1,($B$1:$W$1=$AB11)*($B$2:$W$2=$AC11),0))</f>
        <v>0</v>
      </c>
      <c r="FP11" t="b" cm="1">
        <f t="array" ref="FP11">INDEX($B$1:$W$193,MATCH(FP$1,$B$1:$B$193,0),MATCH(1,($B$1:$W$1=$AB11)*($B$2:$W$2=$AC11),0))</f>
        <v>0</v>
      </c>
      <c r="FQ11" t="b" cm="1">
        <f t="array" ref="FQ11">INDEX($B$1:$W$193,MATCH(FQ$1,$B$1:$B$193,0),MATCH(1,($B$1:$W$1=$AB11)*($B$2:$W$2=$AC11),0))</f>
        <v>0</v>
      </c>
      <c r="FR11" t="b" cm="1">
        <f t="array" ref="FR11">INDEX($B$1:$W$193,MATCH(FR$1,$B$1:$B$193,0),MATCH(1,($B$1:$W$1=$AB11)*($B$2:$W$2=$AC11),0))</f>
        <v>0</v>
      </c>
      <c r="FS11" t="b" cm="1">
        <f t="array" ref="FS11">INDEX($B$1:$W$193,MATCH(FS$1,$B$1:$B$193,0),MATCH(1,($B$1:$W$1=$AB11)*($B$2:$W$2=$AC11),0))</f>
        <v>0</v>
      </c>
      <c r="FT11" t="b" cm="1">
        <f t="array" ref="FT11">INDEX($B$1:$W$193,MATCH(FT$1,$B$1:$B$193,0),MATCH(1,($B$1:$W$1=$AB11)*($B$2:$W$2=$AC11),0))</f>
        <v>0</v>
      </c>
      <c r="FU11" t="b" cm="1">
        <f t="array" ref="FU11">INDEX($B$1:$W$193,MATCH(FU$1,$B$1:$B$193,0),MATCH(1,($B$1:$W$1=$AB11)*($B$2:$W$2=$AC11),0))</f>
        <v>0</v>
      </c>
      <c r="FV11" t="b" cm="1">
        <f t="array" ref="FV11">INDEX($B$1:$W$193,MATCH(FV$1,$B$1:$B$193,0),MATCH(1,($B$1:$W$1=$AB11)*($B$2:$W$2=$AC11),0))</f>
        <v>0</v>
      </c>
      <c r="FW11" t="b" cm="1">
        <f t="array" ref="FW11">INDEX($B$1:$W$193,MATCH(FW$1,$B$1:$B$193,0),MATCH(1,($B$1:$W$1=$AB11)*($B$2:$W$2=$AC11),0))</f>
        <v>0</v>
      </c>
      <c r="FX11" t="b" cm="1">
        <f t="array" ref="FX11">INDEX($B$1:$W$193,MATCH(FX$1,$B$1:$B$193,0),MATCH(1,($B$1:$W$1=$AB11)*($B$2:$W$2=$AC11),0))</f>
        <v>0</v>
      </c>
      <c r="FY11" t="b" cm="1">
        <f t="array" ref="FY11">INDEX($B$1:$W$193,MATCH(FY$1,$B$1:$B$193,0),MATCH(1,($B$1:$W$1=$AB11)*($B$2:$W$2=$AC11),0))</f>
        <v>0</v>
      </c>
      <c r="FZ11" t="b" cm="1">
        <f t="array" ref="FZ11">INDEX($B$1:$W$193,MATCH(FZ$1,$B$1:$B$193,0),MATCH(1,($B$1:$W$1=$AB11)*($B$2:$W$2=$AC11),0))</f>
        <v>0</v>
      </c>
      <c r="GA11" t="b" cm="1">
        <f t="array" ref="GA11">INDEX($B$1:$W$193,MATCH(GA$1,$B$1:$B$193,0),MATCH(1,($B$1:$W$1=$AB11)*($B$2:$W$2=$AC11),0))</f>
        <v>0</v>
      </c>
      <c r="GB11" t="b" cm="1">
        <f t="array" ref="GB11">INDEX($B$1:$W$193,MATCH(GB$1,$B$1:$B$193,0),MATCH(1,($B$1:$W$1=$AB11)*($B$2:$W$2=$AC11),0))</f>
        <v>0</v>
      </c>
      <c r="GC11" t="b" cm="1">
        <f t="array" ref="GC11">INDEX($B$1:$W$193,MATCH(GC$1,$B$1:$B$193,0),MATCH(1,($B$1:$W$1=$AB11)*($B$2:$W$2=$AC11),0))</f>
        <v>0</v>
      </c>
      <c r="GD11" t="b" cm="1">
        <f t="array" ref="GD11">INDEX($B$1:$W$193,MATCH(GD$1,$B$1:$B$193,0),MATCH(1,($B$1:$W$1=$AB11)*($B$2:$W$2=$AC11),0))</f>
        <v>0</v>
      </c>
      <c r="GE11" t="b" cm="1">
        <f t="array" ref="GE11">INDEX($B$1:$W$193,MATCH(GE$1,$B$1:$B$193,0),MATCH(1,($B$1:$W$1=$AB11)*($B$2:$W$2=$AC11),0))</f>
        <v>0</v>
      </c>
      <c r="GF11" t="b" cm="1">
        <f t="array" ref="GF11">INDEX($B$1:$W$193,MATCH(GF$1,$B$1:$B$193,0),MATCH(1,($B$1:$W$1=$AB11)*($B$2:$W$2=$AC11),0))</f>
        <v>0</v>
      </c>
      <c r="GG11" t="b" cm="1">
        <f t="array" ref="GG11">INDEX($B$1:$W$193,MATCH(GG$1,$B$1:$B$193,0),MATCH(1,($B$1:$W$1=$AB11)*($B$2:$W$2=$AC11),0))</f>
        <v>0</v>
      </c>
      <c r="GH11" t="b" cm="1">
        <f t="array" ref="GH11">INDEX($B$1:$W$193,MATCH(GH$1,$B$1:$B$193,0),MATCH(1,($B$1:$W$1=$AB11)*($B$2:$W$2=$AC11),0))</f>
        <v>0</v>
      </c>
      <c r="GI11" t="b" cm="1">
        <f t="array" ref="GI11">INDEX($B$1:$W$193,MATCH(GI$1,$B$1:$B$193,0),MATCH(1,($B$1:$W$1=$AB11)*($B$2:$W$2=$AC11),0))</f>
        <v>0</v>
      </c>
      <c r="GJ11" t="b" cm="1">
        <f t="array" ref="GJ11">INDEX($B$1:$W$193,MATCH(GJ$1,$B$1:$B$193,0),MATCH(1,($B$1:$W$1=$AB11)*($B$2:$W$2=$AC11),0))</f>
        <v>0</v>
      </c>
      <c r="GK11" t="b" cm="1">
        <f t="array" ref="GK11">INDEX($B$1:$W$193,MATCH(GK$1,$B$1:$B$193,0),MATCH(1,($B$1:$W$1=$AB11)*($B$2:$W$2=$AC11),0))</f>
        <v>0</v>
      </c>
      <c r="GL11" t="b" cm="1">
        <f t="array" ref="GL11">INDEX($B$1:$W$193,MATCH(GL$1,$B$1:$B$193,0),MATCH(1,($B$1:$W$1=$AB11)*($B$2:$W$2=$AC11),0))</f>
        <v>0</v>
      </c>
      <c r="GM11" t="b" cm="1">
        <f t="array" ref="GM11">INDEX($B$1:$W$193,MATCH(GM$1,$B$1:$B$193,0),MATCH(1,($B$1:$W$1=$AB11)*($B$2:$W$2=$AC11),0))</f>
        <v>0</v>
      </c>
      <c r="GN11" t="b" cm="1">
        <f t="array" ref="GN11">INDEX($B$1:$W$193,MATCH(GN$1,$B$1:$B$193,0),MATCH(1,($B$1:$W$1=$AB11)*($B$2:$W$2=$AC11),0))</f>
        <v>0</v>
      </c>
      <c r="GO11" t="b" cm="1">
        <f t="array" ref="GO11">INDEX($B$1:$W$193,MATCH(GO$1,$B$1:$B$193,0),MATCH(1,($B$1:$W$1=$AB11)*($B$2:$W$2=$AC11),0))</f>
        <v>0</v>
      </c>
      <c r="GP11" t="b" cm="1">
        <f t="array" ref="GP11">INDEX($B$1:$W$193,MATCH(GP$1,$B$1:$B$193,0),MATCH(1,($B$1:$W$1=$AB11)*($B$2:$W$2=$AC11),0))</f>
        <v>0</v>
      </c>
      <c r="GQ11" t="b" cm="1">
        <f t="array" ref="GQ11">INDEX($B$1:$W$193,MATCH(GQ$1,$B$1:$B$193,0),MATCH(1,($B$1:$W$1=$AB11)*($B$2:$W$2=$AC11),0))</f>
        <v>0</v>
      </c>
      <c r="GR11" t="b" cm="1">
        <f t="array" ref="GR11">INDEX($B$1:$W$193,MATCH(GR$1,$B$1:$B$193,0),MATCH(1,($B$1:$W$1=$AB11)*($B$2:$W$2=$AC11),0))</f>
        <v>0</v>
      </c>
      <c r="GS11" t="b" cm="1">
        <f t="array" ref="GS11">INDEX($B$1:$W$193,MATCH(GS$1,$B$1:$B$193,0),MATCH(1,($B$1:$W$1=$AB11)*($B$2:$W$2=$AC11),0))</f>
        <v>0</v>
      </c>
      <c r="GT11" t="b" cm="1">
        <f t="array" ref="GT11">INDEX($B$1:$W$193,MATCH(GT$1,$B$1:$B$193,0),MATCH(1,($B$1:$W$1=$AB11)*($B$2:$W$2=$AC11),0))</f>
        <v>0</v>
      </c>
      <c r="GU11" t="b" cm="1">
        <f t="array" ref="GU11">INDEX($B$1:$W$193,MATCH(GU$1,$B$1:$B$193,0),MATCH(1,($B$1:$W$1=$AB11)*($B$2:$W$2=$AC11),0))</f>
        <v>0</v>
      </c>
      <c r="GV11" t="b" cm="1">
        <f t="array" ref="GV11">INDEX($B$1:$W$193,MATCH(GV$1,$B$1:$B$193,0),MATCH(1,($B$1:$W$1=$AB11)*($B$2:$W$2=$AC11),0))</f>
        <v>0</v>
      </c>
      <c r="GW11" t="b" cm="1">
        <f t="array" ref="GW11">INDEX($B$1:$W$193,MATCH(GW$1,$B$1:$B$193,0),MATCH(1,($B$1:$W$1=$AB11)*($B$2:$W$2=$AC11),0))</f>
        <v>0</v>
      </c>
      <c r="GX11" t="b" cm="1">
        <f t="array" ref="GX11">INDEX($B$1:$W$193,MATCH(GX$1,$B$1:$B$193,0),MATCH(1,($B$1:$W$1=$AB11)*($B$2:$W$2=$AC11),0))</f>
        <v>0</v>
      </c>
      <c r="GY11" t="b" cm="1">
        <f t="array" ref="GY11">INDEX($B$1:$W$193,MATCH(GY$1,$B$1:$B$193,0),MATCH(1,($B$1:$W$1=$AB11)*($B$2:$W$2=$AC11),0))</f>
        <v>0</v>
      </c>
      <c r="GZ11" t="b" cm="1">
        <f t="array" ref="GZ11">INDEX($B$1:$W$193,MATCH(GZ$1,$B$1:$B$193,0),MATCH(1,($B$1:$W$1=$AB11)*($B$2:$W$2=$AC11),0))</f>
        <v>0</v>
      </c>
      <c r="HA11" t="b" cm="1">
        <f t="array" ref="HA11">INDEX($B$1:$W$193,MATCH(HA$1,$B$1:$B$193,0),MATCH(1,($B$1:$W$1=$AB11)*($B$2:$W$2=$AC11),0))</f>
        <v>0</v>
      </c>
      <c r="HB11" t="b" cm="1">
        <f t="array" ref="HB11">INDEX($B$1:$W$193,MATCH(HB$1,$B$1:$B$193,0),MATCH(1,($B$1:$W$1=$AB11)*($B$2:$W$2=$AC11),0))</f>
        <v>0</v>
      </c>
      <c r="HC11" t="b" cm="1">
        <f t="array" ref="HC11">INDEX($B$1:$W$193,MATCH(HC$1,$B$1:$B$193,0),MATCH(1,($B$1:$W$1=$AB11)*($B$2:$W$2=$AC11),0))</f>
        <v>0</v>
      </c>
      <c r="HD11" t="b" cm="1">
        <f t="array" ref="HD11">INDEX($B$1:$W$193,MATCH(HD$1,$B$1:$B$193,0),MATCH(1,($B$1:$W$1=$AB11)*($B$2:$W$2=$AC11),0))</f>
        <v>0</v>
      </c>
      <c r="HE11" t="b" cm="1">
        <f t="array" ref="HE11">INDEX($B$1:$W$193,MATCH(HE$1,$B$1:$B$193,0),MATCH(1,($B$1:$W$1=$AB11)*($B$2:$W$2=$AC11),0))</f>
        <v>0</v>
      </c>
      <c r="HF11" t="b" cm="1">
        <f t="array" ref="HF11">INDEX($B$1:$W$193,MATCH(HF$1,$B$1:$B$193,0),MATCH(1,($B$1:$W$1=$AB11)*($B$2:$W$2=$AC11),0))</f>
        <v>0</v>
      </c>
      <c r="HG11" t="b" cm="1">
        <f t="array" ref="HG11">INDEX($B$1:$W$193,MATCH(HG$1,$B$1:$B$193,0),MATCH(1,($B$1:$W$1=$AB11)*($B$2:$W$2=$AC11),0))</f>
        <v>0</v>
      </c>
      <c r="HH11" t="b" cm="1">
        <f t="array" ref="HH11">INDEX($B$1:$W$193,MATCH(HH$1,$B$1:$B$193,0),MATCH(1,($B$1:$W$1=$AB11)*($B$2:$W$2=$AC11),0))</f>
        <v>0</v>
      </c>
      <c r="HI11" t="b" cm="1">
        <f t="array" ref="HI11">INDEX($B$1:$W$193,MATCH(HI$1,$B$1:$B$193,0),MATCH(1,($B$1:$W$1=$AB11)*($B$2:$W$2=$AC11),0))</f>
        <v>0</v>
      </c>
      <c r="HJ11" t="b" cm="1">
        <f t="array" ref="HJ11">INDEX($B$1:$W$193,MATCH(HJ$1,$B$1:$B$193,0),MATCH(1,($B$1:$W$1=$AB11)*($B$2:$W$2=$AC11),0))</f>
        <v>0</v>
      </c>
      <c r="HK11" t="b" cm="1">
        <f t="array" ref="HK11">INDEX($B$1:$W$193,MATCH(HK$1,$B$1:$B$193,0),MATCH(1,($B$1:$W$1=$AB11)*($B$2:$W$2=$AC11),0))</f>
        <v>0</v>
      </c>
      <c r="HL11" t="b" cm="1">
        <f t="array" ref="HL11">INDEX($B$1:$W$193,MATCH(HL$1,$B$1:$B$193,0),MATCH(1,($B$1:$W$1=$AB11)*($B$2:$W$2=$AC11),0))</f>
        <v>0</v>
      </c>
      <c r="HM11" t="b" cm="1">
        <f t="array" ref="HM11">INDEX($B$1:$W$193,MATCH(HM$1,$B$1:$B$193,0),MATCH(1,($B$1:$W$1=$AB11)*($B$2:$W$2=$AC11),0))</f>
        <v>0</v>
      </c>
      <c r="HN11" t="b" cm="1">
        <f t="array" ref="HN11">INDEX($B$1:$W$193,MATCH(HN$1,$B$1:$B$193,0),MATCH(1,($B$1:$W$1=$AB11)*($B$2:$W$2=$AC11),0))</f>
        <v>0</v>
      </c>
      <c r="HO11" t="b" cm="1">
        <f t="array" ref="HO11">INDEX($B$1:$W$193,MATCH(HO$1,$B$1:$B$193,0),MATCH(1,($B$1:$W$1=$AB11)*($B$2:$W$2=$AC11),0))</f>
        <v>0</v>
      </c>
      <c r="HP11" t="b" cm="1">
        <f t="array" ref="HP11">INDEX($B$1:$W$193,MATCH(HP$1,$B$1:$B$193,0),MATCH(1,($B$1:$W$1=$AB11)*($B$2:$W$2=$AC11),0))</f>
        <v>0</v>
      </c>
      <c r="HQ11" t="b" cm="1">
        <f t="array" ref="HQ11">INDEX($B$1:$W$193,MATCH(HQ$1,$B$1:$B$193,0),MATCH(1,($B$1:$W$1=$AB11)*($B$2:$W$2=$AC11),0))</f>
        <v>0</v>
      </c>
      <c r="HR11" t="b" cm="1">
        <f t="array" ref="HR11">INDEX($B$1:$W$193,MATCH(HR$1,$B$1:$B$193,0),MATCH(1,($B$1:$W$1=$AB11)*($B$2:$W$2=$AC11),0))</f>
        <v>0</v>
      </c>
      <c r="HS11" t="b" cm="1">
        <f t="array" ref="HS11">INDEX($B$1:$W$193,MATCH(HS$1,$B$1:$B$193,0),MATCH(1,($B$1:$W$1=$AB11)*($B$2:$W$2=$AC11),0))</f>
        <v>0</v>
      </c>
      <c r="HT11" t="b" cm="1">
        <f t="array" ref="HT11">INDEX($B$1:$W$193,MATCH(HT$1,$B$1:$B$193,0),MATCH(1,($B$1:$W$1=$AB11)*($B$2:$W$2=$AC11),0))</f>
        <v>0</v>
      </c>
      <c r="HU11" t="b" cm="1">
        <f t="array" ref="HU11">INDEX($B$1:$W$193,MATCH(HU$1,$B$1:$B$193,0),MATCH(1,($B$1:$W$1=$AB11)*($B$2:$W$2=$AC11),0))</f>
        <v>0</v>
      </c>
      <c r="HV11" t="b" cm="1">
        <f t="array" ref="HV11">INDEX($B$1:$W$193,MATCH(HV$1,$B$1:$B$193,0),MATCH(1,($B$1:$W$1=$AB11)*($B$2:$W$2=$AC11),0))</f>
        <v>0</v>
      </c>
      <c r="HW11" t="b" cm="1">
        <f t="array" ref="HW11">INDEX($B$1:$W$193,MATCH(HW$1,$B$1:$B$193,0),MATCH(1,($B$1:$W$1=$AB11)*($B$2:$W$2=$AC11),0))</f>
        <v>0</v>
      </c>
      <c r="HX11" t="b" cm="1">
        <f t="array" ref="HX11">INDEX($B$1:$W$193,MATCH(HX$1,$B$1:$B$193,0),MATCH(1,($B$1:$W$1=$AB11)*($B$2:$W$2=$AC11),0))</f>
        <v>0</v>
      </c>
      <c r="HY11" t="b" cm="1">
        <f t="array" ref="HY11">INDEX($B$1:$W$193,MATCH(HY$1,$B$1:$B$193,0),MATCH(1,($B$1:$W$1=$AB11)*($B$2:$W$2=$AC11),0))</f>
        <v>0</v>
      </c>
      <c r="HZ11" t="b" cm="1">
        <f t="array" ref="HZ11">INDEX($B$1:$W$193,MATCH(HZ$1,$B$1:$B$193,0),MATCH(1,($B$1:$W$1=$AB11)*($B$2:$W$2=$AC11),0))</f>
        <v>0</v>
      </c>
      <c r="IA11" t="b" cm="1">
        <f t="array" ref="IA11">INDEX($B$1:$W$193,MATCH(IA$1,$B$1:$B$193,0),MATCH(1,($B$1:$W$1=$AB11)*($B$2:$W$2=$AC11),0))</f>
        <v>0</v>
      </c>
      <c r="IB11" t="b" cm="1">
        <f t="array" ref="IB11">INDEX($B$1:$W$193,MATCH(IB$1,$B$1:$B$193,0),MATCH(1,($B$1:$W$1=$AB11)*($B$2:$W$2=$AC11),0))</f>
        <v>0</v>
      </c>
      <c r="IC11" t="b" cm="1">
        <f t="array" ref="IC11">INDEX($B$1:$W$193,MATCH(IC$1,$B$1:$B$193,0),MATCH(1,($B$1:$W$1=$AB11)*($B$2:$W$2=$AC11),0))</f>
        <v>0</v>
      </c>
      <c r="ID11" t="b" cm="1">
        <f t="array" ref="ID11">INDEX($B$1:$W$193,MATCH(ID$1,$B$1:$B$193,0),MATCH(1,($B$1:$W$1=$AB11)*($B$2:$W$2=$AC11),0))</f>
        <v>0</v>
      </c>
      <c r="IE11" t="b" cm="1">
        <f t="array" ref="IE11">INDEX($B$1:$W$193,MATCH(IE$1,$B$1:$B$193,0),MATCH(1,($B$1:$W$1=$AB11)*($B$2:$W$2=$AC11),0))</f>
        <v>0</v>
      </c>
      <c r="IF11" t="b" cm="1">
        <f t="array" ref="IF11">INDEX($B$1:$W$193,MATCH(IF$1,$B$1:$B$193,0),MATCH(1,($B$1:$W$1=$AB11)*($B$2:$W$2=$AC11),0))</f>
        <v>0</v>
      </c>
      <c r="IG11" t="b" cm="1">
        <f t="array" ref="IG11">INDEX($B$1:$W$193,MATCH(IG$1,$B$1:$B$193,0),MATCH(1,($B$1:$W$1=$AB11)*($B$2:$W$2=$AC11),0))</f>
        <v>0</v>
      </c>
      <c r="IH11" t="b" cm="1">
        <f t="array" ref="IH11">INDEX($B$1:$W$193,MATCH(IH$1,$B$1:$B$193,0),MATCH(1,($B$1:$W$1=$AB11)*($B$2:$W$2=$AC11),0))</f>
        <v>0</v>
      </c>
      <c r="II11" t="b" cm="1">
        <f t="array" ref="II11">INDEX($B$1:$W$193,MATCH(II$1,$B$1:$B$193,0),MATCH(1,($B$1:$W$1=$AB11)*($B$2:$W$2=$AC11),0))</f>
        <v>0</v>
      </c>
      <c r="IJ11" t="b" cm="1">
        <f t="array" ref="IJ11">INDEX($B$1:$W$193,MATCH(IJ$1,$B$1:$B$193,0),MATCH(1,($B$1:$W$1=$AB11)*($B$2:$W$2=$AC11),0))</f>
        <v>0</v>
      </c>
      <c r="IK11" t="b" cm="1">
        <f t="array" ref="IK11">INDEX($B$1:$W$193,MATCH(IK$1,$B$1:$B$193,0),MATCH(1,($B$1:$W$1=$AB11)*($B$2:$W$2=$AC11),0))</f>
        <v>0</v>
      </c>
      <c r="IL11" t="b" cm="1">
        <f t="array" ref="IL11">INDEX($B$1:$W$193,MATCH(IL$1,$B$1:$B$193,0),MATCH(1,($B$1:$W$1=$AB11)*($B$2:$W$2=$AC11),0))</f>
        <v>0</v>
      </c>
      <c r="IM11" t="b" cm="1">
        <f t="array" ref="IM11">INDEX($B$1:$W$193,MATCH(IM$1,$B$1:$B$193,0),MATCH(1,($B$1:$W$1=$AB11)*($B$2:$W$2=$AC11),0))</f>
        <v>0</v>
      </c>
      <c r="IN11" t="b" cm="1">
        <f t="array" ref="IN11">INDEX($B$1:$W$193,MATCH(IN$1,$B$1:$B$193,0),MATCH(1,($B$1:$W$1=$AB11)*($B$2:$W$2=$AC11),0))</f>
        <v>0</v>
      </c>
      <c r="IO11" t="b" cm="1">
        <f t="array" ref="IO11">INDEX($B$1:$W$193,MATCH(IO$1,$B$1:$B$193,0),MATCH(1,($B$1:$W$1=$AB11)*($B$2:$W$2=$AC11),0))</f>
        <v>0</v>
      </c>
      <c r="IP11" t="b" cm="1">
        <f t="array" ref="IP11">INDEX($B$1:$W$193,MATCH(IP$1,$B$1:$B$193,0),MATCH(1,($B$1:$W$1=$AB11)*($B$2:$W$2=$AC11),0))</f>
        <v>0</v>
      </c>
      <c r="IQ11" t="b" cm="1">
        <f t="array" ref="IQ11">INDEX($B$1:$W$193,MATCH(IQ$1,$B$1:$B$193,0),MATCH(1,($B$1:$W$1=$AB11)*($B$2:$W$2=$AC11),0))</f>
        <v>0</v>
      </c>
      <c r="IR11" t="b" cm="1">
        <f t="array" ref="IR11">INDEX($B$1:$W$193,MATCH(IR$1,$B$1:$B$193,0),MATCH(1,($B$1:$W$1=$AB11)*($B$2:$W$2=$AC11),0))</f>
        <v>0</v>
      </c>
      <c r="IS11" t="b" cm="1">
        <f t="array" ref="IS11">INDEX($B$1:$W$193,MATCH(IS$1,$B$1:$B$193,0),MATCH(1,($B$1:$W$1=$AB11)*($B$2:$W$2=$AC11),0))</f>
        <v>0</v>
      </c>
      <c r="IT11" t="b" cm="1">
        <f t="array" ref="IT11">INDEX($B$1:$W$193,MATCH(IT$1,$B$1:$B$193,0),MATCH(1,($B$1:$W$1=$AB11)*($B$2:$W$2=$AC11),0))</f>
        <v>0</v>
      </c>
      <c r="IU11" t="b" cm="1">
        <f t="array" ref="IU11">INDEX($B$1:$W$193,MATCH(IU$1,$B$1:$B$193,0),MATCH(1,($B$1:$W$1=$AB11)*($B$2:$W$2=$AC11),0))</f>
        <v>0</v>
      </c>
      <c r="IV11" t="b" cm="1">
        <f t="array" ref="IV11">INDEX($B$1:$W$193,MATCH(IV$1,$B$1:$B$193,0),MATCH(1,($B$1:$W$1=$AB11)*($B$2:$W$2=$AC11),0))</f>
        <v>0</v>
      </c>
      <c r="IW11" t="b" cm="1">
        <f t="array" ref="IW11">INDEX($B$1:$W$193,MATCH(IW$1,$B$1:$B$193,0),MATCH(1,($B$1:$W$1=$AB11)*($B$2:$W$2=$AC11),0))</f>
        <v>0</v>
      </c>
      <c r="IX11" t="b" cm="1">
        <f t="array" ref="IX11">INDEX($B$1:$W$193,MATCH(IX$1,$B$1:$B$193,0),MATCH(1,($B$1:$W$1=$AB11)*($B$2:$W$2=$AC11),0))</f>
        <v>0</v>
      </c>
      <c r="IY11" t="b" cm="1">
        <f t="array" ref="IY11">INDEX($B$1:$W$193,MATCH(IY$1,$B$1:$B$193,0),MATCH(1,($B$1:$W$1=$AB11)*($B$2:$W$2=$AC11),0))</f>
        <v>0</v>
      </c>
      <c r="IZ11" t="b" cm="1">
        <f t="array" ref="IZ11">INDEX($B$1:$W$193,MATCH(IZ$1,$B$1:$B$193,0),MATCH(1,($B$1:$W$1=$AB11)*($B$2:$W$2=$AC11),0))</f>
        <v>0</v>
      </c>
      <c r="JA11" t="b" cm="1">
        <f t="array" ref="JA11">INDEX($B$1:$W$193,MATCH(JA$1,$B$1:$B$193,0),MATCH(1,($B$1:$W$1=$AB11)*($B$2:$W$2=$AC11),0))</f>
        <v>0</v>
      </c>
      <c r="JB11" t="b" cm="1">
        <f t="array" ref="JB11">INDEX($B$1:$W$193,MATCH(JB$1,$B$1:$B$193,0),MATCH(1,($B$1:$W$1=$AB11)*($B$2:$W$2=$AC11),0))</f>
        <v>0</v>
      </c>
      <c r="JC11" t="b" cm="1">
        <f t="array" ref="JC11">INDEX($B$1:$W$193,MATCH(JC$1,$B$1:$B$193,0),MATCH(1,($B$1:$W$1=$AB11)*($B$2:$W$2=$AC11),0))</f>
        <v>0</v>
      </c>
      <c r="JD11" t="b" cm="1">
        <f t="array" ref="JD11">INDEX($B$1:$W$193,MATCH(JD$1,$B$1:$B$193,0),MATCH(1,($B$1:$W$1=$AB11)*($B$2:$W$2=$AC11),0))</f>
        <v>0</v>
      </c>
      <c r="JE11" t="b" cm="1">
        <f t="array" ref="JE11">INDEX($B$1:$W$193,MATCH(JE$1,$B$1:$B$193,0),MATCH(1,($B$1:$W$1=$AB11)*($B$2:$W$2=$AC11),0))</f>
        <v>0</v>
      </c>
      <c r="JF11" t="b" cm="1">
        <f t="array" ref="JF11">INDEX($B$1:$W$193,MATCH(JF$1,$B$1:$B$193,0),MATCH(1,($B$1:$W$1=$AB11)*($B$2:$W$2=$AC11),0))</f>
        <v>0</v>
      </c>
      <c r="JG11" t="b" cm="1">
        <f t="array" ref="JG11">INDEX($B$1:$W$193,MATCH(JG$1,$B$1:$B$193,0),MATCH(1,($B$1:$W$1=$AB11)*($B$2:$W$2=$AC11),0))</f>
        <v>0</v>
      </c>
      <c r="JH11" t="b" cm="1">
        <f t="array" ref="JH11">INDEX($B$1:$W$193,MATCH(JH$1,$B$1:$B$193,0),MATCH(1,($B$1:$W$1=$AB11)*($B$2:$W$2=$AC11),0))</f>
        <v>0</v>
      </c>
    </row>
    <row r="12" spans="1:268" x14ac:dyDescent="0.25">
      <c r="A12" t="s">
        <v>165</v>
      </c>
      <c r="B12" s="51" t="s">
        <v>171</v>
      </c>
      <c r="C12">
        <v>2</v>
      </c>
      <c r="D12">
        <v>3</v>
      </c>
      <c r="E12" t="b">
        <f t="shared" si="1"/>
        <v>1</v>
      </c>
      <c r="F12" t="b">
        <f t="shared" si="0"/>
        <v>1</v>
      </c>
      <c r="G12" t="b">
        <f t="shared" si="0"/>
        <v>1</v>
      </c>
      <c r="H12" t="b">
        <f t="shared" si="0"/>
        <v>0</v>
      </c>
      <c r="I12" t="b">
        <f t="shared" si="0"/>
        <v>0</v>
      </c>
      <c r="J12" t="b">
        <f t="shared" si="0"/>
        <v>0</v>
      </c>
      <c r="K12" t="b">
        <f t="shared" si="0"/>
        <v>1</v>
      </c>
      <c r="L12" t="b">
        <f t="shared" si="0"/>
        <v>1</v>
      </c>
      <c r="M12" t="b">
        <f t="shared" si="0"/>
        <v>1</v>
      </c>
      <c r="N12" t="b">
        <f t="shared" si="0"/>
        <v>0</v>
      </c>
      <c r="O12" t="b">
        <f t="shared" si="0"/>
        <v>0</v>
      </c>
      <c r="P12" t="b">
        <f t="shared" si="0"/>
        <v>0</v>
      </c>
      <c r="Q12" t="b">
        <v>1</v>
      </c>
      <c r="R12" t="b" cm="1">
        <f t="array" ref="R12">_xlfn.IFS(C12=1,FALSE,OR(C12=2,C12&gt;2),TRUE)</f>
        <v>1</v>
      </c>
      <c r="S12" t="b" cm="1">
        <f t="array" ref="S12">_xlfn.IFS(OR(C12=1,C12=2),FALSE,OR(C12=3,C12&gt;3),TRUE)</f>
        <v>0</v>
      </c>
      <c r="T12" t="str">
        <f t="shared" si="2"/>
        <v>TRUE</v>
      </c>
      <c r="U12" t="str">
        <f t="shared" si="3"/>
        <v>FALSE</v>
      </c>
      <c r="V12" t="str">
        <f t="shared" si="4"/>
        <v>FALSE</v>
      </c>
      <c r="W12" t="b" cm="1">
        <f t="array" ref="W12">_xlfn.IFS(H12=1,FALSE,OR(H12=2,H12&gt;2),TRUE)</f>
        <v>1</v>
      </c>
      <c r="X12" t="b" cm="1">
        <f t="array" ref="X12">_xlfn.IFS(H12=1,FALSE,OR(H12=2,H12&gt;2),TRUE)</f>
        <v>1</v>
      </c>
      <c r="Y12" t="b" cm="1">
        <f t="array" ref="Y12">_xlfn.IFS(H12=1,FALSE,OR(H12=2,H12&gt;2),TRUE)</f>
        <v>1</v>
      </c>
      <c r="AB12" t="s">
        <v>1</v>
      </c>
      <c r="AC12" t="s">
        <v>87</v>
      </c>
      <c r="AD12" t="b" cm="1">
        <f t="array" ref="AD12">INDEX($B$1:$W$193,MATCH(AD$1,$B$1:$B$193,0),MATCH(1,($B$1:$W$1=$AB12)*($B$2:$W$2=$AC12),0))</f>
        <v>0</v>
      </c>
      <c r="AE12" t="b" cm="1">
        <f t="array" ref="AE12">INDEX($B$1:$W$193,MATCH(AE$1,$B$1:$B$193,0),MATCH(1,($B$1:$W$1=$AB12)*($B$2:$W$2=$AC12),0))</f>
        <v>0</v>
      </c>
      <c r="AF12" t="b" cm="1">
        <f t="array" ref="AF12">INDEX($B$1:$W$193,MATCH(AF$1,$B$1:$B$193,0),MATCH(1,($B$1:$W$1=$AB12)*($B$2:$W$2=$AC12),0))</f>
        <v>0</v>
      </c>
      <c r="AG12" t="b" cm="1">
        <f t="array" ref="AG12">INDEX($B$1:$W$193,MATCH(AG$1,$B$1:$B$193,0),MATCH(1,($B$1:$W$1=$AB12)*($B$2:$W$2=$AC12),0))</f>
        <v>0</v>
      </c>
      <c r="AH12" t="b" cm="1">
        <f t="array" ref="AH12">INDEX($B$1:$W$193,MATCH(AH$1,$B$1:$B$193,0),MATCH(1,($B$1:$W$1=$AB12)*($B$2:$W$2=$AC12),0))</f>
        <v>0</v>
      </c>
      <c r="AI12" t="b" cm="1">
        <f t="array" ref="AI12">INDEX($B$1:$W$193,MATCH(AI$1,$B$1:$B$193,0),MATCH(1,($B$1:$W$1=$AB12)*($B$2:$W$2=$AC12),0))</f>
        <v>0</v>
      </c>
      <c r="AJ12" t="b" cm="1">
        <f t="array" ref="AJ12">INDEX($B$1:$W$193,MATCH(AJ$1,$B$1:$B$193,0),MATCH(1,($B$1:$W$1=$AB12)*($B$2:$W$2=$AC12),0))</f>
        <v>0</v>
      </c>
      <c r="AK12" t="b" cm="1">
        <f t="array" ref="AK12">INDEX($B$1:$W$193,MATCH(AK$1,$B$1:$B$193,0),MATCH(1,($B$1:$W$1=$AB12)*($B$2:$W$2=$AC12),0))</f>
        <v>0</v>
      </c>
      <c r="AL12" t="b" cm="1">
        <f t="array" ref="AL12">INDEX($B$1:$W$193,MATCH(AL$1,$B$1:$B$193,0),MATCH(1,($B$1:$W$1=$AB12)*($B$2:$W$2=$AC12),0))</f>
        <v>0</v>
      </c>
      <c r="AM12" t="b" cm="1">
        <f t="array" ref="AM12">INDEX($B$1:$W$193,MATCH(AM$1,$B$1:$B$193,0),MATCH(1,($B$1:$W$1=$AB12)*($B$2:$W$2=$AC12),0))</f>
        <v>0</v>
      </c>
      <c r="AN12" t="b" cm="1">
        <f t="array" ref="AN12">INDEX($B$1:$W$193,MATCH(AN$1,$B$1:$B$193,0),MATCH(1,($B$1:$W$1=$AB12)*($B$2:$W$2=$AC12),0))</f>
        <v>0</v>
      </c>
      <c r="AO12" t="b" cm="1">
        <f t="array" ref="AO12">INDEX($B$1:$W$193,MATCH(AO$1,$B$1:$B$193,0),MATCH(1,($B$1:$W$1=$AB12)*($B$2:$W$2=$AC12),0))</f>
        <v>0</v>
      </c>
      <c r="AP12" t="b" cm="1">
        <f t="array" ref="AP12">INDEX($B$1:$W$193,MATCH(AP$1,$B$1:$B$193,0),MATCH(1,($B$1:$W$1=$AB12)*($B$2:$W$2=$AC12),0))</f>
        <v>0</v>
      </c>
      <c r="AQ12" t="b" cm="1">
        <f t="array" ref="AQ12">INDEX($B$1:$W$193,MATCH(AQ$1,$B$1:$B$193,0),MATCH(1,($B$1:$W$1=$AB12)*($B$2:$W$2=$AC12),0))</f>
        <v>0</v>
      </c>
      <c r="AR12" t="b" cm="1">
        <f t="array" ref="AR12">INDEX($B$1:$W$193,MATCH(AR$1,$B$1:$B$193,0),MATCH(1,($B$1:$W$1=$AB12)*($B$2:$W$2=$AC12),0))</f>
        <v>0</v>
      </c>
      <c r="AS12" t="b" cm="1">
        <f t="array" ref="AS12">INDEX($B$1:$W$193,MATCH(AS$1,$B$1:$B$193,0),MATCH(1,($B$1:$W$1=$AB12)*($B$2:$W$2=$AC12),0))</f>
        <v>0</v>
      </c>
      <c r="AT12" t="b" cm="1">
        <f t="array" ref="AT12">INDEX($B$1:$W$193,MATCH(AT$1,$B$1:$B$193,0),MATCH(1,($B$1:$W$1=$AB12)*($B$2:$W$2=$AC12),0))</f>
        <v>0</v>
      </c>
      <c r="AU12" t="b" cm="1">
        <f t="array" ref="AU12">INDEX($B$1:$W$193,MATCH(AU$1,$B$1:$B$193,0),MATCH(1,($B$1:$W$1=$AB12)*($B$2:$W$2=$AC12),0))</f>
        <v>0</v>
      </c>
      <c r="AV12" t="b" cm="1">
        <f t="array" ref="AV12">INDEX($B$1:$W$193,MATCH(AV$1,$B$1:$B$193,0),MATCH(1,($B$1:$W$1=$AB12)*($B$2:$W$2=$AC12),0))</f>
        <v>0</v>
      </c>
      <c r="AW12" t="b" cm="1">
        <f t="array" ref="AW12">INDEX($B$1:$W$193,MATCH(AW$1,$B$1:$B$193,0),MATCH(1,($B$1:$W$1=$AB12)*($B$2:$W$2=$AC12),0))</f>
        <v>0</v>
      </c>
      <c r="AX12" t="b" cm="1">
        <f t="array" ref="AX12">INDEX($B$1:$W$193,MATCH(AX$1,$B$1:$B$193,0),MATCH(1,($B$1:$W$1=$AB12)*($B$2:$W$2=$AC12),0))</f>
        <v>0</v>
      </c>
      <c r="AY12" t="b" cm="1">
        <f t="array" ref="AY12">INDEX($B$1:$W$193,MATCH(AY$1,$B$1:$B$193,0),MATCH(1,($B$1:$W$1=$AB12)*($B$2:$W$2=$AC12),0))</f>
        <v>0</v>
      </c>
      <c r="AZ12" t="b" cm="1">
        <f t="array" ref="AZ12">INDEX($B$1:$W$193,MATCH(AZ$1,$B$1:$B$193,0),MATCH(1,($B$1:$W$1=$AB12)*($B$2:$W$2=$AC12),0))</f>
        <v>0</v>
      </c>
      <c r="BA12" t="b" cm="1">
        <f t="array" ref="BA12">INDEX($B$1:$W$193,MATCH(BA$1,$B$1:$B$193,0),MATCH(1,($B$1:$W$1=$AB12)*($B$2:$W$2=$AC12),0))</f>
        <v>0</v>
      </c>
      <c r="BB12" t="b" cm="1">
        <f t="array" ref="BB12">INDEX($B$1:$W$193,MATCH(BB$1,$B$1:$B$193,0),MATCH(1,($B$1:$W$1=$AB12)*($B$2:$W$2=$AC12),0))</f>
        <v>0</v>
      </c>
      <c r="BC12" t="b" cm="1">
        <f t="array" ref="BC12">INDEX($B$1:$W$193,MATCH(BC$1,$B$1:$B$193,0),MATCH(1,($B$1:$W$1=$AB12)*($B$2:$W$2=$AC12),0))</f>
        <v>0</v>
      </c>
      <c r="BD12" t="b" cm="1">
        <f t="array" ref="BD12">INDEX($B$1:$W$193,MATCH(BD$1,$B$1:$B$193,0),MATCH(1,($B$1:$W$1=$AB12)*($B$2:$W$2=$AC12),0))</f>
        <v>0</v>
      </c>
      <c r="BE12" t="b" cm="1">
        <f t="array" ref="BE12">INDEX($B$1:$W$193,MATCH(BE$1,$B$1:$B$193,0),MATCH(1,($B$1:$W$1=$AB12)*($B$2:$W$2=$AC12),0))</f>
        <v>0</v>
      </c>
      <c r="BF12" t="b" cm="1">
        <f t="array" ref="BF12">INDEX($B$1:$W$193,MATCH(BF$1,$B$1:$B$193,0),MATCH(1,($B$1:$W$1=$AB12)*($B$2:$W$2=$AC12),0))</f>
        <v>0</v>
      </c>
      <c r="BG12" t="b" cm="1">
        <f t="array" ref="BG12">INDEX($B$1:$W$193,MATCH(BG$1,$B$1:$B$193,0),MATCH(1,($B$1:$W$1=$AB12)*($B$2:$W$2=$AC12),0))</f>
        <v>0</v>
      </c>
      <c r="BH12" t="b" cm="1">
        <f t="array" ref="BH12">INDEX($B$1:$W$193,MATCH(BH$1,$B$1:$B$193,0),MATCH(1,($B$1:$W$1=$AB12)*($B$2:$W$2=$AC12),0))</f>
        <v>0</v>
      </c>
      <c r="BI12" t="b" cm="1">
        <f t="array" ref="BI12">INDEX($B$1:$W$193,MATCH(BI$1,$B$1:$B$193,0),MATCH(1,($B$1:$W$1=$AB12)*($B$2:$W$2=$AC12),0))</f>
        <v>0</v>
      </c>
      <c r="BJ12" t="b" cm="1">
        <f t="array" ref="BJ12">INDEX($B$1:$W$193,MATCH(BJ$1,$B$1:$B$193,0),MATCH(1,($B$1:$W$1=$AB12)*($B$2:$W$2=$AC12),0))</f>
        <v>0</v>
      </c>
      <c r="BK12" t="b" cm="1">
        <f t="array" ref="BK12">INDEX($B$1:$W$193,MATCH(BK$1,$B$1:$B$193,0),MATCH(1,($B$1:$W$1=$AB12)*($B$2:$W$2=$AC12),0))</f>
        <v>0</v>
      </c>
      <c r="BL12" t="b" cm="1">
        <f t="array" ref="BL12">INDEX($B$1:$W$193,MATCH(BL$1,$B$1:$B$193,0),MATCH(1,($B$1:$W$1=$AB12)*($B$2:$W$2=$AC12),0))</f>
        <v>0</v>
      </c>
      <c r="BM12" t="b" cm="1">
        <f t="array" ref="BM12">INDEX($B$1:$W$193,MATCH(BM$1,$B$1:$B$193,0),MATCH(1,($B$1:$W$1=$AB12)*($B$2:$W$2=$AC12),0))</f>
        <v>0</v>
      </c>
      <c r="BN12" t="b" cm="1">
        <f t="array" ref="BN12">INDEX($B$1:$W$193,MATCH(BN$1,$B$1:$B$193,0),MATCH(1,($B$1:$W$1=$AB12)*($B$2:$W$2=$AC12),0))</f>
        <v>0</v>
      </c>
      <c r="BO12" t="b" cm="1">
        <f t="array" ref="BO12">INDEX($B$1:$W$193,MATCH(BO$1,$B$1:$B$193,0),MATCH(1,($B$1:$W$1=$AB12)*($B$2:$W$2=$AC12),0))</f>
        <v>0</v>
      </c>
      <c r="BP12" t="b" cm="1">
        <f t="array" ref="BP12">INDEX($B$1:$W$193,MATCH(BP$1,$B$1:$B$193,0),MATCH(1,($B$1:$W$1=$AB12)*($B$2:$W$2=$AC12),0))</f>
        <v>0</v>
      </c>
      <c r="BQ12" t="b" cm="1">
        <f t="array" ref="BQ12">INDEX($B$1:$W$193,MATCH(BQ$1,$B$1:$B$193,0),MATCH(1,($B$1:$W$1=$AB12)*($B$2:$W$2=$AC12),0))</f>
        <v>0</v>
      </c>
      <c r="BR12" t="b" cm="1">
        <f t="array" ref="BR12">INDEX($B$1:$W$193,MATCH(BR$1,$B$1:$B$193,0),MATCH(1,($B$1:$W$1=$AB12)*($B$2:$W$2=$AC12),0))</f>
        <v>0</v>
      </c>
      <c r="BS12" t="b" cm="1">
        <f t="array" ref="BS12">INDEX($B$1:$W$193,MATCH(BS$1,$B$1:$B$193,0),MATCH(1,($B$1:$W$1=$AB12)*($B$2:$W$2=$AC12),0))</f>
        <v>0</v>
      </c>
      <c r="BT12" t="b" cm="1">
        <f t="array" ref="BT12">INDEX($B$1:$W$193,MATCH(BT$1,$B$1:$B$193,0),MATCH(1,($B$1:$W$1=$AB12)*($B$2:$W$2=$AC12),0))</f>
        <v>0</v>
      </c>
      <c r="BU12" t="b" cm="1">
        <f t="array" ref="BU12">INDEX($B$1:$W$193,MATCH(BU$1,$B$1:$B$193,0),MATCH(1,($B$1:$W$1=$AB12)*($B$2:$W$2=$AC12),0))</f>
        <v>0</v>
      </c>
      <c r="BV12" t="b" cm="1">
        <f t="array" ref="BV12">INDEX($B$1:$W$193,MATCH(BV$1,$B$1:$B$193,0),MATCH(1,($B$1:$W$1=$AB12)*($B$2:$W$2=$AC12),0))</f>
        <v>0</v>
      </c>
      <c r="BW12" t="b" cm="1">
        <f t="array" ref="BW12">INDEX($B$1:$W$193,MATCH(BW$1,$B$1:$B$193,0),MATCH(1,($B$1:$W$1=$AB12)*($B$2:$W$2=$AC12),0))</f>
        <v>0</v>
      </c>
      <c r="BX12" t="b" cm="1">
        <f t="array" ref="BX12">INDEX($B$1:$W$193,MATCH(BX$1,$B$1:$B$193,0),MATCH(1,($B$1:$W$1=$AB12)*($B$2:$W$2=$AC12),0))</f>
        <v>0</v>
      </c>
      <c r="BY12" t="b" cm="1">
        <f t="array" ref="BY12">INDEX($B$1:$W$193,MATCH(BY$1,$B$1:$B$193,0),MATCH(1,($B$1:$W$1=$AB12)*($B$2:$W$2=$AC12),0))</f>
        <v>0</v>
      </c>
      <c r="BZ12" t="b" cm="1">
        <f t="array" ref="BZ12">INDEX($B$1:$W$193,MATCH(BZ$1,$B$1:$B$193,0),MATCH(1,($B$1:$W$1=$AB12)*($B$2:$W$2=$AC12),0))</f>
        <v>0</v>
      </c>
      <c r="CA12" t="b" cm="1">
        <f t="array" ref="CA12">INDEX($B$1:$W$193,MATCH(CA$1,$B$1:$B$193,0),MATCH(1,($B$1:$W$1=$AB12)*($B$2:$W$2=$AC12),0))</f>
        <v>0</v>
      </c>
      <c r="CB12" t="b" cm="1">
        <f t="array" ref="CB12">INDEX($B$1:$W$193,MATCH(CB$1,$B$1:$B$193,0),MATCH(1,($B$1:$W$1=$AB12)*($B$2:$W$2=$AC12),0))</f>
        <v>0</v>
      </c>
      <c r="CC12" t="b" cm="1">
        <f t="array" ref="CC12">INDEX($B$1:$W$193,MATCH(CC$1,$B$1:$B$193,0),MATCH(1,($B$1:$W$1=$AB12)*($B$2:$W$2=$AC12),0))</f>
        <v>0</v>
      </c>
      <c r="CD12" t="b" cm="1">
        <f t="array" ref="CD12">INDEX($B$1:$W$193,MATCH(CD$1,$B$1:$B$193,0),MATCH(1,($B$1:$W$1=$AB12)*($B$2:$W$2=$AC12),0))</f>
        <v>0</v>
      </c>
      <c r="CE12" t="b" cm="1">
        <f t="array" ref="CE12">INDEX($B$1:$W$193,MATCH(CE$1,$B$1:$B$193,0),MATCH(1,($B$1:$W$1=$AB12)*($B$2:$W$2=$AC12),0))</f>
        <v>0</v>
      </c>
      <c r="CF12" t="b" cm="1">
        <f t="array" ref="CF12">INDEX($B$1:$W$193,MATCH(CF$1,$B$1:$B$193,0),MATCH(1,($B$1:$W$1=$AB12)*($B$2:$W$2=$AC12),0))</f>
        <v>0</v>
      </c>
      <c r="CG12" t="b" cm="1">
        <f t="array" ref="CG12">INDEX($B$1:$W$193,MATCH(CG$1,$B$1:$B$193,0),MATCH(1,($B$1:$W$1=$AB12)*($B$2:$W$2=$AC12),0))</f>
        <v>0</v>
      </c>
      <c r="CH12" t="b" cm="1">
        <f t="array" ref="CH12">INDEX($B$1:$W$193,MATCH(CH$1,$B$1:$B$193,0),MATCH(1,($B$1:$W$1=$AB12)*($B$2:$W$2=$AC12),0))</f>
        <v>0</v>
      </c>
      <c r="CI12" t="b" cm="1">
        <f t="array" ref="CI12">INDEX($B$1:$W$193,MATCH(CI$1,$B$1:$B$193,0),MATCH(1,($B$1:$W$1=$AB12)*($B$2:$W$2=$AC12),0))</f>
        <v>0</v>
      </c>
      <c r="CJ12" t="b" cm="1">
        <f t="array" ref="CJ12">INDEX($B$1:$W$193,MATCH(CJ$1,$B$1:$B$193,0),MATCH(1,($B$1:$W$1=$AB12)*($B$2:$W$2=$AC12),0))</f>
        <v>0</v>
      </c>
      <c r="CK12" t="b" cm="1">
        <f t="array" ref="CK12">INDEX($B$1:$W$193,MATCH(CK$1,$B$1:$B$193,0),MATCH(1,($B$1:$W$1=$AB12)*($B$2:$W$2=$AC12),0))</f>
        <v>0</v>
      </c>
      <c r="CL12" t="b" cm="1">
        <f t="array" ref="CL12">INDEX($B$1:$W$193,MATCH(CL$1,$B$1:$B$193,0),MATCH(1,($B$1:$W$1=$AB12)*($B$2:$W$2=$AC12),0))</f>
        <v>0</v>
      </c>
      <c r="CM12" t="b" cm="1">
        <f t="array" ref="CM12">INDEX($B$1:$W$193,MATCH(CM$1,$B$1:$B$193,0),MATCH(1,($B$1:$W$1=$AB12)*($B$2:$W$2=$AC12),0))</f>
        <v>0</v>
      </c>
      <c r="CN12" t="b" cm="1">
        <f t="array" ref="CN12">INDEX($B$1:$W$193,MATCH(CN$1,$B$1:$B$193,0),MATCH(1,($B$1:$W$1=$AB12)*($B$2:$W$2=$AC12),0))</f>
        <v>0</v>
      </c>
      <c r="CO12" t="b" cm="1">
        <f t="array" ref="CO12">INDEX($B$1:$W$193,MATCH(CO$1,$B$1:$B$193,0),MATCH(1,($B$1:$W$1=$AB12)*($B$2:$W$2=$AC12),0))</f>
        <v>0</v>
      </c>
      <c r="CP12" t="b" cm="1">
        <f t="array" ref="CP12">INDEX($B$1:$W$193,MATCH(CP$1,$B$1:$B$193,0),MATCH(1,($B$1:$W$1=$AB12)*($B$2:$W$2=$AC12),0))</f>
        <v>0</v>
      </c>
      <c r="CQ12" t="b" cm="1">
        <f t="array" ref="CQ12">INDEX($B$1:$W$193,MATCH(CQ$1,$B$1:$B$193,0),MATCH(1,($B$1:$W$1=$AB12)*($B$2:$W$2=$AC12),0))</f>
        <v>0</v>
      </c>
      <c r="CR12" t="b" cm="1">
        <f t="array" ref="CR12">INDEX($B$1:$W$193,MATCH(CR$1,$B$1:$B$193,0),MATCH(1,($B$1:$W$1=$AB12)*($B$2:$W$2=$AC12),0))</f>
        <v>0</v>
      </c>
      <c r="CS12" t="b" cm="1">
        <f t="array" ref="CS12">INDEX($B$1:$W$193,MATCH(CS$1,$B$1:$B$193,0),MATCH(1,($B$1:$W$1=$AB12)*($B$2:$W$2=$AC12),0))</f>
        <v>0</v>
      </c>
      <c r="CT12" t="b" cm="1">
        <f t="array" ref="CT12">INDEX($B$1:$W$193,MATCH(CT$1,$B$1:$B$193,0),MATCH(1,($B$1:$W$1=$AB12)*($B$2:$W$2=$AC12),0))</f>
        <v>0</v>
      </c>
      <c r="CU12" t="b" cm="1">
        <f t="array" ref="CU12">INDEX($B$1:$W$193,MATCH(CU$1,$B$1:$B$193,0),MATCH(1,($B$1:$W$1=$AB12)*($B$2:$W$2=$AC12),0))</f>
        <v>0</v>
      </c>
      <c r="CV12" t="b" cm="1">
        <f t="array" ref="CV12">INDEX($B$1:$W$193,MATCH(CV$1,$B$1:$B$193,0),MATCH(1,($B$1:$W$1=$AB12)*($B$2:$W$2=$AC12),0))</f>
        <v>0</v>
      </c>
      <c r="CW12" t="b" cm="1">
        <f t="array" ref="CW12">INDEX($B$1:$W$193,MATCH(CW$1,$B$1:$B$193,0),MATCH(1,($B$1:$W$1=$AB12)*($B$2:$W$2=$AC12),0))</f>
        <v>0</v>
      </c>
      <c r="CX12" t="b" cm="1">
        <f t="array" ref="CX12">INDEX($B$1:$W$193,MATCH(CX$1,$B$1:$B$193,0),MATCH(1,($B$1:$W$1=$AB12)*($B$2:$W$2=$AC12),0))</f>
        <v>0</v>
      </c>
      <c r="CY12" t="b" cm="1">
        <f t="array" ref="CY12">INDEX($B$1:$W$193,MATCH(CY$1,$B$1:$B$193,0),MATCH(1,($B$1:$W$1=$AB12)*($B$2:$W$2=$AC12),0))</f>
        <v>0</v>
      </c>
      <c r="CZ12" t="b" cm="1">
        <f t="array" ref="CZ12">INDEX($B$1:$W$193,MATCH(CZ$1,$B$1:$B$193,0),MATCH(1,($B$1:$W$1=$AB12)*($B$2:$W$2=$AC12),0))</f>
        <v>0</v>
      </c>
      <c r="DA12" t="b" cm="1">
        <f t="array" ref="DA12">INDEX($B$1:$W$193,MATCH(DA$1,$B$1:$B$193,0),MATCH(1,($B$1:$W$1=$AB12)*($B$2:$W$2=$AC12),0))</f>
        <v>0</v>
      </c>
      <c r="DB12" t="b" cm="1">
        <f t="array" ref="DB12">INDEX($B$1:$W$193,MATCH(DB$1,$B$1:$B$193,0),MATCH(1,($B$1:$W$1=$AB12)*($B$2:$W$2=$AC12),0))</f>
        <v>0</v>
      </c>
      <c r="DC12" t="b" cm="1">
        <f t="array" ref="DC12">INDEX($B$1:$W$193,MATCH(DC$1,$B$1:$B$193,0),MATCH(1,($B$1:$W$1=$AB12)*($B$2:$W$2=$AC12),0))</f>
        <v>0</v>
      </c>
      <c r="DD12" t="b" cm="1">
        <f t="array" ref="DD12">INDEX($B$1:$W$193,MATCH(DD$1,$B$1:$B$193,0),MATCH(1,($B$1:$W$1=$AB12)*($B$2:$W$2=$AC12),0))</f>
        <v>0</v>
      </c>
      <c r="DE12" t="b" cm="1">
        <f t="array" ref="DE12">INDEX($B$1:$W$193,MATCH(DE$1,$B$1:$B$193,0),MATCH(1,($B$1:$W$1=$AB12)*($B$2:$W$2=$AC12),0))</f>
        <v>0</v>
      </c>
      <c r="DF12" t="b" cm="1">
        <f t="array" ref="DF12">INDEX($B$1:$W$193,MATCH(DF$1,$B$1:$B$193,0),MATCH(1,($B$1:$W$1=$AB12)*($B$2:$W$2=$AC12),0))</f>
        <v>0</v>
      </c>
      <c r="DG12" t="b" cm="1">
        <f t="array" ref="DG12">INDEX($B$1:$W$193,MATCH(DG$1,$B$1:$B$193,0),MATCH(1,($B$1:$W$1=$AB12)*($B$2:$W$2=$AC12),0))</f>
        <v>0</v>
      </c>
      <c r="DH12" t="b" cm="1">
        <f t="array" ref="DH12">INDEX($B$1:$W$193,MATCH(DH$1,$B$1:$B$193,0),MATCH(1,($B$1:$W$1=$AB12)*($B$2:$W$2=$AC12),0))</f>
        <v>0</v>
      </c>
      <c r="DI12" t="b" cm="1">
        <f t="array" ref="DI12">INDEX($B$1:$W$193,MATCH(DI$1,$B$1:$B$193,0),MATCH(1,($B$1:$W$1=$AB12)*($B$2:$W$2=$AC12),0))</f>
        <v>0</v>
      </c>
      <c r="DJ12" t="b" cm="1">
        <f t="array" ref="DJ12">INDEX($B$1:$W$193,MATCH(DJ$1,$B$1:$B$193,0),MATCH(1,($B$1:$W$1=$AB12)*($B$2:$W$2=$AC12),0))</f>
        <v>0</v>
      </c>
      <c r="DK12" t="b" cm="1">
        <f t="array" ref="DK12">INDEX($B$1:$W$193,MATCH(DK$1,$B$1:$B$193,0),MATCH(1,($B$1:$W$1=$AB12)*($B$2:$W$2=$AC12),0))</f>
        <v>0</v>
      </c>
      <c r="DL12" t="b" cm="1">
        <f t="array" ref="DL12">INDEX($B$1:$W$193,MATCH(DL$1,$B$1:$B$193,0),MATCH(1,($B$1:$W$1=$AB12)*($B$2:$W$2=$AC12),0))</f>
        <v>0</v>
      </c>
      <c r="DM12" t="b" cm="1">
        <f t="array" ref="DM12">INDEX($B$1:$W$193,MATCH(DM$1,$B$1:$B$193,0),MATCH(1,($B$1:$W$1=$AB12)*($B$2:$W$2=$AC12),0))</f>
        <v>0</v>
      </c>
      <c r="DN12" t="b" cm="1">
        <f t="array" ref="DN12">INDEX($B$1:$W$193,MATCH(DN$1,$B$1:$B$193,0),MATCH(1,($B$1:$W$1=$AB12)*($B$2:$W$2=$AC12),0))</f>
        <v>0</v>
      </c>
      <c r="DO12" t="b" cm="1">
        <f t="array" ref="DO12">INDEX($B$1:$W$193,MATCH(DO$1,$B$1:$B$193,0),MATCH(1,($B$1:$W$1=$AB12)*($B$2:$W$2=$AC12),0))</f>
        <v>0</v>
      </c>
      <c r="DP12" t="b" cm="1">
        <f t="array" ref="DP12">INDEX($B$1:$W$193,MATCH(DP$1,$B$1:$B$193,0),MATCH(1,($B$1:$W$1=$AB12)*($B$2:$W$2=$AC12),0))</f>
        <v>0</v>
      </c>
      <c r="DQ12" t="b" cm="1">
        <f t="array" ref="DQ12">INDEX($B$1:$W$193,MATCH(DQ$1,$B$1:$B$193,0),MATCH(1,($B$1:$W$1=$AB12)*($B$2:$W$2=$AC12),0))</f>
        <v>0</v>
      </c>
      <c r="DR12" t="b" cm="1">
        <f t="array" ref="DR12">INDEX($B$1:$W$193,MATCH(DR$1,$B$1:$B$193,0),MATCH(1,($B$1:$W$1=$AB12)*($B$2:$W$2=$AC12),0))</f>
        <v>0</v>
      </c>
      <c r="DS12" t="b" cm="1">
        <f t="array" ref="DS12">INDEX($B$1:$W$193,MATCH(DS$1,$B$1:$B$193,0),MATCH(1,($B$1:$W$1=$AB12)*($B$2:$W$2=$AC12),0))</f>
        <v>0</v>
      </c>
      <c r="DT12" t="b" cm="1">
        <f t="array" ref="DT12">INDEX($B$1:$W$193,MATCH(DT$1,$B$1:$B$193,0),MATCH(1,($B$1:$W$1=$AB12)*($B$2:$W$2=$AC12),0))</f>
        <v>0</v>
      </c>
      <c r="DU12" t="b" cm="1">
        <f t="array" ref="DU12">INDEX($B$1:$W$193,MATCH(DU$1,$B$1:$B$193,0),MATCH(1,($B$1:$W$1=$AB12)*($B$2:$W$2=$AC12),0))</f>
        <v>0</v>
      </c>
      <c r="DV12" t="b" cm="1">
        <f t="array" ref="DV12">INDEX($B$1:$W$193,MATCH(DV$1,$B$1:$B$193,0),MATCH(1,($B$1:$W$1=$AB12)*($B$2:$W$2=$AC12),0))</f>
        <v>0</v>
      </c>
      <c r="DW12" t="b" cm="1">
        <f t="array" ref="DW12">INDEX($B$1:$W$193,MATCH(DW$1,$B$1:$B$193,0),MATCH(1,($B$1:$W$1=$AB12)*($B$2:$W$2=$AC12),0))</f>
        <v>0</v>
      </c>
      <c r="DX12" t="b" cm="1">
        <f t="array" ref="DX12">INDEX($B$1:$W$193,MATCH(DX$1,$B$1:$B$193,0),MATCH(1,($B$1:$W$1=$AB12)*($B$2:$W$2=$AC12),0))</f>
        <v>0</v>
      </c>
      <c r="DY12" t="b" cm="1">
        <f t="array" ref="DY12">INDEX($B$1:$W$193,MATCH(DY$1,$B$1:$B$193,0),MATCH(1,($B$1:$W$1=$AB12)*($B$2:$W$2=$AC12),0))</f>
        <v>0</v>
      </c>
      <c r="DZ12" t="b" cm="1">
        <f t="array" ref="DZ12">INDEX($B$1:$W$193,MATCH(DZ$1,$B$1:$B$193,0),MATCH(1,($B$1:$W$1=$AB12)*($B$2:$W$2=$AC12),0))</f>
        <v>0</v>
      </c>
      <c r="EA12" t="b" cm="1">
        <f t="array" ref="EA12">INDEX($B$1:$W$193,MATCH(EA$1,$B$1:$B$193,0),MATCH(1,($B$1:$W$1=$AB12)*($B$2:$W$2=$AC12),0))</f>
        <v>0</v>
      </c>
      <c r="EB12" t="b" cm="1">
        <f t="array" ref="EB12">INDEX($B$1:$W$193,MATCH(EB$1,$B$1:$B$193,0),MATCH(1,($B$1:$W$1=$AB12)*($B$2:$W$2=$AC12),0))</f>
        <v>0</v>
      </c>
      <c r="EC12" t="b" cm="1">
        <f t="array" ref="EC12">INDEX($B$1:$W$193,MATCH(EC$1,$B$1:$B$193,0),MATCH(1,($B$1:$W$1=$AB12)*($B$2:$W$2=$AC12),0))</f>
        <v>0</v>
      </c>
      <c r="ED12" t="b" cm="1">
        <f t="array" ref="ED12">INDEX($B$1:$W$193,MATCH(ED$1,$B$1:$B$193,0),MATCH(1,($B$1:$W$1=$AB12)*($B$2:$W$2=$AC12),0))</f>
        <v>0</v>
      </c>
      <c r="EE12" t="b" cm="1">
        <f t="array" ref="EE12">INDEX($B$1:$W$193,MATCH(EE$1,$B$1:$B$193,0),MATCH(1,($B$1:$W$1=$AB12)*($B$2:$W$2=$AC12),0))</f>
        <v>0</v>
      </c>
      <c r="EF12" t="b" cm="1">
        <f t="array" ref="EF12">INDEX($B$1:$W$193,MATCH(EF$1,$B$1:$B$193,0),MATCH(1,($B$1:$W$1=$AB12)*($B$2:$W$2=$AC12),0))</f>
        <v>0</v>
      </c>
      <c r="EG12" t="b" cm="1">
        <f t="array" ref="EG12">INDEX($B$1:$W$193,MATCH(EG$1,$B$1:$B$193,0),MATCH(1,($B$1:$W$1=$AB12)*($B$2:$W$2=$AC12),0))</f>
        <v>0</v>
      </c>
      <c r="EH12" t="b" cm="1">
        <f t="array" ref="EH12">INDEX($B$1:$W$193,MATCH(EH$1,$B$1:$B$193,0),MATCH(1,($B$1:$W$1=$AB12)*($B$2:$W$2=$AC12),0))</f>
        <v>0</v>
      </c>
      <c r="EI12" t="b" cm="1">
        <f t="array" ref="EI12">INDEX($B$1:$W$193,MATCH(EI$1,$B$1:$B$193,0),MATCH(1,($B$1:$W$1=$AB12)*($B$2:$W$2=$AC12),0))</f>
        <v>0</v>
      </c>
      <c r="EJ12" t="b" cm="1">
        <f t="array" ref="EJ12">INDEX($B$1:$W$193,MATCH(EJ$1,$B$1:$B$193,0),MATCH(1,($B$1:$W$1=$AB12)*($B$2:$W$2=$AC12),0))</f>
        <v>0</v>
      </c>
      <c r="EK12" t="b" cm="1">
        <f t="array" ref="EK12">INDEX($B$1:$W$193,MATCH(EK$1,$B$1:$B$193,0),MATCH(1,($B$1:$W$1=$AB12)*($B$2:$W$2=$AC12),0))</f>
        <v>0</v>
      </c>
      <c r="EL12" t="b" cm="1">
        <f t="array" ref="EL12">INDEX($B$1:$W$193,MATCH(EL$1,$B$1:$B$193,0),MATCH(1,($B$1:$W$1=$AB12)*($B$2:$W$2=$AC12),0))</f>
        <v>0</v>
      </c>
      <c r="EM12" t="b" cm="1">
        <f t="array" ref="EM12">INDEX($B$1:$W$193,MATCH(EM$1,$B$1:$B$193,0),MATCH(1,($B$1:$W$1=$AB12)*($B$2:$W$2=$AC12),0))</f>
        <v>0</v>
      </c>
      <c r="EN12" t="b" cm="1">
        <f t="array" ref="EN12">INDEX($B$1:$W$193,MATCH(EN$1,$B$1:$B$193,0),MATCH(1,($B$1:$W$1=$AB12)*($B$2:$W$2=$AC12),0))</f>
        <v>0</v>
      </c>
      <c r="EO12" t="b" cm="1">
        <f t="array" ref="EO12">INDEX($B$1:$W$193,MATCH(EO$1,$B$1:$B$193,0),MATCH(1,($B$1:$W$1=$AB12)*($B$2:$W$2=$AC12),0))</f>
        <v>0</v>
      </c>
      <c r="EP12" t="b" cm="1">
        <f t="array" ref="EP12">INDEX($B$1:$W$193,MATCH(EP$1,$B$1:$B$193,0),MATCH(1,($B$1:$W$1=$AB12)*($B$2:$W$2=$AC12),0))</f>
        <v>0</v>
      </c>
      <c r="EQ12" t="b" cm="1">
        <f t="array" ref="EQ12">INDEX($B$1:$W$193,MATCH(EQ$1,$B$1:$B$193,0),MATCH(1,($B$1:$W$1=$AB12)*($B$2:$W$2=$AC12),0))</f>
        <v>1</v>
      </c>
      <c r="ER12" t="b" cm="1">
        <f t="array" ref="ER12">INDEX($B$1:$W$193,MATCH(ER$1,$B$1:$B$193,0),MATCH(1,($B$1:$W$1=$AB12)*($B$2:$W$2=$AC12),0))</f>
        <v>0</v>
      </c>
      <c r="ES12" t="b" cm="1">
        <f t="array" ref="ES12">INDEX($B$1:$W$193,MATCH(ES$1,$B$1:$B$193,0),MATCH(1,($B$1:$W$1=$AB12)*($B$2:$W$2=$AC12),0))</f>
        <v>0</v>
      </c>
      <c r="ET12" t="b" cm="1">
        <f t="array" ref="ET12">INDEX($B$1:$W$193,MATCH(ET$1,$B$1:$B$193,0),MATCH(1,($B$1:$W$1=$AB12)*($B$2:$W$2=$AC12),0))</f>
        <v>0</v>
      </c>
      <c r="EU12" t="b" cm="1">
        <f t="array" ref="EU12">INDEX($B$1:$W$193,MATCH(EU$1,$B$1:$B$193,0),MATCH(1,($B$1:$W$1=$AB12)*($B$2:$W$2=$AC12),0))</f>
        <v>0</v>
      </c>
      <c r="EV12" t="b" cm="1">
        <f t="array" ref="EV12">INDEX($B$1:$W$193,MATCH(EV$1,$B$1:$B$193,0),MATCH(1,($B$1:$W$1=$AB12)*($B$2:$W$2=$AC12),0))</f>
        <v>0</v>
      </c>
      <c r="EW12" t="b" cm="1">
        <f t="array" ref="EW12">INDEX($B$1:$W$193,MATCH(EW$1,$B$1:$B$193,0),MATCH(1,($B$1:$W$1=$AB12)*($B$2:$W$2=$AC12),0))</f>
        <v>0</v>
      </c>
      <c r="EX12" t="b" cm="1">
        <f t="array" ref="EX12">INDEX($B$1:$W$193,MATCH(EX$1,$B$1:$B$193,0),MATCH(1,($B$1:$W$1=$AB12)*($B$2:$W$2=$AC12),0))</f>
        <v>0</v>
      </c>
      <c r="EY12" t="b" cm="1">
        <f t="array" ref="EY12">INDEX($B$1:$W$193,MATCH(EY$1,$B$1:$B$193,0),MATCH(1,($B$1:$W$1=$AB12)*($B$2:$W$2=$AC12),0))</f>
        <v>0</v>
      </c>
      <c r="EZ12" t="b" cm="1">
        <f t="array" ref="EZ12">INDEX($B$1:$W$193,MATCH(EZ$1,$B$1:$B$193,0),MATCH(1,($B$1:$W$1=$AB12)*($B$2:$W$2=$AC12),0))</f>
        <v>0</v>
      </c>
      <c r="FA12" t="b" cm="1">
        <f t="array" ref="FA12">INDEX($B$1:$W$193,MATCH(FA$1,$B$1:$B$193,0),MATCH(1,($B$1:$W$1=$AB12)*($B$2:$W$2=$AC12),0))</f>
        <v>0</v>
      </c>
      <c r="FB12" t="b" cm="1">
        <f t="array" ref="FB12">INDEX($B$1:$W$193,MATCH(FB$1,$B$1:$B$193,0),MATCH(1,($B$1:$W$1=$AB12)*($B$2:$W$2=$AC12),0))</f>
        <v>0</v>
      </c>
      <c r="FC12" t="b" cm="1">
        <f t="array" ref="FC12">INDEX($B$1:$W$193,MATCH(FC$1,$B$1:$B$193,0),MATCH(1,($B$1:$W$1=$AB12)*($B$2:$W$2=$AC12),0))</f>
        <v>0</v>
      </c>
      <c r="FD12" t="b" cm="1">
        <f t="array" ref="FD12">INDEX($B$1:$W$193,MATCH(FD$1,$B$1:$B$193,0),MATCH(1,($B$1:$W$1=$AB12)*($B$2:$W$2=$AC12),0))</f>
        <v>0</v>
      </c>
      <c r="FE12" t="b" cm="1">
        <f t="array" ref="FE12">INDEX($B$1:$W$193,MATCH(FE$1,$B$1:$B$193,0),MATCH(1,($B$1:$W$1=$AB12)*($B$2:$W$2=$AC12),0))</f>
        <v>0</v>
      </c>
      <c r="FF12" t="b" cm="1">
        <f t="array" ref="FF12">INDEX($B$1:$W$193,MATCH(FF$1,$B$1:$B$193,0),MATCH(1,($B$1:$W$1=$AB12)*($B$2:$W$2=$AC12),0))</f>
        <v>0</v>
      </c>
      <c r="FG12" t="b" cm="1">
        <f t="array" ref="FG12">INDEX($B$1:$W$193,MATCH(FG$1,$B$1:$B$193,0),MATCH(1,($B$1:$W$1=$AB12)*($B$2:$W$2=$AC12),0))</f>
        <v>0</v>
      </c>
      <c r="FH12" t="b" cm="1">
        <f t="array" ref="FH12">INDEX($B$1:$W$193,MATCH(FH$1,$B$1:$B$193,0),MATCH(1,($B$1:$W$1=$AB12)*($B$2:$W$2=$AC12),0))</f>
        <v>0</v>
      </c>
      <c r="FI12" t="b" cm="1">
        <f t="array" ref="FI12">INDEX($B$1:$W$193,MATCH(FI$1,$B$1:$B$193,0),MATCH(1,($B$1:$W$1=$AB12)*($B$2:$W$2=$AC12),0))</f>
        <v>0</v>
      </c>
      <c r="FJ12" t="b" cm="1">
        <f t="array" ref="FJ12">INDEX($B$1:$W$193,MATCH(FJ$1,$B$1:$B$193,0),MATCH(1,($B$1:$W$1=$AB12)*($B$2:$W$2=$AC12),0))</f>
        <v>0</v>
      </c>
      <c r="FK12" t="b" cm="1">
        <f t="array" ref="FK12">INDEX($B$1:$W$193,MATCH(FK$1,$B$1:$B$193,0),MATCH(1,($B$1:$W$1=$AB12)*($B$2:$W$2=$AC12),0))</f>
        <v>0</v>
      </c>
      <c r="FL12" t="b" cm="1">
        <f t="array" ref="FL12">INDEX($B$1:$W$193,MATCH(FL$1,$B$1:$B$193,0),MATCH(1,($B$1:$W$1=$AB12)*($B$2:$W$2=$AC12),0))</f>
        <v>0</v>
      </c>
      <c r="FM12" t="b" cm="1">
        <f t="array" ref="FM12">INDEX($B$1:$W$193,MATCH(FM$1,$B$1:$B$193,0),MATCH(1,($B$1:$W$1=$AB12)*($B$2:$W$2=$AC12),0))</f>
        <v>0</v>
      </c>
      <c r="FN12" t="b" cm="1">
        <f t="array" ref="FN12">INDEX($B$1:$W$193,MATCH(FN$1,$B$1:$B$193,0),MATCH(1,($B$1:$W$1=$AB12)*($B$2:$W$2=$AC12),0))</f>
        <v>0</v>
      </c>
      <c r="FO12" t="b" cm="1">
        <f t="array" ref="FO12">INDEX($B$1:$W$193,MATCH(FO$1,$B$1:$B$193,0),MATCH(1,($B$1:$W$1=$AB12)*($B$2:$W$2=$AC12),0))</f>
        <v>0</v>
      </c>
      <c r="FP12" t="b" cm="1">
        <f t="array" ref="FP12">INDEX($B$1:$W$193,MATCH(FP$1,$B$1:$B$193,0),MATCH(1,($B$1:$W$1=$AB12)*($B$2:$W$2=$AC12),0))</f>
        <v>0</v>
      </c>
      <c r="FQ12" t="b" cm="1">
        <f t="array" ref="FQ12">INDEX($B$1:$W$193,MATCH(FQ$1,$B$1:$B$193,0),MATCH(1,($B$1:$W$1=$AB12)*($B$2:$W$2=$AC12),0))</f>
        <v>0</v>
      </c>
      <c r="FR12" t="b" cm="1">
        <f t="array" ref="FR12">INDEX($B$1:$W$193,MATCH(FR$1,$B$1:$B$193,0),MATCH(1,($B$1:$W$1=$AB12)*($B$2:$W$2=$AC12),0))</f>
        <v>0</v>
      </c>
      <c r="FS12" t="b" cm="1">
        <f t="array" ref="FS12">INDEX($B$1:$W$193,MATCH(FS$1,$B$1:$B$193,0),MATCH(1,($B$1:$W$1=$AB12)*($B$2:$W$2=$AC12),0))</f>
        <v>0</v>
      </c>
      <c r="FT12" t="b" cm="1">
        <f t="array" ref="FT12">INDEX($B$1:$W$193,MATCH(FT$1,$B$1:$B$193,0),MATCH(1,($B$1:$W$1=$AB12)*($B$2:$W$2=$AC12),0))</f>
        <v>0</v>
      </c>
      <c r="FU12" t="b" cm="1">
        <f t="array" ref="FU12">INDEX($B$1:$W$193,MATCH(FU$1,$B$1:$B$193,0),MATCH(1,($B$1:$W$1=$AB12)*($B$2:$W$2=$AC12),0))</f>
        <v>0</v>
      </c>
      <c r="FV12" t="b" cm="1">
        <f t="array" ref="FV12">INDEX($B$1:$W$193,MATCH(FV$1,$B$1:$B$193,0),MATCH(1,($B$1:$W$1=$AB12)*($B$2:$W$2=$AC12),0))</f>
        <v>0</v>
      </c>
      <c r="FW12" t="b" cm="1">
        <f t="array" ref="FW12">INDEX($B$1:$W$193,MATCH(FW$1,$B$1:$B$193,0),MATCH(1,($B$1:$W$1=$AB12)*($B$2:$W$2=$AC12),0))</f>
        <v>0</v>
      </c>
      <c r="FX12" t="b" cm="1">
        <f t="array" ref="FX12">INDEX($B$1:$W$193,MATCH(FX$1,$B$1:$B$193,0),MATCH(1,($B$1:$W$1=$AB12)*($B$2:$W$2=$AC12),0))</f>
        <v>0</v>
      </c>
      <c r="FY12" t="b" cm="1">
        <f t="array" ref="FY12">INDEX($B$1:$W$193,MATCH(FY$1,$B$1:$B$193,0),MATCH(1,($B$1:$W$1=$AB12)*($B$2:$W$2=$AC12),0))</f>
        <v>0</v>
      </c>
      <c r="FZ12" t="b" cm="1">
        <f t="array" ref="FZ12">INDEX($B$1:$W$193,MATCH(FZ$1,$B$1:$B$193,0),MATCH(1,($B$1:$W$1=$AB12)*($B$2:$W$2=$AC12),0))</f>
        <v>0</v>
      </c>
      <c r="GA12" t="b" cm="1">
        <f t="array" ref="GA12">INDEX($B$1:$W$193,MATCH(GA$1,$B$1:$B$193,0),MATCH(1,($B$1:$W$1=$AB12)*($B$2:$W$2=$AC12),0))</f>
        <v>0</v>
      </c>
      <c r="GB12" t="b" cm="1">
        <f t="array" ref="GB12">INDEX($B$1:$W$193,MATCH(GB$1,$B$1:$B$193,0),MATCH(1,($B$1:$W$1=$AB12)*($B$2:$W$2=$AC12),0))</f>
        <v>0</v>
      </c>
      <c r="GC12" t="b" cm="1">
        <f t="array" ref="GC12">INDEX($B$1:$W$193,MATCH(GC$1,$B$1:$B$193,0),MATCH(1,($B$1:$W$1=$AB12)*($B$2:$W$2=$AC12),0))</f>
        <v>0</v>
      </c>
      <c r="GD12" t="b" cm="1">
        <f t="array" ref="GD12">INDEX($B$1:$W$193,MATCH(GD$1,$B$1:$B$193,0),MATCH(1,($B$1:$W$1=$AB12)*($B$2:$W$2=$AC12),0))</f>
        <v>0</v>
      </c>
      <c r="GE12" t="b" cm="1">
        <f t="array" ref="GE12">INDEX($B$1:$W$193,MATCH(GE$1,$B$1:$B$193,0),MATCH(1,($B$1:$W$1=$AB12)*($B$2:$W$2=$AC12),0))</f>
        <v>0</v>
      </c>
      <c r="GF12" t="b" cm="1">
        <f t="array" ref="GF12">INDEX($B$1:$W$193,MATCH(GF$1,$B$1:$B$193,0),MATCH(1,($B$1:$W$1=$AB12)*($B$2:$W$2=$AC12),0))</f>
        <v>0</v>
      </c>
      <c r="GG12" t="b" cm="1">
        <f t="array" ref="GG12">INDEX($B$1:$W$193,MATCH(GG$1,$B$1:$B$193,0),MATCH(1,($B$1:$W$1=$AB12)*($B$2:$W$2=$AC12),0))</f>
        <v>0</v>
      </c>
      <c r="GH12" t="b" cm="1">
        <f t="array" ref="GH12">INDEX($B$1:$W$193,MATCH(GH$1,$B$1:$B$193,0),MATCH(1,($B$1:$W$1=$AB12)*($B$2:$W$2=$AC12),0))</f>
        <v>0</v>
      </c>
      <c r="GI12" t="b" cm="1">
        <f t="array" ref="GI12">INDEX($B$1:$W$193,MATCH(GI$1,$B$1:$B$193,0),MATCH(1,($B$1:$W$1=$AB12)*($B$2:$W$2=$AC12),0))</f>
        <v>0</v>
      </c>
      <c r="GJ12" t="b" cm="1">
        <f t="array" ref="GJ12">INDEX($B$1:$W$193,MATCH(GJ$1,$B$1:$B$193,0),MATCH(1,($B$1:$W$1=$AB12)*($B$2:$W$2=$AC12),0))</f>
        <v>0</v>
      </c>
      <c r="GK12" t="b" cm="1">
        <f t="array" ref="GK12">INDEX($B$1:$W$193,MATCH(GK$1,$B$1:$B$193,0),MATCH(1,($B$1:$W$1=$AB12)*($B$2:$W$2=$AC12),0))</f>
        <v>0</v>
      </c>
      <c r="GL12" t="b" cm="1">
        <f t="array" ref="GL12">INDEX($B$1:$W$193,MATCH(GL$1,$B$1:$B$193,0),MATCH(1,($B$1:$W$1=$AB12)*($B$2:$W$2=$AC12),0))</f>
        <v>0</v>
      </c>
      <c r="GM12" t="b" cm="1">
        <f t="array" ref="GM12">INDEX($B$1:$W$193,MATCH(GM$1,$B$1:$B$193,0),MATCH(1,($B$1:$W$1=$AB12)*($B$2:$W$2=$AC12),0))</f>
        <v>0</v>
      </c>
      <c r="GN12" t="b" cm="1">
        <f t="array" ref="GN12">INDEX($B$1:$W$193,MATCH(GN$1,$B$1:$B$193,0),MATCH(1,($B$1:$W$1=$AB12)*($B$2:$W$2=$AC12),0))</f>
        <v>0</v>
      </c>
      <c r="GO12" t="b" cm="1">
        <f t="array" ref="GO12">INDEX($B$1:$W$193,MATCH(GO$1,$B$1:$B$193,0),MATCH(1,($B$1:$W$1=$AB12)*($B$2:$W$2=$AC12),0))</f>
        <v>0</v>
      </c>
      <c r="GP12" t="b" cm="1">
        <f t="array" ref="GP12">INDEX($B$1:$W$193,MATCH(GP$1,$B$1:$B$193,0),MATCH(1,($B$1:$W$1=$AB12)*($B$2:$W$2=$AC12),0))</f>
        <v>0</v>
      </c>
      <c r="GQ12" t="b" cm="1">
        <f t="array" ref="GQ12">INDEX($B$1:$W$193,MATCH(GQ$1,$B$1:$B$193,0),MATCH(1,($B$1:$W$1=$AB12)*($B$2:$W$2=$AC12),0))</f>
        <v>0</v>
      </c>
      <c r="GR12" t="b" cm="1">
        <f t="array" ref="GR12">INDEX($B$1:$W$193,MATCH(GR$1,$B$1:$B$193,0),MATCH(1,($B$1:$W$1=$AB12)*($B$2:$W$2=$AC12),0))</f>
        <v>0</v>
      </c>
      <c r="GS12" t="b" cm="1">
        <f t="array" ref="GS12">INDEX($B$1:$W$193,MATCH(GS$1,$B$1:$B$193,0),MATCH(1,($B$1:$W$1=$AB12)*($B$2:$W$2=$AC12),0))</f>
        <v>0</v>
      </c>
      <c r="GT12" t="b" cm="1">
        <f t="array" ref="GT12">INDEX($B$1:$W$193,MATCH(GT$1,$B$1:$B$193,0),MATCH(1,($B$1:$W$1=$AB12)*($B$2:$W$2=$AC12),0))</f>
        <v>0</v>
      </c>
      <c r="GU12" t="b" cm="1">
        <f t="array" ref="GU12">INDEX($B$1:$W$193,MATCH(GU$1,$B$1:$B$193,0),MATCH(1,($B$1:$W$1=$AB12)*($B$2:$W$2=$AC12),0))</f>
        <v>0</v>
      </c>
      <c r="GV12" t="b" cm="1">
        <f t="array" ref="GV12">INDEX($B$1:$W$193,MATCH(GV$1,$B$1:$B$193,0),MATCH(1,($B$1:$W$1=$AB12)*($B$2:$W$2=$AC12),0))</f>
        <v>0</v>
      </c>
      <c r="GW12" t="b" cm="1">
        <f t="array" ref="GW12">INDEX($B$1:$W$193,MATCH(GW$1,$B$1:$B$193,0),MATCH(1,($B$1:$W$1=$AB12)*($B$2:$W$2=$AC12),0))</f>
        <v>0</v>
      </c>
      <c r="GX12" t="b" cm="1">
        <f t="array" ref="GX12">INDEX($B$1:$W$193,MATCH(GX$1,$B$1:$B$193,0),MATCH(1,($B$1:$W$1=$AB12)*($B$2:$W$2=$AC12),0))</f>
        <v>0</v>
      </c>
      <c r="GY12" t="b" cm="1">
        <f t="array" ref="GY12">INDEX($B$1:$W$193,MATCH(GY$1,$B$1:$B$193,0),MATCH(1,($B$1:$W$1=$AB12)*($B$2:$W$2=$AC12),0))</f>
        <v>0</v>
      </c>
      <c r="GZ12" t="b" cm="1">
        <f t="array" ref="GZ12">INDEX($B$1:$W$193,MATCH(GZ$1,$B$1:$B$193,0),MATCH(1,($B$1:$W$1=$AB12)*($B$2:$W$2=$AC12),0))</f>
        <v>0</v>
      </c>
      <c r="HA12" t="b" cm="1">
        <f t="array" ref="HA12">INDEX($B$1:$W$193,MATCH(HA$1,$B$1:$B$193,0),MATCH(1,($B$1:$W$1=$AB12)*($B$2:$W$2=$AC12),0))</f>
        <v>0</v>
      </c>
      <c r="HB12" t="b" cm="1">
        <f t="array" ref="HB12">INDEX($B$1:$W$193,MATCH(HB$1,$B$1:$B$193,0),MATCH(1,($B$1:$W$1=$AB12)*($B$2:$W$2=$AC12),0))</f>
        <v>0</v>
      </c>
      <c r="HC12" t="b" cm="1">
        <f t="array" ref="HC12">INDEX($B$1:$W$193,MATCH(HC$1,$B$1:$B$193,0),MATCH(1,($B$1:$W$1=$AB12)*($B$2:$W$2=$AC12),0))</f>
        <v>0</v>
      </c>
      <c r="HD12" t="b" cm="1">
        <f t="array" ref="HD12">INDEX($B$1:$W$193,MATCH(HD$1,$B$1:$B$193,0),MATCH(1,($B$1:$W$1=$AB12)*($B$2:$W$2=$AC12),0))</f>
        <v>0</v>
      </c>
      <c r="HE12" t="b" cm="1">
        <f t="array" ref="HE12">INDEX($B$1:$W$193,MATCH(HE$1,$B$1:$B$193,0),MATCH(1,($B$1:$W$1=$AB12)*($B$2:$W$2=$AC12),0))</f>
        <v>0</v>
      </c>
      <c r="HF12" t="b" cm="1">
        <f t="array" ref="HF12">INDEX($B$1:$W$193,MATCH(HF$1,$B$1:$B$193,0),MATCH(1,($B$1:$W$1=$AB12)*($B$2:$W$2=$AC12),0))</f>
        <v>0</v>
      </c>
      <c r="HG12" t="b" cm="1">
        <f t="array" ref="HG12">INDEX($B$1:$W$193,MATCH(HG$1,$B$1:$B$193,0),MATCH(1,($B$1:$W$1=$AB12)*($B$2:$W$2=$AC12),0))</f>
        <v>0</v>
      </c>
      <c r="HH12" t="b" cm="1">
        <f t="array" ref="HH12">INDEX($B$1:$W$193,MATCH(HH$1,$B$1:$B$193,0),MATCH(1,($B$1:$W$1=$AB12)*($B$2:$W$2=$AC12),0))</f>
        <v>0</v>
      </c>
      <c r="HI12" t="b" cm="1">
        <f t="array" ref="HI12">INDEX($B$1:$W$193,MATCH(HI$1,$B$1:$B$193,0),MATCH(1,($B$1:$W$1=$AB12)*($B$2:$W$2=$AC12),0))</f>
        <v>0</v>
      </c>
      <c r="HJ12" t="b" cm="1">
        <f t="array" ref="HJ12">INDEX($B$1:$W$193,MATCH(HJ$1,$B$1:$B$193,0),MATCH(1,($B$1:$W$1=$AB12)*($B$2:$W$2=$AC12),0))</f>
        <v>0</v>
      </c>
      <c r="HK12" t="b" cm="1">
        <f t="array" ref="HK12">INDEX($B$1:$W$193,MATCH(HK$1,$B$1:$B$193,0),MATCH(1,($B$1:$W$1=$AB12)*($B$2:$W$2=$AC12),0))</f>
        <v>0</v>
      </c>
      <c r="HL12" t="b" cm="1">
        <f t="array" ref="HL12">INDEX($B$1:$W$193,MATCH(HL$1,$B$1:$B$193,0),MATCH(1,($B$1:$W$1=$AB12)*($B$2:$W$2=$AC12),0))</f>
        <v>0</v>
      </c>
      <c r="HM12" t="b" cm="1">
        <f t="array" ref="HM12">INDEX($B$1:$W$193,MATCH(HM$1,$B$1:$B$193,0),MATCH(1,($B$1:$W$1=$AB12)*($B$2:$W$2=$AC12),0))</f>
        <v>0</v>
      </c>
      <c r="HN12" t="b" cm="1">
        <f t="array" ref="HN12">INDEX($B$1:$W$193,MATCH(HN$1,$B$1:$B$193,0),MATCH(1,($B$1:$W$1=$AB12)*($B$2:$W$2=$AC12),0))</f>
        <v>0</v>
      </c>
      <c r="HO12" t="b" cm="1">
        <f t="array" ref="HO12">INDEX($B$1:$W$193,MATCH(HO$1,$B$1:$B$193,0),MATCH(1,($B$1:$W$1=$AB12)*($B$2:$W$2=$AC12),0))</f>
        <v>0</v>
      </c>
      <c r="HP12" t="b" cm="1">
        <f t="array" ref="HP12">INDEX($B$1:$W$193,MATCH(HP$1,$B$1:$B$193,0),MATCH(1,($B$1:$W$1=$AB12)*($B$2:$W$2=$AC12),0))</f>
        <v>0</v>
      </c>
      <c r="HQ12" t="b" cm="1">
        <f t="array" ref="HQ12">INDEX($B$1:$W$193,MATCH(HQ$1,$B$1:$B$193,0),MATCH(1,($B$1:$W$1=$AB12)*($B$2:$W$2=$AC12),0))</f>
        <v>0</v>
      </c>
      <c r="HR12" t="b" cm="1">
        <f t="array" ref="HR12">INDEX($B$1:$W$193,MATCH(HR$1,$B$1:$B$193,0),MATCH(1,($B$1:$W$1=$AB12)*($B$2:$W$2=$AC12),0))</f>
        <v>0</v>
      </c>
      <c r="HS12" t="b" cm="1">
        <f t="array" ref="HS12">INDEX($B$1:$W$193,MATCH(HS$1,$B$1:$B$193,0),MATCH(1,($B$1:$W$1=$AB12)*($B$2:$W$2=$AC12),0))</f>
        <v>0</v>
      </c>
      <c r="HT12" t="b" cm="1">
        <f t="array" ref="HT12">INDEX($B$1:$W$193,MATCH(HT$1,$B$1:$B$193,0),MATCH(1,($B$1:$W$1=$AB12)*($B$2:$W$2=$AC12),0))</f>
        <v>0</v>
      </c>
      <c r="HU12" t="b" cm="1">
        <f t="array" ref="HU12">INDEX($B$1:$W$193,MATCH(HU$1,$B$1:$B$193,0),MATCH(1,($B$1:$W$1=$AB12)*($B$2:$W$2=$AC12),0))</f>
        <v>0</v>
      </c>
      <c r="HV12" t="b" cm="1">
        <f t="array" ref="HV12">INDEX($B$1:$W$193,MATCH(HV$1,$B$1:$B$193,0),MATCH(1,($B$1:$W$1=$AB12)*($B$2:$W$2=$AC12),0))</f>
        <v>0</v>
      </c>
      <c r="HW12" t="b" cm="1">
        <f t="array" ref="HW12">INDEX($B$1:$W$193,MATCH(HW$1,$B$1:$B$193,0),MATCH(1,($B$1:$W$1=$AB12)*($B$2:$W$2=$AC12),0))</f>
        <v>0</v>
      </c>
      <c r="HX12" t="b" cm="1">
        <f t="array" ref="HX12">INDEX($B$1:$W$193,MATCH(HX$1,$B$1:$B$193,0),MATCH(1,($B$1:$W$1=$AB12)*($B$2:$W$2=$AC12),0))</f>
        <v>0</v>
      </c>
      <c r="HY12" t="b" cm="1">
        <f t="array" ref="HY12">INDEX($B$1:$W$193,MATCH(HY$1,$B$1:$B$193,0),MATCH(1,($B$1:$W$1=$AB12)*($B$2:$W$2=$AC12),0))</f>
        <v>0</v>
      </c>
      <c r="HZ12" t="b" cm="1">
        <f t="array" ref="HZ12">INDEX($B$1:$W$193,MATCH(HZ$1,$B$1:$B$193,0),MATCH(1,($B$1:$W$1=$AB12)*($B$2:$W$2=$AC12),0))</f>
        <v>0</v>
      </c>
      <c r="IA12" t="b" cm="1">
        <f t="array" ref="IA12">INDEX($B$1:$W$193,MATCH(IA$1,$B$1:$B$193,0),MATCH(1,($B$1:$W$1=$AB12)*($B$2:$W$2=$AC12),0))</f>
        <v>0</v>
      </c>
      <c r="IB12" t="b" cm="1">
        <f t="array" ref="IB12">INDEX($B$1:$W$193,MATCH(IB$1,$B$1:$B$193,0),MATCH(1,($B$1:$W$1=$AB12)*($B$2:$W$2=$AC12),0))</f>
        <v>0</v>
      </c>
      <c r="IC12" t="b" cm="1">
        <f t="array" ref="IC12">INDEX($B$1:$W$193,MATCH(IC$1,$B$1:$B$193,0),MATCH(1,($B$1:$W$1=$AB12)*($B$2:$W$2=$AC12),0))</f>
        <v>0</v>
      </c>
      <c r="ID12" t="b" cm="1">
        <f t="array" ref="ID12">INDEX($B$1:$W$193,MATCH(ID$1,$B$1:$B$193,0),MATCH(1,($B$1:$W$1=$AB12)*($B$2:$W$2=$AC12),0))</f>
        <v>0</v>
      </c>
      <c r="IE12" t="b" cm="1">
        <f t="array" ref="IE12">INDEX($B$1:$W$193,MATCH(IE$1,$B$1:$B$193,0),MATCH(1,($B$1:$W$1=$AB12)*($B$2:$W$2=$AC12),0))</f>
        <v>0</v>
      </c>
      <c r="IF12" t="b" cm="1">
        <f t="array" ref="IF12">INDEX($B$1:$W$193,MATCH(IF$1,$B$1:$B$193,0),MATCH(1,($B$1:$W$1=$AB12)*($B$2:$W$2=$AC12),0))</f>
        <v>0</v>
      </c>
      <c r="IG12" t="b" cm="1">
        <f t="array" ref="IG12">INDEX($B$1:$W$193,MATCH(IG$1,$B$1:$B$193,0),MATCH(1,($B$1:$W$1=$AB12)*($B$2:$W$2=$AC12),0))</f>
        <v>0</v>
      </c>
      <c r="IH12" t="b" cm="1">
        <f t="array" ref="IH12">INDEX($B$1:$W$193,MATCH(IH$1,$B$1:$B$193,0),MATCH(1,($B$1:$W$1=$AB12)*($B$2:$W$2=$AC12),0))</f>
        <v>0</v>
      </c>
      <c r="II12" t="b" cm="1">
        <f t="array" ref="II12">INDEX($B$1:$W$193,MATCH(II$1,$B$1:$B$193,0),MATCH(1,($B$1:$W$1=$AB12)*($B$2:$W$2=$AC12),0))</f>
        <v>0</v>
      </c>
      <c r="IJ12" t="b" cm="1">
        <f t="array" ref="IJ12">INDEX($B$1:$W$193,MATCH(IJ$1,$B$1:$B$193,0),MATCH(1,($B$1:$W$1=$AB12)*($B$2:$W$2=$AC12),0))</f>
        <v>0</v>
      </c>
      <c r="IK12" t="b" cm="1">
        <f t="array" ref="IK12">INDEX($B$1:$W$193,MATCH(IK$1,$B$1:$B$193,0),MATCH(1,($B$1:$W$1=$AB12)*($B$2:$W$2=$AC12),0))</f>
        <v>0</v>
      </c>
      <c r="IL12" t="b" cm="1">
        <f t="array" ref="IL12">INDEX($B$1:$W$193,MATCH(IL$1,$B$1:$B$193,0),MATCH(1,($B$1:$W$1=$AB12)*($B$2:$W$2=$AC12),0))</f>
        <v>0</v>
      </c>
      <c r="IM12" t="b" cm="1">
        <f t="array" ref="IM12">INDEX($B$1:$W$193,MATCH(IM$1,$B$1:$B$193,0),MATCH(1,($B$1:$W$1=$AB12)*($B$2:$W$2=$AC12),0))</f>
        <v>0</v>
      </c>
      <c r="IN12" t="b" cm="1">
        <f t="array" ref="IN12">INDEX($B$1:$W$193,MATCH(IN$1,$B$1:$B$193,0),MATCH(1,($B$1:$W$1=$AB12)*($B$2:$W$2=$AC12),0))</f>
        <v>0</v>
      </c>
      <c r="IO12" t="b" cm="1">
        <f t="array" ref="IO12">INDEX($B$1:$W$193,MATCH(IO$1,$B$1:$B$193,0),MATCH(1,($B$1:$W$1=$AB12)*($B$2:$W$2=$AC12),0))</f>
        <v>0</v>
      </c>
      <c r="IP12" t="b" cm="1">
        <f t="array" ref="IP12">INDEX($B$1:$W$193,MATCH(IP$1,$B$1:$B$193,0),MATCH(1,($B$1:$W$1=$AB12)*($B$2:$W$2=$AC12),0))</f>
        <v>0</v>
      </c>
      <c r="IQ12" t="b" cm="1">
        <f t="array" ref="IQ12">INDEX($B$1:$W$193,MATCH(IQ$1,$B$1:$B$193,0),MATCH(1,($B$1:$W$1=$AB12)*($B$2:$W$2=$AC12),0))</f>
        <v>0</v>
      </c>
      <c r="IR12" t="b" cm="1">
        <f t="array" ref="IR12">INDEX($B$1:$W$193,MATCH(IR$1,$B$1:$B$193,0),MATCH(1,($B$1:$W$1=$AB12)*($B$2:$W$2=$AC12),0))</f>
        <v>0</v>
      </c>
      <c r="IS12" t="b" cm="1">
        <f t="array" ref="IS12">INDEX($B$1:$W$193,MATCH(IS$1,$B$1:$B$193,0),MATCH(1,($B$1:$W$1=$AB12)*($B$2:$W$2=$AC12),0))</f>
        <v>0</v>
      </c>
      <c r="IT12" t="b" cm="1">
        <f t="array" ref="IT12">INDEX($B$1:$W$193,MATCH(IT$1,$B$1:$B$193,0),MATCH(1,($B$1:$W$1=$AB12)*($B$2:$W$2=$AC12),0))</f>
        <v>0</v>
      </c>
      <c r="IU12" t="b" cm="1">
        <f t="array" ref="IU12">INDEX($B$1:$W$193,MATCH(IU$1,$B$1:$B$193,0),MATCH(1,($B$1:$W$1=$AB12)*($B$2:$W$2=$AC12),0))</f>
        <v>0</v>
      </c>
      <c r="IV12" t="b" cm="1">
        <f t="array" ref="IV12">INDEX($B$1:$W$193,MATCH(IV$1,$B$1:$B$193,0),MATCH(1,($B$1:$W$1=$AB12)*($B$2:$W$2=$AC12),0))</f>
        <v>0</v>
      </c>
      <c r="IW12" t="b" cm="1">
        <f t="array" ref="IW12">INDEX($B$1:$W$193,MATCH(IW$1,$B$1:$B$193,0),MATCH(1,($B$1:$W$1=$AB12)*($B$2:$W$2=$AC12),0))</f>
        <v>0</v>
      </c>
      <c r="IX12" t="b" cm="1">
        <f t="array" ref="IX12">INDEX($B$1:$W$193,MATCH(IX$1,$B$1:$B$193,0),MATCH(1,($B$1:$W$1=$AB12)*($B$2:$W$2=$AC12),0))</f>
        <v>0</v>
      </c>
      <c r="IY12" t="b" cm="1">
        <f t="array" ref="IY12">INDEX($B$1:$W$193,MATCH(IY$1,$B$1:$B$193,0),MATCH(1,($B$1:$W$1=$AB12)*($B$2:$W$2=$AC12),0))</f>
        <v>0</v>
      </c>
      <c r="IZ12" t="b" cm="1">
        <f t="array" ref="IZ12">INDEX($B$1:$W$193,MATCH(IZ$1,$B$1:$B$193,0),MATCH(1,($B$1:$W$1=$AB12)*($B$2:$W$2=$AC12),0))</f>
        <v>0</v>
      </c>
      <c r="JA12" t="b" cm="1">
        <f t="array" ref="JA12">INDEX($B$1:$W$193,MATCH(JA$1,$B$1:$B$193,0),MATCH(1,($B$1:$W$1=$AB12)*($B$2:$W$2=$AC12),0))</f>
        <v>0</v>
      </c>
      <c r="JB12" t="b" cm="1">
        <f t="array" ref="JB12">INDEX($B$1:$W$193,MATCH(JB$1,$B$1:$B$193,0),MATCH(1,($B$1:$W$1=$AB12)*($B$2:$W$2=$AC12),0))</f>
        <v>0</v>
      </c>
      <c r="JC12" t="b" cm="1">
        <f t="array" ref="JC12">INDEX($B$1:$W$193,MATCH(JC$1,$B$1:$B$193,0),MATCH(1,($B$1:$W$1=$AB12)*($B$2:$W$2=$AC12),0))</f>
        <v>0</v>
      </c>
      <c r="JD12" t="b" cm="1">
        <f t="array" ref="JD12">INDEX($B$1:$W$193,MATCH(JD$1,$B$1:$B$193,0),MATCH(1,($B$1:$W$1=$AB12)*($B$2:$W$2=$AC12),0))</f>
        <v>0</v>
      </c>
      <c r="JE12" t="b" cm="1">
        <f t="array" ref="JE12">INDEX($B$1:$W$193,MATCH(JE$1,$B$1:$B$193,0),MATCH(1,($B$1:$W$1=$AB12)*($B$2:$W$2=$AC12),0))</f>
        <v>0</v>
      </c>
      <c r="JF12" t="b" cm="1">
        <f t="array" ref="JF12">INDEX($B$1:$W$193,MATCH(JF$1,$B$1:$B$193,0),MATCH(1,($B$1:$W$1=$AB12)*($B$2:$W$2=$AC12),0))</f>
        <v>0</v>
      </c>
      <c r="JG12" t="b" cm="1">
        <f t="array" ref="JG12">INDEX($B$1:$W$193,MATCH(JG$1,$B$1:$B$193,0),MATCH(1,($B$1:$W$1=$AB12)*($B$2:$W$2=$AC12),0))</f>
        <v>0</v>
      </c>
      <c r="JH12" t="b" cm="1">
        <f t="array" ref="JH12">INDEX($B$1:$W$193,MATCH(JH$1,$B$1:$B$193,0),MATCH(1,($B$1:$W$1=$AB12)*($B$2:$W$2=$AC12),0))</f>
        <v>0</v>
      </c>
    </row>
    <row r="13" spans="1:268" x14ac:dyDescent="0.25">
      <c r="A13" t="s">
        <v>164</v>
      </c>
      <c r="B13" s="51">
        <v>19</v>
      </c>
      <c r="C13">
        <v>3</v>
      </c>
      <c r="D13">
        <v>4</v>
      </c>
      <c r="E13" t="b">
        <f t="shared" si="1"/>
        <v>1</v>
      </c>
      <c r="F13" t="b">
        <f t="shared" si="0"/>
        <v>1</v>
      </c>
      <c r="G13" t="b">
        <f t="shared" si="0"/>
        <v>1</v>
      </c>
      <c r="H13" t="b">
        <f t="shared" si="0"/>
        <v>1</v>
      </c>
      <c r="I13" t="b">
        <f t="shared" si="0"/>
        <v>0</v>
      </c>
      <c r="J13" t="b">
        <f t="shared" si="0"/>
        <v>0</v>
      </c>
      <c r="K13" t="b">
        <f t="shared" si="0"/>
        <v>1</v>
      </c>
      <c r="L13" t="b">
        <f t="shared" si="0"/>
        <v>1</v>
      </c>
      <c r="M13" t="b">
        <f t="shared" si="0"/>
        <v>1</v>
      </c>
      <c r="N13" t="b">
        <f t="shared" si="0"/>
        <v>1</v>
      </c>
      <c r="O13" t="b">
        <f t="shared" si="0"/>
        <v>0</v>
      </c>
      <c r="P13" t="b">
        <f t="shared" si="0"/>
        <v>0</v>
      </c>
      <c r="Q13" t="b">
        <v>1</v>
      </c>
      <c r="R13" t="b" cm="1">
        <f t="array" ref="R13">_xlfn.IFS(C13=1,FALSE,OR(C13=2,C13&gt;2),TRUE)</f>
        <v>1</v>
      </c>
      <c r="S13" t="b" cm="1">
        <f t="array" ref="S13">_xlfn.IFS(OR(C13=1,C13=2),FALSE,OR(C13=3,C13&gt;3),TRUE)</f>
        <v>1</v>
      </c>
      <c r="T13" t="str">
        <f t="shared" si="2"/>
        <v>TRUE</v>
      </c>
      <c r="U13" t="str">
        <f t="shared" si="3"/>
        <v>TRUE</v>
      </c>
      <c r="V13" t="str">
        <f t="shared" si="4"/>
        <v>FALSE</v>
      </c>
      <c r="W13" t="b" cm="1">
        <f t="array" ref="W13">_xlfn.IFS(H13=1,FALSE,OR(H13=2,H13&gt;2),TRUE)</f>
        <v>1</v>
      </c>
      <c r="X13" t="b" cm="1">
        <f t="array" ref="X13">_xlfn.IFS(H13=1,FALSE,OR(H13=2,H13&gt;2),TRUE)</f>
        <v>1</v>
      </c>
      <c r="Y13" t="b" cm="1">
        <f t="array" ref="Y13">_xlfn.IFS(H13=1,FALSE,OR(H13=2,H13&gt;2),TRUE)</f>
        <v>1</v>
      </c>
      <c r="AB13" t="s">
        <v>1</v>
      </c>
      <c r="AC13" t="s">
        <v>88</v>
      </c>
      <c r="AD13" t="b" cm="1">
        <f t="array" ref="AD13">INDEX($B$1:$W$193,MATCH(AD$1,$B$1:$B$193,0),MATCH(1,($B$1:$W$1=$AB13)*($B$2:$W$2=$AC13),0))</f>
        <v>0</v>
      </c>
      <c r="AE13" t="b" cm="1">
        <f t="array" ref="AE13">INDEX($B$1:$W$193,MATCH(AE$1,$B$1:$B$193,0),MATCH(1,($B$1:$W$1=$AB13)*($B$2:$W$2=$AC13),0))</f>
        <v>0</v>
      </c>
      <c r="AF13" t="b" cm="1">
        <f t="array" ref="AF13">INDEX($B$1:$W$193,MATCH(AF$1,$B$1:$B$193,0),MATCH(1,($B$1:$W$1=$AB13)*($B$2:$W$2=$AC13),0))</f>
        <v>0</v>
      </c>
      <c r="AG13" t="b" cm="1">
        <f t="array" ref="AG13">INDEX($B$1:$W$193,MATCH(AG$1,$B$1:$B$193,0),MATCH(1,($B$1:$W$1=$AB13)*($B$2:$W$2=$AC13),0))</f>
        <v>0</v>
      </c>
      <c r="AH13" t="b" cm="1">
        <f t="array" ref="AH13">INDEX($B$1:$W$193,MATCH(AH$1,$B$1:$B$193,0),MATCH(1,($B$1:$W$1=$AB13)*($B$2:$W$2=$AC13),0))</f>
        <v>0</v>
      </c>
      <c r="AI13" t="b" cm="1">
        <f t="array" ref="AI13">INDEX($B$1:$W$193,MATCH(AI$1,$B$1:$B$193,0),MATCH(1,($B$1:$W$1=$AB13)*($B$2:$W$2=$AC13),0))</f>
        <v>0</v>
      </c>
      <c r="AJ13" t="b" cm="1">
        <f t="array" ref="AJ13">INDEX($B$1:$W$193,MATCH(AJ$1,$B$1:$B$193,0),MATCH(1,($B$1:$W$1=$AB13)*($B$2:$W$2=$AC13),0))</f>
        <v>0</v>
      </c>
      <c r="AK13" t="b" cm="1">
        <f t="array" ref="AK13">INDEX($B$1:$W$193,MATCH(AK$1,$B$1:$B$193,0),MATCH(1,($B$1:$W$1=$AB13)*($B$2:$W$2=$AC13),0))</f>
        <v>0</v>
      </c>
      <c r="AL13" t="b" cm="1">
        <f t="array" ref="AL13">INDEX($B$1:$W$193,MATCH(AL$1,$B$1:$B$193,0),MATCH(1,($B$1:$W$1=$AB13)*($B$2:$W$2=$AC13),0))</f>
        <v>0</v>
      </c>
      <c r="AM13" t="b" cm="1">
        <f t="array" ref="AM13">INDEX($B$1:$W$193,MATCH(AM$1,$B$1:$B$193,0),MATCH(1,($B$1:$W$1=$AB13)*($B$2:$W$2=$AC13),0))</f>
        <v>0</v>
      </c>
      <c r="AN13" t="b" cm="1">
        <f t="array" ref="AN13">INDEX($B$1:$W$193,MATCH(AN$1,$B$1:$B$193,0),MATCH(1,($B$1:$W$1=$AB13)*($B$2:$W$2=$AC13),0))</f>
        <v>0</v>
      </c>
      <c r="AO13" t="b" cm="1">
        <f t="array" ref="AO13">INDEX($B$1:$W$193,MATCH(AO$1,$B$1:$B$193,0),MATCH(1,($B$1:$W$1=$AB13)*($B$2:$W$2=$AC13),0))</f>
        <v>0</v>
      </c>
      <c r="AP13" t="b" cm="1">
        <f t="array" ref="AP13">INDEX($B$1:$W$193,MATCH(AP$1,$B$1:$B$193,0),MATCH(1,($B$1:$W$1=$AB13)*($B$2:$W$2=$AC13),0))</f>
        <v>0</v>
      </c>
      <c r="AQ13" t="b" cm="1">
        <f t="array" ref="AQ13">INDEX($B$1:$W$193,MATCH(AQ$1,$B$1:$B$193,0),MATCH(1,($B$1:$W$1=$AB13)*($B$2:$W$2=$AC13),0))</f>
        <v>0</v>
      </c>
      <c r="AR13" t="b" cm="1">
        <f t="array" ref="AR13">INDEX($B$1:$W$193,MATCH(AR$1,$B$1:$B$193,0),MATCH(1,($B$1:$W$1=$AB13)*($B$2:$W$2=$AC13),0))</f>
        <v>0</v>
      </c>
      <c r="AS13" t="b" cm="1">
        <f t="array" ref="AS13">INDEX($B$1:$W$193,MATCH(AS$1,$B$1:$B$193,0),MATCH(1,($B$1:$W$1=$AB13)*($B$2:$W$2=$AC13),0))</f>
        <v>0</v>
      </c>
      <c r="AT13" t="b" cm="1">
        <f t="array" ref="AT13">INDEX($B$1:$W$193,MATCH(AT$1,$B$1:$B$193,0),MATCH(1,($B$1:$W$1=$AB13)*($B$2:$W$2=$AC13),0))</f>
        <v>0</v>
      </c>
      <c r="AU13" t="b" cm="1">
        <f t="array" ref="AU13">INDEX($B$1:$W$193,MATCH(AU$1,$B$1:$B$193,0),MATCH(1,($B$1:$W$1=$AB13)*($B$2:$W$2=$AC13),0))</f>
        <v>0</v>
      </c>
      <c r="AV13" t="b" cm="1">
        <f t="array" ref="AV13">INDEX($B$1:$W$193,MATCH(AV$1,$B$1:$B$193,0),MATCH(1,($B$1:$W$1=$AB13)*($B$2:$W$2=$AC13),0))</f>
        <v>0</v>
      </c>
      <c r="AW13" t="b" cm="1">
        <f t="array" ref="AW13">INDEX($B$1:$W$193,MATCH(AW$1,$B$1:$B$193,0),MATCH(1,($B$1:$W$1=$AB13)*($B$2:$W$2=$AC13),0))</f>
        <v>0</v>
      </c>
      <c r="AX13" t="b" cm="1">
        <f t="array" ref="AX13">INDEX($B$1:$W$193,MATCH(AX$1,$B$1:$B$193,0),MATCH(1,($B$1:$W$1=$AB13)*($B$2:$W$2=$AC13),0))</f>
        <v>0</v>
      </c>
      <c r="AY13" t="b" cm="1">
        <f t="array" ref="AY13">INDEX($B$1:$W$193,MATCH(AY$1,$B$1:$B$193,0),MATCH(1,($B$1:$W$1=$AB13)*($B$2:$W$2=$AC13),0))</f>
        <v>0</v>
      </c>
      <c r="AZ13" t="b" cm="1">
        <f t="array" ref="AZ13">INDEX($B$1:$W$193,MATCH(AZ$1,$B$1:$B$193,0),MATCH(1,($B$1:$W$1=$AB13)*($B$2:$W$2=$AC13),0))</f>
        <v>0</v>
      </c>
      <c r="BA13" t="b" cm="1">
        <f t="array" ref="BA13">INDEX($B$1:$W$193,MATCH(BA$1,$B$1:$B$193,0),MATCH(1,($B$1:$W$1=$AB13)*($B$2:$W$2=$AC13),0))</f>
        <v>0</v>
      </c>
      <c r="BB13" t="b" cm="1">
        <f t="array" ref="BB13">INDEX($B$1:$W$193,MATCH(BB$1,$B$1:$B$193,0),MATCH(1,($B$1:$W$1=$AB13)*($B$2:$W$2=$AC13),0))</f>
        <v>0</v>
      </c>
      <c r="BC13" t="b" cm="1">
        <f t="array" ref="BC13">INDEX($B$1:$W$193,MATCH(BC$1,$B$1:$B$193,0),MATCH(1,($B$1:$W$1=$AB13)*($B$2:$W$2=$AC13),0))</f>
        <v>0</v>
      </c>
      <c r="BD13" t="b" cm="1">
        <f t="array" ref="BD13">INDEX($B$1:$W$193,MATCH(BD$1,$B$1:$B$193,0),MATCH(1,($B$1:$W$1=$AB13)*($B$2:$W$2=$AC13),0))</f>
        <v>0</v>
      </c>
      <c r="BE13" t="b" cm="1">
        <f t="array" ref="BE13">INDEX($B$1:$W$193,MATCH(BE$1,$B$1:$B$193,0),MATCH(1,($B$1:$W$1=$AB13)*($B$2:$W$2=$AC13),0))</f>
        <v>0</v>
      </c>
      <c r="BF13" t="b" cm="1">
        <f t="array" ref="BF13">INDEX($B$1:$W$193,MATCH(BF$1,$B$1:$B$193,0),MATCH(1,($B$1:$W$1=$AB13)*($B$2:$W$2=$AC13),0))</f>
        <v>0</v>
      </c>
      <c r="BG13" t="b" cm="1">
        <f t="array" ref="BG13">INDEX($B$1:$W$193,MATCH(BG$1,$B$1:$B$193,0),MATCH(1,($B$1:$W$1=$AB13)*($B$2:$W$2=$AC13),0))</f>
        <v>0</v>
      </c>
      <c r="BH13" t="b" cm="1">
        <f t="array" ref="BH13">INDEX($B$1:$W$193,MATCH(BH$1,$B$1:$B$193,0),MATCH(1,($B$1:$W$1=$AB13)*($B$2:$W$2=$AC13),0))</f>
        <v>0</v>
      </c>
      <c r="BI13" t="b" cm="1">
        <f t="array" ref="BI13">INDEX($B$1:$W$193,MATCH(BI$1,$B$1:$B$193,0),MATCH(1,($B$1:$W$1=$AB13)*($B$2:$W$2=$AC13),0))</f>
        <v>0</v>
      </c>
      <c r="BJ13" t="b" cm="1">
        <f t="array" ref="BJ13">INDEX($B$1:$W$193,MATCH(BJ$1,$B$1:$B$193,0),MATCH(1,($B$1:$W$1=$AB13)*($B$2:$W$2=$AC13),0))</f>
        <v>0</v>
      </c>
      <c r="BK13" t="b" cm="1">
        <f t="array" ref="BK13">INDEX($B$1:$W$193,MATCH(BK$1,$B$1:$B$193,0),MATCH(1,($B$1:$W$1=$AB13)*($B$2:$W$2=$AC13),0))</f>
        <v>0</v>
      </c>
      <c r="BL13" t="b" cm="1">
        <f t="array" ref="BL13">INDEX($B$1:$W$193,MATCH(BL$1,$B$1:$B$193,0),MATCH(1,($B$1:$W$1=$AB13)*($B$2:$W$2=$AC13),0))</f>
        <v>0</v>
      </c>
      <c r="BM13" t="b" cm="1">
        <f t="array" ref="BM13">INDEX($B$1:$W$193,MATCH(BM$1,$B$1:$B$193,0),MATCH(1,($B$1:$W$1=$AB13)*($B$2:$W$2=$AC13),0))</f>
        <v>0</v>
      </c>
      <c r="BN13" t="b" cm="1">
        <f t="array" ref="BN13">INDEX($B$1:$W$193,MATCH(BN$1,$B$1:$B$193,0),MATCH(1,($B$1:$W$1=$AB13)*($B$2:$W$2=$AC13),0))</f>
        <v>0</v>
      </c>
      <c r="BO13" t="b" cm="1">
        <f t="array" ref="BO13">INDEX($B$1:$W$193,MATCH(BO$1,$B$1:$B$193,0),MATCH(1,($B$1:$W$1=$AB13)*($B$2:$W$2=$AC13),0))</f>
        <v>0</v>
      </c>
      <c r="BP13" t="b" cm="1">
        <f t="array" ref="BP13">INDEX($B$1:$W$193,MATCH(BP$1,$B$1:$B$193,0),MATCH(1,($B$1:$W$1=$AB13)*($B$2:$W$2=$AC13),0))</f>
        <v>0</v>
      </c>
      <c r="BQ13" t="b" cm="1">
        <f t="array" ref="BQ13">INDEX($B$1:$W$193,MATCH(BQ$1,$B$1:$B$193,0),MATCH(1,($B$1:$W$1=$AB13)*($B$2:$W$2=$AC13),0))</f>
        <v>0</v>
      </c>
      <c r="BR13" t="b" cm="1">
        <f t="array" ref="BR13">INDEX($B$1:$W$193,MATCH(BR$1,$B$1:$B$193,0),MATCH(1,($B$1:$W$1=$AB13)*($B$2:$W$2=$AC13),0))</f>
        <v>0</v>
      </c>
      <c r="BS13" t="b" cm="1">
        <f t="array" ref="BS13">INDEX($B$1:$W$193,MATCH(BS$1,$B$1:$B$193,0),MATCH(1,($B$1:$W$1=$AB13)*($B$2:$W$2=$AC13),0))</f>
        <v>0</v>
      </c>
      <c r="BT13" t="b" cm="1">
        <f t="array" ref="BT13">INDEX($B$1:$W$193,MATCH(BT$1,$B$1:$B$193,0),MATCH(1,($B$1:$W$1=$AB13)*($B$2:$W$2=$AC13),0))</f>
        <v>0</v>
      </c>
      <c r="BU13" t="b" cm="1">
        <f t="array" ref="BU13">INDEX($B$1:$W$193,MATCH(BU$1,$B$1:$B$193,0),MATCH(1,($B$1:$W$1=$AB13)*($B$2:$W$2=$AC13),0))</f>
        <v>0</v>
      </c>
      <c r="BV13" t="b" cm="1">
        <f t="array" ref="BV13">INDEX($B$1:$W$193,MATCH(BV$1,$B$1:$B$193,0),MATCH(1,($B$1:$W$1=$AB13)*($B$2:$W$2=$AC13),0))</f>
        <v>0</v>
      </c>
      <c r="BW13" t="b" cm="1">
        <f t="array" ref="BW13">INDEX($B$1:$W$193,MATCH(BW$1,$B$1:$B$193,0),MATCH(1,($B$1:$W$1=$AB13)*($B$2:$W$2=$AC13),0))</f>
        <v>0</v>
      </c>
      <c r="BX13" t="b" cm="1">
        <f t="array" ref="BX13">INDEX($B$1:$W$193,MATCH(BX$1,$B$1:$B$193,0),MATCH(1,($B$1:$W$1=$AB13)*($B$2:$W$2=$AC13),0))</f>
        <v>0</v>
      </c>
      <c r="BY13" t="b" cm="1">
        <f t="array" ref="BY13">INDEX($B$1:$W$193,MATCH(BY$1,$B$1:$B$193,0),MATCH(1,($B$1:$W$1=$AB13)*($B$2:$W$2=$AC13),0))</f>
        <v>0</v>
      </c>
      <c r="BZ13" t="b" cm="1">
        <f t="array" ref="BZ13">INDEX($B$1:$W$193,MATCH(BZ$1,$B$1:$B$193,0),MATCH(1,($B$1:$W$1=$AB13)*($B$2:$W$2=$AC13),0))</f>
        <v>0</v>
      </c>
      <c r="CA13" t="b" cm="1">
        <f t="array" ref="CA13">INDEX($B$1:$W$193,MATCH(CA$1,$B$1:$B$193,0),MATCH(1,($B$1:$W$1=$AB13)*($B$2:$W$2=$AC13),0))</f>
        <v>0</v>
      </c>
      <c r="CB13" t="b" cm="1">
        <f t="array" ref="CB13">INDEX($B$1:$W$193,MATCH(CB$1,$B$1:$B$193,0),MATCH(1,($B$1:$W$1=$AB13)*($B$2:$W$2=$AC13),0))</f>
        <v>0</v>
      </c>
      <c r="CC13" t="b" cm="1">
        <f t="array" ref="CC13">INDEX($B$1:$W$193,MATCH(CC$1,$B$1:$B$193,0),MATCH(1,($B$1:$W$1=$AB13)*($B$2:$W$2=$AC13),0))</f>
        <v>0</v>
      </c>
      <c r="CD13" t="b" cm="1">
        <f t="array" ref="CD13">INDEX($B$1:$W$193,MATCH(CD$1,$B$1:$B$193,0),MATCH(1,($B$1:$W$1=$AB13)*($B$2:$W$2=$AC13),0))</f>
        <v>0</v>
      </c>
      <c r="CE13" t="b" cm="1">
        <f t="array" ref="CE13">INDEX($B$1:$W$193,MATCH(CE$1,$B$1:$B$193,0),MATCH(1,($B$1:$W$1=$AB13)*($B$2:$W$2=$AC13),0))</f>
        <v>0</v>
      </c>
      <c r="CF13" t="b" cm="1">
        <f t="array" ref="CF13">INDEX($B$1:$W$193,MATCH(CF$1,$B$1:$B$193,0),MATCH(1,($B$1:$W$1=$AB13)*($B$2:$W$2=$AC13),0))</f>
        <v>0</v>
      </c>
      <c r="CG13" t="b" cm="1">
        <f t="array" ref="CG13">INDEX($B$1:$W$193,MATCH(CG$1,$B$1:$B$193,0),MATCH(1,($B$1:$W$1=$AB13)*($B$2:$W$2=$AC13),0))</f>
        <v>0</v>
      </c>
      <c r="CH13" t="b" cm="1">
        <f t="array" ref="CH13">INDEX($B$1:$W$193,MATCH(CH$1,$B$1:$B$193,0),MATCH(1,($B$1:$W$1=$AB13)*($B$2:$W$2=$AC13),0))</f>
        <v>0</v>
      </c>
      <c r="CI13" t="b" cm="1">
        <f t="array" ref="CI13">INDEX($B$1:$W$193,MATCH(CI$1,$B$1:$B$193,0),MATCH(1,($B$1:$W$1=$AB13)*($B$2:$W$2=$AC13),0))</f>
        <v>0</v>
      </c>
      <c r="CJ13" t="b" cm="1">
        <f t="array" ref="CJ13">INDEX($B$1:$W$193,MATCH(CJ$1,$B$1:$B$193,0),MATCH(1,($B$1:$W$1=$AB13)*($B$2:$W$2=$AC13),0))</f>
        <v>0</v>
      </c>
      <c r="CK13" t="b" cm="1">
        <f t="array" ref="CK13">INDEX($B$1:$W$193,MATCH(CK$1,$B$1:$B$193,0),MATCH(1,($B$1:$W$1=$AB13)*($B$2:$W$2=$AC13),0))</f>
        <v>0</v>
      </c>
      <c r="CL13" t="b" cm="1">
        <f t="array" ref="CL13">INDEX($B$1:$W$193,MATCH(CL$1,$B$1:$B$193,0),MATCH(1,($B$1:$W$1=$AB13)*($B$2:$W$2=$AC13),0))</f>
        <v>0</v>
      </c>
      <c r="CM13" t="b" cm="1">
        <f t="array" ref="CM13">INDEX($B$1:$W$193,MATCH(CM$1,$B$1:$B$193,0),MATCH(1,($B$1:$W$1=$AB13)*($B$2:$W$2=$AC13),0))</f>
        <v>0</v>
      </c>
      <c r="CN13" t="b" cm="1">
        <f t="array" ref="CN13">INDEX($B$1:$W$193,MATCH(CN$1,$B$1:$B$193,0),MATCH(1,($B$1:$W$1=$AB13)*($B$2:$W$2=$AC13),0))</f>
        <v>0</v>
      </c>
      <c r="CO13" t="b" cm="1">
        <f t="array" ref="CO13">INDEX($B$1:$W$193,MATCH(CO$1,$B$1:$B$193,0),MATCH(1,($B$1:$W$1=$AB13)*($B$2:$W$2=$AC13),0))</f>
        <v>0</v>
      </c>
      <c r="CP13" t="b" cm="1">
        <f t="array" ref="CP13">INDEX($B$1:$W$193,MATCH(CP$1,$B$1:$B$193,0),MATCH(1,($B$1:$W$1=$AB13)*($B$2:$W$2=$AC13),0))</f>
        <v>0</v>
      </c>
      <c r="CQ13" t="b" cm="1">
        <f t="array" ref="CQ13">INDEX($B$1:$W$193,MATCH(CQ$1,$B$1:$B$193,0),MATCH(1,($B$1:$W$1=$AB13)*($B$2:$W$2=$AC13),0))</f>
        <v>0</v>
      </c>
      <c r="CR13" t="b" cm="1">
        <f t="array" ref="CR13">INDEX($B$1:$W$193,MATCH(CR$1,$B$1:$B$193,0),MATCH(1,($B$1:$W$1=$AB13)*($B$2:$W$2=$AC13),0))</f>
        <v>0</v>
      </c>
      <c r="CS13" t="b" cm="1">
        <f t="array" ref="CS13">INDEX($B$1:$W$193,MATCH(CS$1,$B$1:$B$193,0),MATCH(1,($B$1:$W$1=$AB13)*($B$2:$W$2=$AC13),0))</f>
        <v>0</v>
      </c>
      <c r="CT13" t="b" cm="1">
        <f t="array" ref="CT13">INDEX($B$1:$W$193,MATCH(CT$1,$B$1:$B$193,0),MATCH(1,($B$1:$W$1=$AB13)*($B$2:$W$2=$AC13),0))</f>
        <v>0</v>
      </c>
      <c r="CU13" t="b" cm="1">
        <f t="array" ref="CU13">INDEX($B$1:$W$193,MATCH(CU$1,$B$1:$B$193,0),MATCH(1,($B$1:$W$1=$AB13)*($B$2:$W$2=$AC13),0))</f>
        <v>0</v>
      </c>
      <c r="CV13" t="b" cm="1">
        <f t="array" ref="CV13">INDEX($B$1:$W$193,MATCH(CV$1,$B$1:$B$193,0),MATCH(1,($B$1:$W$1=$AB13)*($B$2:$W$2=$AC13),0))</f>
        <v>0</v>
      </c>
      <c r="CW13" t="b" cm="1">
        <f t="array" ref="CW13">INDEX($B$1:$W$193,MATCH(CW$1,$B$1:$B$193,0),MATCH(1,($B$1:$W$1=$AB13)*($B$2:$W$2=$AC13),0))</f>
        <v>0</v>
      </c>
      <c r="CX13" t="b" cm="1">
        <f t="array" ref="CX13">INDEX($B$1:$W$193,MATCH(CX$1,$B$1:$B$193,0),MATCH(1,($B$1:$W$1=$AB13)*($B$2:$W$2=$AC13),0))</f>
        <v>0</v>
      </c>
      <c r="CY13" t="b" cm="1">
        <f t="array" ref="CY13">INDEX($B$1:$W$193,MATCH(CY$1,$B$1:$B$193,0),MATCH(1,($B$1:$W$1=$AB13)*($B$2:$W$2=$AC13),0))</f>
        <v>0</v>
      </c>
      <c r="CZ13" t="b" cm="1">
        <f t="array" ref="CZ13">INDEX($B$1:$W$193,MATCH(CZ$1,$B$1:$B$193,0),MATCH(1,($B$1:$W$1=$AB13)*($B$2:$W$2=$AC13),0))</f>
        <v>0</v>
      </c>
      <c r="DA13" t="b" cm="1">
        <f t="array" ref="DA13">INDEX($B$1:$W$193,MATCH(DA$1,$B$1:$B$193,0),MATCH(1,($B$1:$W$1=$AB13)*($B$2:$W$2=$AC13),0))</f>
        <v>0</v>
      </c>
      <c r="DB13" t="b" cm="1">
        <f t="array" ref="DB13">INDEX($B$1:$W$193,MATCH(DB$1,$B$1:$B$193,0),MATCH(1,($B$1:$W$1=$AB13)*($B$2:$W$2=$AC13),0))</f>
        <v>0</v>
      </c>
      <c r="DC13" t="b" cm="1">
        <f t="array" ref="DC13">INDEX($B$1:$W$193,MATCH(DC$1,$B$1:$B$193,0),MATCH(1,($B$1:$W$1=$AB13)*($B$2:$W$2=$AC13),0))</f>
        <v>0</v>
      </c>
      <c r="DD13" t="b" cm="1">
        <f t="array" ref="DD13">INDEX($B$1:$W$193,MATCH(DD$1,$B$1:$B$193,0),MATCH(1,($B$1:$W$1=$AB13)*($B$2:$W$2=$AC13),0))</f>
        <v>0</v>
      </c>
      <c r="DE13" t="b" cm="1">
        <f t="array" ref="DE13">INDEX($B$1:$W$193,MATCH(DE$1,$B$1:$B$193,0),MATCH(1,($B$1:$W$1=$AB13)*($B$2:$W$2=$AC13),0))</f>
        <v>0</v>
      </c>
      <c r="DF13" t="b" cm="1">
        <f t="array" ref="DF13">INDEX($B$1:$W$193,MATCH(DF$1,$B$1:$B$193,0),MATCH(1,($B$1:$W$1=$AB13)*($B$2:$W$2=$AC13),0))</f>
        <v>0</v>
      </c>
      <c r="DG13" t="b" cm="1">
        <f t="array" ref="DG13">INDEX($B$1:$W$193,MATCH(DG$1,$B$1:$B$193,0),MATCH(1,($B$1:$W$1=$AB13)*($B$2:$W$2=$AC13),0))</f>
        <v>0</v>
      </c>
      <c r="DH13" t="b" cm="1">
        <f t="array" ref="DH13">INDEX($B$1:$W$193,MATCH(DH$1,$B$1:$B$193,0),MATCH(1,($B$1:$W$1=$AB13)*($B$2:$W$2=$AC13),0))</f>
        <v>0</v>
      </c>
      <c r="DI13" t="b" cm="1">
        <f t="array" ref="DI13">INDEX($B$1:$W$193,MATCH(DI$1,$B$1:$B$193,0),MATCH(1,($B$1:$W$1=$AB13)*($B$2:$W$2=$AC13),0))</f>
        <v>0</v>
      </c>
      <c r="DJ13" t="b" cm="1">
        <f t="array" ref="DJ13">INDEX($B$1:$W$193,MATCH(DJ$1,$B$1:$B$193,0),MATCH(1,($B$1:$W$1=$AB13)*($B$2:$W$2=$AC13),0))</f>
        <v>0</v>
      </c>
      <c r="DK13" t="b" cm="1">
        <f t="array" ref="DK13">INDEX($B$1:$W$193,MATCH(DK$1,$B$1:$B$193,0),MATCH(1,($B$1:$W$1=$AB13)*($B$2:$W$2=$AC13),0))</f>
        <v>0</v>
      </c>
      <c r="DL13" t="b" cm="1">
        <f t="array" ref="DL13">INDEX($B$1:$W$193,MATCH(DL$1,$B$1:$B$193,0),MATCH(1,($B$1:$W$1=$AB13)*($B$2:$W$2=$AC13),0))</f>
        <v>0</v>
      </c>
      <c r="DM13" t="b" cm="1">
        <f t="array" ref="DM13">INDEX($B$1:$W$193,MATCH(DM$1,$B$1:$B$193,0),MATCH(1,($B$1:$W$1=$AB13)*($B$2:$W$2=$AC13),0))</f>
        <v>0</v>
      </c>
      <c r="DN13" t="b" cm="1">
        <f t="array" ref="DN13">INDEX($B$1:$W$193,MATCH(DN$1,$B$1:$B$193,0),MATCH(1,($B$1:$W$1=$AB13)*($B$2:$W$2=$AC13),0))</f>
        <v>0</v>
      </c>
      <c r="DO13" t="b" cm="1">
        <f t="array" ref="DO13">INDEX($B$1:$W$193,MATCH(DO$1,$B$1:$B$193,0),MATCH(1,($B$1:$W$1=$AB13)*($B$2:$W$2=$AC13),0))</f>
        <v>0</v>
      </c>
      <c r="DP13" t="b" cm="1">
        <f t="array" ref="DP13">INDEX($B$1:$W$193,MATCH(DP$1,$B$1:$B$193,0),MATCH(1,($B$1:$W$1=$AB13)*($B$2:$W$2=$AC13),0))</f>
        <v>0</v>
      </c>
      <c r="DQ13" t="b" cm="1">
        <f t="array" ref="DQ13">INDEX($B$1:$W$193,MATCH(DQ$1,$B$1:$B$193,0),MATCH(1,($B$1:$W$1=$AB13)*($B$2:$W$2=$AC13),0))</f>
        <v>0</v>
      </c>
      <c r="DR13" t="b" cm="1">
        <f t="array" ref="DR13">INDEX($B$1:$W$193,MATCH(DR$1,$B$1:$B$193,0),MATCH(1,($B$1:$W$1=$AB13)*($B$2:$W$2=$AC13),0))</f>
        <v>0</v>
      </c>
      <c r="DS13" t="b" cm="1">
        <f t="array" ref="DS13">INDEX($B$1:$W$193,MATCH(DS$1,$B$1:$B$193,0),MATCH(1,($B$1:$W$1=$AB13)*($B$2:$W$2=$AC13),0))</f>
        <v>0</v>
      </c>
      <c r="DT13" t="b" cm="1">
        <f t="array" ref="DT13">INDEX($B$1:$W$193,MATCH(DT$1,$B$1:$B$193,0),MATCH(1,($B$1:$W$1=$AB13)*($B$2:$W$2=$AC13),0))</f>
        <v>0</v>
      </c>
      <c r="DU13" t="b" cm="1">
        <f t="array" ref="DU13">INDEX($B$1:$W$193,MATCH(DU$1,$B$1:$B$193,0),MATCH(1,($B$1:$W$1=$AB13)*($B$2:$W$2=$AC13),0))</f>
        <v>0</v>
      </c>
      <c r="DV13" t="b" cm="1">
        <f t="array" ref="DV13">INDEX($B$1:$W$193,MATCH(DV$1,$B$1:$B$193,0),MATCH(1,($B$1:$W$1=$AB13)*($B$2:$W$2=$AC13),0))</f>
        <v>0</v>
      </c>
      <c r="DW13" t="b" cm="1">
        <f t="array" ref="DW13">INDEX($B$1:$W$193,MATCH(DW$1,$B$1:$B$193,0),MATCH(1,($B$1:$W$1=$AB13)*($B$2:$W$2=$AC13),0))</f>
        <v>0</v>
      </c>
      <c r="DX13" t="b" cm="1">
        <f t="array" ref="DX13">INDEX($B$1:$W$193,MATCH(DX$1,$B$1:$B$193,0),MATCH(1,($B$1:$W$1=$AB13)*($B$2:$W$2=$AC13),0))</f>
        <v>0</v>
      </c>
      <c r="DY13" t="b" cm="1">
        <f t="array" ref="DY13">INDEX($B$1:$W$193,MATCH(DY$1,$B$1:$B$193,0),MATCH(1,($B$1:$W$1=$AB13)*($B$2:$W$2=$AC13),0))</f>
        <v>0</v>
      </c>
      <c r="DZ13" t="b" cm="1">
        <f t="array" ref="DZ13">INDEX($B$1:$W$193,MATCH(DZ$1,$B$1:$B$193,0),MATCH(1,($B$1:$W$1=$AB13)*($B$2:$W$2=$AC13),0))</f>
        <v>0</v>
      </c>
      <c r="EA13" t="b" cm="1">
        <f t="array" ref="EA13">INDEX($B$1:$W$193,MATCH(EA$1,$B$1:$B$193,0),MATCH(1,($B$1:$W$1=$AB13)*($B$2:$W$2=$AC13),0))</f>
        <v>0</v>
      </c>
      <c r="EB13" t="b" cm="1">
        <f t="array" ref="EB13">INDEX($B$1:$W$193,MATCH(EB$1,$B$1:$B$193,0),MATCH(1,($B$1:$W$1=$AB13)*($B$2:$W$2=$AC13),0))</f>
        <v>0</v>
      </c>
      <c r="EC13" t="b" cm="1">
        <f t="array" ref="EC13">INDEX($B$1:$W$193,MATCH(EC$1,$B$1:$B$193,0),MATCH(1,($B$1:$W$1=$AB13)*($B$2:$W$2=$AC13),0))</f>
        <v>0</v>
      </c>
      <c r="ED13" t="b" cm="1">
        <f t="array" ref="ED13">INDEX($B$1:$W$193,MATCH(ED$1,$B$1:$B$193,0),MATCH(1,($B$1:$W$1=$AB13)*($B$2:$W$2=$AC13),0))</f>
        <v>0</v>
      </c>
      <c r="EE13" t="b" cm="1">
        <f t="array" ref="EE13">INDEX($B$1:$W$193,MATCH(EE$1,$B$1:$B$193,0),MATCH(1,($B$1:$W$1=$AB13)*($B$2:$W$2=$AC13),0))</f>
        <v>0</v>
      </c>
      <c r="EF13" t="b" cm="1">
        <f t="array" ref="EF13">INDEX($B$1:$W$193,MATCH(EF$1,$B$1:$B$193,0),MATCH(1,($B$1:$W$1=$AB13)*($B$2:$W$2=$AC13),0))</f>
        <v>0</v>
      </c>
      <c r="EG13" t="b" cm="1">
        <f t="array" ref="EG13">INDEX($B$1:$W$193,MATCH(EG$1,$B$1:$B$193,0),MATCH(1,($B$1:$W$1=$AB13)*($B$2:$W$2=$AC13),0))</f>
        <v>0</v>
      </c>
      <c r="EH13" t="b" cm="1">
        <f t="array" ref="EH13">INDEX($B$1:$W$193,MATCH(EH$1,$B$1:$B$193,0),MATCH(1,($B$1:$W$1=$AB13)*($B$2:$W$2=$AC13),0))</f>
        <v>0</v>
      </c>
      <c r="EI13" t="b" cm="1">
        <f t="array" ref="EI13">INDEX($B$1:$W$193,MATCH(EI$1,$B$1:$B$193,0),MATCH(1,($B$1:$W$1=$AB13)*($B$2:$W$2=$AC13),0))</f>
        <v>0</v>
      </c>
      <c r="EJ13" t="b" cm="1">
        <f t="array" ref="EJ13">INDEX($B$1:$W$193,MATCH(EJ$1,$B$1:$B$193,0),MATCH(1,($B$1:$W$1=$AB13)*($B$2:$W$2=$AC13),0))</f>
        <v>0</v>
      </c>
      <c r="EK13" t="b" cm="1">
        <f t="array" ref="EK13">INDEX($B$1:$W$193,MATCH(EK$1,$B$1:$B$193,0),MATCH(1,($B$1:$W$1=$AB13)*($B$2:$W$2=$AC13),0))</f>
        <v>0</v>
      </c>
      <c r="EL13" t="b" cm="1">
        <f t="array" ref="EL13">INDEX($B$1:$W$193,MATCH(EL$1,$B$1:$B$193,0),MATCH(1,($B$1:$W$1=$AB13)*($B$2:$W$2=$AC13),0))</f>
        <v>0</v>
      </c>
      <c r="EM13" t="b" cm="1">
        <f t="array" ref="EM13">INDEX($B$1:$W$193,MATCH(EM$1,$B$1:$B$193,0),MATCH(1,($B$1:$W$1=$AB13)*($B$2:$W$2=$AC13),0))</f>
        <v>0</v>
      </c>
      <c r="EN13" t="b" cm="1">
        <f t="array" ref="EN13">INDEX($B$1:$W$193,MATCH(EN$1,$B$1:$B$193,0),MATCH(1,($B$1:$W$1=$AB13)*($B$2:$W$2=$AC13),0))</f>
        <v>0</v>
      </c>
      <c r="EO13" t="b" cm="1">
        <f t="array" ref="EO13">INDEX($B$1:$W$193,MATCH(EO$1,$B$1:$B$193,0),MATCH(1,($B$1:$W$1=$AB13)*($B$2:$W$2=$AC13),0))</f>
        <v>0</v>
      </c>
      <c r="EP13" t="b" cm="1">
        <f t="array" ref="EP13">INDEX($B$1:$W$193,MATCH(EP$1,$B$1:$B$193,0),MATCH(1,($B$1:$W$1=$AB13)*($B$2:$W$2=$AC13),0))</f>
        <v>0</v>
      </c>
      <c r="EQ13" t="b" cm="1">
        <f t="array" ref="EQ13">INDEX($B$1:$W$193,MATCH(EQ$1,$B$1:$B$193,0),MATCH(1,($B$1:$W$1=$AB13)*($B$2:$W$2=$AC13),0))</f>
        <v>1</v>
      </c>
      <c r="ER13" t="b" cm="1">
        <f t="array" ref="ER13">INDEX($B$1:$W$193,MATCH(ER$1,$B$1:$B$193,0),MATCH(1,($B$1:$W$1=$AB13)*($B$2:$W$2=$AC13),0))</f>
        <v>0</v>
      </c>
      <c r="ES13" t="b" cm="1">
        <f t="array" ref="ES13">INDEX($B$1:$W$193,MATCH(ES$1,$B$1:$B$193,0),MATCH(1,($B$1:$W$1=$AB13)*($B$2:$W$2=$AC13),0))</f>
        <v>0</v>
      </c>
      <c r="ET13" t="b" cm="1">
        <f t="array" ref="ET13">INDEX($B$1:$W$193,MATCH(ET$1,$B$1:$B$193,0),MATCH(1,($B$1:$W$1=$AB13)*($B$2:$W$2=$AC13),0))</f>
        <v>0</v>
      </c>
      <c r="EU13" t="b" cm="1">
        <f t="array" ref="EU13">INDEX($B$1:$W$193,MATCH(EU$1,$B$1:$B$193,0),MATCH(1,($B$1:$W$1=$AB13)*($B$2:$W$2=$AC13),0))</f>
        <v>0</v>
      </c>
      <c r="EV13" t="b" cm="1">
        <f t="array" ref="EV13">INDEX($B$1:$W$193,MATCH(EV$1,$B$1:$B$193,0),MATCH(1,($B$1:$W$1=$AB13)*($B$2:$W$2=$AC13),0))</f>
        <v>0</v>
      </c>
      <c r="EW13" t="b" cm="1">
        <f t="array" ref="EW13">INDEX($B$1:$W$193,MATCH(EW$1,$B$1:$B$193,0),MATCH(1,($B$1:$W$1=$AB13)*($B$2:$W$2=$AC13),0))</f>
        <v>0</v>
      </c>
      <c r="EX13" t="b" cm="1">
        <f t="array" ref="EX13">INDEX($B$1:$W$193,MATCH(EX$1,$B$1:$B$193,0),MATCH(1,($B$1:$W$1=$AB13)*($B$2:$W$2=$AC13),0))</f>
        <v>0</v>
      </c>
      <c r="EY13" t="b" cm="1">
        <f t="array" ref="EY13">INDEX($B$1:$W$193,MATCH(EY$1,$B$1:$B$193,0),MATCH(1,($B$1:$W$1=$AB13)*($B$2:$W$2=$AC13),0))</f>
        <v>0</v>
      </c>
      <c r="EZ13" t="b" cm="1">
        <f t="array" ref="EZ13">INDEX($B$1:$W$193,MATCH(EZ$1,$B$1:$B$193,0),MATCH(1,($B$1:$W$1=$AB13)*($B$2:$W$2=$AC13),0))</f>
        <v>0</v>
      </c>
      <c r="FA13" t="b" cm="1">
        <f t="array" ref="FA13">INDEX($B$1:$W$193,MATCH(FA$1,$B$1:$B$193,0),MATCH(1,($B$1:$W$1=$AB13)*($B$2:$W$2=$AC13),0))</f>
        <v>0</v>
      </c>
      <c r="FB13" t="b" cm="1">
        <f t="array" ref="FB13">INDEX($B$1:$W$193,MATCH(FB$1,$B$1:$B$193,0),MATCH(1,($B$1:$W$1=$AB13)*($B$2:$W$2=$AC13),0))</f>
        <v>0</v>
      </c>
      <c r="FC13" t="b" cm="1">
        <f t="array" ref="FC13">INDEX($B$1:$W$193,MATCH(FC$1,$B$1:$B$193,0),MATCH(1,($B$1:$W$1=$AB13)*($B$2:$W$2=$AC13),0))</f>
        <v>0</v>
      </c>
      <c r="FD13" t="b" cm="1">
        <f t="array" ref="FD13">INDEX($B$1:$W$193,MATCH(FD$1,$B$1:$B$193,0),MATCH(1,($B$1:$W$1=$AB13)*($B$2:$W$2=$AC13),0))</f>
        <v>0</v>
      </c>
      <c r="FE13" t="b" cm="1">
        <f t="array" ref="FE13">INDEX($B$1:$W$193,MATCH(FE$1,$B$1:$B$193,0),MATCH(1,($B$1:$W$1=$AB13)*($B$2:$W$2=$AC13),0))</f>
        <v>0</v>
      </c>
      <c r="FF13" t="b" cm="1">
        <f t="array" ref="FF13">INDEX($B$1:$W$193,MATCH(FF$1,$B$1:$B$193,0),MATCH(1,($B$1:$W$1=$AB13)*($B$2:$W$2=$AC13),0))</f>
        <v>0</v>
      </c>
      <c r="FG13" t="b" cm="1">
        <f t="array" ref="FG13">INDEX($B$1:$W$193,MATCH(FG$1,$B$1:$B$193,0),MATCH(1,($B$1:$W$1=$AB13)*($B$2:$W$2=$AC13),0))</f>
        <v>0</v>
      </c>
      <c r="FH13" t="b" cm="1">
        <f t="array" ref="FH13">INDEX($B$1:$W$193,MATCH(FH$1,$B$1:$B$193,0),MATCH(1,($B$1:$W$1=$AB13)*($B$2:$W$2=$AC13),0))</f>
        <v>0</v>
      </c>
      <c r="FI13" t="b" cm="1">
        <f t="array" ref="FI13">INDEX($B$1:$W$193,MATCH(FI$1,$B$1:$B$193,0),MATCH(1,($B$1:$W$1=$AB13)*($B$2:$W$2=$AC13),0))</f>
        <v>0</v>
      </c>
      <c r="FJ13" t="b" cm="1">
        <f t="array" ref="FJ13">INDEX($B$1:$W$193,MATCH(FJ$1,$B$1:$B$193,0),MATCH(1,($B$1:$W$1=$AB13)*($B$2:$W$2=$AC13),0))</f>
        <v>0</v>
      </c>
      <c r="FK13" t="b" cm="1">
        <f t="array" ref="FK13">INDEX($B$1:$W$193,MATCH(FK$1,$B$1:$B$193,0),MATCH(1,($B$1:$W$1=$AB13)*($B$2:$W$2=$AC13),0))</f>
        <v>0</v>
      </c>
      <c r="FL13" t="b" cm="1">
        <f t="array" ref="FL13">INDEX($B$1:$W$193,MATCH(FL$1,$B$1:$B$193,0),MATCH(1,($B$1:$W$1=$AB13)*($B$2:$W$2=$AC13),0))</f>
        <v>0</v>
      </c>
      <c r="FM13" t="b" cm="1">
        <f t="array" ref="FM13">INDEX($B$1:$W$193,MATCH(FM$1,$B$1:$B$193,0),MATCH(1,($B$1:$W$1=$AB13)*($B$2:$W$2=$AC13),0))</f>
        <v>0</v>
      </c>
      <c r="FN13" t="b" cm="1">
        <f t="array" ref="FN13">INDEX($B$1:$W$193,MATCH(FN$1,$B$1:$B$193,0),MATCH(1,($B$1:$W$1=$AB13)*($B$2:$W$2=$AC13),0))</f>
        <v>0</v>
      </c>
      <c r="FO13" t="b" cm="1">
        <f t="array" ref="FO13">INDEX($B$1:$W$193,MATCH(FO$1,$B$1:$B$193,0),MATCH(1,($B$1:$W$1=$AB13)*($B$2:$W$2=$AC13),0))</f>
        <v>0</v>
      </c>
      <c r="FP13" t="b" cm="1">
        <f t="array" ref="FP13">INDEX($B$1:$W$193,MATCH(FP$1,$B$1:$B$193,0),MATCH(1,($B$1:$W$1=$AB13)*($B$2:$W$2=$AC13),0))</f>
        <v>0</v>
      </c>
      <c r="FQ13" t="b" cm="1">
        <f t="array" ref="FQ13">INDEX($B$1:$W$193,MATCH(FQ$1,$B$1:$B$193,0),MATCH(1,($B$1:$W$1=$AB13)*($B$2:$W$2=$AC13),0))</f>
        <v>0</v>
      </c>
      <c r="FR13" t="b" cm="1">
        <f t="array" ref="FR13">INDEX($B$1:$W$193,MATCH(FR$1,$B$1:$B$193,0),MATCH(1,($B$1:$W$1=$AB13)*($B$2:$W$2=$AC13),0))</f>
        <v>0</v>
      </c>
      <c r="FS13" t="b" cm="1">
        <f t="array" ref="FS13">INDEX($B$1:$W$193,MATCH(FS$1,$B$1:$B$193,0),MATCH(1,($B$1:$W$1=$AB13)*($B$2:$W$2=$AC13),0))</f>
        <v>0</v>
      </c>
      <c r="FT13" t="b" cm="1">
        <f t="array" ref="FT13">INDEX($B$1:$W$193,MATCH(FT$1,$B$1:$B$193,0),MATCH(1,($B$1:$W$1=$AB13)*($B$2:$W$2=$AC13),0))</f>
        <v>0</v>
      </c>
      <c r="FU13" t="b" cm="1">
        <f t="array" ref="FU13">INDEX($B$1:$W$193,MATCH(FU$1,$B$1:$B$193,0),MATCH(1,($B$1:$W$1=$AB13)*($B$2:$W$2=$AC13),0))</f>
        <v>0</v>
      </c>
      <c r="FV13" t="b" cm="1">
        <f t="array" ref="FV13">INDEX($B$1:$W$193,MATCH(FV$1,$B$1:$B$193,0),MATCH(1,($B$1:$W$1=$AB13)*($B$2:$W$2=$AC13),0))</f>
        <v>0</v>
      </c>
      <c r="FW13" t="b" cm="1">
        <f t="array" ref="FW13">INDEX($B$1:$W$193,MATCH(FW$1,$B$1:$B$193,0),MATCH(1,($B$1:$W$1=$AB13)*($B$2:$W$2=$AC13),0))</f>
        <v>0</v>
      </c>
      <c r="FX13" t="b" cm="1">
        <f t="array" ref="FX13">INDEX($B$1:$W$193,MATCH(FX$1,$B$1:$B$193,0),MATCH(1,($B$1:$W$1=$AB13)*($B$2:$W$2=$AC13),0))</f>
        <v>0</v>
      </c>
      <c r="FY13" t="b" cm="1">
        <f t="array" ref="FY13">INDEX($B$1:$W$193,MATCH(FY$1,$B$1:$B$193,0),MATCH(1,($B$1:$W$1=$AB13)*($B$2:$W$2=$AC13),0))</f>
        <v>0</v>
      </c>
      <c r="FZ13" t="b" cm="1">
        <f t="array" ref="FZ13">INDEX($B$1:$W$193,MATCH(FZ$1,$B$1:$B$193,0),MATCH(1,($B$1:$W$1=$AB13)*($B$2:$W$2=$AC13),0))</f>
        <v>0</v>
      </c>
      <c r="GA13" t="b" cm="1">
        <f t="array" ref="GA13">INDEX($B$1:$W$193,MATCH(GA$1,$B$1:$B$193,0),MATCH(1,($B$1:$W$1=$AB13)*($B$2:$W$2=$AC13),0))</f>
        <v>0</v>
      </c>
      <c r="GB13" t="b" cm="1">
        <f t="array" ref="GB13">INDEX($B$1:$W$193,MATCH(GB$1,$B$1:$B$193,0),MATCH(1,($B$1:$W$1=$AB13)*($B$2:$W$2=$AC13),0))</f>
        <v>0</v>
      </c>
      <c r="GC13" t="b" cm="1">
        <f t="array" ref="GC13">INDEX($B$1:$W$193,MATCH(GC$1,$B$1:$B$193,0),MATCH(1,($B$1:$W$1=$AB13)*($B$2:$W$2=$AC13),0))</f>
        <v>0</v>
      </c>
      <c r="GD13" t="b" cm="1">
        <f t="array" ref="GD13">INDEX($B$1:$W$193,MATCH(GD$1,$B$1:$B$193,0),MATCH(1,($B$1:$W$1=$AB13)*($B$2:$W$2=$AC13),0))</f>
        <v>0</v>
      </c>
      <c r="GE13" t="b" cm="1">
        <f t="array" ref="GE13">INDEX($B$1:$W$193,MATCH(GE$1,$B$1:$B$193,0),MATCH(1,($B$1:$W$1=$AB13)*($B$2:$W$2=$AC13),0))</f>
        <v>0</v>
      </c>
      <c r="GF13" t="b" cm="1">
        <f t="array" ref="GF13">INDEX($B$1:$W$193,MATCH(GF$1,$B$1:$B$193,0),MATCH(1,($B$1:$W$1=$AB13)*($B$2:$W$2=$AC13),0))</f>
        <v>0</v>
      </c>
      <c r="GG13" t="b" cm="1">
        <f t="array" ref="GG13">INDEX($B$1:$W$193,MATCH(GG$1,$B$1:$B$193,0),MATCH(1,($B$1:$W$1=$AB13)*($B$2:$W$2=$AC13),0))</f>
        <v>0</v>
      </c>
      <c r="GH13" t="b" cm="1">
        <f t="array" ref="GH13">INDEX($B$1:$W$193,MATCH(GH$1,$B$1:$B$193,0),MATCH(1,($B$1:$W$1=$AB13)*($B$2:$W$2=$AC13),0))</f>
        <v>0</v>
      </c>
      <c r="GI13" t="b" cm="1">
        <f t="array" ref="GI13">INDEX($B$1:$W$193,MATCH(GI$1,$B$1:$B$193,0),MATCH(1,($B$1:$W$1=$AB13)*($B$2:$W$2=$AC13),0))</f>
        <v>0</v>
      </c>
      <c r="GJ13" t="b" cm="1">
        <f t="array" ref="GJ13">INDEX($B$1:$W$193,MATCH(GJ$1,$B$1:$B$193,0),MATCH(1,($B$1:$W$1=$AB13)*($B$2:$W$2=$AC13),0))</f>
        <v>0</v>
      </c>
      <c r="GK13" t="b" cm="1">
        <f t="array" ref="GK13">INDEX($B$1:$W$193,MATCH(GK$1,$B$1:$B$193,0),MATCH(1,($B$1:$W$1=$AB13)*($B$2:$W$2=$AC13),0))</f>
        <v>0</v>
      </c>
      <c r="GL13" t="b" cm="1">
        <f t="array" ref="GL13">INDEX($B$1:$W$193,MATCH(GL$1,$B$1:$B$193,0),MATCH(1,($B$1:$W$1=$AB13)*($B$2:$W$2=$AC13),0))</f>
        <v>0</v>
      </c>
      <c r="GM13" t="b" cm="1">
        <f t="array" ref="GM13">INDEX($B$1:$W$193,MATCH(GM$1,$B$1:$B$193,0),MATCH(1,($B$1:$W$1=$AB13)*($B$2:$W$2=$AC13),0))</f>
        <v>0</v>
      </c>
      <c r="GN13" t="b" cm="1">
        <f t="array" ref="GN13">INDEX($B$1:$W$193,MATCH(GN$1,$B$1:$B$193,0),MATCH(1,($B$1:$W$1=$AB13)*($B$2:$W$2=$AC13),0))</f>
        <v>0</v>
      </c>
      <c r="GO13" t="b" cm="1">
        <f t="array" ref="GO13">INDEX($B$1:$W$193,MATCH(GO$1,$B$1:$B$193,0),MATCH(1,($B$1:$W$1=$AB13)*($B$2:$W$2=$AC13),0))</f>
        <v>0</v>
      </c>
      <c r="GP13" t="b" cm="1">
        <f t="array" ref="GP13">INDEX($B$1:$W$193,MATCH(GP$1,$B$1:$B$193,0),MATCH(1,($B$1:$W$1=$AB13)*($B$2:$W$2=$AC13),0))</f>
        <v>0</v>
      </c>
      <c r="GQ13" t="b" cm="1">
        <f t="array" ref="GQ13">INDEX($B$1:$W$193,MATCH(GQ$1,$B$1:$B$193,0),MATCH(1,($B$1:$W$1=$AB13)*($B$2:$W$2=$AC13),0))</f>
        <v>0</v>
      </c>
      <c r="GR13" t="b" cm="1">
        <f t="array" ref="GR13">INDEX($B$1:$W$193,MATCH(GR$1,$B$1:$B$193,0),MATCH(1,($B$1:$W$1=$AB13)*($B$2:$W$2=$AC13),0))</f>
        <v>0</v>
      </c>
      <c r="GS13" t="b" cm="1">
        <f t="array" ref="GS13">INDEX($B$1:$W$193,MATCH(GS$1,$B$1:$B$193,0),MATCH(1,($B$1:$W$1=$AB13)*($B$2:$W$2=$AC13),0))</f>
        <v>0</v>
      </c>
      <c r="GT13" t="b" cm="1">
        <f t="array" ref="GT13">INDEX($B$1:$W$193,MATCH(GT$1,$B$1:$B$193,0),MATCH(1,($B$1:$W$1=$AB13)*($B$2:$W$2=$AC13),0))</f>
        <v>0</v>
      </c>
      <c r="GU13" t="b" cm="1">
        <f t="array" ref="GU13">INDEX($B$1:$W$193,MATCH(GU$1,$B$1:$B$193,0),MATCH(1,($B$1:$W$1=$AB13)*($B$2:$W$2=$AC13),0))</f>
        <v>0</v>
      </c>
      <c r="GV13" t="b" cm="1">
        <f t="array" ref="GV13">INDEX($B$1:$W$193,MATCH(GV$1,$B$1:$B$193,0),MATCH(1,($B$1:$W$1=$AB13)*($B$2:$W$2=$AC13),0))</f>
        <v>0</v>
      </c>
      <c r="GW13" t="b" cm="1">
        <f t="array" ref="GW13">INDEX($B$1:$W$193,MATCH(GW$1,$B$1:$B$193,0),MATCH(1,($B$1:$W$1=$AB13)*($B$2:$W$2=$AC13),0))</f>
        <v>0</v>
      </c>
      <c r="GX13" t="b" cm="1">
        <f t="array" ref="GX13">INDEX($B$1:$W$193,MATCH(GX$1,$B$1:$B$193,0),MATCH(1,($B$1:$W$1=$AB13)*($B$2:$W$2=$AC13),0))</f>
        <v>0</v>
      </c>
      <c r="GY13" t="b" cm="1">
        <f t="array" ref="GY13">INDEX($B$1:$W$193,MATCH(GY$1,$B$1:$B$193,0),MATCH(1,($B$1:$W$1=$AB13)*($B$2:$W$2=$AC13),0))</f>
        <v>0</v>
      </c>
      <c r="GZ13" t="b" cm="1">
        <f t="array" ref="GZ13">INDEX($B$1:$W$193,MATCH(GZ$1,$B$1:$B$193,0),MATCH(1,($B$1:$W$1=$AB13)*($B$2:$W$2=$AC13),0))</f>
        <v>0</v>
      </c>
      <c r="HA13" t="b" cm="1">
        <f t="array" ref="HA13">INDEX($B$1:$W$193,MATCH(HA$1,$B$1:$B$193,0),MATCH(1,($B$1:$W$1=$AB13)*($B$2:$W$2=$AC13),0))</f>
        <v>0</v>
      </c>
      <c r="HB13" t="b" cm="1">
        <f t="array" ref="HB13">INDEX($B$1:$W$193,MATCH(HB$1,$B$1:$B$193,0),MATCH(1,($B$1:$W$1=$AB13)*($B$2:$W$2=$AC13),0))</f>
        <v>0</v>
      </c>
      <c r="HC13" t="b" cm="1">
        <f t="array" ref="HC13">INDEX($B$1:$W$193,MATCH(HC$1,$B$1:$B$193,0),MATCH(1,($B$1:$W$1=$AB13)*($B$2:$W$2=$AC13),0))</f>
        <v>0</v>
      </c>
      <c r="HD13" t="b" cm="1">
        <f t="array" ref="HD13">INDEX($B$1:$W$193,MATCH(HD$1,$B$1:$B$193,0),MATCH(1,($B$1:$W$1=$AB13)*($B$2:$W$2=$AC13),0))</f>
        <v>0</v>
      </c>
      <c r="HE13" t="b" cm="1">
        <f t="array" ref="HE13">INDEX($B$1:$W$193,MATCH(HE$1,$B$1:$B$193,0),MATCH(1,($B$1:$W$1=$AB13)*($B$2:$W$2=$AC13),0))</f>
        <v>0</v>
      </c>
      <c r="HF13" t="b" cm="1">
        <f t="array" ref="HF13">INDEX($B$1:$W$193,MATCH(HF$1,$B$1:$B$193,0),MATCH(1,($B$1:$W$1=$AB13)*($B$2:$W$2=$AC13),0))</f>
        <v>0</v>
      </c>
      <c r="HG13" t="b" cm="1">
        <f t="array" ref="HG13">INDEX($B$1:$W$193,MATCH(HG$1,$B$1:$B$193,0),MATCH(1,($B$1:$W$1=$AB13)*($B$2:$W$2=$AC13),0))</f>
        <v>0</v>
      </c>
      <c r="HH13" t="b" cm="1">
        <f t="array" ref="HH13">INDEX($B$1:$W$193,MATCH(HH$1,$B$1:$B$193,0),MATCH(1,($B$1:$W$1=$AB13)*($B$2:$W$2=$AC13),0))</f>
        <v>0</v>
      </c>
      <c r="HI13" t="b" cm="1">
        <f t="array" ref="HI13">INDEX($B$1:$W$193,MATCH(HI$1,$B$1:$B$193,0),MATCH(1,($B$1:$W$1=$AB13)*($B$2:$W$2=$AC13),0))</f>
        <v>0</v>
      </c>
      <c r="HJ13" t="b" cm="1">
        <f t="array" ref="HJ13">INDEX($B$1:$W$193,MATCH(HJ$1,$B$1:$B$193,0),MATCH(1,($B$1:$W$1=$AB13)*($B$2:$W$2=$AC13),0))</f>
        <v>0</v>
      </c>
      <c r="HK13" t="b" cm="1">
        <f t="array" ref="HK13">INDEX($B$1:$W$193,MATCH(HK$1,$B$1:$B$193,0),MATCH(1,($B$1:$W$1=$AB13)*($B$2:$W$2=$AC13),0))</f>
        <v>0</v>
      </c>
      <c r="HL13" t="b" cm="1">
        <f t="array" ref="HL13">INDEX($B$1:$W$193,MATCH(HL$1,$B$1:$B$193,0),MATCH(1,($B$1:$W$1=$AB13)*($B$2:$W$2=$AC13),0))</f>
        <v>0</v>
      </c>
      <c r="HM13" t="b" cm="1">
        <f t="array" ref="HM13">INDEX($B$1:$W$193,MATCH(HM$1,$B$1:$B$193,0),MATCH(1,($B$1:$W$1=$AB13)*($B$2:$W$2=$AC13),0))</f>
        <v>0</v>
      </c>
      <c r="HN13" t="b" cm="1">
        <f t="array" ref="HN13">INDEX($B$1:$W$193,MATCH(HN$1,$B$1:$B$193,0),MATCH(1,($B$1:$W$1=$AB13)*($B$2:$W$2=$AC13),0))</f>
        <v>0</v>
      </c>
      <c r="HO13" t="b" cm="1">
        <f t="array" ref="HO13">INDEX($B$1:$W$193,MATCH(HO$1,$B$1:$B$193,0),MATCH(1,($B$1:$W$1=$AB13)*($B$2:$W$2=$AC13),0))</f>
        <v>0</v>
      </c>
      <c r="HP13" t="b" cm="1">
        <f t="array" ref="HP13">INDEX($B$1:$W$193,MATCH(HP$1,$B$1:$B$193,0),MATCH(1,($B$1:$W$1=$AB13)*($B$2:$W$2=$AC13),0))</f>
        <v>0</v>
      </c>
      <c r="HQ13" t="b" cm="1">
        <f t="array" ref="HQ13">INDEX($B$1:$W$193,MATCH(HQ$1,$B$1:$B$193,0),MATCH(1,($B$1:$W$1=$AB13)*($B$2:$W$2=$AC13),0))</f>
        <v>0</v>
      </c>
      <c r="HR13" t="b" cm="1">
        <f t="array" ref="HR13">INDEX($B$1:$W$193,MATCH(HR$1,$B$1:$B$193,0),MATCH(1,($B$1:$W$1=$AB13)*($B$2:$W$2=$AC13),0))</f>
        <v>0</v>
      </c>
      <c r="HS13" t="b" cm="1">
        <f t="array" ref="HS13">INDEX($B$1:$W$193,MATCH(HS$1,$B$1:$B$193,0),MATCH(1,($B$1:$W$1=$AB13)*($B$2:$W$2=$AC13),0))</f>
        <v>0</v>
      </c>
      <c r="HT13" t="b" cm="1">
        <f t="array" ref="HT13">INDEX($B$1:$W$193,MATCH(HT$1,$B$1:$B$193,0),MATCH(1,($B$1:$W$1=$AB13)*($B$2:$W$2=$AC13),0))</f>
        <v>0</v>
      </c>
      <c r="HU13" t="b" cm="1">
        <f t="array" ref="HU13">INDEX($B$1:$W$193,MATCH(HU$1,$B$1:$B$193,0),MATCH(1,($B$1:$W$1=$AB13)*($B$2:$W$2=$AC13),0))</f>
        <v>0</v>
      </c>
      <c r="HV13" t="b" cm="1">
        <f t="array" ref="HV13">INDEX($B$1:$W$193,MATCH(HV$1,$B$1:$B$193,0),MATCH(1,($B$1:$W$1=$AB13)*($B$2:$W$2=$AC13),0))</f>
        <v>0</v>
      </c>
      <c r="HW13" t="b" cm="1">
        <f t="array" ref="HW13">INDEX($B$1:$W$193,MATCH(HW$1,$B$1:$B$193,0),MATCH(1,($B$1:$W$1=$AB13)*($B$2:$W$2=$AC13),0))</f>
        <v>0</v>
      </c>
      <c r="HX13" t="b" cm="1">
        <f t="array" ref="HX13">INDEX($B$1:$W$193,MATCH(HX$1,$B$1:$B$193,0),MATCH(1,($B$1:$W$1=$AB13)*($B$2:$W$2=$AC13),0))</f>
        <v>0</v>
      </c>
      <c r="HY13" t="b" cm="1">
        <f t="array" ref="HY13">INDEX($B$1:$W$193,MATCH(HY$1,$B$1:$B$193,0),MATCH(1,($B$1:$W$1=$AB13)*($B$2:$W$2=$AC13),0))</f>
        <v>0</v>
      </c>
      <c r="HZ13" t="b" cm="1">
        <f t="array" ref="HZ13">INDEX($B$1:$W$193,MATCH(HZ$1,$B$1:$B$193,0),MATCH(1,($B$1:$W$1=$AB13)*($B$2:$W$2=$AC13),0))</f>
        <v>0</v>
      </c>
      <c r="IA13" t="b" cm="1">
        <f t="array" ref="IA13">INDEX($B$1:$W$193,MATCH(IA$1,$B$1:$B$193,0),MATCH(1,($B$1:$W$1=$AB13)*($B$2:$W$2=$AC13),0))</f>
        <v>0</v>
      </c>
      <c r="IB13" t="b" cm="1">
        <f t="array" ref="IB13">INDEX($B$1:$W$193,MATCH(IB$1,$B$1:$B$193,0),MATCH(1,($B$1:$W$1=$AB13)*($B$2:$W$2=$AC13),0))</f>
        <v>0</v>
      </c>
      <c r="IC13" t="b" cm="1">
        <f t="array" ref="IC13">INDEX($B$1:$W$193,MATCH(IC$1,$B$1:$B$193,0),MATCH(1,($B$1:$W$1=$AB13)*($B$2:$W$2=$AC13),0))</f>
        <v>0</v>
      </c>
      <c r="ID13" t="b" cm="1">
        <f t="array" ref="ID13">INDEX($B$1:$W$193,MATCH(ID$1,$B$1:$B$193,0),MATCH(1,($B$1:$W$1=$AB13)*($B$2:$W$2=$AC13),0))</f>
        <v>0</v>
      </c>
      <c r="IE13" t="b" cm="1">
        <f t="array" ref="IE13">INDEX($B$1:$W$193,MATCH(IE$1,$B$1:$B$193,0),MATCH(1,($B$1:$W$1=$AB13)*($B$2:$W$2=$AC13),0))</f>
        <v>0</v>
      </c>
      <c r="IF13" t="b" cm="1">
        <f t="array" ref="IF13">INDEX($B$1:$W$193,MATCH(IF$1,$B$1:$B$193,0),MATCH(1,($B$1:$W$1=$AB13)*($B$2:$W$2=$AC13),0))</f>
        <v>0</v>
      </c>
      <c r="IG13" t="b" cm="1">
        <f t="array" ref="IG13">INDEX($B$1:$W$193,MATCH(IG$1,$B$1:$B$193,0),MATCH(1,($B$1:$W$1=$AB13)*($B$2:$W$2=$AC13),0))</f>
        <v>0</v>
      </c>
      <c r="IH13" t="b" cm="1">
        <f t="array" ref="IH13">INDEX($B$1:$W$193,MATCH(IH$1,$B$1:$B$193,0),MATCH(1,($B$1:$W$1=$AB13)*($B$2:$W$2=$AC13),0))</f>
        <v>0</v>
      </c>
      <c r="II13" t="b" cm="1">
        <f t="array" ref="II13">INDEX($B$1:$W$193,MATCH(II$1,$B$1:$B$193,0),MATCH(1,($B$1:$W$1=$AB13)*($B$2:$W$2=$AC13),0))</f>
        <v>0</v>
      </c>
      <c r="IJ13" t="b" cm="1">
        <f t="array" ref="IJ13">INDEX($B$1:$W$193,MATCH(IJ$1,$B$1:$B$193,0),MATCH(1,($B$1:$W$1=$AB13)*($B$2:$W$2=$AC13),0))</f>
        <v>0</v>
      </c>
      <c r="IK13" t="b" cm="1">
        <f t="array" ref="IK13">INDEX($B$1:$W$193,MATCH(IK$1,$B$1:$B$193,0),MATCH(1,($B$1:$W$1=$AB13)*($B$2:$W$2=$AC13),0))</f>
        <v>0</v>
      </c>
      <c r="IL13" t="b" cm="1">
        <f t="array" ref="IL13">INDEX($B$1:$W$193,MATCH(IL$1,$B$1:$B$193,0),MATCH(1,($B$1:$W$1=$AB13)*($B$2:$W$2=$AC13),0))</f>
        <v>0</v>
      </c>
      <c r="IM13" t="b" cm="1">
        <f t="array" ref="IM13">INDEX($B$1:$W$193,MATCH(IM$1,$B$1:$B$193,0),MATCH(1,($B$1:$W$1=$AB13)*($B$2:$W$2=$AC13),0))</f>
        <v>0</v>
      </c>
      <c r="IN13" t="b" cm="1">
        <f t="array" ref="IN13">INDEX($B$1:$W$193,MATCH(IN$1,$B$1:$B$193,0),MATCH(1,($B$1:$W$1=$AB13)*($B$2:$W$2=$AC13),0))</f>
        <v>0</v>
      </c>
      <c r="IO13" t="b" cm="1">
        <f t="array" ref="IO13">INDEX($B$1:$W$193,MATCH(IO$1,$B$1:$B$193,0),MATCH(1,($B$1:$W$1=$AB13)*($B$2:$W$2=$AC13),0))</f>
        <v>0</v>
      </c>
      <c r="IP13" t="b" cm="1">
        <f t="array" ref="IP13">INDEX($B$1:$W$193,MATCH(IP$1,$B$1:$B$193,0),MATCH(1,($B$1:$W$1=$AB13)*($B$2:$W$2=$AC13),0))</f>
        <v>0</v>
      </c>
      <c r="IQ13" t="b" cm="1">
        <f t="array" ref="IQ13">INDEX($B$1:$W$193,MATCH(IQ$1,$B$1:$B$193,0),MATCH(1,($B$1:$W$1=$AB13)*($B$2:$W$2=$AC13),0))</f>
        <v>0</v>
      </c>
      <c r="IR13" t="b" cm="1">
        <f t="array" ref="IR13">INDEX($B$1:$W$193,MATCH(IR$1,$B$1:$B$193,0),MATCH(1,($B$1:$W$1=$AB13)*($B$2:$W$2=$AC13),0))</f>
        <v>0</v>
      </c>
      <c r="IS13" t="b" cm="1">
        <f t="array" ref="IS13">INDEX($B$1:$W$193,MATCH(IS$1,$B$1:$B$193,0),MATCH(1,($B$1:$W$1=$AB13)*($B$2:$W$2=$AC13),0))</f>
        <v>0</v>
      </c>
      <c r="IT13" t="b" cm="1">
        <f t="array" ref="IT13">INDEX($B$1:$W$193,MATCH(IT$1,$B$1:$B$193,0),MATCH(1,($B$1:$W$1=$AB13)*($B$2:$W$2=$AC13),0))</f>
        <v>0</v>
      </c>
      <c r="IU13" t="b" cm="1">
        <f t="array" ref="IU13">INDEX($B$1:$W$193,MATCH(IU$1,$B$1:$B$193,0),MATCH(1,($B$1:$W$1=$AB13)*($B$2:$W$2=$AC13),0))</f>
        <v>0</v>
      </c>
      <c r="IV13" t="b" cm="1">
        <f t="array" ref="IV13">INDEX($B$1:$W$193,MATCH(IV$1,$B$1:$B$193,0),MATCH(1,($B$1:$W$1=$AB13)*($B$2:$W$2=$AC13),0))</f>
        <v>0</v>
      </c>
      <c r="IW13" t="b" cm="1">
        <f t="array" ref="IW13">INDEX($B$1:$W$193,MATCH(IW$1,$B$1:$B$193,0),MATCH(1,($B$1:$W$1=$AB13)*($B$2:$W$2=$AC13),0))</f>
        <v>0</v>
      </c>
      <c r="IX13" t="b" cm="1">
        <f t="array" ref="IX13">INDEX($B$1:$W$193,MATCH(IX$1,$B$1:$B$193,0),MATCH(1,($B$1:$W$1=$AB13)*($B$2:$W$2=$AC13),0))</f>
        <v>0</v>
      </c>
      <c r="IY13" t="b" cm="1">
        <f t="array" ref="IY13">INDEX($B$1:$W$193,MATCH(IY$1,$B$1:$B$193,0),MATCH(1,($B$1:$W$1=$AB13)*($B$2:$W$2=$AC13),0))</f>
        <v>0</v>
      </c>
      <c r="IZ13" t="b" cm="1">
        <f t="array" ref="IZ13">INDEX($B$1:$W$193,MATCH(IZ$1,$B$1:$B$193,0),MATCH(1,($B$1:$W$1=$AB13)*($B$2:$W$2=$AC13),0))</f>
        <v>0</v>
      </c>
      <c r="JA13" t="b" cm="1">
        <f t="array" ref="JA13">INDEX($B$1:$W$193,MATCH(JA$1,$B$1:$B$193,0),MATCH(1,($B$1:$W$1=$AB13)*($B$2:$W$2=$AC13),0))</f>
        <v>0</v>
      </c>
      <c r="JB13" t="b" cm="1">
        <f t="array" ref="JB13">INDEX($B$1:$W$193,MATCH(JB$1,$B$1:$B$193,0),MATCH(1,($B$1:$W$1=$AB13)*($B$2:$W$2=$AC13),0))</f>
        <v>0</v>
      </c>
      <c r="JC13" t="b" cm="1">
        <f t="array" ref="JC13">INDEX($B$1:$W$193,MATCH(JC$1,$B$1:$B$193,0),MATCH(1,($B$1:$W$1=$AB13)*($B$2:$W$2=$AC13),0))</f>
        <v>0</v>
      </c>
      <c r="JD13" t="b" cm="1">
        <f t="array" ref="JD13">INDEX($B$1:$W$193,MATCH(JD$1,$B$1:$B$193,0),MATCH(1,($B$1:$W$1=$AB13)*($B$2:$W$2=$AC13),0))</f>
        <v>0</v>
      </c>
      <c r="JE13" t="b" cm="1">
        <f t="array" ref="JE13">INDEX($B$1:$W$193,MATCH(JE$1,$B$1:$B$193,0),MATCH(1,($B$1:$W$1=$AB13)*($B$2:$W$2=$AC13),0))</f>
        <v>0</v>
      </c>
      <c r="JF13" t="b" cm="1">
        <f t="array" ref="JF13">INDEX($B$1:$W$193,MATCH(JF$1,$B$1:$B$193,0),MATCH(1,($B$1:$W$1=$AB13)*($B$2:$W$2=$AC13),0))</f>
        <v>0</v>
      </c>
      <c r="JG13" t="b" cm="1">
        <f t="array" ref="JG13">INDEX($B$1:$W$193,MATCH(JG$1,$B$1:$B$193,0),MATCH(1,($B$1:$W$1=$AB13)*($B$2:$W$2=$AC13),0))</f>
        <v>0</v>
      </c>
      <c r="JH13" t="b" cm="1">
        <f t="array" ref="JH13">INDEX($B$1:$W$193,MATCH(JH$1,$B$1:$B$193,0),MATCH(1,($B$1:$W$1=$AB13)*($B$2:$W$2=$AC13),0))</f>
        <v>0</v>
      </c>
    </row>
    <row r="14" spans="1:268" x14ac:dyDescent="0.25">
      <c r="A14" t="s">
        <v>165</v>
      </c>
      <c r="B14" s="51" t="s">
        <v>172</v>
      </c>
      <c r="C14">
        <v>2</v>
      </c>
      <c r="D14">
        <v>3</v>
      </c>
      <c r="E14" t="b">
        <f t="shared" si="1"/>
        <v>1</v>
      </c>
      <c r="F14" t="b">
        <f t="shared" si="0"/>
        <v>1</v>
      </c>
      <c r="G14" t="b">
        <f t="shared" si="0"/>
        <v>1</v>
      </c>
      <c r="H14" t="b">
        <f t="shared" si="0"/>
        <v>0</v>
      </c>
      <c r="I14" t="b">
        <f t="shared" si="0"/>
        <v>0</v>
      </c>
      <c r="J14" t="b">
        <f t="shared" si="0"/>
        <v>0</v>
      </c>
      <c r="K14" t="b">
        <f t="shared" si="0"/>
        <v>1</v>
      </c>
      <c r="L14" t="b">
        <f t="shared" si="0"/>
        <v>1</v>
      </c>
      <c r="M14" t="b">
        <f t="shared" si="0"/>
        <v>1</v>
      </c>
      <c r="N14" t="b">
        <f t="shared" si="0"/>
        <v>0</v>
      </c>
      <c r="O14" t="b">
        <f t="shared" si="0"/>
        <v>0</v>
      </c>
      <c r="P14" t="b">
        <f t="shared" si="0"/>
        <v>0</v>
      </c>
      <c r="Q14" t="b">
        <v>1</v>
      </c>
      <c r="R14" t="b" cm="1">
        <f t="array" ref="R14">_xlfn.IFS(C14=1,FALSE,OR(C14=2,C14&gt;2),TRUE)</f>
        <v>1</v>
      </c>
      <c r="S14" t="b" cm="1">
        <f t="array" ref="S14">_xlfn.IFS(OR(C14=1,C14=2),FALSE,OR(C14=3,C14&gt;3),TRUE)</f>
        <v>0</v>
      </c>
      <c r="T14" t="str">
        <f t="shared" si="2"/>
        <v>TRUE</v>
      </c>
      <c r="U14" t="str">
        <f t="shared" si="3"/>
        <v>FALSE</v>
      </c>
      <c r="V14" t="str">
        <f t="shared" si="4"/>
        <v>FALSE</v>
      </c>
      <c r="W14" t="b" cm="1">
        <f t="array" ref="W14">_xlfn.IFS(H14=1,FALSE,OR(H14=2,H14&gt;2),TRUE)</f>
        <v>1</v>
      </c>
      <c r="X14" t="b" cm="1">
        <f t="array" ref="X14">_xlfn.IFS(H14=1,FALSE,OR(H14=2,H14&gt;2),TRUE)</f>
        <v>1</v>
      </c>
      <c r="Y14" t="b" cm="1">
        <f t="array" ref="Y14">_xlfn.IFS(H14=1,FALSE,OR(H14=2,H14&gt;2),TRUE)</f>
        <v>1</v>
      </c>
      <c r="AB14" t="s">
        <v>2</v>
      </c>
      <c r="AC14" t="s">
        <v>89</v>
      </c>
      <c r="AD14" t="b" cm="1">
        <f t="array" ref="AD14">INDEX($B$1:$W$193,MATCH(AD$1,$B$1:$B$193,0),MATCH(1,($B$1:$W$1=$AB14)*($B$2:$W$2=$AC14),0))</f>
        <v>1</v>
      </c>
      <c r="AE14" t="b" cm="1">
        <f t="array" ref="AE14">INDEX($B$1:$W$193,MATCH(AE$1,$B$1:$B$193,0),MATCH(1,($B$1:$W$1=$AB14)*($B$2:$W$2=$AC14),0))</f>
        <v>1</v>
      </c>
      <c r="AF14" t="b" cm="1">
        <f t="array" ref="AF14">INDEX($B$1:$W$193,MATCH(AF$1,$B$1:$B$193,0),MATCH(1,($B$1:$W$1=$AB14)*($B$2:$W$2=$AC14),0))</f>
        <v>1</v>
      </c>
      <c r="AG14" t="b" cm="1">
        <f t="array" ref="AG14">INDEX($B$1:$W$193,MATCH(AG$1,$B$1:$B$193,0),MATCH(1,($B$1:$W$1=$AB14)*($B$2:$W$2=$AC14),0))</f>
        <v>1</v>
      </c>
      <c r="AH14" t="b" cm="1">
        <f t="array" ref="AH14">INDEX($B$1:$W$193,MATCH(AH$1,$B$1:$B$193,0),MATCH(1,($B$1:$W$1=$AB14)*($B$2:$W$2=$AC14),0))</f>
        <v>1</v>
      </c>
      <c r="AI14" t="b" cm="1">
        <f t="array" ref="AI14">INDEX($B$1:$W$193,MATCH(AI$1,$B$1:$B$193,0),MATCH(1,($B$1:$W$1=$AB14)*($B$2:$W$2=$AC14),0))</f>
        <v>1</v>
      </c>
      <c r="AJ14" t="b" cm="1">
        <f t="array" ref="AJ14">INDEX($B$1:$W$193,MATCH(AJ$1,$B$1:$B$193,0),MATCH(1,($B$1:$W$1=$AB14)*($B$2:$W$2=$AC14),0))</f>
        <v>1</v>
      </c>
      <c r="AK14" t="b" cm="1">
        <f t="array" ref="AK14">INDEX($B$1:$W$193,MATCH(AK$1,$B$1:$B$193,0),MATCH(1,($B$1:$W$1=$AB14)*($B$2:$W$2=$AC14),0))</f>
        <v>1</v>
      </c>
      <c r="AL14" t="b" cm="1">
        <f t="array" ref="AL14">INDEX($B$1:$W$193,MATCH(AL$1,$B$1:$B$193,0),MATCH(1,($B$1:$W$1=$AB14)*($B$2:$W$2=$AC14),0))</f>
        <v>1</v>
      </c>
      <c r="AM14" t="b" cm="1">
        <f t="array" ref="AM14">INDEX($B$1:$W$193,MATCH(AM$1,$B$1:$B$193,0),MATCH(1,($B$1:$W$1=$AB14)*($B$2:$W$2=$AC14),0))</f>
        <v>1</v>
      </c>
      <c r="AN14" t="b" cm="1">
        <f t="array" ref="AN14">INDEX($B$1:$W$193,MATCH(AN$1,$B$1:$B$193,0),MATCH(1,($B$1:$W$1=$AB14)*($B$2:$W$2=$AC14),0))</f>
        <v>1</v>
      </c>
      <c r="AO14" t="b" cm="1">
        <f t="array" ref="AO14">INDEX($B$1:$W$193,MATCH(AO$1,$B$1:$B$193,0),MATCH(1,($B$1:$W$1=$AB14)*($B$2:$W$2=$AC14),0))</f>
        <v>1</v>
      </c>
      <c r="AP14" t="b" cm="1">
        <f t="array" ref="AP14">INDEX($B$1:$W$193,MATCH(AP$1,$B$1:$B$193,0),MATCH(1,($B$1:$W$1=$AB14)*($B$2:$W$2=$AC14),0))</f>
        <v>1</v>
      </c>
      <c r="AQ14" t="b" cm="1">
        <f t="array" ref="AQ14">INDEX($B$1:$W$193,MATCH(AQ$1,$B$1:$B$193,0),MATCH(1,($B$1:$W$1=$AB14)*($B$2:$W$2=$AC14),0))</f>
        <v>1</v>
      </c>
      <c r="AR14" t="b" cm="1">
        <f t="array" ref="AR14">INDEX($B$1:$W$193,MATCH(AR$1,$B$1:$B$193,0),MATCH(1,($B$1:$W$1=$AB14)*($B$2:$W$2=$AC14),0))</f>
        <v>1</v>
      </c>
      <c r="AS14" t="b" cm="1">
        <f t="array" ref="AS14">INDEX($B$1:$W$193,MATCH(AS$1,$B$1:$B$193,0),MATCH(1,($B$1:$W$1=$AB14)*($B$2:$W$2=$AC14),0))</f>
        <v>1</v>
      </c>
      <c r="AT14" t="b" cm="1">
        <f t="array" ref="AT14">INDEX($B$1:$W$193,MATCH(AT$1,$B$1:$B$193,0),MATCH(1,($B$1:$W$1=$AB14)*($B$2:$W$2=$AC14),0))</f>
        <v>1</v>
      </c>
      <c r="AU14" t="b" cm="1">
        <f t="array" ref="AU14">INDEX($B$1:$W$193,MATCH(AU$1,$B$1:$B$193,0),MATCH(1,($B$1:$W$1=$AB14)*($B$2:$W$2=$AC14),0))</f>
        <v>1</v>
      </c>
      <c r="AV14" t="b" cm="1">
        <f t="array" ref="AV14">INDEX($B$1:$W$193,MATCH(AV$1,$B$1:$B$193,0),MATCH(1,($B$1:$W$1=$AB14)*($B$2:$W$2=$AC14),0))</f>
        <v>1</v>
      </c>
      <c r="AW14" t="b" cm="1">
        <f t="array" ref="AW14">INDEX($B$1:$W$193,MATCH(AW$1,$B$1:$B$193,0),MATCH(1,($B$1:$W$1=$AB14)*($B$2:$W$2=$AC14),0))</f>
        <v>1</v>
      </c>
      <c r="AX14" t="b" cm="1">
        <f t="array" ref="AX14">INDEX($B$1:$W$193,MATCH(AX$1,$B$1:$B$193,0),MATCH(1,($B$1:$W$1=$AB14)*($B$2:$W$2=$AC14),0))</f>
        <v>1</v>
      </c>
      <c r="AY14" t="b" cm="1">
        <f t="array" ref="AY14">INDEX($B$1:$W$193,MATCH(AY$1,$B$1:$B$193,0),MATCH(1,($B$1:$W$1=$AB14)*($B$2:$W$2=$AC14),0))</f>
        <v>1</v>
      </c>
      <c r="AZ14" t="b" cm="1">
        <f t="array" ref="AZ14">INDEX($B$1:$W$193,MATCH(AZ$1,$B$1:$B$193,0),MATCH(1,($B$1:$W$1=$AB14)*($B$2:$W$2=$AC14),0))</f>
        <v>1</v>
      </c>
      <c r="BA14" t="b" cm="1">
        <f t="array" ref="BA14">INDEX($B$1:$W$193,MATCH(BA$1,$B$1:$B$193,0),MATCH(1,($B$1:$W$1=$AB14)*($B$2:$W$2=$AC14),0))</f>
        <v>1</v>
      </c>
      <c r="BB14" t="b" cm="1">
        <f t="array" ref="BB14">INDEX($B$1:$W$193,MATCH(BB$1,$B$1:$B$193,0),MATCH(1,($B$1:$W$1=$AB14)*($B$2:$W$2=$AC14),0))</f>
        <v>1</v>
      </c>
      <c r="BC14" t="b" cm="1">
        <f t="array" ref="BC14">INDEX($B$1:$W$193,MATCH(BC$1,$B$1:$B$193,0),MATCH(1,($B$1:$W$1=$AB14)*($B$2:$W$2=$AC14),0))</f>
        <v>1</v>
      </c>
      <c r="BD14" t="b" cm="1">
        <f t="array" ref="BD14">INDEX($B$1:$W$193,MATCH(BD$1,$B$1:$B$193,0),MATCH(1,($B$1:$W$1=$AB14)*($B$2:$W$2=$AC14),0))</f>
        <v>1</v>
      </c>
      <c r="BE14" t="b" cm="1">
        <f t="array" ref="BE14">INDEX($B$1:$W$193,MATCH(BE$1,$B$1:$B$193,0),MATCH(1,($B$1:$W$1=$AB14)*($B$2:$W$2=$AC14),0))</f>
        <v>1</v>
      </c>
      <c r="BF14" t="b" cm="1">
        <f t="array" ref="BF14">INDEX($B$1:$W$193,MATCH(BF$1,$B$1:$B$193,0),MATCH(1,($B$1:$W$1=$AB14)*($B$2:$W$2=$AC14),0))</f>
        <v>1</v>
      </c>
      <c r="BG14" t="b" cm="1">
        <f t="array" ref="BG14">INDEX($B$1:$W$193,MATCH(BG$1,$B$1:$B$193,0),MATCH(1,($B$1:$W$1=$AB14)*($B$2:$W$2=$AC14),0))</f>
        <v>1</v>
      </c>
      <c r="BH14" t="b" cm="1">
        <f t="array" ref="BH14">INDEX($B$1:$W$193,MATCH(BH$1,$B$1:$B$193,0),MATCH(1,($B$1:$W$1=$AB14)*($B$2:$W$2=$AC14),0))</f>
        <v>1</v>
      </c>
      <c r="BI14" t="b" cm="1">
        <f t="array" ref="BI14">INDEX($B$1:$W$193,MATCH(BI$1,$B$1:$B$193,0),MATCH(1,($B$1:$W$1=$AB14)*($B$2:$W$2=$AC14),0))</f>
        <v>1</v>
      </c>
      <c r="BJ14" t="b" cm="1">
        <f t="array" ref="BJ14">INDEX($B$1:$W$193,MATCH(BJ$1,$B$1:$B$193,0),MATCH(1,($B$1:$W$1=$AB14)*($B$2:$W$2=$AC14),0))</f>
        <v>1</v>
      </c>
      <c r="BK14" t="b" cm="1">
        <f t="array" ref="BK14">INDEX($B$1:$W$193,MATCH(BK$1,$B$1:$B$193,0),MATCH(1,($B$1:$W$1=$AB14)*($B$2:$W$2=$AC14),0))</f>
        <v>1</v>
      </c>
      <c r="BL14" t="b" cm="1">
        <f t="array" ref="BL14">INDEX($B$1:$W$193,MATCH(BL$1,$B$1:$B$193,0),MATCH(1,($B$1:$W$1=$AB14)*($B$2:$W$2=$AC14),0))</f>
        <v>1</v>
      </c>
      <c r="BM14" t="b" cm="1">
        <f t="array" ref="BM14">INDEX($B$1:$W$193,MATCH(BM$1,$B$1:$B$193,0),MATCH(1,($B$1:$W$1=$AB14)*($B$2:$W$2=$AC14),0))</f>
        <v>1</v>
      </c>
      <c r="BN14" t="b" cm="1">
        <f t="array" ref="BN14">INDEX($B$1:$W$193,MATCH(BN$1,$B$1:$B$193,0),MATCH(1,($B$1:$W$1=$AB14)*($B$2:$W$2=$AC14),0))</f>
        <v>1</v>
      </c>
      <c r="BO14" t="b" cm="1">
        <f t="array" ref="BO14">INDEX($B$1:$W$193,MATCH(BO$1,$B$1:$B$193,0),MATCH(1,($B$1:$W$1=$AB14)*($B$2:$W$2=$AC14),0))</f>
        <v>1</v>
      </c>
      <c r="BP14" t="b" cm="1">
        <f t="array" ref="BP14">INDEX($B$1:$W$193,MATCH(BP$1,$B$1:$B$193,0),MATCH(1,($B$1:$W$1=$AB14)*($B$2:$W$2=$AC14),0))</f>
        <v>1</v>
      </c>
      <c r="BQ14" t="b" cm="1">
        <f t="array" ref="BQ14">INDEX($B$1:$W$193,MATCH(BQ$1,$B$1:$B$193,0),MATCH(1,($B$1:$W$1=$AB14)*($B$2:$W$2=$AC14),0))</f>
        <v>1</v>
      </c>
      <c r="BR14" t="b" cm="1">
        <f t="array" ref="BR14">INDEX($B$1:$W$193,MATCH(BR$1,$B$1:$B$193,0),MATCH(1,($B$1:$W$1=$AB14)*($B$2:$W$2=$AC14),0))</f>
        <v>1</v>
      </c>
      <c r="BS14" t="b" cm="1">
        <f t="array" ref="BS14">INDEX($B$1:$W$193,MATCH(BS$1,$B$1:$B$193,0),MATCH(1,($B$1:$W$1=$AB14)*($B$2:$W$2=$AC14),0))</f>
        <v>1</v>
      </c>
      <c r="BT14" t="b" cm="1">
        <f t="array" ref="BT14">INDEX($B$1:$W$193,MATCH(BT$1,$B$1:$B$193,0),MATCH(1,($B$1:$W$1=$AB14)*($B$2:$W$2=$AC14),0))</f>
        <v>1</v>
      </c>
      <c r="BU14" t="b" cm="1">
        <f t="array" ref="BU14">INDEX($B$1:$W$193,MATCH(BU$1,$B$1:$B$193,0),MATCH(1,($B$1:$W$1=$AB14)*($B$2:$W$2=$AC14),0))</f>
        <v>1</v>
      </c>
      <c r="BV14" t="b" cm="1">
        <f t="array" ref="BV14">INDEX($B$1:$W$193,MATCH(BV$1,$B$1:$B$193,0),MATCH(1,($B$1:$W$1=$AB14)*($B$2:$W$2=$AC14),0))</f>
        <v>1</v>
      </c>
      <c r="BW14" t="b" cm="1">
        <f t="array" ref="BW14">INDEX($B$1:$W$193,MATCH(BW$1,$B$1:$B$193,0),MATCH(1,($B$1:$W$1=$AB14)*($B$2:$W$2=$AC14),0))</f>
        <v>1</v>
      </c>
      <c r="BX14" t="b" cm="1">
        <f t="array" ref="BX14">INDEX($B$1:$W$193,MATCH(BX$1,$B$1:$B$193,0),MATCH(1,($B$1:$W$1=$AB14)*($B$2:$W$2=$AC14),0))</f>
        <v>1</v>
      </c>
      <c r="BY14" t="b" cm="1">
        <f t="array" ref="BY14">INDEX($B$1:$W$193,MATCH(BY$1,$B$1:$B$193,0),MATCH(1,($B$1:$W$1=$AB14)*($B$2:$W$2=$AC14),0))</f>
        <v>1</v>
      </c>
      <c r="BZ14" t="b" cm="1">
        <f t="array" ref="BZ14">INDEX($B$1:$W$193,MATCH(BZ$1,$B$1:$B$193,0),MATCH(1,($B$1:$W$1=$AB14)*($B$2:$W$2=$AC14),0))</f>
        <v>1</v>
      </c>
      <c r="CA14" t="b" cm="1">
        <f t="array" ref="CA14">INDEX($B$1:$W$193,MATCH(CA$1,$B$1:$B$193,0),MATCH(1,($B$1:$W$1=$AB14)*($B$2:$W$2=$AC14),0))</f>
        <v>1</v>
      </c>
      <c r="CB14" t="b" cm="1">
        <f t="array" ref="CB14">INDEX($B$1:$W$193,MATCH(CB$1,$B$1:$B$193,0),MATCH(1,($B$1:$W$1=$AB14)*($B$2:$W$2=$AC14),0))</f>
        <v>1</v>
      </c>
      <c r="CC14" t="b" cm="1">
        <f t="array" ref="CC14">INDEX($B$1:$W$193,MATCH(CC$1,$B$1:$B$193,0),MATCH(1,($B$1:$W$1=$AB14)*($B$2:$W$2=$AC14),0))</f>
        <v>1</v>
      </c>
      <c r="CD14" t="b" cm="1">
        <f t="array" ref="CD14">INDEX($B$1:$W$193,MATCH(CD$1,$B$1:$B$193,0),MATCH(1,($B$1:$W$1=$AB14)*($B$2:$W$2=$AC14),0))</f>
        <v>1</v>
      </c>
      <c r="CE14" t="b" cm="1">
        <f t="array" ref="CE14">INDEX($B$1:$W$193,MATCH(CE$1,$B$1:$B$193,0),MATCH(1,($B$1:$W$1=$AB14)*($B$2:$W$2=$AC14),0))</f>
        <v>1</v>
      </c>
      <c r="CF14" t="b" cm="1">
        <f t="array" ref="CF14">INDEX($B$1:$W$193,MATCH(CF$1,$B$1:$B$193,0),MATCH(1,($B$1:$W$1=$AB14)*($B$2:$W$2=$AC14),0))</f>
        <v>1</v>
      </c>
      <c r="CG14" t="b" cm="1">
        <f t="array" ref="CG14">INDEX($B$1:$W$193,MATCH(CG$1,$B$1:$B$193,0),MATCH(1,($B$1:$W$1=$AB14)*($B$2:$W$2=$AC14),0))</f>
        <v>1</v>
      </c>
      <c r="CH14" t="b" cm="1">
        <f t="array" ref="CH14">INDEX($B$1:$W$193,MATCH(CH$1,$B$1:$B$193,0),MATCH(1,($B$1:$W$1=$AB14)*($B$2:$W$2=$AC14),0))</f>
        <v>1</v>
      </c>
      <c r="CI14" t="b" cm="1">
        <f t="array" ref="CI14">INDEX($B$1:$W$193,MATCH(CI$1,$B$1:$B$193,0),MATCH(1,($B$1:$W$1=$AB14)*($B$2:$W$2=$AC14),0))</f>
        <v>1</v>
      </c>
      <c r="CJ14" t="b" cm="1">
        <f t="array" ref="CJ14">INDEX($B$1:$W$193,MATCH(CJ$1,$B$1:$B$193,0),MATCH(1,($B$1:$W$1=$AB14)*($B$2:$W$2=$AC14),0))</f>
        <v>1</v>
      </c>
      <c r="CK14" t="b" cm="1">
        <f t="array" ref="CK14">INDEX($B$1:$W$193,MATCH(CK$1,$B$1:$B$193,0),MATCH(1,($B$1:$W$1=$AB14)*($B$2:$W$2=$AC14),0))</f>
        <v>1</v>
      </c>
      <c r="CL14" t="b" cm="1">
        <f t="array" ref="CL14">INDEX($B$1:$W$193,MATCH(CL$1,$B$1:$B$193,0),MATCH(1,($B$1:$W$1=$AB14)*($B$2:$W$2=$AC14),0))</f>
        <v>1</v>
      </c>
      <c r="CM14" t="b" cm="1">
        <f t="array" ref="CM14">INDEX($B$1:$W$193,MATCH(CM$1,$B$1:$B$193,0),MATCH(1,($B$1:$W$1=$AB14)*($B$2:$W$2=$AC14),0))</f>
        <v>1</v>
      </c>
      <c r="CN14" t="b" cm="1">
        <f t="array" ref="CN14">INDEX($B$1:$W$193,MATCH(CN$1,$B$1:$B$193,0),MATCH(1,($B$1:$W$1=$AB14)*($B$2:$W$2=$AC14),0))</f>
        <v>1</v>
      </c>
      <c r="CO14" t="b" cm="1">
        <f t="array" ref="CO14">INDEX($B$1:$W$193,MATCH(CO$1,$B$1:$B$193,0),MATCH(1,($B$1:$W$1=$AB14)*($B$2:$W$2=$AC14),0))</f>
        <v>1</v>
      </c>
      <c r="CP14" t="b" cm="1">
        <f t="array" ref="CP14">INDEX($B$1:$W$193,MATCH(CP$1,$B$1:$B$193,0),MATCH(1,($B$1:$W$1=$AB14)*($B$2:$W$2=$AC14),0))</f>
        <v>1</v>
      </c>
      <c r="CQ14" t="b" cm="1">
        <f t="array" ref="CQ14">INDEX($B$1:$W$193,MATCH(CQ$1,$B$1:$B$193,0),MATCH(1,($B$1:$W$1=$AB14)*($B$2:$W$2=$AC14),0))</f>
        <v>1</v>
      </c>
      <c r="CR14" t="b" cm="1">
        <f t="array" ref="CR14">INDEX($B$1:$W$193,MATCH(CR$1,$B$1:$B$193,0),MATCH(1,($B$1:$W$1=$AB14)*($B$2:$W$2=$AC14),0))</f>
        <v>1</v>
      </c>
      <c r="CS14" t="b" cm="1">
        <f t="array" ref="CS14">INDEX($B$1:$W$193,MATCH(CS$1,$B$1:$B$193,0),MATCH(1,($B$1:$W$1=$AB14)*($B$2:$W$2=$AC14),0))</f>
        <v>1</v>
      </c>
      <c r="CT14" t="b" cm="1">
        <f t="array" ref="CT14">INDEX($B$1:$W$193,MATCH(CT$1,$B$1:$B$193,0),MATCH(1,($B$1:$W$1=$AB14)*($B$2:$W$2=$AC14),0))</f>
        <v>1</v>
      </c>
      <c r="CU14" t="b" cm="1">
        <f t="array" ref="CU14">INDEX($B$1:$W$193,MATCH(CU$1,$B$1:$B$193,0),MATCH(1,($B$1:$W$1=$AB14)*($B$2:$W$2=$AC14),0))</f>
        <v>1</v>
      </c>
      <c r="CV14" t="b" cm="1">
        <f t="array" ref="CV14">INDEX($B$1:$W$193,MATCH(CV$1,$B$1:$B$193,0),MATCH(1,($B$1:$W$1=$AB14)*($B$2:$W$2=$AC14),0))</f>
        <v>1</v>
      </c>
      <c r="CW14" t="b" cm="1">
        <f t="array" ref="CW14">INDEX($B$1:$W$193,MATCH(CW$1,$B$1:$B$193,0),MATCH(1,($B$1:$W$1=$AB14)*($B$2:$W$2=$AC14),0))</f>
        <v>1</v>
      </c>
      <c r="CX14" t="b" cm="1">
        <f t="array" ref="CX14">INDEX($B$1:$W$193,MATCH(CX$1,$B$1:$B$193,0),MATCH(1,($B$1:$W$1=$AB14)*($B$2:$W$2=$AC14),0))</f>
        <v>1</v>
      </c>
      <c r="CY14" t="b" cm="1">
        <f t="array" ref="CY14">INDEX($B$1:$W$193,MATCH(CY$1,$B$1:$B$193,0),MATCH(1,($B$1:$W$1=$AB14)*($B$2:$W$2=$AC14),0))</f>
        <v>1</v>
      </c>
      <c r="CZ14" t="b" cm="1">
        <f t="array" ref="CZ14">INDEX($B$1:$W$193,MATCH(CZ$1,$B$1:$B$193,0),MATCH(1,($B$1:$W$1=$AB14)*($B$2:$W$2=$AC14),0))</f>
        <v>1</v>
      </c>
      <c r="DA14" t="b" cm="1">
        <f t="array" ref="DA14">INDEX($B$1:$W$193,MATCH(DA$1,$B$1:$B$193,0),MATCH(1,($B$1:$W$1=$AB14)*($B$2:$W$2=$AC14),0))</f>
        <v>1</v>
      </c>
      <c r="DB14" t="b" cm="1">
        <f t="array" ref="DB14">INDEX($B$1:$W$193,MATCH(DB$1,$B$1:$B$193,0),MATCH(1,($B$1:$W$1=$AB14)*($B$2:$W$2=$AC14),0))</f>
        <v>1</v>
      </c>
      <c r="DC14" t="b" cm="1">
        <f t="array" ref="DC14">INDEX($B$1:$W$193,MATCH(DC$1,$B$1:$B$193,0),MATCH(1,($B$1:$W$1=$AB14)*($B$2:$W$2=$AC14),0))</f>
        <v>1</v>
      </c>
      <c r="DD14" t="b" cm="1">
        <f t="array" ref="DD14">INDEX($B$1:$W$193,MATCH(DD$1,$B$1:$B$193,0),MATCH(1,($B$1:$W$1=$AB14)*($B$2:$W$2=$AC14),0))</f>
        <v>1</v>
      </c>
      <c r="DE14" t="b" cm="1">
        <f t="array" ref="DE14">INDEX($B$1:$W$193,MATCH(DE$1,$B$1:$B$193,0),MATCH(1,($B$1:$W$1=$AB14)*($B$2:$W$2=$AC14),0))</f>
        <v>1</v>
      </c>
      <c r="DF14" t="b" cm="1">
        <f t="array" ref="DF14">INDEX($B$1:$W$193,MATCH(DF$1,$B$1:$B$193,0),MATCH(1,($B$1:$W$1=$AB14)*($B$2:$W$2=$AC14),0))</f>
        <v>1</v>
      </c>
      <c r="DG14" t="b" cm="1">
        <f t="array" ref="DG14">INDEX($B$1:$W$193,MATCH(DG$1,$B$1:$B$193,0),MATCH(1,($B$1:$W$1=$AB14)*($B$2:$W$2=$AC14),0))</f>
        <v>1</v>
      </c>
      <c r="DH14" t="b" cm="1">
        <f t="array" ref="DH14">INDEX($B$1:$W$193,MATCH(DH$1,$B$1:$B$193,0),MATCH(1,($B$1:$W$1=$AB14)*($B$2:$W$2=$AC14),0))</f>
        <v>1</v>
      </c>
      <c r="DI14" t="b" cm="1">
        <f t="array" ref="DI14">INDEX($B$1:$W$193,MATCH(DI$1,$B$1:$B$193,0),MATCH(1,($B$1:$W$1=$AB14)*($B$2:$W$2=$AC14),0))</f>
        <v>1</v>
      </c>
      <c r="DJ14" t="b" cm="1">
        <f t="array" ref="DJ14">INDEX($B$1:$W$193,MATCH(DJ$1,$B$1:$B$193,0),MATCH(1,($B$1:$W$1=$AB14)*($B$2:$W$2=$AC14),0))</f>
        <v>1</v>
      </c>
      <c r="DK14" t="b" cm="1">
        <f t="array" ref="DK14">INDEX($B$1:$W$193,MATCH(DK$1,$B$1:$B$193,0),MATCH(1,($B$1:$W$1=$AB14)*($B$2:$W$2=$AC14),0))</f>
        <v>1</v>
      </c>
      <c r="DL14" t="b" cm="1">
        <f t="array" ref="DL14">INDEX($B$1:$W$193,MATCH(DL$1,$B$1:$B$193,0),MATCH(1,($B$1:$W$1=$AB14)*($B$2:$W$2=$AC14),0))</f>
        <v>1</v>
      </c>
      <c r="DM14" t="b" cm="1">
        <f t="array" ref="DM14">INDEX($B$1:$W$193,MATCH(DM$1,$B$1:$B$193,0),MATCH(1,($B$1:$W$1=$AB14)*($B$2:$W$2=$AC14),0))</f>
        <v>1</v>
      </c>
      <c r="DN14" t="b" cm="1">
        <f t="array" ref="DN14">INDEX($B$1:$W$193,MATCH(DN$1,$B$1:$B$193,0),MATCH(1,($B$1:$W$1=$AB14)*($B$2:$W$2=$AC14),0))</f>
        <v>1</v>
      </c>
      <c r="DO14" t="b" cm="1">
        <f t="array" ref="DO14">INDEX($B$1:$W$193,MATCH(DO$1,$B$1:$B$193,0),MATCH(1,($B$1:$W$1=$AB14)*($B$2:$W$2=$AC14),0))</f>
        <v>1</v>
      </c>
      <c r="DP14" t="b" cm="1">
        <f t="array" ref="DP14">INDEX($B$1:$W$193,MATCH(DP$1,$B$1:$B$193,0),MATCH(1,($B$1:$W$1=$AB14)*($B$2:$W$2=$AC14),0))</f>
        <v>1</v>
      </c>
      <c r="DQ14" t="b" cm="1">
        <f t="array" ref="DQ14">INDEX($B$1:$W$193,MATCH(DQ$1,$B$1:$B$193,0),MATCH(1,($B$1:$W$1=$AB14)*($B$2:$W$2=$AC14),0))</f>
        <v>1</v>
      </c>
      <c r="DR14" t="b" cm="1">
        <f t="array" ref="DR14">INDEX($B$1:$W$193,MATCH(DR$1,$B$1:$B$193,0),MATCH(1,($B$1:$W$1=$AB14)*($B$2:$W$2=$AC14),0))</f>
        <v>1</v>
      </c>
      <c r="DS14" t="b" cm="1">
        <f t="array" ref="DS14">INDEX($B$1:$W$193,MATCH(DS$1,$B$1:$B$193,0),MATCH(1,($B$1:$W$1=$AB14)*($B$2:$W$2=$AC14),0))</f>
        <v>1</v>
      </c>
      <c r="DT14" t="b" cm="1">
        <f t="array" ref="DT14">INDEX($B$1:$W$193,MATCH(DT$1,$B$1:$B$193,0),MATCH(1,($B$1:$W$1=$AB14)*($B$2:$W$2=$AC14),0))</f>
        <v>1</v>
      </c>
      <c r="DU14" t="b" cm="1">
        <f t="array" ref="DU14">INDEX($B$1:$W$193,MATCH(DU$1,$B$1:$B$193,0),MATCH(1,($B$1:$W$1=$AB14)*($B$2:$W$2=$AC14),0))</f>
        <v>1</v>
      </c>
      <c r="DV14" t="b" cm="1">
        <f t="array" ref="DV14">INDEX($B$1:$W$193,MATCH(DV$1,$B$1:$B$193,0),MATCH(1,($B$1:$W$1=$AB14)*($B$2:$W$2=$AC14),0))</f>
        <v>1</v>
      </c>
      <c r="DW14" t="b" cm="1">
        <f t="array" ref="DW14">INDEX($B$1:$W$193,MATCH(DW$1,$B$1:$B$193,0),MATCH(1,($B$1:$W$1=$AB14)*($B$2:$W$2=$AC14),0))</f>
        <v>1</v>
      </c>
      <c r="DX14" t="b" cm="1">
        <f t="array" ref="DX14">INDEX($B$1:$W$193,MATCH(DX$1,$B$1:$B$193,0),MATCH(1,($B$1:$W$1=$AB14)*($B$2:$W$2=$AC14),0))</f>
        <v>1</v>
      </c>
      <c r="DY14" t="b" cm="1">
        <f t="array" ref="DY14">INDEX($B$1:$W$193,MATCH(DY$1,$B$1:$B$193,0),MATCH(1,($B$1:$W$1=$AB14)*($B$2:$W$2=$AC14),0))</f>
        <v>1</v>
      </c>
      <c r="DZ14" t="b" cm="1">
        <f t="array" ref="DZ14">INDEX($B$1:$W$193,MATCH(DZ$1,$B$1:$B$193,0),MATCH(1,($B$1:$W$1=$AB14)*($B$2:$W$2=$AC14),0))</f>
        <v>1</v>
      </c>
      <c r="EA14" t="b" cm="1">
        <f t="array" ref="EA14">INDEX($B$1:$W$193,MATCH(EA$1,$B$1:$B$193,0),MATCH(1,($B$1:$W$1=$AB14)*($B$2:$W$2=$AC14),0))</f>
        <v>1</v>
      </c>
      <c r="EB14" t="b" cm="1">
        <f t="array" ref="EB14">INDEX($B$1:$W$193,MATCH(EB$1,$B$1:$B$193,0),MATCH(1,($B$1:$W$1=$AB14)*($B$2:$W$2=$AC14),0))</f>
        <v>1</v>
      </c>
      <c r="EC14" t="b" cm="1">
        <f t="array" ref="EC14">INDEX($B$1:$W$193,MATCH(EC$1,$B$1:$B$193,0),MATCH(1,($B$1:$W$1=$AB14)*($B$2:$W$2=$AC14),0))</f>
        <v>1</v>
      </c>
      <c r="ED14" t="b" cm="1">
        <f t="array" ref="ED14">INDEX($B$1:$W$193,MATCH(ED$1,$B$1:$B$193,0),MATCH(1,($B$1:$W$1=$AB14)*($B$2:$W$2=$AC14),0))</f>
        <v>1</v>
      </c>
      <c r="EE14" t="b" cm="1">
        <f t="array" ref="EE14">INDEX($B$1:$W$193,MATCH(EE$1,$B$1:$B$193,0),MATCH(1,($B$1:$W$1=$AB14)*($B$2:$W$2=$AC14),0))</f>
        <v>1</v>
      </c>
      <c r="EF14" t="b" cm="1">
        <f t="array" ref="EF14">INDEX($B$1:$W$193,MATCH(EF$1,$B$1:$B$193,0),MATCH(1,($B$1:$W$1=$AB14)*($B$2:$W$2=$AC14),0))</f>
        <v>1</v>
      </c>
      <c r="EG14" t="b" cm="1">
        <f t="array" ref="EG14">INDEX($B$1:$W$193,MATCH(EG$1,$B$1:$B$193,0),MATCH(1,($B$1:$W$1=$AB14)*($B$2:$W$2=$AC14),0))</f>
        <v>1</v>
      </c>
      <c r="EH14" t="b" cm="1">
        <f t="array" ref="EH14">INDEX($B$1:$W$193,MATCH(EH$1,$B$1:$B$193,0),MATCH(1,($B$1:$W$1=$AB14)*($B$2:$W$2=$AC14),0))</f>
        <v>1</v>
      </c>
      <c r="EI14" t="b" cm="1">
        <f t="array" ref="EI14">INDEX($B$1:$W$193,MATCH(EI$1,$B$1:$B$193,0),MATCH(1,($B$1:$W$1=$AB14)*($B$2:$W$2=$AC14),0))</f>
        <v>1</v>
      </c>
      <c r="EJ14" t="b" cm="1">
        <f t="array" ref="EJ14">INDEX($B$1:$W$193,MATCH(EJ$1,$B$1:$B$193,0),MATCH(1,($B$1:$W$1=$AB14)*($B$2:$W$2=$AC14),0))</f>
        <v>1</v>
      </c>
      <c r="EK14" t="b" cm="1">
        <f t="array" ref="EK14">INDEX($B$1:$W$193,MATCH(EK$1,$B$1:$B$193,0),MATCH(1,($B$1:$W$1=$AB14)*($B$2:$W$2=$AC14),0))</f>
        <v>1</v>
      </c>
      <c r="EL14" t="b" cm="1">
        <f t="array" ref="EL14">INDEX($B$1:$W$193,MATCH(EL$1,$B$1:$B$193,0),MATCH(1,($B$1:$W$1=$AB14)*($B$2:$W$2=$AC14),0))</f>
        <v>1</v>
      </c>
      <c r="EM14" t="b" cm="1">
        <f t="array" ref="EM14">INDEX($B$1:$W$193,MATCH(EM$1,$B$1:$B$193,0),MATCH(1,($B$1:$W$1=$AB14)*($B$2:$W$2=$AC14),0))</f>
        <v>1</v>
      </c>
      <c r="EN14" t="b" cm="1">
        <f t="array" ref="EN14">INDEX($B$1:$W$193,MATCH(EN$1,$B$1:$B$193,0),MATCH(1,($B$1:$W$1=$AB14)*($B$2:$W$2=$AC14),0))</f>
        <v>1</v>
      </c>
      <c r="EO14" t="b" cm="1">
        <f t="array" ref="EO14">INDEX($B$1:$W$193,MATCH(EO$1,$B$1:$B$193,0),MATCH(1,($B$1:$W$1=$AB14)*($B$2:$W$2=$AC14),0))</f>
        <v>1</v>
      </c>
      <c r="EP14" t="b" cm="1">
        <f t="array" ref="EP14">INDEX($B$1:$W$193,MATCH(EP$1,$B$1:$B$193,0),MATCH(1,($B$1:$W$1=$AB14)*($B$2:$W$2=$AC14),0))</f>
        <v>1</v>
      </c>
      <c r="EQ14" t="b" cm="1">
        <f t="array" ref="EQ14">INDEX($B$1:$W$193,MATCH(EQ$1,$B$1:$B$193,0),MATCH(1,($B$1:$W$1=$AB14)*($B$2:$W$2=$AC14),0))</f>
        <v>1</v>
      </c>
      <c r="ER14" t="b" cm="1">
        <f t="array" ref="ER14">INDEX($B$1:$W$193,MATCH(ER$1,$B$1:$B$193,0),MATCH(1,($B$1:$W$1=$AB14)*($B$2:$W$2=$AC14),0))</f>
        <v>1</v>
      </c>
      <c r="ES14" t="b" cm="1">
        <f t="array" ref="ES14">INDEX($B$1:$W$193,MATCH(ES$1,$B$1:$B$193,0),MATCH(1,($B$1:$W$1=$AB14)*($B$2:$W$2=$AC14),0))</f>
        <v>1</v>
      </c>
      <c r="ET14" t="b" cm="1">
        <f t="array" ref="ET14">INDEX($B$1:$W$193,MATCH(ET$1,$B$1:$B$193,0),MATCH(1,($B$1:$W$1=$AB14)*($B$2:$W$2=$AC14),0))</f>
        <v>1</v>
      </c>
      <c r="EU14" t="b" cm="1">
        <f t="array" ref="EU14">INDEX($B$1:$W$193,MATCH(EU$1,$B$1:$B$193,0),MATCH(1,($B$1:$W$1=$AB14)*($B$2:$W$2=$AC14),0))</f>
        <v>1</v>
      </c>
      <c r="EV14" t="b" cm="1">
        <f t="array" ref="EV14">INDEX($B$1:$W$193,MATCH(EV$1,$B$1:$B$193,0),MATCH(1,($B$1:$W$1=$AB14)*($B$2:$W$2=$AC14),0))</f>
        <v>1</v>
      </c>
      <c r="EW14" t="b" cm="1">
        <f t="array" ref="EW14">INDEX($B$1:$W$193,MATCH(EW$1,$B$1:$B$193,0),MATCH(1,($B$1:$W$1=$AB14)*($B$2:$W$2=$AC14),0))</f>
        <v>1</v>
      </c>
      <c r="EX14" t="b" cm="1">
        <f t="array" ref="EX14">INDEX($B$1:$W$193,MATCH(EX$1,$B$1:$B$193,0),MATCH(1,($B$1:$W$1=$AB14)*($B$2:$W$2=$AC14),0))</f>
        <v>1</v>
      </c>
      <c r="EY14" t="b" cm="1">
        <f t="array" ref="EY14">INDEX($B$1:$W$193,MATCH(EY$1,$B$1:$B$193,0),MATCH(1,($B$1:$W$1=$AB14)*($B$2:$W$2=$AC14),0))</f>
        <v>1</v>
      </c>
      <c r="EZ14" t="b" cm="1">
        <f t="array" ref="EZ14">INDEX($B$1:$W$193,MATCH(EZ$1,$B$1:$B$193,0),MATCH(1,($B$1:$W$1=$AB14)*($B$2:$W$2=$AC14),0))</f>
        <v>1</v>
      </c>
      <c r="FA14" t="b" cm="1">
        <f t="array" ref="FA14">INDEX($B$1:$W$193,MATCH(FA$1,$B$1:$B$193,0),MATCH(1,($B$1:$W$1=$AB14)*($B$2:$W$2=$AC14),0))</f>
        <v>1</v>
      </c>
      <c r="FB14" t="b" cm="1">
        <f t="array" ref="FB14">INDEX($B$1:$W$193,MATCH(FB$1,$B$1:$B$193,0),MATCH(1,($B$1:$W$1=$AB14)*($B$2:$W$2=$AC14),0))</f>
        <v>1</v>
      </c>
      <c r="FC14" t="b" cm="1">
        <f t="array" ref="FC14">INDEX($B$1:$W$193,MATCH(FC$1,$B$1:$B$193,0),MATCH(1,($B$1:$W$1=$AB14)*($B$2:$W$2=$AC14),0))</f>
        <v>1</v>
      </c>
      <c r="FD14" t="b" cm="1">
        <f t="array" ref="FD14">INDEX($B$1:$W$193,MATCH(FD$1,$B$1:$B$193,0),MATCH(1,($B$1:$W$1=$AB14)*($B$2:$W$2=$AC14),0))</f>
        <v>1</v>
      </c>
      <c r="FE14" t="b" cm="1">
        <f t="array" ref="FE14">INDEX($B$1:$W$193,MATCH(FE$1,$B$1:$B$193,0),MATCH(1,($B$1:$W$1=$AB14)*($B$2:$W$2=$AC14),0))</f>
        <v>1</v>
      </c>
      <c r="FF14" t="b" cm="1">
        <f t="array" ref="FF14">INDEX($B$1:$W$193,MATCH(FF$1,$B$1:$B$193,0),MATCH(1,($B$1:$W$1=$AB14)*($B$2:$W$2=$AC14),0))</f>
        <v>1</v>
      </c>
      <c r="FG14" t="b" cm="1">
        <f t="array" ref="FG14">INDEX($B$1:$W$193,MATCH(FG$1,$B$1:$B$193,0),MATCH(1,($B$1:$W$1=$AB14)*($B$2:$W$2=$AC14),0))</f>
        <v>1</v>
      </c>
      <c r="FH14" t="b" cm="1">
        <f t="array" ref="FH14">INDEX($B$1:$W$193,MATCH(FH$1,$B$1:$B$193,0),MATCH(1,($B$1:$W$1=$AB14)*($B$2:$W$2=$AC14),0))</f>
        <v>1</v>
      </c>
      <c r="FI14" t="b" cm="1">
        <f t="array" ref="FI14">INDEX($B$1:$W$193,MATCH(FI$1,$B$1:$B$193,0),MATCH(1,($B$1:$W$1=$AB14)*($B$2:$W$2=$AC14),0))</f>
        <v>1</v>
      </c>
      <c r="FJ14" t="b" cm="1">
        <f t="array" ref="FJ14">INDEX($B$1:$W$193,MATCH(FJ$1,$B$1:$B$193,0),MATCH(1,($B$1:$W$1=$AB14)*($B$2:$W$2=$AC14),0))</f>
        <v>1</v>
      </c>
      <c r="FK14" t="b" cm="1">
        <f t="array" ref="FK14">INDEX($B$1:$W$193,MATCH(FK$1,$B$1:$B$193,0),MATCH(1,($B$1:$W$1=$AB14)*($B$2:$W$2=$AC14),0))</f>
        <v>1</v>
      </c>
      <c r="FL14" t="b" cm="1">
        <f t="array" ref="FL14">INDEX($B$1:$W$193,MATCH(FL$1,$B$1:$B$193,0),MATCH(1,($B$1:$W$1=$AB14)*($B$2:$W$2=$AC14),0))</f>
        <v>1</v>
      </c>
      <c r="FM14" t="b" cm="1">
        <f t="array" ref="FM14">INDEX($B$1:$W$193,MATCH(FM$1,$B$1:$B$193,0),MATCH(1,($B$1:$W$1=$AB14)*($B$2:$W$2=$AC14),0))</f>
        <v>1</v>
      </c>
      <c r="FN14" t="b" cm="1">
        <f t="array" ref="FN14">INDEX($B$1:$W$193,MATCH(FN$1,$B$1:$B$193,0),MATCH(1,($B$1:$W$1=$AB14)*($B$2:$W$2=$AC14),0))</f>
        <v>1</v>
      </c>
      <c r="FO14" t="b" cm="1">
        <f t="array" ref="FO14">INDEX($B$1:$W$193,MATCH(FO$1,$B$1:$B$193,0),MATCH(1,($B$1:$W$1=$AB14)*($B$2:$W$2=$AC14),0))</f>
        <v>1</v>
      </c>
      <c r="FP14" t="b" cm="1">
        <f t="array" ref="FP14">INDEX($B$1:$W$193,MATCH(FP$1,$B$1:$B$193,0),MATCH(1,($B$1:$W$1=$AB14)*($B$2:$W$2=$AC14),0))</f>
        <v>1</v>
      </c>
      <c r="FQ14" t="b" cm="1">
        <f t="array" ref="FQ14">INDEX($B$1:$W$193,MATCH(FQ$1,$B$1:$B$193,0),MATCH(1,($B$1:$W$1=$AB14)*($B$2:$W$2=$AC14),0))</f>
        <v>1</v>
      </c>
      <c r="FR14" t="b" cm="1">
        <f t="array" ref="FR14">INDEX($B$1:$W$193,MATCH(FR$1,$B$1:$B$193,0),MATCH(1,($B$1:$W$1=$AB14)*($B$2:$W$2=$AC14),0))</f>
        <v>1</v>
      </c>
      <c r="FS14" t="b" cm="1">
        <f t="array" ref="FS14">INDEX($B$1:$W$193,MATCH(FS$1,$B$1:$B$193,0),MATCH(1,($B$1:$W$1=$AB14)*($B$2:$W$2=$AC14),0))</f>
        <v>1</v>
      </c>
      <c r="FT14" t="b" cm="1">
        <f t="array" ref="FT14">INDEX($B$1:$W$193,MATCH(FT$1,$B$1:$B$193,0),MATCH(1,($B$1:$W$1=$AB14)*($B$2:$W$2=$AC14),0))</f>
        <v>1</v>
      </c>
      <c r="FU14" t="b" cm="1">
        <f t="array" ref="FU14">INDEX($B$1:$W$193,MATCH(FU$1,$B$1:$B$193,0),MATCH(1,($B$1:$W$1=$AB14)*($B$2:$W$2=$AC14),0))</f>
        <v>1</v>
      </c>
      <c r="FV14" t="b" cm="1">
        <f t="array" ref="FV14">INDEX($B$1:$W$193,MATCH(FV$1,$B$1:$B$193,0),MATCH(1,($B$1:$W$1=$AB14)*($B$2:$W$2=$AC14),0))</f>
        <v>1</v>
      </c>
      <c r="FW14" t="b" cm="1">
        <f t="array" ref="FW14">INDEX($B$1:$W$193,MATCH(FW$1,$B$1:$B$193,0),MATCH(1,($B$1:$W$1=$AB14)*($B$2:$W$2=$AC14),0))</f>
        <v>1</v>
      </c>
      <c r="FX14" t="b" cm="1">
        <f t="array" ref="FX14">INDEX($B$1:$W$193,MATCH(FX$1,$B$1:$B$193,0),MATCH(1,($B$1:$W$1=$AB14)*($B$2:$W$2=$AC14),0))</f>
        <v>1</v>
      </c>
      <c r="FY14" t="b" cm="1">
        <f t="array" ref="FY14">INDEX($B$1:$W$193,MATCH(FY$1,$B$1:$B$193,0),MATCH(1,($B$1:$W$1=$AB14)*($B$2:$W$2=$AC14),0))</f>
        <v>1</v>
      </c>
      <c r="FZ14" t="b" cm="1">
        <f t="array" ref="FZ14">INDEX($B$1:$W$193,MATCH(FZ$1,$B$1:$B$193,0),MATCH(1,($B$1:$W$1=$AB14)*($B$2:$W$2=$AC14),0))</f>
        <v>1</v>
      </c>
      <c r="GA14" t="b" cm="1">
        <f t="array" ref="GA14">INDEX($B$1:$W$193,MATCH(GA$1,$B$1:$B$193,0),MATCH(1,($B$1:$W$1=$AB14)*($B$2:$W$2=$AC14),0))</f>
        <v>1</v>
      </c>
      <c r="GB14" t="b" cm="1">
        <f t="array" ref="GB14">INDEX($B$1:$W$193,MATCH(GB$1,$B$1:$B$193,0),MATCH(1,($B$1:$W$1=$AB14)*($B$2:$W$2=$AC14),0))</f>
        <v>1</v>
      </c>
      <c r="GC14" t="b" cm="1">
        <f t="array" ref="GC14">INDEX($B$1:$W$193,MATCH(GC$1,$B$1:$B$193,0),MATCH(1,($B$1:$W$1=$AB14)*($B$2:$W$2=$AC14),0))</f>
        <v>1</v>
      </c>
      <c r="GD14" t="b" cm="1">
        <f t="array" ref="GD14">INDEX($B$1:$W$193,MATCH(GD$1,$B$1:$B$193,0),MATCH(1,($B$1:$W$1=$AB14)*($B$2:$W$2=$AC14),0))</f>
        <v>1</v>
      </c>
      <c r="GE14" t="b" cm="1">
        <f t="array" ref="GE14">INDEX($B$1:$W$193,MATCH(GE$1,$B$1:$B$193,0),MATCH(1,($B$1:$W$1=$AB14)*($B$2:$W$2=$AC14),0))</f>
        <v>1</v>
      </c>
      <c r="GF14" t="b" cm="1">
        <f t="array" ref="GF14">INDEX($B$1:$W$193,MATCH(GF$1,$B$1:$B$193,0),MATCH(1,($B$1:$W$1=$AB14)*($B$2:$W$2=$AC14),0))</f>
        <v>1</v>
      </c>
      <c r="GG14" t="b" cm="1">
        <f t="array" ref="GG14">INDEX($B$1:$W$193,MATCH(GG$1,$B$1:$B$193,0),MATCH(1,($B$1:$W$1=$AB14)*($B$2:$W$2=$AC14),0))</f>
        <v>1</v>
      </c>
      <c r="GH14" t="b" cm="1">
        <f t="array" ref="GH14">INDEX($B$1:$W$193,MATCH(GH$1,$B$1:$B$193,0),MATCH(1,($B$1:$W$1=$AB14)*($B$2:$W$2=$AC14),0))</f>
        <v>1</v>
      </c>
      <c r="GI14" t="b" cm="1">
        <f t="array" ref="GI14">INDEX($B$1:$W$193,MATCH(GI$1,$B$1:$B$193,0),MATCH(1,($B$1:$W$1=$AB14)*($B$2:$W$2=$AC14),0))</f>
        <v>1</v>
      </c>
      <c r="GJ14" t="b" cm="1">
        <f t="array" ref="GJ14">INDEX($B$1:$W$193,MATCH(GJ$1,$B$1:$B$193,0),MATCH(1,($B$1:$W$1=$AB14)*($B$2:$W$2=$AC14),0))</f>
        <v>1</v>
      </c>
      <c r="GK14" t="b" cm="1">
        <f t="array" ref="GK14">INDEX($B$1:$W$193,MATCH(GK$1,$B$1:$B$193,0),MATCH(1,($B$1:$W$1=$AB14)*($B$2:$W$2=$AC14),0))</f>
        <v>1</v>
      </c>
      <c r="GL14" t="b" cm="1">
        <f t="array" ref="GL14">INDEX($B$1:$W$193,MATCH(GL$1,$B$1:$B$193,0),MATCH(1,($B$1:$W$1=$AB14)*($B$2:$W$2=$AC14),0))</f>
        <v>1</v>
      </c>
      <c r="GM14" t="b" cm="1">
        <f t="array" ref="GM14">INDEX($B$1:$W$193,MATCH(GM$1,$B$1:$B$193,0),MATCH(1,($B$1:$W$1=$AB14)*($B$2:$W$2=$AC14),0))</f>
        <v>1</v>
      </c>
      <c r="GN14" t="b" cm="1">
        <f t="array" ref="GN14">INDEX($B$1:$W$193,MATCH(GN$1,$B$1:$B$193,0),MATCH(1,($B$1:$W$1=$AB14)*($B$2:$W$2=$AC14),0))</f>
        <v>1</v>
      </c>
      <c r="GO14" t="b" cm="1">
        <f t="array" ref="GO14">INDEX($B$1:$W$193,MATCH(GO$1,$B$1:$B$193,0),MATCH(1,($B$1:$W$1=$AB14)*($B$2:$W$2=$AC14),0))</f>
        <v>1</v>
      </c>
      <c r="GP14" t="b" cm="1">
        <f t="array" ref="GP14">INDEX($B$1:$W$193,MATCH(GP$1,$B$1:$B$193,0),MATCH(1,($B$1:$W$1=$AB14)*($B$2:$W$2=$AC14),0))</f>
        <v>1</v>
      </c>
      <c r="GQ14" t="b" cm="1">
        <f t="array" ref="GQ14">INDEX($B$1:$W$193,MATCH(GQ$1,$B$1:$B$193,0),MATCH(1,($B$1:$W$1=$AB14)*($B$2:$W$2=$AC14),0))</f>
        <v>1</v>
      </c>
      <c r="GR14" t="b" cm="1">
        <f t="array" ref="GR14">INDEX($B$1:$W$193,MATCH(GR$1,$B$1:$B$193,0),MATCH(1,($B$1:$W$1=$AB14)*($B$2:$W$2=$AC14),0))</f>
        <v>1</v>
      </c>
      <c r="GS14" t="b" cm="1">
        <f t="array" ref="GS14">INDEX($B$1:$W$193,MATCH(GS$1,$B$1:$B$193,0),MATCH(1,($B$1:$W$1=$AB14)*($B$2:$W$2=$AC14),0))</f>
        <v>1</v>
      </c>
      <c r="GT14" t="b" cm="1">
        <f t="array" ref="GT14">INDEX($B$1:$W$193,MATCH(GT$1,$B$1:$B$193,0),MATCH(1,($B$1:$W$1=$AB14)*($B$2:$W$2=$AC14),0))</f>
        <v>1</v>
      </c>
      <c r="GU14" t="b" cm="1">
        <f t="array" ref="GU14">INDEX($B$1:$W$193,MATCH(GU$1,$B$1:$B$193,0),MATCH(1,($B$1:$W$1=$AB14)*($B$2:$W$2=$AC14),0))</f>
        <v>1</v>
      </c>
      <c r="GV14" t="b" cm="1">
        <f t="array" ref="GV14">INDEX($B$1:$W$193,MATCH(GV$1,$B$1:$B$193,0),MATCH(1,($B$1:$W$1=$AB14)*($B$2:$W$2=$AC14),0))</f>
        <v>1</v>
      </c>
      <c r="GW14" t="b" cm="1">
        <f t="array" ref="GW14">INDEX($B$1:$W$193,MATCH(GW$1,$B$1:$B$193,0),MATCH(1,($B$1:$W$1=$AB14)*($B$2:$W$2=$AC14),0))</f>
        <v>1</v>
      </c>
      <c r="GX14" t="b" cm="1">
        <f t="array" ref="GX14">INDEX($B$1:$W$193,MATCH(GX$1,$B$1:$B$193,0),MATCH(1,($B$1:$W$1=$AB14)*($B$2:$W$2=$AC14),0))</f>
        <v>1</v>
      </c>
      <c r="GY14" t="b" cm="1">
        <f t="array" ref="GY14">INDEX($B$1:$W$193,MATCH(GY$1,$B$1:$B$193,0),MATCH(1,($B$1:$W$1=$AB14)*($B$2:$W$2=$AC14),0))</f>
        <v>1</v>
      </c>
      <c r="GZ14" t="b" cm="1">
        <f t="array" ref="GZ14">INDEX($B$1:$W$193,MATCH(GZ$1,$B$1:$B$193,0),MATCH(1,($B$1:$W$1=$AB14)*($B$2:$W$2=$AC14),0))</f>
        <v>1</v>
      </c>
      <c r="HA14" t="b" cm="1">
        <f t="array" ref="HA14">INDEX($B$1:$W$193,MATCH(HA$1,$B$1:$B$193,0),MATCH(1,($B$1:$W$1=$AB14)*($B$2:$W$2=$AC14),0))</f>
        <v>1</v>
      </c>
      <c r="HB14" t="b" cm="1">
        <f t="array" ref="HB14">INDEX($B$1:$W$193,MATCH(HB$1,$B$1:$B$193,0),MATCH(1,($B$1:$W$1=$AB14)*($B$2:$W$2=$AC14),0))</f>
        <v>1</v>
      </c>
      <c r="HC14" t="b" cm="1">
        <f t="array" ref="HC14">INDEX($B$1:$W$193,MATCH(HC$1,$B$1:$B$193,0),MATCH(1,($B$1:$W$1=$AB14)*($B$2:$W$2=$AC14),0))</f>
        <v>1</v>
      </c>
      <c r="HD14" t="b" cm="1">
        <f t="array" ref="HD14">INDEX($B$1:$W$193,MATCH(HD$1,$B$1:$B$193,0),MATCH(1,($B$1:$W$1=$AB14)*($B$2:$W$2=$AC14),0))</f>
        <v>1</v>
      </c>
      <c r="HE14" t="b" cm="1">
        <f t="array" ref="HE14">INDEX($B$1:$W$193,MATCH(HE$1,$B$1:$B$193,0),MATCH(1,($B$1:$W$1=$AB14)*($B$2:$W$2=$AC14),0))</f>
        <v>1</v>
      </c>
      <c r="HF14" t="b" cm="1">
        <f t="array" ref="HF14">INDEX($B$1:$W$193,MATCH(HF$1,$B$1:$B$193,0),MATCH(1,($B$1:$W$1=$AB14)*($B$2:$W$2=$AC14),0))</f>
        <v>1</v>
      </c>
      <c r="HG14" t="b" cm="1">
        <f t="array" ref="HG14">INDEX($B$1:$W$193,MATCH(HG$1,$B$1:$B$193,0),MATCH(1,($B$1:$W$1=$AB14)*($B$2:$W$2=$AC14),0))</f>
        <v>1</v>
      </c>
      <c r="HH14" t="b" cm="1">
        <f t="array" ref="HH14">INDEX($B$1:$W$193,MATCH(HH$1,$B$1:$B$193,0),MATCH(1,($B$1:$W$1=$AB14)*($B$2:$W$2=$AC14),0))</f>
        <v>1</v>
      </c>
      <c r="HI14" t="b" cm="1">
        <f t="array" ref="HI14">INDEX($B$1:$W$193,MATCH(HI$1,$B$1:$B$193,0),MATCH(1,($B$1:$W$1=$AB14)*($B$2:$W$2=$AC14),0))</f>
        <v>1</v>
      </c>
      <c r="HJ14" t="b" cm="1">
        <f t="array" ref="HJ14">INDEX($B$1:$W$193,MATCH(HJ$1,$B$1:$B$193,0),MATCH(1,($B$1:$W$1=$AB14)*($B$2:$W$2=$AC14),0))</f>
        <v>1</v>
      </c>
      <c r="HK14" t="b" cm="1">
        <f t="array" ref="HK14">INDEX($B$1:$W$193,MATCH(HK$1,$B$1:$B$193,0),MATCH(1,($B$1:$W$1=$AB14)*($B$2:$W$2=$AC14),0))</f>
        <v>1</v>
      </c>
      <c r="HL14" t="b" cm="1">
        <f t="array" ref="HL14">INDEX($B$1:$W$193,MATCH(HL$1,$B$1:$B$193,0),MATCH(1,($B$1:$W$1=$AB14)*($B$2:$W$2=$AC14),0))</f>
        <v>1</v>
      </c>
      <c r="HM14" t="b" cm="1">
        <f t="array" ref="HM14">INDEX($B$1:$W$193,MATCH(HM$1,$B$1:$B$193,0),MATCH(1,($B$1:$W$1=$AB14)*($B$2:$W$2=$AC14),0))</f>
        <v>1</v>
      </c>
      <c r="HN14" t="b" cm="1">
        <f t="array" ref="HN14">INDEX($B$1:$W$193,MATCH(HN$1,$B$1:$B$193,0),MATCH(1,($B$1:$W$1=$AB14)*($B$2:$W$2=$AC14),0))</f>
        <v>1</v>
      </c>
      <c r="HO14" t="b" cm="1">
        <f t="array" ref="HO14">INDEX($B$1:$W$193,MATCH(HO$1,$B$1:$B$193,0),MATCH(1,($B$1:$W$1=$AB14)*($B$2:$W$2=$AC14),0))</f>
        <v>1</v>
      </c>
      <c r="HP14" t="b" cm="1">
        <f t="array" ref="HP14">INDEX($B$1:$W$193,MATCH(HP$1,$B$1:$B$193,0),MATCH(1,($B$1:$W$1=$AB14)*($B$2:$W$2=$AC14),0))</f>
        <v>1</v>
      </c>
      <c r="HQ14" t="b" cm="1">
        <f t="array" ref="HQ14">INDEX($B$1:$W$193,MATCH(HQ$1,$B$1:$B$193,0),MATCH(1,($B$1:$W$1=$AB14)*($B$2:$W$2=$AC14),0))</f>
        <v>1</v>
      </c>
      <c r="HR14" t="b" cm="1">
        <f t="array" ref="HR14">INDEX($B$1:$W$193,MATCH(HR$1,$B$1:$B$193,0),MATCH(1,($B$1:$W$1=$AB14)*($B$2:$W$2=$AC14),0))</f>
        <v>1</v>
      </c>
      <c r="HS14" t="b" cm="1">
        <f t="array" ref="HS14">INDEX($B$1:$W$193,MATCH(HS$1,$B$1:$B$193,0),MATCH(1,($B$1:$W$1=$AB14)*($B$2:$W$2=$AC14),0))</f>
        <v>1</v>
      </c>
      <c r="HT14" t="b" cm="1">
        <f t="array" ref="HT14">INDEX($B$1:$W$193,MATCH(HT$1,$B$1:$B$193,0),MATCH(1,($B$1:$W$1=$AB14)*($B$2:$W$2=$AC14),0))</f>
        <v>1</v>
      </c>
      <c r="HU14" t="b" cm="1">
        <f t="array" ref="HU14">INDEX($B$1:$W$193,MATCH(HU$1,$B$1:$B$193,0),MATCH(1,($B$1:$W$1=$AB14)*($B$2:$W$2=$AC14),0))</f>
        <v>1</v>
      </c>
      <c r="HV14" t="b" cm="1">
        <f t="array" ref="HV14">INDEX($B$1:$W$193,MATCH(HV$1,$B$1:$B$193,0),MATCH(1,($B$1:$W$1=$AB14)*($B$2:$W$2=$AC14),0))</f>
        <v>1</v>
      </c>
      <c r="HW14" t="b" cm="1">
        <f t="array" ref="HW14">INDEX($B$1:$W$193,MATCH(HW$1,$B$1:$B$193,0),MATCH(1,($B$1:$W$1=$AB14)*($B$2:$W$2=$AC14),0))</f>
        <v>1</v>
      </c>
      <c r="HX14" t="b" cm="1">
        <f t="array" ref="HX14">INDEX($B$1:$W$193,MATCH(HX$1,$B$1:$B$193,0),MATCH(1,($B$1:$W$1=$AB14)*($B$2:$W$2=$AC14),0))</f>
        <v>1</v>
      </c>
      <c r="HY14" t="b" cm="1">
        <f t="array" ref="HY14">INDEX($B$1:$W$193,MATCH(HY$1,$B$1:$B$193,0),MATCH(1,($B$1:$W$1=$AB14)*($B$2:$W$2=$AC14),0))</f>
        <v>1</v>
      </c>
      <c r="HZ14" t="b" cm="1">
        <f t="array" ref="HZ14">INDEX($B$1:$W$193,MATCH(HZ$1,$B$1:$B$193,0),MATCH(1,($B$1:$W$1=$AB14)*($B$2:$W$2=$AC14),0))</f>
        <v>1</v>
      </c>
      <c r="IA14" t="b" cm="1">
        <f t="array" ref="IA14">INDEX($B$1:$W$193,MATCH(IA$1,$B$1:$B$193,0),MATCH(1,($B$1:$W$1=$AB14)*($B$2:$W$2=$AC14),0))</f>
        <v>1</v>
      </c>
      <c r="IB14" t="b" cm="1">
        <f t="array" ref="IB14">INDEX($B$1:$W$193,MATCH(IB$1,$B$1:$B$193,0),MATCH(1,($B$1:$W$1=$AB14)*($B$2:$W$2=$AC14),0))</f>
        <v>1</v>
      </c>
      <c r="IC14" t="b" cm="1">
        <f t="array" ref="IC14">INDEX($B$1:$W$193,MATCH(IC$1,$B$1:$B$193,0),MATCH(1,($B$1:$W$1=$AB14)*($B$2:$W$2=$AC14),0))</f>
        <v>1</v>
      </c>
      <c r="ID14" t="b" cm="1">
        <f t="array" ref="ID14">INDEX($B$1:$W$193,MATCH(ID$1,$B$1:$B$193,0),MATCH(1,($B$1:$W$1=$AB14)*($B$2:$W$2=$AC14),0))</f>
        <v>1</v>
      </c>
      <c r="IE14" t="b" cm="1">
        <f t="array" ref="IE14">INDEX($B$1:$W$193,MATCH(IE$1,$B$1:$B$193,0),MATCH(1,($B$1:$W$1=$AB14)*($B$2:$W$2=$AC14),0))</f>
        <v>1</v>
      </c>
      <c r="IF14" t="b" cm="1">
        <f t="array" ref="IF14">INDEX($B$1:$W$193,MATCH(IF$1,$B$1:$B$193,0),MATCH(1,($B$1:$W$1=$AB14)*($B$2:$W$2=$AC14),0))</f>
        <v>1</v>
      </c>
      <c r="IG14" t="b" cm="1">
        <f t="array" ref="IG14">INDEX($B$1:$W$193,MATCH(IG$1,$B$1:$B$193,0),MATCH(1,($B$1:$W$1=$AB14)*($B$2:$W$2=$AC14),0))</f>
        <v>1</v>
      </c>
      <c r="IH14" t="b" cm="1">
        <f t="array" ref="IH14">INDEX($B$1:$W$193,MATCH(IH$1,$B$1:$B$193,0),MATCH(1,($B$1:$W$1=$AB14)*($B$2:$W$2=$AC14),0))</f>
        <v>1</v>
      </c>
      <c r="II14" t="b" cm="1">
        <f t="array" ref="II14">INDEX($B$1:$W$193,MATCH(II$1,$B$1:$B$193,0),MATCH(1,($B$1:$W$1=$AB14)*($B$2:$W$2=$AC14),0))</f>
        <v>1</v>
      </c>
      <c r="IJ14" t="b" cm="1">
        <f t="array" ref="IJ14">INDEX($B$1:$W$193,MATCH(IJ$1,$B$1:$B$193,0),MATCH(1,($B$1:$W$1=$AB14)*($B$2:$W$2=$AC14),0))</f>
        <v>1</v>
      </c>
      <c r="IK14" t="b" cm="1">
        <f t="array" ref="IK14">INDEX($B$1:$W$193,MATCH(IK$1,$B$1:$B$193,0),MATCH(1,($B$1:$W$1=$AB14)*($B$2:$W$2=$AC14),0))</f>
        <v>1</v>
      </c>
      <c r="IL14" t="b" cm="1">
        <f t="array" ref="IL14">INDEX($B$1:$W$193,MATCH(IL$1,$B$1:$B$193,0),MATCH(1,($B$1:$W$1=$AB14)*($B$2:$W$2=$AC14),0))</f>
        <v>1</v>
      </c>
      <c r="IM14" t="b" cm="1">
        <f t="array" ref="IM14">INDEX($B$1:$W$193,MATCH(IM$1,$B$1:$B$193,0),MATCH(1,($B$1:$W$1=$AB14)*($B$2:$W$2=$AC14),0))</f>
        <v>1</v>
      </c>
      <c r="IN14" t="b" cm="1">
        <f t="array" ref="IN14">INDEX($B$1:$W$193,MATCH(IN$1,$B$1:$B$193,0),MATCH(1,($B$1:$W$1=$AB14)*($B$2:$W$2=$AC14),0))</f>
        <v>1</v>
      </c>
      <c r="IO14" t="b" cm="1">
        <f t="array" ref="IO14">INDEX($B$1:$W$193,MATCH(IO$1,$B$1:$B$193,0),MATCH(1,($B$1:$W$1=$AB14)*($B$2:$W$2=$AC14),0))</f>
        <v>1</v>
      </c>
      <c r="IP14" t="b" cm="1">
        <f t="array" ref="IP14">INDEX($B$1:$W$193,MATCH(IP$1,$B$1:$B$193,0),MATCH(1,($B$1:$W$1=$AB14)*($B$2:$W$2=$AC14),0))</f>
        <v>1</v>
      </c>
      <c r="IQ14" t="b" cm="1">
        <f t="array" ref="IQ14">INDEX($B$1:$W$193,MATCH(IQ$1,$B$1:$B$193,0),MATCH(1,($B$1:$W$1=$AB14)*($B$2:$W$2=$AC14),0))</f>
        <v>1</v>
      </c>
      <c r="IR14" t="b" cm="1">
        <f t="array" ref="IR14">INDEX($B$1:$W$193,MATCH(IR$1,$B$1:$B$193,0),MATCH(1,($B$1:$W$1=$AB14)*($B$2:$W$2=$AC14),0))</f>
        <v>1</v>
      </c>
      <c r="IS14" t="b" cm="1">
        <f t="array" ref="IS14">INDEX($B$1:$W$193,MATCH(IS$1,$B$1:$B$193,0),MATCH(1,($B$1:$W$1=$AB14)*($B$2:$W$2=$AC14),0))</f>
        <v>1</v>
      </c>
      <c r="IT14" t="b" cm="1">
        <f t="array" ref="IT14">INDEX($B$1:$W$193,MATCH(IT$1,$B$1:$B$193,0),MATCH(1,($B$1:$W$1=$AB14)*($B$2:$W$2=$AC14),0))</f>
        <v>1</v>
      </c>
      <c r="IU14" t="b" cm="1">
        <f t="array" ref="IU14">INDEX($B$1:$W$193,MATCH(IU$1,$B$1:$B$193,0),MATCH(1,($B$1:$W$1=$AB14)*($B$2:$W$2=$AC14),0))</f>
        <v>1</v>
      </c>
      <c r="IV14" t="b" cm="1">
        <f t="array" ref="IV14">INDEX($B$1:$W$193,MATCH(IV$1,$B$1:$B$193,0),MATCH(1,($B$1:$W$1=$AB14)*($B$2:$W$2=$AC14),0))</f>
        <v>1</v>
      </c>
      <c r="IW14" t="b" cm="1">
        <f t="array" ref="IW14">INDEX($B$1:$W$193,MATCH(IW$1,$B$1:$B$193,0),MATCH(1,($B$1:$W$1=$AB14)*($B$2:$W$2=$AC14),0))</f>
        <v>1</v>
      </c>
      <c r="IX14" t="b" cm="1">
        <f t="array" ref="IX14">INDEX($B$1:$W$193,MATCH(IX$1,$B$1:$B$193,0),MATCH(1,($B$1:$W$1=$AB14)*($B$2:$W$2=$AC14),0))</f>
        <v>1</v>
      </c>
      <c r="IY14" t="b" cm="1">
        <f t="array" ref="IY14">INDEX($B$1:$W$193,MATCH(IY$1,$B$1:$B$193,0),MATCH(1,($B$1:$W$1=$AB14)*($B$2:$W$2=$AC14),0))</f>
        <v>1</v>
      </c>
      <c r="IZ14" t="b" cm="1">
        <f t="array" ref="IZ14">INDEX($B$1:$W$193,MATCH(IZ$1,$B$1:$B$193,0),MATCH(1,($B$1:$W$1=$AB14)*($B$2:$W$2=$AC14),0))</f>
        <v>1</v>
      </c>
      <c r="JA14" t="b" cm="1">
        <f t="array" ref="JA14">INDEX($B$1:$W$193,MATCH(JA$1,$B$1:$B$193,0),MATCH(1,($B$1:$W$1=$AB14)*($B$2:$W$2=$AC14),0))</f>
        <v>1</v>
      </c>
      <c r="JB14" t="b" cm="1">
        <f t="array" ref="JB14">INDEX($B$1:$W$193,MATCH(JB$1,$B$1:$B$193,0),MATCH(1,($B$1:$W$1=$AB14)*($B$2:$W$2=$AC14),0))</f>
        <v>1</v>
      </c>
      <c r="JC14" t="b" cm="1">
        <f t="array" ref="JC14">INDEX($B$1:$W$193,MATCH(JC$1,$B$1:$B$193,0),MATCH(1,($B$1:$W$1=$AB14)*($B$2:$W$2=$AC14),0))</f>
        <v>1</v>
      </c>
      <c r="JD14" t="b" cm="1">
        <f t="array" ref="JD14">INDEX($B$1:$W$193,MATCH(JD$1,$B$1:$B$193,0),MATCH(1,($B$1:$W$1=$AB14)*($B$2:$W$2=$AC14),0))</f>
        <v>1</v>
      </c>
      <c r="JE14" t="b" cm="1">
        <f t="array" ref="JE14">INDEX($B$1:$W$193,MATCH(JE$1,$B$1:$B$193,0),MATCH(1,($B$1:$W$1=$AB14)*($B$2:$W$2=$AC14),0))</f>
        <v>1</v>
      </c>
      <c r="JF14" t="b" cm="1">
        <f t="array" ref="JF14">INDEX($B$1:$W$193,MATCH(JF$1,$B$1:$B$193,0),MATCH(1,($B$1:$W$1=$AB14)*($B$2:$W$2=$AC14),0))</f>
        <v>1</v>
      </c>
      <c r="JG14" t="b" cm="1">
        <f t="array" ref="JG14">INDEX($B$1:$W$193,MATCH(JG$1,$B$1:$B$193,0),MATCH(1,($B$1:$W$1=$AB14)*($B$2:$W$2=$AC14),0))</f>
        <v>1</v>
      </c>
      <c r="JH14" t="b" cm="1">
        <f t="array" ref="JH14">INDEX($B$1:$W$193,MATCH(JH$1,$B$1:$B$193,0),MATCH(1,($B$1:$W$1=$AB14)*($B$2:$W$2=$AC14),0))</f>
        <v>1</v>
      </c>
    </row>
    <row r="15" spans="1:268" x14ac:dyDescent="0.25">
      <c r="A15" t="s">
        <v>164</v>
      </c>
      <c r="B15" s="51">
        <v>22</v>
      </c>
      <c r="C15">
        <v>2</v>
      </c>
      <c r="D15">
        <v>3</v>
      </c>
      <c r="E15" t="b">
        <f t="shared" si="1"/>
        <v>1</v>
      </c>
      <c r="F15" t="b">
        <f t="shared" si="0"/>
        <v>1</v>
      </c>
      <c r="G15" t="b">
        <f t="shared" si="0"/>
        <v>1</v>
      </c>
      <c r="H15" t="b">
        <f t="shared" si="0"/>
        <v>0</v>
      </c>
      <c r="I15" t="b">
        <f t="shared" si="0"/>
        <v>0</v>
      </c>
      <c r="J15" t="b">
        <f t="shared" si="0"/>
        <v>0</v>
      </c>
      <c r="K15" t="b">
        <f t="shared" si="0"/>
        <v>1</v>
      </c>
      <c r="L15" t="b">
        <f t="shared" si="0"/>
        <v>1</v>
      </c>
      <c r="M15" t="b">
        <f t="shared" si="0"/>
        <v>1</v>
      </c>
      <c r="N15" t="b">
        <f t="shared" si="0"/>
        <v>0</v>
      </c>
      <c r="O15" t="b">
        <f t="shared" si="0"/>
        <v>0</v>
      </c>
      <c r="P15" t="b">
        <f t="shared" si="0"/>
        <v>0</v>
      </c>
      <c r="Q15" t="b">
        <v>1</v>
      </c>
      <c r="R15" t="b" cm="1">
        <f t="array" ref="R15">_xlfn.IFS(C15=1,FALSE,OR(C15=2,C15&gt;2),TRUE)</f>
        <v>1</v>
      </c>
      <c r="S15" t="b" cm="1">
        <f t="array" ref="S15">_xlfn.IFS(OR(C15=1,C15=2),FALSE,OR(C15=3,C15&gt;3),TRUE)</f>
        <v>0</v>
      </c>
      <c r="T15" t="str">
        <f t="shared" si="2"/>
        <v>TRUE</v>
      </c>
      <c r="U15" t="str">
        <f t="shared" si="3"/>
        <v>FALSE</v>
      </c>
      <c r="V15" t="str">
        <f t="shared" si="4"/>
        <v>FALSE</v>
      </c>
      <c r="W15" t="b" cm="1">
        <f t="array" ref="W15">_xlfn.IFS(H15=1,FALSE,OR(H15=2,H15&gt;2),TRUE)</f>
        <v>1</v>
      </c>
      <c r="X15" t="b" cm="1">
        <f t="array" ref="X15">_xlfn.IFS(H15=1,FALSE,OR(H15=2,H15&gt;2),TRUE)</f>
        <v>1</v>
      </c>
      <c r="Y15" t="b" cm="1">
        <f t="array" ref="Y15">_xlfn.IFS(H15=1,FALSE,OR(H15=2,H15&gt;2),TRUE)</f>
        <v>1</v>
      </c>
      <c r="AB15" t="s">
        <v>2</v>
      </c>
      <c r="AC15" t="s">
        <v>90</v>
      </c>
      <c r="AD15" t="b" cm="1">
        <f t="array" ref="AD15">INDEX($B$1:$W$193,MATCH(AD$1,$B$1:$B$193,0),MATCH(1,($B$1:$W$1=$AB15)*($B$2:$W$2=$AC15),0))</f>
        <v>1</v>
      </c>
      <c r="AE15" t="b" cm="1">
        <f t="array" ref="AE15">INDEX($B$1:$W$193,MATCH(AE$1,$B$1:$B$193,0),MATCH(1,($B$1:$W$1=$AB15)*($B$2:$W$2=$AC15),0))</f>
        <v>1</v>
      </c>
      <c r="AF15" t="b" cm="1">
        <f t="array" ref="AF15">INDEX($B$1:$W$193,MATCH(AF$1,$B$1:$B$193,0),MATCH(1,($B$1:$W$1=$AB15)*($B$2:$W$2=$AC15),0))</f>
        <v>1</v>
      </c>
      <c r="AG15" t="b" cm="1">
        <f t="array" ref="AG15">INDEX($B$1:$W$193,MATCH(AG$1,$B$1:$B$193,0),MATCH(1,($B$1:$W$1=$AB15)*($B$2:$W$2=$AC15),0))</f>
        <v>1</v>
      </c>
      <c r="AH15" t="b" cm="1">
        <f t="array" ref="AH15">INDEX($B$1:$W$193,MATCH(AH$1,$B$1:$B$193,0),MATCH(1,($B$1:$W$1=$AB15)*($B$2:$W$2=$AC15),0))</f>
        <v>1</v>
      </c>
      <c r="AI15" t="b" cm="1">
        <f t="array" ref="AI15">INDEX($B$1:$W$193,MATCH(AI$1,$B$1:$B$193,0),MATCH(1,($B$1:$W$1=$AB15)*($B$2:$W$2=$AC15),0))</f>
        <v>1</v>
      </c>
      <c r="AJ15" t="b" cm="1">
        <f t="array" ref="AJ15">INDEX($B$1:$W$193,MATCH(AJ$1,$B$1:$B$193,0),MATCH(1,($B$1:$W$1=$AB15)*($B$2:$W$2=$AC15),0))</f>
        <v>1</v>
      </c>
      <c r="AK15" t="b" cm="1">
        <f t="array" ref="AK15">INDEX($B$1:$W$193,MATCH(AK$1,$B$1:$B$193,0),MATCH(1,($B$1:$W$1=$AB15)*($B$2:$W$2=$AC15),0))</f>
        <v>1</v>
      </c>
      <c r="AL15" t="b" cm="1">
        <f t="array" ref="AL15">INDEX($B$1:$W$193,MATCH(AL$1,$B$1:$B$193,0),MATCH(1,($B$1:$W$1=$AB15)*($B$2:$W$2=$AC15),0))</f>
        <v>1</v>
      </c>
      <c r="AM15" t="b" cm="1">
        <f t="array" ref="AM15">INDEX($B$1:$W$193,MATCH(AM$1,$B$1:$B$193,0),MATCH(1,($B$1:$W$1=$AB15)*($B$2:$W$2=$AC15),0))</f>
        <v>1</v>
      </c>
      <c r="AN15" t="b" cm="1">
        <f t="array" ref="AN15">INDEX($B$1:$W$193,MATCH(AN$1,$B$1:$B$193,0),MATCH(1,($B$1:$W$1=$AB15)*($B$2:$W$2=$AC15),0))</f>
        <v>1</v>
      </c>
      <c r="AO15" t="b" cm="1">
        <f t="array" ref="AO15">INDEX($B$1:$W$193,MATCH(AO$1,$B$1:$B$193,0),MATCH(1,($B$1:$W$1=$AB15)*($B$2:$W$2=$AC15),0))</f>
        <v>1</v>
      </c>
      <c r="AP15" t="b" cm="1">
        <f t="array" ref="AP15">INDEX($B$1:$W$193,MATCH(AP$1,$B$1:$B$193,0),MATCH(1,($B$1:$W$1=$AB15)*($B$2:$W$2=$AC15),0))</f>
        <v>1</v>
      </c>
      <c r="AQ15" t="b" cm="1">
        <f t="array" ref="AQ15">INDEX($B$1:$W$193,MATCH(AQ$1,$B$1:$B$193,0),MATCH(1,($B$1:$W$1=$AB15)*($B$2:$W$2=$AC15),0))</f>
        <v>1</v>
      </c>
      <c r="AR15" t="b" cm="1">
        <f t="array" ref="AR15">INDEX($B$1:$W$193,MATCH(AR$1,$B$1:$B$193,0),MATCH(1,($B$1:$W$1=$AB15)*($B$2:$W$2=$AC15),0))</f>
        <v>1</v>
      </c>
      <c r="AS15" t="b" cm="1">
        <f t="array" ref="AS15">INDEX($B$1:$W$193,MATCH(AS$1,$B$1:$B$193,0),MATCH(1,($B$1:$W$1=$AB15)*($B$2:$W$2=$AC15),0))</f>
        <v>1</v>
      </c>
      <c r="AT15" t="b" cm="1">
        <f t="array" ref="AT15">INDEX($B$1:$W$193,MATCH(AT$1,$B$1:$B$193,0),MATCH(1,($B$1:$W$1=$AB15)*($B$2:$W$2=$AC15),0))</f>
        <v>1</v>
      </c>
      <c r="AU15" t="b" cm="1">
        <f t="array" ref="AU15">INDEX($B$1:$W$193,MATCH(AU$1,$B$1:$B$193,0),MATCH(1,($B$1:$W$1=$AB15)*($B$2:$W$2=$AC15),0))</f>
        <v>1</v>
      </c>
      <c r="AV15" t="b" cm="1">
        <f t="array" ref="AV15">INDEX($B$1:$W$193,MATCH(AV$1,$B$1:$B$193,0),MATCH(1,($B$1:$W$1=$AB15)*($B$2:$W$2=$AC15),0))</f>
        <v>1</v>
      </c>
      <c r="AW15" t="b" cm="1">
        <f t="array" ref="AW15">INDEX($B$1:$W$193,MATCH(AW$1,$B$1:$B$193,0),MATCH(1,($B$1:$W$1=$AB15)*($B$2:$W$2=$AC15),0))</f>
        <v>1</v>
      </c>
      <c r="AX15" t="b" cm="1">
        <f t="array" ref="AX15">INDEX($B$1:$W$193,MATCH(AX$1,$B$1:$B$193,0),MATCH(1,($B$1:$W$1=$AB15)*($B$2:$W$2=$AC15),0))</f>
        <v>1</v>
      </c>
      <c r="AY15" t="b" cm="1">
        <f t="array" ref="AY15">INDEX($B$1:$W$193,MATCH(AY$1,$B$1:$B$193,0),MATCH(1,($B$1:$W$1=$AB15)*($B$2:$W$2=$AC15),0))</f>
        <v>1</v>
      </c>
      <c r="AZ15" t="b" cm="1">
        <f t="array" ref="AZ15">INDEX($B$1:$W$193,MATCH(AZ$1,$B$1:$B$193,0),MATCH(1,($B$1:$W$1=$AB15)*($B$2:$W$2=$AC15),0))</f>
        <v>1</v>
      </c>
      <c r="BA15" t="b" cm="1">
        <f t="array" ref="BA15">INDEX($B$1:$W$193,MATCH(BA$1,$B$1:$B$193,0),MATCH(1,($B$1:$W$1=$AB15)*($B$2:$W$2=$AC15),0))</f>
        <v>1</v>
      </c>
      <c r="BB15" t="b" cm="1">
        <f t="array" ref="BB15">INDEX($B$1:$W$193,MATCH(BB$1,$B$1:$B$193,0),MATCH(1,($B$1:$W$1=$AB15)*($B$2:$W$2=$AC15),0))</f>
        <v>1</v>
      </c>
      <c r="BC15" t="b" cm="1">
        <f t="array" ref="BC15">INDEX($B$1:$W$193,MATCH(BC$1,$B$1:$B$193,0),MATCH(1,($B$1:$W$1=$AB15)*($B$2:$W$2=$AC15),0))</f>
        <v>1</v>
      </c>
      <c r="BD15" t="b" cm="1">
        <f t="array" ref="BD15">INDEX($B$1:$W$193,MATCH(BD$1,$B$1:$B$193,0),MATCH(1,($B$1:$W$1=$AB15)*($B$2:$W$2=$AC15),0))</f>
        <v>1</v>
      </c>
      <c r="BE15" t="b" cm="1">
        <f t="array" ref="BE15">INDEX($B$1:$W$193,MATCH(BE$1,$B$1:$B$193,0),MATCH(1,($B$1:$W$1=$AB15)*($B$2:$W$2=$AC15),0))</f>
        <v>1</v>
      </c>
      <c r="BF15" t="b" cm="1">
        <f t="array" ref="BF15">INDEX($B$1:$W$193,MATCH(BF$1,$B$1:$B$193,0),MATCH(1,($B$1:$W$1=$AB15)*($B$2:$W$2=$AC15),0))</f>
        <v>0</v>
      </c>
      <c r="BG15" t="b" cm="1">
        <f t="array" ref="BG15">INDEX($B$1:$W$193,MATCH(BG$1,$B$1:$B$193,0),MATCH(1,($B$1:$W$1=$AB15)*($B$2:$W$2=$AC15),0))</f>
        <v>0</v>
      </c>
      <c r="BH15" t="b" cm="1">
        <f t="array" ref="BH15">INDEX($B$1:$W$193,MATCH(BH$1,$B$1:$B$193,0),MATCH(1,($B$1:$W$1=$AB15)*($B$2:$W$2=$AC15),0))</f>
        <v>1</v>
      </c>
      <c r="BI15" t="b" cm="1">
        <f t="array" ref="BI15">INDEX($B$1:$W$193,MATCH(BI$1,$B$1:$B$193,0),MATCH(1,($B$1:$W$1=$AB15)*($B$2:$W$2=$AC15),0))</f>
        <v>1</v>
      </c>
      <c r="BJ15" t="b" cm="1">
        <f t="array" ref="BJ15">INDEX($B$1:$W$193,MATCH(BJ$1,$B$1:$B$193,0),MATCH(1,($B$1:$W$1=$AB15)*($B$2:$W$2=$AC15),0))</f>
        <v>1</v>
      </c>
      <c r="BK15" t="b" cm="1">
        <f t="array" ref="BK15">INDEX($B$1:$W$193,MATCH(BK$1,$B$1:$B$193,0),MATCH(1,($B$1:$W$1=$AB15)*($B$2:$W$2=$AC15),0))</f>
        <v>1</v>
      </c>
      <c r="BL15" t="b" cm="1">
        <f t="array" ref="BL15">INDEX($B$1:$W$193,MATCH(BL$1,$B$1:$B$193,0),MATCH(1,($B$1:$W$1=$AB15)*($B$2:$W$2=$AC15),0))</f>
        <v>1</v>
      </c>
      <c r="BM15" t="b" cm="1">
        <f t="array" ref="BM15">INDEX($B$1:$W$193,MATCH(BM$1,$B$1:$B$193,0),MATCH(1,($B$1:$W$1=$AB15)*($B$2:$W$2=$AC15),0))</f>
        <v>1</v>
      </c>
      <c r="BN15" t="b" cm="1">
        <f t="array" ref="BN15">INDEX($B$1:$W$193,MATCH(BN$1,$B$1:$B$193,0),MATCH(1,($B$1:$W$1=$AB15)*($B$2:$W$2=$AC15),0))</f>
        <v>1</v>
      </c>
      <c r="BO15" t="b" cm="1">
        <f t="array" ref="BO15">INDEX($B$1:$W$193,MATCH(BO$1,$B$1:$B$193,0),MATCH(1,($B$1:$W$1=$AB15)*($B$2:$W$2=$AC15),0))</f>
        <v>1</v>
      </c>
      <c r="BP15" t="b" cm="1">
        <f t="array" ref="BP15">INDEX($B$1:$W$193,MATCH(BP$1,$B$1:$B$193,0),MATCH(1,($B$1:$W$1=$AB15)*($B$2:$W$2=$AC15),0))</f>
        <v>1</v>
      </c>
      <c r="BQ15" t="b" cm="1">
        <f t="array" ref="BQ15">INDEX($B$1:$W$193,MATCH(BQ$1,$B$1:$B$193,0),MATCH(1,($B$1:$W$1=$AB15)*($B$2:$W$2=$AC15),0))</f>
        <v>1</v>
      </c>
      <c r="BR15" t="b" cm="1">
        <f t="array" ref="BR15">INDEX($B$1:$W$193,MATCH(BR$1,$B$1:$B$193,0),MATCH(1,($B$1:$W$1=$AB15)*($B$2:$W$2=$AC15),0))</f>
        <v>1</v>
      </c>
      <c r="BS15" t="b" cm="1">
        <f t="array" ref="BS15">INDEX($B$1:$W$193,MATCH(BS$1,$B$1:$B$193,0),MATCH(1,($B$1:$W$1=$AB15)*($B$2:$W$2=$AC15),0))</f>
        <v>1</v>
      </c>
      <c r="BT15" t="b" cm="1">
        <f t="array" ref="BT15">INDEX($B$1:$W$193,MATCH(BT$1,$B$1:$B$193,0),MATCH(1,($B$1:$W$1=$AB15)*($B$2:$W$2=$AC15),0))</f>
        <v>1</v>
      </c>
      <c r="BU15" t="b" cm="1">
        <f t="array" ref="BU15">INDEX($B$1:$W$193,MATCH(BU$1,$B$1:$B$193,0),MATCH(1,($B$1:$W$1=$AB15)*($B$2:$W$2=$AC15),0))</f>
        <v>1</v>
      </c>
      <c r="BV15" t="b" cm="1">
        <f t="array" ref="BV15">INDEX($B$1:$W$193,MATCH(BV$1,$B$1:$B$193,0),MATCH(1,($B$1:$W$1=$AB15)*($B$2:$W$2=$AC15),0))</f>
        <v>1</v>
      </c>
      <c r="BW15" t="b" cm="1">
        <f t="array" ref="BW15">INDEX($B$1:$W$193,MATCH(BW$1,$B$1:$B$193,0),MATCH(1,($B$1:$W$1=$AB15)*($B$2:$W$2=$AC15),0))</f>
        <v>1</v>
      </c>
      <c r="BX15" t="b" cm="1">
        <f t="array" ref="BX15">INDEX($B$1:$W$193,MATCH(BX$1,$B$1:$B$193,0),MATCH(1,($B$1:$W$1=$AB15)*($B$2:$W$2=$AC15),0))</f>
        <v>1</v>
      </c>
      <c r="BY15" t="b" cm="1">
        <f t="array" ref="BY15">INDEX($B$1:$W$193,MATCH(BY$1,$B$1:$B$193,0),MATCH(1,($B$1:$W$1=$AB15)*($B$2:$W$2=$AC15),0))</f>
        <v>1</v>
      </c>
      <c r="BZ15" t="b" cm="1">
        <f t="array" ref="BZ15">INDEX($B$1:$W$193,MATCH(BZ$1,$B$1:$B$193,0),MATCH(1,($B$1:$W$1=$AB15)*($B$2:$W$2=$AC15),0))</f>
        <v>1</v>
      </c>
      <c r="CA15" t="b" cm="1">
        <f t="array" ref="CA15">INDEX($B$1:$W$193,MATCH(CA$1,$B$1:$B$193,0),MATCH(1,($B$1:$W$1=$AB15)*($B$2:$W$2=$AC15),0))</f>
        <v>1</v>
      </c>
      <c r="CB15" t="b" cm="1">
        <f t="array" ref="CB15">INDEX($B$1:$W$193,MATCH(CB$1,$B$1:$B$193,0),MATCH(1,($B$1:$W$1=$AB15)*($B$2:$W$2=$AC15),0))</f>
        <v>1</v>
      </c>
      <c r="CC15" t="b" cm="1">
        <f t="array" ref="CC15">INDEX($B$1:$W$193,MATCH(CC$1,$B$1:$B$193,0),MATCH(1,($B$1:$W$1=$AB15)*($B$2:$W$2=$AC15),0))</f>
        <v>1</v>
      </c>
      <c r="CD15" t="b" cm="1">
        <f t="array" ref="CD15">INDEX($B$1:$W$193,MATCH(CD$1,$B$1:$B$193,0),MATCH(1,($B$1:$W$1=$AB15)*($B$2:$W$2=$AC15),0))</f>
        <v>1</v>
      </c>
      <c r="CE15" t="b" cm="1">
        <f t="array" ref="CE15">INDEX($B$1:$W$193,MATCH(CE$1,$B$1:$B$193,0),MATCH(1,($B$1:$W$1=$AB15)*($B$2:$W$2=$AC15),0))</f>
        <v>1</v>
      </c>
      <c r="CF15" t="b" cm="1">
        <f t="array" ref="CF15">INDEX($B$1:$W$193,MATCH(CF$1,$B$1:$B$193,0),MATCH(1,($B$1:$W$1=$AB15)*($B$2:$W$2=$AC15),0))</f>
        <v>1</v>
      </c>
      <c r="CG15" t="b" cm="1">
        <f t="array" ref="CG15">INDEX($B$1:$W$193,MATCH(CG$1,$B$1:$B$193,0),MATCH(1,($B$1:$W$1=$AB15)*($B$2:$W$2=$AC15),0))</f>
        <v>1</v>
      </c>
      <c r="CH15" t="b" cm="1">
        <f t="array" ref="CH15">INDEX($B$1:$W$193,MATCH(CH$1,$B$1:$B$193,0),MATCH(1,($B$1:$W$1=$AB15)*($B$2:$W$2=$AC15),0))</f>
        <v>1</v>
      </c>
      <c r="CI15" t="b" cm="1">
        <f t="array" ref="CI15">INDEX($B$1:$W$193,MATCH(CI$1,$B$1:$B$193,0),MATCH(1,($B$1:$W$1=$AB15)*($B$2:$W$2=$AC15),0))</f>
        <v>1</v>
      </c>
      <c r="CJ15" t="b" cm="1">
        <f t="array" ref="CJ15">INDEX($B$1:$W$193,MATCH(CJ$1,$B$1:$B$193,0),MATCH(1,($B$1:$W$1=$AB15)*($B$2:$W$2=$AC15),0))</f>
        <v>1</v>
      </c>
      <c r="CK15" t="b" cm="1">
        <f t="array" ref="CK15">INDEX($B$1:$W$193,MATCH(CK$1,$B$1:$B$193,0),MATCH(1,($B$1:$W$1=$AB15)*($B$2:$W$2=$AC15),0))</f>
        <v>1</v>
      </c>
      <c r="CL15" t="b" cm="1">
        <f t="array" ref="CL15">INDEX($B$1:$W$193,MATCH(CL$1,$B$1:$B$193,0),MATCH(1,($B$1:$W$1=$AB15)*($B$2:$W$2=$AC15),0))</f>
        <v>1</v>
      </c>
      <c r="CM15" t="b" cm="1">
        <f t="array" ref="CM15">INDEX($B$1:$W$193,MATCH(CM$1,$B$1:$B$193,0),MATCH(1,($B$1:$W$1=$AB15)*($B$2:$W$2=$AC15),0))</f>
        <v>1</v>
      </c>
      <c r="CN15" t="b" cm="1">
        <f t="array" ref="CN15">INDEX($B$1:$W$193,MATCH(CN$1,$B$1:$B$193,0),MATCH(1,($B$1:$W$1=$AB15)*($B$2:$W$2=$AC15),0))</f>
        <v>1</v>
      </c>
      <c r="CO15" t="b" cm="1">
        <f t="array" ref="CO15">INDEX($B$1:$W$193,MATCH(CO$1,$B$1:$B$193,0),MATCH(1,($B$1:$W$1=$AB15)*($B$2:$W$2=$AC15),0))</f>
        <v>1</v>
      </c>
      <c r="CP15" t="b" cm="1">
        <f t="array" ref="CP15">INDEX($B$1:$W$193,MATCH(CP$1,$B$1:$B$193,0),MATCH(1,($B$1:$W$1=$AB15)*($B$2:$W$2=$AC15),0))</f>
        <v>1</v>
      </c>
      <c r="CQ15" t="b" cm="1">
        <f t="array" ref="CQ15">INDEX($B$1:$W$193,MATCH(CQ$1,$B$1:$B$193,0),MATCH(1,($B$1:$W$1=$AB15)*($B$2:$W$2=$AC15),0))</f>
        <v>1</v>
      </c>
      <c r="CR15" t="b" cm="1">
        <f t="array" ref="CR15">INDEX($B$1:$W$193,MATCH(CR$1,$B$1:$B$193,0),MATCH(1,($B$1:$W$1=$AB15)*($B$2:$W$2=$AC15),0))</f>
        <v>1</v>
      </c>
      <c r="CS15" t="b" cm="1">
        <f t="array" ref="CS15">INDEX($B$1:$W$193,MATCH(CS$1,$B$1:$B$193,0),MATCH(1,($B$1:$W$1=$AB15)*($B$2:$W$2=$AC15),0))</f>
        <v>1</v>
      </c>
      <c r="CT15" t="b" cm="1">
        <f t="array" ref="CT15">INDEX($B$1:$W$193,MATCH(CT$1,$B$1:$B$193,0),MATCH(1,($B$1:$W$1=$AB15)*($B$2:$W$2=$AC15),0))</f>
        <v>1</v>
      </c>
      <c r="CU15" t="b" cm="1">
        <f t="array" ref="CU15">INDEX($B$1:$W$193,MATCH(CU$1,$B$1:$B$193,0),MATCH(1,($B$1:$W$1=$AB15)*($B$2:$W$2=$AC15),0))</f>
        <v>1</v>
      </c>
      <c r="CV15" t="b" cm="1">
        <f t="array" ref="CV15">INDEX($B$1:$W$193,MATCH(CV$1,$B$1:$B$193,0),MATCH(1,($B$1:$W$1=$AB15)*($B$2:$W$2=$AC15),0))</f>
        <v>1</v>
      </c>
      <c r="CW15" t="b" cm="1">
        <f t="array" ref="CW15">INDEX($B$1:$W$193,MATCH(CW$1,$B$1:$B$193,0),MATCH(1,($B$1:$W$1=$AB15)*($B$2:$W$2=$AC15),0))</f>
        <v>1</v>
      </c>
      <c r="CX15" t="b" cm="1">
        <f t="array" ref="CX15">INDEX($B$1:$W$193,MATCH(CX$1,$B$1:$B$193,0),MATCH(1,($B$1:$W$1=$AB15)*($B$2:$W$2=$AC15),0))</f>
        <v>1</v>
      </c>
      <c r="CY15" t="b" cm="1">
        <f t="array" ref="CY15">INDEX($B$1:$W$193,MATCH(CY$1,$B$1:$B$193,0),MATCH(1,($B$1:$W$1=$AB15)*($B$2:$W$2=$AC15),0))</f>
        <v>1</v>
      </c>
      <c r="CZ15" t="b" cm="1">
        <f t="array" ref="CZ15">INDEX($B$1:$W$193,MATCH(CZ$1,$B$1:$B$193,0),MATCH(1,($B$1:$W$1=$AB15)*($B$2:$W$2=$AC15),0))</f>
        <v>1</v>
      </c>
      <c r="DA15" t="b" cm="1">
        <f t="array" ref="DA15">INDEX($B$1:$W$193,MATCH(DA$1,$B$1:$B$193,0),MATCH(1,($B$1:$W$1=$AB15)*($B$2:$W$2=$AC15),0))</f>
        <v>1</v>
      </c>
      <c r="DB15" t="b" cm="1">
        <f t="array" ref="DB15">INDEX($B$1:$W$193,MATCH(DB$1,$B$1:$B$193,0),MATCH(1,($B$1:$W$1=$AB15)*($B$2:$W$2=$AC15),0))</f>
        <v>1</v>
      </c>
      <c r="DC15" t="b" cm="1">
        <f t="array" ref="DC15">INDEX($B$1:$W$193,MATCH(DC$1,$B$1:$B$193,0),MATCH(1,($B$1:$W$1=$AB15)*($B$2:$W$2=$AC15),0))</f>
        <v>1</v>
      </c>
      <c r="DD15" t="b" cm="1">
        <f t="array" ref="DD15">INDEX($B$1:$W$193,MATCH(DD$1,$B$1:$B$193,0),MATCH(1,($B$1:$W$1=$AB15)*($B$2:$W$2=$AC15),0))</f>
        <v>1</v>
      </c>
      <c r="DE15" t="b" cm="1">
        <f t="array" ref="DE15">INDEX($B$1:$W$193,MATCH(DE$1,$B$1:$B$193,0),MATCH(1,($B$1:$W$1=$AB15)*($B$2:$W$2=$AC15),0))</f>
        <v>1</v>
      </c>
      <c r="DF15" t="b" cm="1">
        <f t="array" ref="DF15">INDEX($B$1:$W$193,MATCH(DF$1,$B$1:$B$193,0),MATCH(1,($B$1:$W$1=$AB15)*($B$2:$W$2=$AC15),0))</f>
        <v>1</v>
      </c>
      <c r="DG15" t="b" cm="1">
        <f t="array" ref="DG15">INDEX($B$1:$W$193,MATCH(DG$1,$B$1:$B$193,0),MATCH(1,($B$1:$W$1=$AB15)*($B$2:$W$2=$AC15),0))</f>
        <v>1</v>
      </c>
      <c r="DH15" t="b" cm="1">
        <f t="array" ref="DH15">INDEX($B$1:$W$193,MATCH(DH$1,$B$1:$B$193,0),MATCH(1,($B$1:$W$1=$AB15)*($B$2:$W$2=$AC15),0))</f>
        <v>1</v>
      </c>
      <c r="DI15" t="b" cm="1">
        <f t="array" ref="DI15">INDEX($B$1:$W$193,MATCH(DI$1,$B$1:$B$193,0),MATCH(1,($B$1:$W$1=$AB15)*($B$2:$W$2=$AC15),0))</f>
        <v>1</v>
      </c>
      <c r="DJ15" t="b" cm="1">
        <f t="array" ref="DJ15">INDEX($B$1:$W$193,MATCH(DJ$1,$B$1:$B$193,0),MATCH(1,($B$1:$W$1=$AB15)*($B$2:$W$2=$AC15),0))</f>
        <v>1</v>
      </c>
      <c r="DK15" t="b" cm="1">
        <f t="array" ref="DK15">INDEX($B$1:$W$193,MATCH(DK$1,$B$1:$B$193,0),MATCH(1,($B$1:$W$1=$AB15)*($B$2:$W$2=$AC15),0))</f>
        <v>1</v>
      </c>
      <c r="DL15" t="b" cm="1">
        <f t="array" ref="DL15">INDEX($B$1:$W$193,MATCH(DL$1,$B$1:$B$193,0),MATCH(1,($B$1:$W$1=$AB15)*($B$2:$W$2=$AC15),0))</f>
        <v>1</v>
      </c>
      <c r="DM15" t="b" cm="1">
        <f t="array" ref="DM15">INDEX($B$1:$W$193,MATCH(DM$1,$B$1:$B$193,0),MATCH(1,($B$1:$W$1=$AB15)*($B$2:$W$2=$AC15),0))</f>
        <v>1</v>
      </c>
      <c r="DN15" t="b" cm="1">
        <f t="array" ref="DN15">INDEX($B$1:$W$193,MATCH(DN$1,$B$1:$B$193,0),MATCH(1,($B$1:$W$1=$AB15)*($B$2:$W$2=$AC15),0))</f>
        <v>1</v>
      </c>
      <c r="DO15" t="b" cm="1">
        <f t="array" ref="DO15">INDEX($B$1:$W$193,MATCH(DO$1,$B$1:$B$193,0),MATCH(1,($B$1:$W$1=$AB15)*($B$2:$W$2=$AC15),0))</f>
        <v>1</v>
      </c>
      <c r="DP15" t="b" cm="1">
        <f t="array" ref="DP15">INDEX($B$1:$W$193,MATCH(DP$1,$B$1:$B$193,0),MATCH(1,($B$1:$W$1=$AB15)*($B$2:$W$2=$AC15),0))</f>
        <v>1</v>
      </c>
      <c r="DQ15" t="b" cm="1">
        <f t="array" ref="DQ15">INDEX($B$1:$W$193,MATCH(DQ$1,$B$1:$B$193,0),MATCH(1,($B$1:$W$1=$AB15)*($B$2:$W$2=$AC15),0))</f>
        <v>1</v>
      </c>
      <c r="DR15" t="b" cm="1">
        <f t="array" ref="DR15">INDEX($B$1:$W$193,MATCH(DR$1,$B$1:$B$193,0),MATCH(1,($B$1:$W$1=$AB15)*($B$2:$W$2=$AC15),0))</f>
        <v>1</v>
      </c>
      <c r="DS15" t="b" cm="1">
        <f t="array" ref="DS15">INDEX($B$1:$W$193,MATCH(DS$1,$B$1:$B$193,0),MATCH(1,($B$1:$W$1=$AB15)*($B$2:$W$2=$AC15),0))</f>
        <v>1</v>
      </c>
      <c r="DT15" t="b" cm="1">
        <f t="array" ref="DT15">INDEX($B$1:$W$193,MATCH(DT$1,$B$1:$B$193,0),MATCH(1,($B$1:$W$1=$AB15)*($B$2:$W$2=$AC15),0))</f>
        <v>1</v>
      </c>
      <c r="DU15" t="b" cm="1">
        <f t="array" ref="DU15">INDEX($B$1:$W$193,MATCH(DU$1,$B$1:$B$193,0),MATCH(1,($B$1:$W$1=$AB15)*($B$2:$W$2=$AC15),0))</f>
        <v>1</v>
      </c>
      <c r="DV15" t="b" cm="1">
        <f t="array" ref="DV15">INDEX($B$1:$W$193,MATCH(DV$1,$B$1:$B$193,0),MATCH(1,($B$1:$W$1=$AB15)*($B$2:$W$2=$AC15),0))</f>
        <v>1</v>
      </c>
      <c r="DW15" t="b" cm="1">
        <f t="array" ref="DW15">INDEX($B$1:$W$193,MATCH(DW$1,$B$1:$B$193,0),MATCH(1,($B$1:$W$1=$AB15)*($B$2:$W$2=$AC15),0))</f>
        <v>1</v>
      </c>
      <c r="DX15" t="b" cm="1">
        <f t="array" ref="DX15">INDEX($B$1:$W$193,MATCH(DX$1,$B$1:$B$193,0),MATCH(1,($B$1:$W$1=$AB15)*($B$2:$W$2=$AC15),0))</f>
        <v>1</v>
      </c>
      <c r="DY15" t="b" cm="1">
        <f t="array" ref="DY15">INDEX($B$1:$W$193,MATCH(DY$1,$B$1:$B$193,0),MATCH(1,($B$1:$W$1=$AB15)*($B$2:$W$2=$AC15),0))</f>
        <v>1</v>
      </c>
      <c r="DZ15" t="b" cm="1">
        <f t="array" ref="DZ15">INDEX($B$1:$W$193,MATCH(DZ$1,$B$1:$B$193,0),MATCH(1,($B$1:$W$1=$AB15)*($B$2:$W$2=$AC15),0))</f>
        <v>1</v>
      </c>
      <c r="EA15" t="b" cm="1">
        <f t="array" ref="EA15">INDEX($B$1:$W$193,MATCH(EA$1,$B$1:$B$193,0),MATCH(1,($B$1:$W$1=$AB15)*($B$2:$W$2=$AC15),0))</f>
        <v>1</v>
      </c>
      <c r="EB15" t="b" cm="1">
        <f t="array" ref="EB15">INDEX($B$1:$W$193,MATCH(EB$1,$B$1:$B$193,0),MATCH(1,($B$1:$W$1=$AB15)*($B$2:$W$2=$AC15),0))</f>
        <v>1</v>
      </c>
      <c r="EC15" t="b" cm="1">
        <f t="array" ref="EC15">INDEX($B$1:$W$193,MATCH(EC$1,$B$1:$B$193,0),MATCH(1,($B$1:$W$1=$AB15)*($B$2:$W$2=$AC15),0))</f>
        <v>1</v>
      </c>
      <c r="ED15" t="b" cm="1">
        <f t="array" ref="ED15">INDEX($B$1:$W$193,MATCH(ED$1,$B$1:$B$193,0),MATCH(1,($B$1:$W$1=$AB15)*($B$2:$W$2=$AC15),0))</f>
        <v>1</v>
      </c>
      <c r="EE15" t="b" cm="1">
        <f t="array" ref="EE15">INDEX($B$1:$W$193,MATCH(EE$1,$B$1:$B$193,0),MATCH(1,($B$1:$W$1=$AB15)*($B$2:$W$2=$AC15),0))</f>
        <v>1</v>
      </c>
      <c r="EF15" t="b" cm="1">
        <f t="array" ref="EF15">INDEX($B$1:$W$193,MATCH(EF$1,$B$1:$B$193,0),MATCH(1,($B$1:$W$1=$AB15)*($B$2:$W$2=$AC15),0))</f>
        <v>1</v>
      </c>
      <c r="EG15" t="b" cm="1">
        <f t="array" ref="EG15">INDEX($B$1:$W$193,MATCH(EG$1,$B$1:$B$193,0),MATCH(1,($B$1:$W$1=$AB15)*($B$2:$W$2=$AC15),0))</f>
        <v>1</v>
      </c>
      <c r="EH15" t="b" cm="1">
        <f t="array" ref="EH15">INDEX($B$1:$W$193,MATCH(EH$1,$B$1:$B$193,0),MATCH(1,($B$1:$W$1=$AB15)*($B$2:$W$2=$AC15),0))</f>
        <v>1</v>
      </c>
      <c r="EI15" t="b" cm="1">
        <f t="array" ref="EI15">INDEX($B$1:$W$193,MATCH(EI$1,$B$1:$B$193,0),MATCH(1,($B$1:$W$1=$AB15)*($B$2:$W$2=$AC15),0))</f>
        <v>1</v>
      </c>
      <c r="EJ15" t="b" cm="1">
        <f t="array" ref="EJ15">INDEX($B$1:$W$193,MATCH(EJ$1,$B$1:$B$193,0),MATCH(1,($B$1:$W$1=$AB15)*($B$2:$W$2=$AC15),0))</f>
        <v>1</v>
      </c>
      <c r="EK15" t="b" cm="1">
        <f t="array" ref="EK15">INDEX($B$1:$W$193,MATCH(EK$1,$B$1:$B$193,0),MATCH(1,($B$1:$W$1=$AB15)*($B$2:$W$2=$AC15),0))</f>
        <v>1</v>
      </c>
      <c r="EL15" t="b" cm="1">
        <f t="array" ref="EL15">INDEX($B$1:$W$193,MATCH(EL$1,$B$1:$B$193,0),MATCH(1,($B$1:$W$1=$AB15)*($B$2:$W$2=$AC15),0))</f>
        <v>0</v>
      </c>
      <c r="EM15" t="b" cm="1">
        <f t="array" ref="EM15">INDEX($B$1:$W$193,MATCH(EM$1,$B$1:$B$193,0),MATCH(1,($B$1:$W$1=$AB15)*($B$2:$W$2=$AC15),0))</f>
        <v>0</v>
      </c>
      <c r="EN15" t="b" cm="1">
        <f t="array" ref="EN15">INDEX($B$1:$W$193,MATCH(EN$1,$B$1:$B$193,0),MATCH(1,($B$1:$W$1=$AB15)*($B$2:$W$2=$AC15),0))</f>
        <v>1</v>
      </c>
      <c r="EO15" t="b" cm="1">
        <f t="array" ref="EO15">INDEX($B$1:$W$193,MATCH(EO$1,$B$1:$B$193,0),MATCH(1,($B$1:$W$1=$AB15)*($B$2:$W$2=$AC15),0))</f>
        <v>1</v>
      </c>
      <c r="EP15" t="b" cm="1">
        <f t="array" ref="EP15">INDEX($B$1:$W$193,MATCH(EP$1,$B$1:$B$193,0),MATCH(1,($B$1:$W$1=$AB15)*($B$2:$W$2=$AC15),0))</f>
        <v>1</v>
      </c>
      <c r="EQ15" t="b" cm="1">
        <f t="array" ref="EQ15">INDEX($B$1:$W$193,MATCH(EQ$1,$B$1:$B$193,0),MATCH(1,($B$1:$W$1=$AB15)*($B$2:$W$2=$AC15),0))</f>
        <v>1</v>
      </c>
      <c r="ER15" t="b" cm="1">
        <f t="array" ref="ER15">INDEX($B$1:$W$193,MATCH(ER$1,$B$1:$B$193,0),MATCH(1,($B$1:$W$1=$AB15)*($B$2:$W$2=$AC15),0))</f>
        <v>1</v>
      </c>
      <c r="ES15" t="b" cm="1">
        <f t="array" ref="ES15">INDEX($B$1:$W$193,MATCH(ES$1,$B$1:$B$193,0),MATCH(1,($B$1:$W$1=$AB15)*($B$2:$W$2=$AC15),0))</f>
        <v>1</v>
      </c>
      <c r="ET15" t="b" cm="1">
        <f t="array" ref="ET15">INDEX($B$1:$W$193,MATCH(ET$1,$B$1:$B$193,0),MATCH(1,($B$1:$W$1=$AB15)*($B$2:$W$2=$AC15),0))</f>
        <v>0</v>
      </c>
      <c r="EU15" t="b" cm="1">
        <f t="array" ref="EU15">INDEX($B$1:$W$193,MATCH(EU$1,$B$1:$B$193,0),MATCH(1,($B$1:$W$1=$AB15)*($B$2:$W$2=$AC15),0))</f>
        <v>0</v>
      </c>
      <c r="EV15" t="b" cm="1">
        <f t="array" ref="EV15">INDEX($B$1:$W$193,MATCH(EV$1,$B$1:$B$193,0),MATCH(1,($B$1:$W$1=$AB15)*($B$2:$W$2=$AC15),0))</f>
        <v>0</v>
      </c>
      <c r="EW15" t="b" cm="1">
        <f t="array" ref="EW15">INDEX($B$1:$W$193,MATCH(EW$1,$B$1:$B$193,0),MATCH(1,($B$1:$W$1=$AB15)*($B$2:$W$2=$AC15),0))</f>
        <v>0</v>
      </c>
      <c r="EX15" t="b" cm="1">
        <f t="array" ref="EX15">INDEX($B$1:$W$193,MATCH(EX$1,$B$1:$B$193,0),MATCH(1,($B$1:$W$1=$AB15)*($B$2:$W$2=$AC15),0))</f>
        <v>0</v>
      </c>
      <c r="EY15" t="b" cm="1">
        <f t="array" ref="EY15">INDEX($B$1:$W$193,MATCH(EY$1,$B$1:$B$193,0),MATCH(1,($B$1:$W$1=$AB15)*($B$2:$W$2=$AC15),0))</f>
        <v>0</v>
      </c>
      <c r="EZ15" t="b" cm="1">
        <f t="array" ref="EZ15">INDEX($B$1:$W$193,MATCH(EZ$1,$B$1:$B$193,0),MATCH(1,($B$1:$W$1=$AB15)*($B$2:$W$2=$AC15),0))</f>
        <v>0</v>
      </c>
      <c r="FA15" t="b" cm="1">
        <f t="array" ref="FA15">INDEX($B$1:$W$193,MATCH(FA$1,$B$1:$B$193,0),MATCH(1,($B$1:$W$1=$AB15)*($B$2:$W$2=$AC15),0))</f>
        <v>0</v>
      </c>
      <c r="FB15" t="b" cm="1">
        <f t="array" ref="FB15">INDEX($B$1:$W$193,MATCH(FB$1,$B$1:$B$193,0),MATCH(1,($B$1:$W$1=$AB15)*($B$2:$W$2=$AC15),0))</f>
        <v>0</v>
      </c>
      <c r="FC15" t="b" cm="1">
        <f t="array" ref="FC15">INDEX($B$1:$W$193,MATCH(FC$1,$B$1:$B$193,0),MATCH(1,($B$1:$W$1=$AB15)*($B$2:$W$2=$AC15),0))</f>
        <v>0</v>
      </c>
      <c r="FD15" t="b" cm="1">
        <f t="array" ref="FD15">INDEX($B$1:$W$193,MATCH(FD$1,$B$1:$B$193,0),MATCH(1,($B$1:$W$1=$AB15)*($B$2:$W$2=$AC15),0))</f>
        <v>0</v>
      </c>
      <c r="FE15" t="b" cm="1">
        <f t="array" ref="FE15">INDEX($B$1:$W$193,MATCH(FE$1,$B$1:$B$193,0),MATCH(1,($B$1:$W$1=$AB15)*($B$2:$W$2=$AC15),0))</f>
        <v>0</v>
      </c>
      <c r="FF15" t="b" cm="1">
        <f t="array" ref="FF15">INDEX($B$1:$W$193,MATCH(FF$1,$B$1:$B$193,0),MATCH(1,($B$1:$W$1=$AB15)*($B$2:$W$2=$AC15),0))</f>
        <v>0</v>
      </c>
      <c r="FG15" t="b" cm="1">
        <f t="array" ref="FG15">INDEX($B$1:$W$193,MATCH(FG$1,$B$1:$B$193,0),MATCH(1,($B$1:$W$1=$AB15)*($B$2:$W$2=$AC15),0))</f>
        <v>0</v>
      </c>
      <c r="FH15" t="b" cm="1">
        <f t="array" ref="FH15">INDEX($B$1:$W$193,MATCH(FH$1,$B$1:$B$193,0),MATCH(1,($B$1:$W$1=$AB15)*($B$2:$W$2=$AC15),0))</f>
        <v>0</v>
      </c>
      <c r="FI15" t="b" cm="1">
        <f t="array" ref="FI15">INDEX($B$1:$W$193,MATCH(FI$1,$B$1:$B$193,0),MATCH(1,($B$1:$W$1=$AB15)*($B$2:$W$2=$AC15),0))</f>
        <v>0</v>
      </c>
      <c r="FJ15" t="b" cm="1">
        <f t="array" ref="FJ15">INDEX($B$1:$W$193,MATCH(FJ$1,$B$1:$B$193,0),MATCH(1,($B$1:$W$1=$AB15)*($B$2:$W$2=$AC15),0))</f>
        <v>0</v>
      </c>
      <c r="FK15" t="b" cm="1">
        <f t="array" ref="FK15">INDEX($B$1:$W$193,MATCH(FK$1,$B$1:$B$193,0),MATCH(1,($B$1:$W$1=$AB15)*($B$2:$W$2=$AC15),0))</f>
        <v>0</v>
      </c>
      <c r="FL15" t="b" cm="1">
        <f t="array" ref="FL15">INDEX($B$1:$W$193,MATCH(FL$1,$B$1:$B$193,0),MATCH(1,($B$1:$W$1=$AB15)*($B$2:$W$2=$AC15),0))</f>
        <v>0</v>
      </c>
      <c r="FM15" t="b" cm="1">
        <f t="array" ref="FM15">INDEX($B$1:$W$193,MATCH(FM$1,$B$1:$B$193,0),MATCH(1,($B$1:$W$1=$AB15)*($B$2:$W$2=$AC15),0))</f>
        <v>0</v>
      </c>
      <c r="FN15" t="b" cm="1">
        <f t="array" ref="FN15">INDEX($B$1:$W$193,MATCH(FN$1,$B$1:$B$193,0),MATCH(1,($B$1:$W$1=$AB15)*($B$2:$W$2=$AC15),0))</f>
        <v>0</v>
      </c>
      <c r="FO15" t="b" cm="1">
        <f t="array" ref="FO15">INDEX($B$1:$W$193,MATCH(FO$1,$B$1:$B$193,0),MATCH(1,($B$1:$W$1=$AB15)*($B$2:$W$2=$AC15),0))</f>
        <v>0</v>
      </c>
      <c r="FP15" t="b" cm="1">
        <f t="array" ref="FP15">INDEX($B$1:$W$193,MATCH(FP$1,$B$1:$B$193,0),MATCH(1,($B$1:$W$1=$AB15)*($B$2:$W$2=$AC15),0))</f>
        <v>0</v>
      </c>
      <c r="FQ15" t="b" cm="1">
        <f t="array" ref="FQ15">INDEX($B$1:$W$193,MATCH(FQ$1,$B$1:$B$193,0),MATCH(1,($B$1:$W$1=$AB15)*($B$2:$W$2=$AC15),0))</f>
        <v>0</v>
      </c>
      <c r="FR15" t="b" cm="1">
        <f t="array" ref="FR15">INDEX($B$1:$W$193,MATCH(FR$1,$B$1:$B$193,0),MATCH(1,($B$1:$W$1=$AB15)*($B$2:$W$2=$AC15),0))</f>
        <v>0</v>
      </c>
      <c r="FS15" t="b" cm="1">
        <f t="array" ref="FS15">INDEX($B$1:$W$193,MATCH(FS$1,$B$1:$B$193,0),MATCH(1,($B$1:$W$1=$AB15)*($B$2:$W$2=$AC15),0))</f>
        <v>0</v>
      </c>
      <c r="FT15" t="b" cm="1">
        <f t="array" ref="FT15">INDEX($B$1:$W$193,MATCH(FT$1,$B$1:$B$193,0),MATCH(1,($B$1:$W$1=$AB15)*($B$2:$W$2=$AC15),0))</f>
        <v>0</v>
      </c>
      <c r="FU15" t="b" cm="1">
        <f t="array" ref="FU15">INDEX($B$1:$W$193,MATCH(FU$1,$B$1:$B$193,0),MATCH(1,($B$1:$W$1=$AB15)*($B$2:$W$2=$AC15),0))</f>
        <v>0</v>
      </c>
      <c r="FV15" t="b" cm="1">
        <f t="array" ref="FV15">INDEX($B$1:$W$193,MATCH(FV$1,$B$1:$B$193,0),MATCH(1,($B$1:$W$1=$AB15)*($B$2:$W$2=$AC15),0))</f>
        <v>0</v>
      </c>
      <c r="FW15" t="b" cm="1">
        <f t="array" ref="FW15">INDEX($B$1:$W$193,MATCH(FW$1,$B$1:$B$193,0),MATCH(1,($B$1:$W$1=$AB15)*($B$2:$W$2=$AC15),0))</f>
        <v>0</v>
      </c>
      <c r="FX15" t="b" cm="1">
        <f t="array" ref="FX15">INDEX($B$1:$W$193,MATCH(FX$1,$B$1:$B$193,0),MATCH(1,($B$1:$W$1=$AB15)*($B$2:$W$2=$AC15),0))</f>
        <v>0</v>
      </c>
      <c r="FY15" t="b" cm="1">
        <f t="array" ref="FY15">INDEX($B$1:$W$193,MATCH(FY$1,$B$1:$B$193,0),MATCH(1,($B$1:$W$1=$AB15)*($B$2:$W$2=$AC15),0))</f>
        <v>0</v>
      </c>
      <c r="FZ15" t="b" cm="1">
        <f t="array" ref="FZ15">INDEX($B$1:$W$193,MATCH(FZ$1,$B$1:$B$193,0),MATCH(1,($B$1:$W$1=$AB15)*($B$2:$W$2=$AC15),0))</f>
        <v>0</v>
      </c>
      <c r="GA15" t="b" cm="1">
        <f t="array" ref="GA15">INDEX($B$1:$W$193,MATCH(GA$1,$B$1:$B$193,0),MATCH(1,($B$1:$W$1=$AB15)*($B$2:$W$2=$AC15),0))</f>
        <v>0</v>
      </c>
      <c r="GB15" t="b" cm="1">
        <f t="array" ref="GB15">INDEX($B$1:$W$193,MATCH(GB$1,$B$1:$B$193,0),MATCH(1,($B$1:$W$1=$AB15)*($B$2:$W$2=$AC15),0))</f>
        <v>0</v>
      </c>
      <c r="GC15" t="b" cm="1">
        <f t="array" ref="GC15">INDEX($B$1:$W$193,MATCH(GC$1,$B$1:$B$193,0),MATCH(1,($B$1:$W$1=$AB15)*($B$2:$W$2=$AC15),0))</f>
        <v>0</v>
      </c>
      <c r="GD15" t="b" cm="1">
        <f t="array" ref="GD15">INDEX($B$1:$W$193,MATCH(GD$1,$B$1:$B$193,0),MATCH(1,($B$1:$W$1=$AB15)*($B$2:$W$2=$AC15),0))</f>
        <v>0</v>
      </c>
      <c r="GE15" t="b" cm="1">
        <f t="array" ref="GE15">INDEX($B$1:$W$193,MATCH(GE$1,$B$1:$B$193,0),MATCH(1,($B$1:$W$1=$AB15)*($B$2:$W$2=$AC15),0))</f>
        <v>0</v>
      </c>
      <c r="GF15" t="b" cm="1">
        <f t="array" ref="GF15">INDEX($B$1:$W$193,MATCH(GF$1,$B$1:$B$193,0),MATCH(1,($B$1:$W$1=$AB15)*($B$2:$W$2=$AC15),0))</f>
        <v>0</v>
      </c>
      <c r="GG15" t="b" cm="1">
        <f t="array" ref="GG15">INDEX($B$1:$W$193,MATCH(GG$1,$B$1:$B$193,0),MATCH(1,($B$1:$W$1=$AB15)*($B$2:$W$2=$AC15),0))</f>
        <v>0</v>
      </c>
      <c r="GH15" t="b" cm="1">
        <f t="array" ref="GH15">INDEX($B$1:$W$193,MATCH(GH$1,$B$1:$B$193,0),MATCH(1,($B$1:$W$1=$AB15)*($B$2:$W$2=$AC15),0))</f>
        <v>0</v>
      </c>
      <c r="GI15" t="b" cm="1">
        <f t="array" ref="GI15">INDEX($B$1:$W$193,MATCH(GI$1,$B$1:$B$193,0),MATCH(1,($B$1:$W$1=$AB15)*($B$2:$W$2=$AC15),0))</f>
        <v>0</v>
      </c>
      <c r="GJ15" t="b" cm="1">
        <f t="array" ref="GJ15">INDEX($B$1:$W$193,MATCH(GJ$1,$B$1:$B$193,0),MATCH(1,($B$1:$W$1=$AB15)*($B$2:$W$2=$AC15),0))</f>
        <v>0</v>
      </c>
      <c r="GK15" t="b" cm="1">
        <f t="array" ref="GK15">INDEX($B$1:$W$193,MATCH(GK$1,$B$1:$B$193,0),MATCH(1,($B$1:$W$1=$AB15)*($B$2:$W$2=$AC15),0))</f>
        <v>0</v>
      </c>
      <c r="GL15" t="b" cm="1">
        <f t="array" ref="GL15">INDEX($B$1:$W$193,MATCH(GL$1,$B$1:$B$193,0),MATCH(1,($B$1:$W$1=$AB15)*($B$2:$W$2=$AC15),0))</f>
        <v>0</v>
      </c>
      <c r="GM15" t="b" cm="1">
        <f t="array" ref="GM15">INDEX($B$1:$W$193,MATCH(GM$1,$B$1:$B$193,0),MATCH(1,($B$1:$W$1=$AB15)*($B$2:$W$2=$AC15),0))</f>
        <v>0</v>
      </c>
      <c r="GN15" t="b" cm="1">
        <f t="array" ref="GN15">INDEX($B$1:$W$193,MATCH(GN$1,$B$1:$B$193,0),MATCH(1,($B$1:$W$1=$AB15)*($B$2:$W$2=$AC15),0))</f>
        <v>0</v>
      </c>
      <c r="GO15" t="b" cm="1">
        <f t="array" ref="GO15">INDEX($B$1:$W$193,MATCH(GO$1,$B$1:$B$193,0),MATCH(1,($B$1:$W$1=$AB15)*($B$2:$W$2=$AC15),0))</f>
        <v>0</v>
      </c>
      <c r="GP15" t="b" cm="1">
        <f t="array" ref="GP15">INDEX($B$1:$W$193,MATCH(GP$1,$B$1:$B$193,0),MATCH(1,($B$1:$W$1=$AB15)*($B$2:$W$2=$AC15),0))</f>
        <v>0</v>
      </c>
      <c r="GQ15" t="b" cm="1">
        <f t="array" ref="GQ15">INDEX($B$1:$W$193,MATCH(GQ$1,$B$1:$B$193,0),MATCH(1,($B$1:$W$1=$AB15)*($B$2:$W$2=$AC15),0))</f>
        <v>0</v>
      </c>
      <c r="GR15" t="b" cm="1">
        <f t="array" ref="GR15">INDEX($B$1:$W$193,MATCH(GR$1,$B$1:$B$193,0),MATCH(1,($B$1:$W$1=$AB15)*($B$2:$W$2=$AC15),0))</f>
        <v>0</v>
      </c>
      <c r="GS15" t="b" cm="1">
        <f t="array" ref="GS15">INDEX($B$1:$W$193,MATCH(GS$1,$B$1:$B$193,0),MATCH(1,($B$1:$W$1=$AB15)*($B$2:$W$2=$AC15),0))</f>
        <v>0</v>
      </c>
      <c r="GT15" t="b" cm="1">
        <f t="array" ref="GT15">INDEX($B$1:$W$193,MATCH(GT$1,$B$1:$B$193,0),MATCH(1,($B$1:$W$1=$AB15)*($B$2:$W$2=$AC15),0))</f>
        <v>0</v>
      </c>
      <c r="GU15" t="b" cm="1">
        <f t="array" ref="GU15">INDEX($B$1:$W$193,MATCH(GU$1,$B$1:$B$193,0),MATCH(1,($B$1:$W$1=$AB15)*($B$2:$W$2=$AC15),0))</f>
        <v>0</v>
      </c>
      <c r="GV15" t="b" cm="1">
        <f t="array" ref="GV15">INDEX($B$1:$W$193,MATCH(GV$1,$B$1:$B$193,0),MATCH(1,($B$1:$W$1=$AB15)*($B$2:$W$2=$AC15),0))</f>
        <v>0</v>
      </c>
      <c r="GW15" t="b" cm="1">
        <f t="array" ref="GW15">INDEX($B$1:$W$193,MATCH(GW$1,$B$1:$B$193,0),MATCH(1,($B$1:$W$1=$AB15)*($B$2:$W$2=$AC15),0))</f>
        <v>0</v>
      </c>
      <c r="GX15" t="b" cm="1">
        <f t="array" ref="GX15">INDEX($B$1:$W$193,MATCH(GX$1,$B$1:$B$193,0),MATCH(1,($B$1:$W$1=$AB15)*($B$2:$W$2=$AC15),0))</f>
        <v>0</v>
      </c>
      <c r="GY15" t="b" cm="1">
        <f t="array" ref="GY15">INDEX($B$1:$W$193,MATCH(GY$1,$B$1:$B$193,0),MATCH(1,($B$1:$W$1=$AB15)*($B$2:$W$2=$AC15),0))</f>
        <v>0</v>
      </c>
      <c r="GZ15" t="b" cm="1">
        <f t="array" ref="GZ15">INDEX($B$1:$W$193,MATCH(GZ$1,$B$1:$B$193,0),MATCH(1,($B$1:$W$1=$AB15)*($B$2:$W$2=$AC15),0))</f>
        <v>0</v>
      </c>
      <c r="HA15" t="b" cm="1">
        <f t="array" ref="HA15">INDEX($B$1:$W$193,MATCH(HA$1,$B$1:$B$193,0),MATCH(1,($B$1:$W$1=$AB15)*($B$2:$W$2=$AC15),0))</f>
        <v>0</v>
      </c>
      <c r="HB15" t="b" cm="1">
        <f t="array" ref="HB15">INDEX($B$1:$W$193,MATCH(HB$1,$B$1:$B$193,0),MATCH(1,($B$1:$W$1=$AB15)*($B$2:$W$2=$AC15),0))</f>
        <v>0</v>
      </c>
      <c r="HC15" t="b" cm="1">
        <f t="array" ref="HC15">INDEX($B$1:$W$193,MATCH(HC$1,$B$1:$B$193,0),MATCH(1,($B$1:$W$1=$AB15)*($B$2:$W$2=$AC15),0))</f>
        <v>0</v>
      </c>
      <c r="HD15" t="b" cm="1">
        <f t="array" ref="HD15">INDEX($B$1:$W$193,MATCH(HD$1,$B$1:$B$193,0),MATCH(1,($B$1:$W$1=$AB15)*($B$2:$W$2=$AC15),0))</f>
        <v>0</v>
      </c>
      <c r="HE15" t="b" cm="1">
        <f t="array" ref="HE15">INDEX($B$1:$W$193,MATCH(HE$1,$B$1:$B$193,0),MATCH(1,($B$1:$W$1=$AB15)*($B$2:$W$2=$AC15),0))</f>
        <v>0</v>
      </c>
      <c r="HF15" t="b" cm="1">
        <f t="array" ref="HF15">INDEX($B$1:$W$193,MATCH(HF$1,$B$1:$B$193,0),MATCH(1,($B$1:$W$1=$AB15)*($B$2:$W$2=$AC15),0))</f>
        <v>0</v>
      </c>
      <c r="HG15" t="b" cm="1">
        <f t="array" ref="HG15">INDEX($B$1:$W$193,MATCH(HG$1,$B$1:$B$193,0),MATCH(1,($B$1:$W$1=$AB15)*($B$2:$W$2=$AC15),0))</f>
        <v>0</v>
      </c>
      <c r="HH15" t="b" cm="1">
        <f t="array" ref="HH15">INDEX($B$1:$W$193,MATCH(HH$1,$B$1:$B$193,0),MATCH(1,($B$1:$W$1=$AB15)*($B$2:$W$2=$AC15),0))</f>
        <v>0</v>
      </c>
      <c r="HI15" t="b" cm="1">
        <f t="array" ref="HI15">INDEX($B$1:$W$193,MATCH(HI$1,$B$1:$B$193,0),MATCH(1,($B$1:$W$1=$AB15)*($B$2:$W$2=$AC15),0))</f>
        <v>0</v>
      </c>
      <c r="HJ15" t="b" cm="1">
        <f t="array" ref="HJ15">INDEX($B$1:$W$193,MATCH(HJ$1,$B$1:$B$193,0),MATCH(1,($B$1:$W$1=$AB15)*($B$2:$W$2=$AC15),0))</f>
        <v>0</v>
      </c>
      <c r="HK15" t="b" cm="1">
        <f t="array" ref="HK15">INDEX($B$1:$W$193,MATCH(HK$1,$B$1:$B$193,0),MATCH(1,($B$1:$W$1=$AB15)*($B$2:$W$2=$AC15),0))</f>
        <v>0</v>
      </c>
      <c r="HL15" t="b" cm="1">
        <f t="array" ref="HL15">INDEX($B$1:$W$193,MATCH(HL$1,$B$1:$B$193,0),MATCH(1,($B$1:$W$1=$AB15)*($B$2:$W$2=$AC15),0))</f>
        <v>0</v>
      </c>
      <c r="HM15" t="b" cm="1">
        <f t="array" ref="HM15">INDEX($B$1:$W$193,MATCH(HM$1,$B$1:$B$193,0),MATCH(1,($B$1:$W$1=$AB15)*($B$2:$W$2=$AC15),0))</f>
        <v>0</v>
      </c>
      <c r="HN15" t="b" cm="1">
        <f t="array" ref="HN15">INDEX($B$1:$W$193,MATCH(HN$1,$B$1:$B$193,0),MATCH(1,($B$1:$W$1=$AB15)*($B$2:$W$2=$AC15),0))</f>
        <v>0</v>
      </c>
      <c r="HO15" t="b" cm="1">
        <f t="array" ref="HO15">INDEX($B$1:$W$193,MATCH(HO$1,$B$1:$B$193,0),MATCH(1,($B$1:$W$1=$AB15)*($B$2:$W$2=$AC15),0))</f>
        <v>0</v>
      </c>
      <c r="HP15" t="b" cm="1">
        <f t="array" ref="HP15">INDEX($B$1:$W$193,MATCH(HP$1,$B$1:$B$193,0),MATCH(1,($B$1:$W$1=$AB15)*($B$2:$W$2=$AC15),0))</f>
        <v>0</v>
      </c>
      <c r="HQ15" t="b" cm="1">
        <f t="array" ref="HQ15">INDEX($B$1:$W$193,MATCH(HQ$1,$B$1:$B$193,0),MATCH(1,($B$1:$W$1=$AB15)*($B$2:$W$2=$AC15),0))</f>
        <v>0</v>
      </c>
      <c r="HR15" t="b" cm="1">
        <f t="array" ref="HR15">INDEX($B$1:$W$193,MATCH(HR$1,$B$1:$B$193,0),MATCH(1,($B$1:$W$1=$AB15)*($B$2:$W$2=$AC15),0))</f>
        <v>0</v>
      </c>
      <c r="HS15" t="b" cm="1">
        <f t="array" ref="HS15">INDEX($B$1:$W$193,MATCH(HS$1,$B$1:$B$193,0),MATCH(1,($B$1:$W$1=$AB15)*($B$2:$W$2=$AC15),0))</f>
        <v>0</v>
      </c>
      <c r="HT15" t="b" cm="1">
        <f t="array" ref="HT15">INDEX($B$1:$W$193,MATCH(HT$1,$B$1:$B$193,0),MATCH(1,($B$1:$W$1=$AB15)*($B$2:$W$2=$AC15),0))</f>
        <v>0</v>
      </c>
      <c r="HU15" t="b" cm="1">
        <f t="array" ref="HU15">INDEX($B$1:$W$193,MATCH(HU$1,$B$1:$B$193,0),MATCH(1,($B$1:$W$1=$AB15)*($B$2:$W$2=$AC15),0))</f>
        <v>0</v>
      </c>
      <c r="HV15" t="b" cm="1">
        <f t="array" ref="HV15">INDEX($B$1:$W$193,MATCH(HV$1,$B$1:$B$193,0),MATCH(1,($B$1:$W$1=$AB15)*($B$2:$W$2=$AC15),0))</f>
        <v>0</v>
      </c>
      <c r="HW15" t="b" cm="1">
        <f t="array" ref="HW15">INDEX($B$1:$W$193,MATCH(HW$1,$B$1:$B$193,0),MATCH(1,($B$1:$W$1=$AB15)*($B$2:$W$2=$AC15),0))</f>
        <v>0</v>
      </c>
      <c r="HX15" t="b" cm="1">
        <f t="array" ref="HX15">INDEX($B$1:$W$193,MATCH(HX$1,$B$1:$B$193,0),MATCH(1,($B$1:$W$1=$AB15)*($B$2:$W$2=$AC15),0))</f>
        <v>0</v>
      </c>
      <c r="HY15" t="b" cm="1">
        <f t="array" ref="HY15">INDEX($B$1:$W$193,MATCH(HY$1,$B$1:$B$193,0),MATCH(1,($B$1:$W$1=$AB15)*($B$2:$W$2=$AC15),0))</f>
        <v>0</v>
      </c>
      <c r="HZ15" t="b" cm="1">
        <f t="array" ref="HZ15">INDEX($B$1:$W$193,MATCH(HZ$1,$B$1:$B$193,0),MATCH(1,($B$1:$W$1=$AB15)*($B$2:$W$2=$AC15),0))</f>
        <v>0</v>
      </c>
      <c r="IA15" t="b" cm="1">
        <f t="array" ref="IA15">INDEX($B$1:$W$193,MATCH(IA$1,$B$1:$B$193,0),MATCH(1,($B$1:$W$1=$AB15)*($B$2:$W$2=$AC15),0))</f>
        <v>0</v>
      </c>
      <c r="IB15" t="b" cm="1">
        <f t="array" ref="IB15">INDEX($B$1:$W$193,MATCH(IB$1,$B$1:$B$193,0),MATCH(1,($B$1:$W$1=$AB15)*($B$2:$W$2=$AC15),0))</f>
        <v>0</v>
      </c>
      <c r="IC15" t="b" cm="1">
        <f t="array" ref="IC15">INDEX($B$1:$W$193,MATCH(IC$1,$B$1:$B$193,0),MATCH(1,($B$1:$W$1=$AB15)*($B$2:$W$2=$AC15),0))</f>
        <v>0</v>
      </c>
      <c r="ID15" t="b" cm="1">
        <f t="array" ref="ID15">INDEX($B$1:$W$193,MATCH(ID$1,$B$1:$B$193,0),MATCH(1,($B$1:$W$1=$AB15)*($B$2:$W$2=$AC15),0))</f>
        <v>0</v>
      </c>
      <c r="IE15" t="b" cm="1">
        <f t="array" ref="IE15">INDEX($B$1:$W$193,MATCH(IE$1,$B$1:$B$193,0),MATCH(1,($B$1:$W$1=$AB15)*($B$2:$W$2=$AC15),0))</f>
        <v>0</v>
      </c>
      <c r="IF15" t="b" cm="1">
        <f t="array" ref="IF15">INDEX($B$1:$W$193,MATCH(IF$1,$B$1:$B$193,0),MATCH(1,($B$1:$W$1=$AB15)*($B$2:$W$2=$AC15),0))</f>
        <v>0</v>
      </c>
      <c r="IG15" t="b" cm="1">
        <f t="array" ref="IG15">INDEX($B$1:$W$193,MATCH(IG$1,$B$1:$B$193,0),MATCH(1,($B$1:$W$1=$AB15)*($B$2:$W$2=$AC15),0))</f>
        <v>0</v>
      </c>
      <c r="IH15" t="b" cm="1">
        <f t="array" ref="IH15">INDEX($B$1:$W$193,MATCH(IH$1,$B$1:$B$193,0),MATCH(1,($B$1:$W$1=$AB15)*($B$2:$W$2=$AC15),0))</f>
        <v>0</v>
      </c>
      <c r="II15" t="b" cm="1">
        <f t="array" ref="II15">INDEX($B$1:$W$193,MATCH(II$1,$B$1:$B$193,0),MATCH(1,($B$1:$W$1=$AB15)*($B$2:$W$2=$AC15),0))</f>
        <v>0</v>
      </c>
      <c r="IJ15" t="b" cm="1">
        <f t="array" ref="IJ15">INDEX($B$1:$W$193,MATCH(IJ$1,$B$1:$B$193,0),MATCH(1,($B$1:$W$1=$AB15)*($B$2:$W$2=$AC15),0))</f>
        <v>0</v>
      </c>
      <c r="IK15" t="b" cm="1">
        <f t="array" ref="IK15">INDEX($B$1:$W$193,MATCH(IK$1,$B$1:$B$193,0),MATCH(1,($B$1:$W$1=$AB15)*($B$2:$W$2=$AC15),0))</f>
        <v>0</v>
      </c>
      <c r="IL15" t="b" cm="1">
        <f t="array" ref="IL15">INDEX($B$1:$W$193,MATCH(IL$1,$B$1:$B$193,0),MATCH(1,($B$1:$W$1=$AB15)*($B$2:$W$2=$AC15),0))</f>
        <v>0</v>
      </c>
      <c r="IM15" t="b" cm="1">
        <f t="array" ref="IM15">INDEX($B$1:$W$193,MATCH(IM$1,$B$1:$B$193,0),MATCH(1,($B$1:$W$1=$AB15)*($B$2:$W$2=$AC15),0))</f>
        <v>0</v>
      </c>
      <c r="IN15" t="b" cm="1">
        <f t="array" ref="IN15">INDEX($B$1:$W$193,MATCH(IN$1,$B$1:$B$193,0),MATCH(1,($B$1:$W$1=$AB15)*($B$2:$W$2=$AC15),0))</f>
        <v>0</v>
      </c>
      <c r="IO15" t="b" cm="1">
        <f t="array" ref="IO15">INDEX($B$1:$W$193,MATCH(IO$1,$B$1:$B$193,0),MATCH(1,($B$1:$W$1=$AB15)*($B$2:$W$2=$AC15),0))</f>
        <v>0</v>
      </c>
      <c r="IP15" t="b" cm="1">
        <f t="array" ref="IP15">INDEX($B$1:$W$193,MATCH(IP$1,$B$1:$B$193,0),MATCH(1,($B$1:$W$1=$AB15)*($B$2:$W$2=$AC15),0))</f>
        <v>0</v>
      </c>
      <c r="IQ15" t="b" cm="1">
        <f t="array" ref="IQ15">INDEX($B$1:$W$193,MATCH(IQ$1,$B$1:$B$193,0),MATCH(1,($B$1:$W$1=$AB15)*($B$2:$W$2=$AC15),0))</f>
        <v>0</v>
      </c>
      <c r="IR15" t="b" cm="1">
        <f t="array" ref="IR15">INDEX($B$1:$W$193,MATCH(IR$1,$B$1:$B$193,0),MATCH(1,($B$1:$W$1=$AB15)*($B$2:$W$2=$AC15),0))</f>
        <v>0</v>
      </c>
      <c r="IS15" t="b" cm="1">
        <f t="array" ref="IS15">INDEX($B$1:$W$193,MATCH(IS$1,$B$1:$B$193,0),MATCH(1,($B$1:$W$1=$AB15)*($B$2:$W$2=$AC15),0))</f>
        <v>0</v>
      </c>
      <c r="IT15" t="b" cm="1">
        <f t="array" ref="IT15">INDEX($B$1:$W$193,MATCH(IT$1,$B$1:$B$193,0),MATCH(1,($B$1:$W$1=$AB15)*($B$2:$W$2=$AC15),0))</f>
        <v>0</v>
      </c>
      <c r="IU15" t="b" cm="1">
        <f t="array" ref="IU15">INDEX($B$1:$W$193,MATCH(IU$1,$B$1:$B$193,0),MATCH(1,($B$1:$W$1=$AB15)*($B$2:$W$2=$AC15),0))</f>
        <v>0</v>
      </c>
      <c r="IV15" t="b" cm="1">
        <f t="array" ref="IV15">INDEX($B$1:$W$193,MATCH(IV$1,$B$1:$B$193,0),MATCH(1,($B$1:$W$1=$AB15)*($B$2:$W$2=$AC15),0))</f>
        <v>0</v>
      </c>
      <c r="IW15" t="b" cm="1">
        <f t="array" ref="IW15">INDEX($B$1:$W$193,MATCH(IW$1,$B$1:$B$193,0),MATCH(1,($B$1:$W$1=$AB15)*($B$2:$W$2=$AC15),0))</f>
        <v>0</v>
      </c>
      <c r="IX15" t="b" cm="1">
        <f t="array" ref="IX15">INDEX($B$1:$W$193,MATCH(IX$1,$B$1:$B$193,0),MATCH(1,($B$1:$W$1=$AB15)*($B$2:$W$2=$AC15),0))</f>
        <v>0</v>
      </c>
      <c r="IY15" t="b" cm="1">
        <f t="array" ref="IY15">INDEX($B$1:$W$193,MATCH(IY$1,$B$1:$B$193,0),MATCH(1,($B$1:$W$1=$AB15)*($B$2:$W$2=$AC15),0))</f>
        <v>0</v>
      </c>
      <c r="IZ15" t="b" cm="1">
        <f t="array" ref="IZ15">INDEX($B$1:$W$193,MATCH(IZ$1,$B$1:$B$193,0),MATCH(1,($B$1:$W$1=$AB15)*($B$2:$W$2=$AC15),0))</f>
        <v>0</v>
      </c>
      <c r="JA15" t="b" cm="1">
        <f t="array" ref="JA15">INDEX($B$1:$W$193,MATCH(JA$1,$B$1:$B$193,0),MATCH(1,($B$1:$W$1=$AB15)*($B$2:$W$2=$AC15),0))</f>
        <v>0</v>
      </c>
      <c r="JB15" t="b" cm="1">
        <f t="array" ref="JB15">INDEX($B$1:$W$193,MATCH(JB$1,$B$1:$B$193,0),MATCH(1,($B$1:$W$1=$AB15)*($B$2:$W$2=$AC15),0))</f>
        <v>0</v>
      </c>
      <c r="JC15" t="b" cm="1">
        <f t="array" ref="JC15">INDEX($B$1:$W$193,MATCH(JC$1,$B$1:$B$193,0),MATCH(1,($B$1:$W$1=$AB15)*($B$2:$W$2=$AC15),0))</f>
        <v>0</v>
      </c>
      <c r="JD15" t="b" cm="1">
        <f t="array" ref="JD15">INDEX($B$1:$W$193,MATCH(JD$1,$B$1:$B$193,0),MATCH(1,($B$1:$W$1=$AB15)*($B$2:$W$2=$AC15),0))</f>
        <v>0</v>
      </c>
      <c r="JE15" t="b" cm="1">
        <f t="array" ref="JE15">INDEX($B$1:$W$193,MATCH(JE$1,$B$1:$B$193,0),MATCH(1,($B$1:$W$1=$AB15)*($B$2:$W$2=$AC15),0))</f>
        <v>0</v>
      </c>
      <c r="JF15" t="b" cm="1">
        <f t="array" ref="JF15">INDEX($B$1:$W$193,MATCH(JF$1,$B$1:$B$193,0),MATCH(1,($B$1:$W$1=$AB15)*($B$2:$W$2=$AC15),0))</f>
        <v>0</v>
      </c>
      <c r="JG15" t="b" cm="1">
        <f t="array" ref="JG15">INDEX($B$1:$W$193,MATCH(JG$1,$B$1:$B$193,0),MATCH(1,($B$1:$W$1=$AB15)*($B$2:$W$2=$AC15),0))</f>
        <v>0</v>
      </c>
      <c r="JH15" t="b" cm="1">
        <f t="array" ref="JH15">INDEX($B$1:$W$193,MATCH(JH$1,$B$1:$B$193,0),MATCH(1,($B$1:$W$1=$AB15)*($B$2:$W$2=$AC15),0))</f>
        <v>0</v>
      </c>
    </row>
    <row r="16" spans="1:268" x14ac:dyDescent="0.25">
      <c r="A16" t="s">
        <v>164</v>
      </c>
      <c r="B16" s="51">
        <v>23</v>
      </c>
      <c r="C16">
        <v>2</v>
      </c>
      <c r="D16">
        <v>3</v>
      </c>
      <c r="E16" t="b">
        <f t="shared" si="1"/>
        <v>1</v>
      </c>
      <c r="F16" t="b">
        <f t="shared" si="0"/>
        <v>1</v>
      </c>
      <c r="G16" t="b">
        <f t="shared" si="0"/>
        <v>1</v>
      </c>
      <c r="H16" t="b">
        <f t="shared" si="0"/>
        <v>0</v>
      </c>
      <c r="I16" t="b">
        <f t="shared" si="0"/>
        <v>0</v>
      </c>
      <c r="J16" t="b">
        <f t="shared" si="0"/>
        <v>0</v>
      </c>
      <c r="K16" t="b">
        <f t="shared" si="0"/>
        <v>1</v>
      </c>
      <c r="L16" t="b">
        <f t="shared" si="0"/>
        <v>1</v>
      </c>
      <c r="M16" t="b">
        <f t="shared" si="0"/>
        <v>1</v>
      </c>
      <c r="N16" t="b">
        <f t="shared" si="0"/>
        <v>0</v>
      </c>
      <c r="O16" t="b">
        <f t="shared" si="0"/>
        <v>0</v>
      </c>
      <c r="P16" t="b">
        <f t="shared" si="0"/>
        <v>0</v>
      </c>
      <c r="Q16" t="b">
        <v>1</v>
      </c>
      <c r="R16" t="b" cm="1">
        <f t="array" ref="R16">_xlfn.IFS(C16=1,FALSE,OR(C16=2,C16&gt;2),TRUE)</f>
        <v>1</v>
      </c>
      <c r="S16" t="b" cm="1">
        <f t="array" ref="S16">_xlfn.IFS(OR(C16=1,C16=2),FALSE,OR(C16=3,C16&gt;3),TRUE)</f>
        <v>0</v>
      </c>
      <c r="T16" t="str">
        <f t="shared" si="2"/>
        <v>TRUE</v>
      </c>
      <c r="U16" t="str">
        <f t="shared" si="3"/>
        <v>FALSE</v>
      </c>
      <c r="V16" t="str">
        <f t="shared" si="4"/>
        <v>FALSE</v>
      </c>
      <c r="W16" t="b" cm="1">
        <f t="array" ref="W16">_xlfn.IFS(H16=1,FALSE,OR(H16=2,H16&gt;2),TRUE)</f>
        <v>1</v>
      </c>
      <c r="X16" t="b" cm="1">
        <f t="array" ref="X16">_xlfn.IFS(H16=1,FALSE,OR(H16=2,H16&gt;2),TRUE)</f>
        <v>1</v>
      </c>
      <c r="Y16" t="b" cm="1">
        <f t="array" ref="Y16">_xlfn.IFS(H16=1,FALSE,OR(H16=2,H16&gt;2),TRUE)</f>
        <v>1</v>
      </c>
      <c r="AB16" t="s">
        <v>2</v>
      </c>
      <c r="AC16" t="s">
        <v>91</v>
      </c>
      <c r="AD16" t="b" cm="1">
        <f t="array" ref="AD16">INDEX($B$1:$W$193,MATCH(AD$1,$B$1:$B$193,0),MATCH(1,($B$1:$W$1=$AB16)*($B$2:$W$2=$AC16),0))</f>
        <v>0</v>
      </c>
      <c r="AE16" t="b" cm="1">
        <f t="array" ref="AE16">INDEX($B$1:$W$193,MATCH(AE$1,$B$1:$B$193,0),MATCH(1,($B$1:$W$1=$AB16)*($B$2:$W$2=$AC16),0))</f>
        <v>0</v>
      </c>
      <c r="AF16" t="b" cm="1">
        <f t="array" ref="AF16">INDEX($B$1:$W$193,MATCH(AF$1,$B$1:$B$193,0),MATCH(1,($B$1:$W$1=$AB16)*($B$2:$W$2=$AC16),0))</f>
        <v>0</v>
      </c>
      <c r="AG16" t="b" cm="1">
        <f t="array" ref="AG16">INDEX($B$1:$W$193,MATCH(AG$1,$B$1:$B$193,0),MATCH(1,($B$1:$W$1=$AB16)*($B$2:$W$2=$AC16),0))</f>
        <v>0</v>
      </c>
      <c r="AH16" t="b" cm="1">
        <f t="array" ref="AH16">INDEX($B$1:$W$193,MATCH(AH$1,$B$1:$B$193,0),MATCH(1,($B$1:$W$1=$AB16)*($B$2:$W$2=$AC16),0))</f>
        <v>0</v>
      </c>
      <c r="AI16" t="b" cm="1">
        <f t="array" ref="AI16">INDEX($B$1:$W$193,MATCH(AI$1,$B$1:$B$193,0),MATCH(1,($B$1:$W$1=$AB16)*($B$2:$W$2=$AC16),0))</f>
        <v>0</v>
      </c>
      <c r="AJ16" t="b" cm="1">
        <f t="array" ref="AJ16">INDEX($B$1:$W$193,MATCH(AJ$1,$B$1:$B$193,0),MATCH(1,($B$1:$W$1=$AB16)*($B$2:$W$2=$AC16),0))</f>
        <v>0</v>
      </c>
      <c r="AK16" t="b" cm="1">
        <f t="array" ref="AK16">INDEX($B$1:$W$193,MATCH(AK$1,$B$1:$B$193,0),MATCH(1,($B$1:$W$1=$AB16)*($B$2:$W$2=$AC16),0))</f>
        <v>0</v>
      </c>
      <c r="AL16" t="b" cm="1">
        <f t="array" ref="AL16">INDEX($B$1:$W$193,MATCH(AL$1,$B$1:$B$193,0),MATCH(1,($B$1:$W$1=$AB16)*($B$2:$W$2=$AC16),0))</f>
        <v>0</v>
      </c>
      <c r="AM16" t="b" cm="1">
        <f t="array" ref="AM16">INDEX($B$1:$W$193,MATCH(AM$1,$B$1:$B$193,0),MATCH(1,($B$1:$W$1=$AB16)*($B$2:$W$2=$AC16),0))</f>
        <v>0</v>
      </c>
      <c r="AN16" t="b" cm="1">
        <f t="array" ref="AN16">INDEX($B$1:$W$193,MATCH(AN$1,$B$1:$B$193,0),MATCH(1,($B$1:$W$1=$AB16)*($B$2:$W$2=$AC16),0))</f>
        <v>1</v>
      </c>
      <c r="AO16" t="b" cm="1">
        <f t="array" ref="AO16">INDEX($B$1:$W$193,MATCH(AO$1,$B$1:$B$193,0),MATCH(1,($B$1:$W$1=$AB16)*($B$2:$W$2=$AC16),0))</f>
        <v>0</v>
      </c>
      <c r="AP16" t="b" cm="1">
        <f t="array" ref="AP16">INDEX($B$1:$W$193,MATCH(AP$1,$B$1:$B$193,0),MATCH(1,($B$1:$W$1=$AB16)*($B$2:$W$2=$AC16),0))</f>
        <v>0</v>
      </c>
      <c r="AQ16" t="b" cm="1">
        <f t="array" ref="AQ16">INDEX($B$1:$W$193,MATCH(AQ$1,$B$1:$B$193,0),MATCH(1,($B$1:$W$1=$AB16)*($B$2:$W$2=$AC16),0))</f>
        <v>0</v>
      </c>
      <c r="AR16" t="b" cm="1">
        <f t="array" ref="AR16">INDEX($B$1:$W$193,MATCH(AR$1,$B$1:$B$193,0),MATCH(1,($B$1:$W$1=$AB16)*($B$2:$W$2=$AC16),0))</f>
        <v>0</v>
      </c>
      <c r="AS16" t="b" cm="1">
        <f t="array" ref="AS16">INDEX($B$1:$W$193,MATCH(AS$1,$B$1:$B$193,0),MATCH(1,($B$1:$W$1=$AB16)*($B$2:$W$2=$AC16),0))</f>
        <v>0</v>
      </c>
      <c r="AT16" t="b" cm="1">
        <f t="array" ref="AT16">INDEX($B$1:$W$193,MATCH(AT$1,$B$1:$B$193,0),MATCH(1,($B$1:$W$1=$AB16)*($B$2:$W$2=$AC16),0))</f>
        <v>1</v>
      </c>
      <c r="AU16" t="b" cm="1">
        <f t="array" ref="AU16">INDEX($B$1:$W$193,MATCH(AU$1,$B$1:$B$193,0),MATCH(1,($B$1:$W$1=$AB16)*($B$2:$W$2=$AC16),0))</f>
        <v>0</v>
      </c>
      <c r="AV16" t="b" cm="1">
        <f t="array" ref="AV16">INDEX($B$1:$W$193,MATCH(AV$1,$B$1:$B$193,0),MATCH(1,($B$1:$W$1=$AB16)*($B$2:$W$2=$AC16),0))</f>
        <v>1</v>
      </c>
      <c r="AW16" t="b" cm="1">
        <f t="array" ref="AW16">INDEX($B$1:$W$193,MATCH(AW$1,$B$1:$B$193,0),MATCH(1,($B$1:$W$1=$AB16)*($B$2:$W$2=$AC16),0))</f>
        <v>0</v>
      </c>
      <c r="AX16" t="b" cm="1">
        <f t="array" ref="AX16">INDEX($B$1:$W$193,MATCH(AX$1,$B$1:$B$193,0),MATCH(1,($B$1:$W$1=$AB16)*($B$2:$W$2=$AC16),0))</f>
        <v>0</v>
      </c>
      <c r="AY16" t="b" cm="1">
        <f t="array" ref="AY16">INDEX($B$1:$W$193,MATCH(AY$1,$B$1:$B$193,0),MATCH(1,($B$1:$W$1=$AB16)*($B$2:$W$2=$AC16),0))</f>
        <v>0</v>
      </c>
      <c r="AZ16" t="b" cm="1">
        <f t="array" ref="AZ16">INDEX($B$1:$W$193,MATCH(AZ$1,$B$1:$B$193,0),MATCH(1,($B$1:$W$1=$AB16)*($B$2:$W$2=$AC16),0))</f>
        <v>0</v>
      </c>
      <c r="BA16" t="b" cm="1">
        <f t="array" ref="BA16">INDEX($B$1:$W$193,MATCH(BA$1,$B$1:$B$193,0),MATCH(1,($B$1:$W$1=$AB16)*($B$2:$W$2=$AC16),0))</f>
        <v>0</v>
      </c>
      <c r="BB16" t="b" cm="1">
        <f t="array" ref="BB16">INDEX($B$1:$W$193,MATCH(BB$1,$B$1:$B$193,0),MATCH(1,($B$1:$W$1=$AB16)*($B$2:$W$2=$AC16),0))</f>
        <v>0</v>
      </c>
      <c r="BC16" t="b" cm="1">
        <f t="array" ref="BC16">INDEX($B$1:$W$193,MATCH(BC$1,$B$1:$B$193,0),MATCH(1,($B$1:$W$1=$AB16)*($B$2:$W$2=$AC16),0))</f>
        <v>0</v>
      </c>
      <c r="BD16" t="b" cm="1">
        <f t="array" ref="BD16">INDEX($B$1:$W$193,MATCH(BD$1,$B$1:$B$193,0),MATCH(1,($B$1:$W$1=$AB16)*($B$2:$W$2=$AC16),0))</f>
        <v>0</v>
      </c>
      <c r="BE16" t="b" cm="1">
        <f t="array" ref="BE16">INDEX($B$1:$W$193,MATCH(BE$1,$B$1:$B$193,0),MATCH(1,($B$1:$W$1=$AB16)*($B$2:$W$2=$AC16),0))</f>
        <v>0</v>
      </c>
      <c r="BF16" t="b" cm="1">
        <f t="array" ref="BF16">INDEX($B$1:$W$193,MATCH(BF$1,$B$1:$B$193,0),MATCH(1,($B$1:$W$1=$AB16)*($B$2:$W$2=$AC16),0))</f>
        <v>0</v>
      </c>
      <c r="BG16" t="b" cm="1">
        <f t="array" ref="BG16">INDEX($B$1:$W$193,MATCH(BG$1,$B$1:$B$193,0),MATCH(1,($B$1:$W$1=$AB16)*($B$2:$W$2=$AC16),0))</f>
        <v>0</v>
      </c>
      <c r="BH16" t="b" cm="1">
        <f t="array" ref="BH16">INDEX($B$1:$W$193,MATCH(BH$1,$B$1:$B$193,0),MATCH(1,($B$1:$W$1=$AB16)*($B$2:$W$2=$AC16),0))</f>
        <v>0</v>
      </c>
      <c r="BI16" t="b" cm="1">
        <f t="array" ref="BI16">INDEX($B$1:$W$193,MATCH(BI$1,$B$1:$B$193,0),MATCH(1,($B$1:$W$1=$AB16)*($B$2:$W$2=$AC16),0))</f>
        <v>1</v>
      </c>
      <c r="BJ16" t="b" cm="1">
        <f t="array" ref="BJ16">INDEX($B$1:$W$193,MATCH(BJ$1,$B$1:$B$193,0),MATCH(1,($B$1:$W$1=$AB16)*($B$2:$W$2=$AC16),0))</f>
        <v>0</v>
      </c>
      <c r="BK16" t="b" cm="1">
        <f t="array" ref="BK16">INDEX($B$1:$W$193,MATCH(BK$1,$B$1:$B$193,0),MATCH(1,($B$1:$W$1=$AB16)*($B$2:$W$2=$AC16),0))</f>
        <v>0</v>
      </c>
      <c r="BL16" t="b" cm="1">
        <f t="array" ref="BL16">INDEX($B$1:$W$193,MATCH(BL$1,$B$1:$B$193,0),MATCH(1,($B$1:$W$1=$AB16)*($B$2:$W$2=$AC16),0))</f>
        <v>0</v>
      </c>
      <c r="BM16" t="b" cm="1">
        <f t="array" ref="BM16">INDEX($B$1:$W$193,MATCH(BM$1,$B$1:$B$193,0),MATCH(1,($B$1:$W$1=$AB16)*($B$2:$W$2=$AC16),0))</f>
        <v>0</v>
      </c>
      <c r="BN16" t="b" cm="1">
        <f t="array" ref="BN16">INDEX($B$1:$W$193,MATCH(BN$1,$B$1:$B$193,0),MATCH(1,($B$1:$W$1=$AB16)*($B$2:$W$2=$AC16),0))</f>
        <v>0</v>
      </c>
      <c r="BO16" t="b" cm="1">
        <f t="array" ref="BO16">INDEX($B$1:$W$193,MATCH(BO$1,$B$1:$B$193,0),MATCH(1,($B$1:$W$1=$AB16)*($B$2:$W$2=$AC16),0))</f>
        <v>0</v>
      </c>
      <c r="BP16" t="b" cm="1">
        <f t="array" ref="BP16">INDEX($B$1:$W$193,MATCH(BP$1,$B$1:$B$193,0),MATCH(1,($B$1:$W$1=$AB16)*($B$2:$W$2=$AC16),0))</f>
        <v>0</v>
      </c>
      <c r="BQ16" t="b" cm="1">
        <f t="array" ref="BQ16">INDEX($B$1:$W$193,MATCH(BQ$1,$B$1:$B$193,0),MATCH(1,($B$1:$W$1=$AB16)*($B$2:$W$2=$AC16),0))</f>
        <v>0</v>
      </c>
      <c r="BR16" t="b" cm="1">
        <f t="array" ref="BR16">INDEX($B$1:$W$193,MATCH(BR$1,$B$1:$B$193,0),MATCH(1,($B$1:$W$1=$AB16)*($B$2:$W$2=$AC16),0))</f>
        <v>0</v>
      </c>
      <c r="BS16" t="b" cm="1">
        <f t="array" ref="BS16">INDEX($B$1:$W$193,MATCH(BS$1,$B$1:$B$193,0),MATCH(1,($B$1:$W$1=$AB16)*($B$2:$W$2=$AC16),0))</f>
        <v>1</v>
      </c>
      <c r="BT16" t="b" cm="1">
        <f t="array" ref="BT16">INDEX($B$1:$W$193,MATCH(BT$1,$B$1:$B$193,0),MATCH(1,($B$1:$W$1=$AB16)*($B$2:$W$2=$AC16),0))</f>
        <v>1</v>
      </c>
      <c r="BU16" t="b" cm="1">
        <f t="array" ref="BU16">INDEX($B$1:$W$193,MATCH(BU$1,$B$1:$B$193,0),MATCH(1,($B$1:$W$1=$AB16)*($B$2:$W$2=$AC16),0))</f>
        <v>0</v>
      </c>
      <c r="BV16" t="b" cm="1">
        <f t="array" ref="BV16">INDEX($B$1:$W$193,MATCH(BV$1,$B$1:$B$193,0),MATCH(1,($B$1:$W$1=$AB16)*($B$2:$W$2=$AC16),0))</f>
        <v>0</v>
      </c>
      <c r="BW16" t="b" cm="1">
        <f t="array" ref="BW16">INDEX($B$1:$W$193,MATCH(BW$1,$B$1:$B$193,0),MATCH(1,($B$1:$W$1=$AB16)*($B$2:$W$2=$AC16),0))</f>
        <v>0</v>
      </c>
      <c r="BX16" t="b" cm="1">
        <f t="array" ref="BX16">INDEX($B$1:$W$193,MATCH(BX$1,$B$1:$B$193,0),MATCH(1,($B$1:$W$1=$AB16)*($B$2:$W$2=$AC16),0))</f>
        <v>1</v>
      </c>
      <c r="BY16" t="b" cm="1">
        <f t="array" ref="BY16">INDEX($B$1:$W$193,MATCH(BY$1,$B$1:$B$193,0),MATCH(1,($B$1:$W$1=$AB16)*($B$2:$W$2=$AC16),0))</f>
        <v>0</v>
      </c>
      <c r="BZ16" t="b" cm="1">
        <f t="array" ref="BZ16">INDEX($B$1:$W$193,MATCH(BZ$1,$B$1:$B$193,0),MATCH(1,($B$1:$W$1=$AB16)*($B$2:$W$2=$AC16),0))</f>
        <v>1</v>
      </c>
      <c r="CA16" t="b" cm="1">
        <f t="array" ref="CA16">INDEX($B$1:$W$193,MATCH(CA$1,$B$1:$B$193,0),MATCH(1,($B$1:$W$1=$AB16)*($B$2:$W$2=$AC16),0))</f>
        <v>1</v>
      </c>
      <c r="CB16" t="b" cm="1">
        <f t="array" ref="CB16">INDEX($B$1:$W$193,MATCH(CB$1,$B$1:$B$193,0),MATCH(1,($B$1:$W$1=$AB16)*($B$2:$W$2=$AC16),0))</f>
        <v>0</v>
      </c>
      <c r="CC16" t="b" cm="1">
        <f t="array" ref="CC16">INDEX($B$1:$W$193,MATCH(CC$1,$B$1:$B$193,0),MATCH(1,($B$1:$W$1=$AB16)*($B$2:$W$2=$AC16),0))</f>
        <v>1</v>
      </c>
      <c r="CD16" t="b" cm="1">
        <f t="array" ref="CD16">INDEX($B$1:$W$193,MATCH(CD$1,$B$1:$B$193,0),MATCH(1,($B$1:$W$1=$AB16)*($B$2:$W$2=$AC16),0))</f>
        <v>0</v>
      </c>
      <c r="CE16" t="b" cm="1">
        <f t="array" ref="CE16">INDEX($B$1:$W$193,MATCH(CE$1,$B$1:$B$193,0),MATCH(1,($B$1:$W$1=$AB16)*($B$2:$W$2=$AC16),0))</f>
        <v>0</v>
      </c>
      <c r="CF16" t="b" cm="1">
        <f t="array" ref="CF16">INDEX($B$1:$W$193,MATCH(CF$1,$B$1:$B$193,0),MATCH(1,($B$1:$W$1=$AB16)*($B$2:$W$2=$AC16),0))</f>
        <v>0</v>
      </c>
      <c r="CG16" t="b" cm="1">
        <f t="array" ref="CG16">INDEX($B$1:$W$193,MATCH(CG$1,$B$1:$B$193,0),MATCH(1,($B$1:$W$1=$AB16)*($B$2:$W$2=$AC16),0))</f>
        <v>1</v>
      </c>
      <c r="CH16" t="b" cm="1">
        <f t="array" ref="CH16">INDEX($B$1:$W$193,MATCH(CH$1,$B$1:$B$193,0),MATCH(1,($B$1:$W$1=$AB16)*($B$2:$W$2=$AC16),0))</f>
        <v>0</v>
      </c>
      <c r="CI16" t="b" cm="1">
        <f t="array" ref="CI16">INDEX($B$1:$W$193,MATCH(CI$1,$B$1:$B$193,0),MATCH(1,($B$1:$W$1=$AB16)*($B$2:$W$2=$AC16),0))</f>
        <v>0</v>
      </c>
      <c r="CJ16" t="b" cm="1">
        <f t="array" ref="CJ16">INDEX($B$1:$W$193,MATCH(CJ$1,$B$1:$B$193,0),MATCH(1,($B$1:$W$1=$AB16)*($B$2:$W$2=$AC16),0))</f>
        <v>0</v>
      </c>
      <c r="CK16" t="b" cm="1">
        <f t="array" ref="CK16">INDEX($B$1:$W$193,MATCH(CK$1,$B$1:$B$193,0),MATCH(1,($B$1:$W$1=$AB16)*($B$2:$W$2=$AC16),0))</f>
        <v>0</v>
      </c>
      <c r="CL16" t="b" cm="1">
        <f t="array" ref="CL16">INDEX($B$1:$W$193,MATCH(CL$1,$B$1:$B$193,0),MATCH(1,($B$1:$W$1=$AB16)*($B$2:$W$2=$AC16),0))</f>
        <v>0</v>
      </c>
      <c r="CM16" t="b" cm="1">
        <f t="array" ref="CM16">INDEX($B$1:$W$193,MATCH(CM$1,$B$1:$B$193,0),MATCH(1,($B$1:$W$1=$AB16)*($B$2:$W$2=$AC16),0))</f>
        <v>0</v>
      </c>
      <c r="CN16" t="b" cm="1">
        <f t="array" ref="CN16">INDEX($B$1:$W$193,MATCH(CN$1,$B$1:$B$193,0),MATCH(1,($B$1:$W$1=$AB16)*($B$2:$W$2=$AC16),0))</f>
        <v>0</v>
      </c>
      <c r="CO16" t="b" cm="1">
        <f t="array" ref="CO16">INDEX($B$1:$W$193,MATCH(CO$1,$B$1:$B$193,0),MATCH(1,($B$1:$W$1=$AB16)*($B$2:$W$2=$AC16),0))</f>
        <v>1</v>
      </c>
      <c r="CP16" t="b" cm="1">
        <f t="array" ref="CP16">INDEX($B$1:$W$193,MATCH(CP$1,$B$1:$B$193,0),MATCH(1,($B$1:$W$1=$AB16)*($B$2:$W$2=$AC16),0))</f>
        <v>0</v>
      </c>
      <c r="CQ16" t="b" cm="1">
        <f t="array" ref="CQ16">INDEX($B$1:$W$193,MATCH(CQ$1,$B$1:$B$193,0),MATCH(1,($B$1:$W$1=$AB16)*($B$2:$W$2=$AC16),0))</f>
        <v>0</v>
      </c>
      <c r="CR16" t="b" cm="1">
        <f t="array" ref="CR16">INDEX($B$1:$W$193,MATCH(CR$1,$B$1:$B$193,0),MATCH(1,($B$1:$W$1=$AB16)*($B$2:$W$2=$AC16),0))</f>
        <v>0</v>
      </c>
      <c r="CS16" t="b" cm="1">
        <f t="array" ref="CS16">INDEX($B$1:$W$193,MATCH(CS$1,$B$1:$B$193,0),MATCH(1,($B$1:$W$1=$AB16)*($B$2:$W$2=$AC16),0))</f>
        <v>0</v>
      </c>
      <c r="CT16" t="b" cm="1">
        <f t="array" ref="CT16">INDEX($B$1:$W$193,MATCH(CT$1,$B$1:$B$193,0),MATCH(1,($B$1:$W$1=$AB16)*($B$2:$W$2=$AC16),0))</f>
        <v>0</v>
      </c>
      <c r="CU16" t="b" cm="1">
        <f t="array" ref="CU16">INDEX($B$1:$W$193,MATCH(CU$1,$B$1:$B$193,0),MATCH(1,($B$1:$W$1=$AB16)*($B$2:$W$2=$AC16),0))</f>
        <v>0</v>
      </c>
      <c r="CV16" t="b" cm="1">
        <f t="array" ref="CV16">INDEX($B$1:$W$193,MATCH(CV$1,$B$1:$B$193,0),MATCH(1,($B$1:$W$1=$AB16)*($B$2:$W$2=$AC16),0))</f>
        <v>0</v>
      </c>
      <c r="CW16" t="b" cm="1">
        <f t="array" ref="CW16">INDEX($B$1:$W$193,MATCH(CW$1,$B$1:$B$193,0),MATCH(1,($B$1:$W$1=$AB16)*($B$2:$W$2=$AC16),0))</f>
        <v>0</v>
      </c>
      <c r="CX16" t="b" cm="1">
        <f t="array" ref="CX16">INDEX($B$1:$W$193,MATCH(CX$1,$B$1:$B$193,0),MATCH(1,($B$1:$W$1=$AB16)*($B$2:$W$2=$AC16),0))</f>
        <v>0</v>
      </c>
      <c r="CY16" t="b" cm="1">
        <f t="array" ref="CY16">INDEX($B$1:$W$193,MATCH(CY$1,$B$1:$B$193,0),MATCH(1,($B$1:$W$1=$AB16)*($B$2:$W$2=$AC16),0))</f>
        <v>0</v>
      </c>
      <c r="CZ16" t="b" cm="1">
        <f t="array" ref="CZ16">INDEX($B$1:$W$193,MATCH(CZ$1,$B$1:$B$193,0),MATCH(1,($B$1:$W$1=$AB16)*($B$2:$W$2=$AC16),0))</f>
        <v>1</v>
      </c>
      <c r="DA16" t="b" cm="1">
        <f t="array" ref="DA16">INDEX($B$1:$W$193,MATCH(DA$1,$B$1:$B$193,0),MATCH(1,($B$1:$W$1=$AB16)*($B$2:$W$2=$AC16),0))</f>
        <v>0</v>
      </c>
      <c r="DB16" t="b" cm="1">
        <f t="array" ref="DB16">INDEX($B$1:$W$193,MATCH(DB$1,$B$1:$B$193,0),MATCH(1,($B$1:$W$1=$AB16)*($B$2:$W$2=$AC16),0))</f>
        <v>0</v>
      </c>
      <c r="DC16" t="b" cm="1">
        <f t="array" ref="DC16">INDEX($B$1:$W$193,MATCH(DC$1,$B$1:$B$193,0),MATCH(1,($B$1:$W$1=$AB16)*($B$2:$W$2=$AC16),0))</f>
        <v>0</v>
      </c>
      <c r="DD16" t="b" cm="1">
        <f t="array" ref="DD16">INDEX($B$1:$W$193,MATCH(DD$1,$B$1:$B$193,0),MATCH(1,($B$1:$W$1=$AB16)*($B$2:$W$2=$AC16),0))</f>
        <v>0</v>
      </c>
      <c r="DE16" t="b" cm="1">
        <f t="array" ref="DE16">INDEX($B$1:$W$193,MATCH(DE$1,$B$1:$B$193,0),MATCH(1,($B$1:$W$1=$AB16)*($B$2:$W$2=$AC16),0))</f>
        <v>1</v>
      </c>
      <c r="DF16" t="b" cm="1">
        <f t="array" ref="DF16">INDEX($B$1:$W$193,MATCH(DF$1,$B$1:$B$193,0),MATCH(1,($B$1:$W$1=$AB16)*($B$2:$W$2=$AC16),0))</f>
        <v>1</v>
      </c>
      <c r="DG16" t="b" cm="1">
        <f t="array" ref="DG16">INDEX($B$1:$W$193,MATCH(DG$1,$B$1:$B$193,0),MATCH(1,($B$1:$W$1=$AB16)*($B$2:$W$2=$AC16),0))</f>
        <v>0</v>
      </c>
      <c r="DH16" t="b" cm="1">
        <f t="array" ref="DH16">INDEX($B$1:$W$193,MATCH(DH$1,$B$1:$B$193,0),MATCH(1,($B$1:$W$1=$AB16)*($B$2:$W$2=$AC16),0))</f>
        <v>0</v>
      </c>
      <c r="DI16" t="b" cm="1">
        <f t="array" ref="DI16">INDEX($B$1:$W$193,MATCH(DI$1,$B$1:$B$193,0),MATCH(1,($B$1:$W$1=$AB16)*($B$2:$W$2=$AC16),0))</f>
        <v>1</v>
      </c>
      <c r="DJ16" t="b" cm="1">
        <f t="array" ref="DJ16">INDEX($B$1:$W$193,MATCH(DJ$1,$B$1:$B$193,0),MATCH(1,($B$1:$W$1=$AB16)*($B$2:$W$2=$AC16),0))</f>
        <v>0</v>
      </c>
      <c r="DK16" t="b" cm="1">
        <f t="array" ref="DK16">INDEX($B$1:$W$193,MATCH(DK$1,$B$1:$B$193,0),MATCH(1,($B$1:$W$1=$AB16)*($B$2:$W$2=$AC16),0))</f>
        <v>0</v>
      </c>
      <c r="DL16" t="b" cm="1">
        <f t="array" ref="DL16">INDEX($B$1:$W$193,MATCH(DL$1,$B$1:$B$193,0),MATCH(1,($B$1:$W$1=$AB16)*($B$2:$W$2=$AC16),0))</f>
        <v>0</v>
      </c>
      <c r="DM16" t="b" cm="1">
        <f t="array" ref="DM16">INDEX($B$1:$W$193,MATCH(DM$1,$B$1:$B$193,0),MATCH(1,($B$1:$W$1=$AB16)*($B$2:$W$2=$AC16),0))</f>
        <v>0</v>
      </c>
      <c r="DN16" t="b" cm="1">
        <f t="array" ref="DN16">INDEX($B$1:$W$193,MATCH(DN$1,$B$1:$B$193,0),MATCH(1,($B$1:$W$1=$AB16)*($B$2:$W$2=$AC16),0))</f>
        <v>0</v>
      </c>
      <c r="DO16" t="b" cm="1">
        <f t="array" ref="DO16">INDEX($B$1:$W$193,MATCH(DO$1,$B$1:$B$193,0),MATCH(1,($B$1:$W$1=$AB16)*($B$2:$W$2=$AC16),0))</f>
        <v>0</v>
      </c>
      <c r="DP16" t="b" cm="1">
        <f t="array" ref="DP16">INDEX($B$1:$W$193,MATCH(DP$1,$B$1:$B$193,0),MATCH(1,($B$1:$W$1=$AB16)*($B$2:$W$2=$AC16),0))</f>
        <v>1</v>
      </c>
      <c r="DQ16" t="b" cm="1">
        <f t="array" ref="DQ16">INDEX($B$1:$W$193,MATCH(DQ$1,$B$1:$B$193,0),MATCH(1,($B$1:$W$1=$AB16)*($B$2:$W$2=$AC16),0))</f>
        <v>0</v>
      </c>
      <c r="DR16" t="b" cm="1">
        <f t="array" ref="DR16">INDEX($B$1:$W$193,MATCH(DR$1,$B$1:$B$193,0),MATCH(1,($B$1:$W$1=$AB16)*($B$2:$W$2=$AC16),0))</f>
        <v>1</v>
      </c>
      <c r="DS16" t="b" cm="1">
        <f t="array" ref="DS16">INDEX($B$1:$W$193,MATCH(DS$1,$B$1:$B$193,0),MATCH(1,($B$1:$W$1=$AB16)*($B$2:$W$2=$AC16),0))</f>
        <v>0</v>
      </c>
      <c r="DT16" t="b" cm="1">
        <f t="array" ref="DT16">INDEX($B$1:$W$193,MATCH(DT$1,$B$1:$B$193,0),MATCH(1,($B$1:$W$1=$AB16)*($B$2:$W$2=$AC16),0))</f>
        <v>0</v>
      </c>
      <c r="DU16" t="b" cm="1">
        <f t="array" ref="DU16">INDEX($B$1:$W$193,MATCH(DU$1,$B$1:$B$193,0),MATCH(1,($B$1:$W$1=$AB16)*($B$2:$W$2=$AC16),0))</f>
        <v>1</v>
      </c>
      <c r="DV16" t="b" cm="1">
        <f t="array" ref="DV16">INDEX($B$1:$W$193,MATCH(DV$1,$B$1:$B$193,0),MATCH(1,($B$1:$W$1=$AB16)*($B$2:$W$2=$AC16),0))</f>
        <v>0</v>
      </c>
      <c r="DW16" t="b" cm="1">
        <f t="array" ref="DW16">INDEX($B$1:$W$193,MATCH(DW$1,$B$1:$B$193,0),MATCH(1,($B$1:$W$1=$AB16)*($B$2:$W$2=$AC16),0))</f>
        <v>0</v>
      </c>
      <c r="DX16" t="b" cm="1">
        <f t="array" ref="DX16">INDEX($B$1:$W$193,MATCH(DX$1,$B$1:$B$193,0),MATCH(1,($B$1:$W$1=$AB16)*($B$2:$W$2=$AC16),0))</f>
        <v>0</v>
      </c>
      <c r="DY16" t="b" cm="1">
        <f t="array" ref="DY16">INDEX($B$1:$W$193,MATCH(DY$1,$B$1:$B$193,0),MATCH(1,($B$1:$W$1=$AB16)*($B$2:$W$2=$AC16),0))</f>
        <v>0</v>
      </c>
      <c r="DZ16" t="b" cm="1">
        <f t="array" ref="DZ16">INDEX($B$1:$W$193,MATCH(DZ$1,$B$1:$B$193,0),MATCH(1,($B$1:$W$1=$AB16)*($B$2:$W$2=$AC16),0))</f>
        <v>0</v>
      </c>
      <c r="EA16" t="b" cm="1">
        <f t="array" ref="EA16">INDEX($B$1:$W$193,MATCH(EA$1,$B$1:$B$193,0),MATCH(1,($B$1:$W$1=$AB16)*($B$2:$W$2=$AC16),0))</f>
        <v>0</v>
      </c>
      <c r="EB16" t="b" cm="1">
        <f t="array" ref="EB16">INDEX($B$1:$W$193,MATCH(EB$1,$B$1:$B$193,0),MATCH(1,($B$1:$W$1=$AB16)*($B$2:$W$2=$AC16),0))</f>
        <v>0</v>
      </c>
      <c r="EC16" t="b" cm="1">
        <f t="array" ref="EC16">INDEX($B$1:$W$193,MATCH(EC$1,$B$1:$B$193,0),MATCH(1,($B$1:$W$1=$AB16)*($B$2:$W$2=$AC16),0))</f>
        <v>0</v>
      </c>
      <c r="ED16" t="b" cm="1">
        <f t="array" ref="ED16">INDEX($B$1:$W$193,MATCH(ED$1,$B$1:$B$193,0),MATCH(1,($B$1:$W$1=$AB16)*($B$2:$W$2=$AC16),0))</f>
        <v>1</v>
      </c>
      <c r="EE16" t="b" cm="1">
        <f t="array" ref="EE16">INDEX($B$1:$W$193,MATCH(EE$1,$B$1:$B$193,0),MATCH(1,($B$1:$W$1=$AB16)*($B$2:$W$2=$AC16),0))</f>
        <v>1</v>
      </c>
      <c r="EF16" t="b" cm="1">
        <f t="array" ref="EF16">INDEX($B$1:$W$193,MATCH(EF$1,$B$1:$B$193,0),MATCH(1,($B$1:$W$1=$AB16)*($B$2:$W$2=$AC16),0))</f>
        <v>1</v>
      </c>
      <c r="EG16" t="b" cm="1">
        <f t="array" ref="EG16">INDEX($B$1:$W$193,MATCH(EG$1,$B$1:$B$193,0),MATCH(1,($B$1:$W$1=$AB16)*($B$2:$W$2=$AC16),0))</f>
        <v>0</v>
      </c>
      <c r="EH16" t="b" cm="1">
        <f t="array" ref="EH16">INDEX($B$1:$W$193,MATCH(EH$1,$B$1:$B$193,0),MATCH(1,($B$1:$W$1=$AB16)*($B$2:$W$2=$AC16),0))</f>
        <v>0</v>
      </c>
      <c r="EI16" t="b" cm="1">
        <f t="array" ref="EI16">INDEX($B$1:$W$193,MATCH(EI$1,$B$1:$B$193,0),MATCH(1,($B$1:$W$1=$AB16)*($B$2:$W$2=$AC16),0))</f>
        <v>0</v>
      </c>
      <c r="EJ16" t="b" cm="1">
        <f t="array" ref="EJ16">INDEX($B$1:$W$193,MATCH(EJ$1,$B$1:$B$193,0),MATCH(1,($B$1:$W$1=$AB16)*($B$2:$W$2=$AC16),0))</f>
        <v>0</v>
      </c>
      <c r="EK16" t="b" cm="1">
        <f t="array" ref="EK16">INDEX($B$1:$W$193,MATCH(EK$1,$B$1:$B$193,0),MATCH(1,($B$1:$W$1=$AB16)*($B$2:$W$2=$AC16),0))</f>
        <v>0</v>
      </c>
      <c r="EL16" t="b" cm="1">
        <f t="array" ref="EL16">INDEX($B$1:$W$193,MATCH(EL$1,$B$1:$B$193,0),MATCH(1,($B$1:$W$1=$AB16)*($B$2:$W$2=$AC16),0))</f>
        <v>0</v>
      </c>
      <c r="EM16" t="b" cm="1">
        <f t="array" ref="EM16">INDEX($B$1:$W$193,MATCH(EM$1,$B$1:$B$193,0),MATCH(1,($B$1:$W$1=$AB16)*($B$2:$W$2=$AC16),0))</f>
        <v>0</v>
      </c>
      <c r="EN16" t="b" cm="1">
        <f t="array" ref="EN16">INDEX($B$1:$W$193,MATCH(EN$1,$B$1:$B$193,0),MATCH(1,($B$1:$W$1=$AB16)*($B$2:$W$2=$AC16),0))</f>
        <v>0</v>
      </c>
      <c r="EO16" t="b" cm="1">
        <f t="array" ref="EO16">INDEX($B$1:$W$193,MATCH(EO$1,$B$1:$B$193,0),MATCH(1,($B$1:$W$1=$AB16)*($B$2:$W$2=$AC16),0))</f>
        <v>0</v>
      </c>
      <c r="EP16" t="b" cm="1">
        <f t="array" ref="EP16">INDEX($B$1:$W$193,MATCH(EP$1,$B$1:$B$193,0),MATCH(1,($B$1:$W$1=$AB16)*($B$2:$W$2=$AC16),0))</f>
        <v>0</v>
      </c>
      <c r="EQ16" t="b" cm="1">
        <f t="array" ref="EQ16">INDEX($B$1:$W$193,MATCH(EQ$1,$B$1:$B$193,0),MATCH(1,($B$1:$W$1=$AB16)*($B$2:$W$2=$AC16),0))</f>
        <v>1</v>
      </c>
      <c r="ER16" t="b" cm="1">
        <f t="array" ref="ER16">INDEX($B$1:$W$193,MATCH(ER$1,$B$1:$B$193,0),MATCH(1,($B$1:$W$1=$AB16)*($B$2:$W$2=$AC16),0))</f>
        <v>0</v>
      </c>
      <c r="ES16" t="b" cm="1">
        <f t="array" ref="ES16">INDEX($B$1:$W$193,MATCH(ES$1,$B$1:$B$193,0),MATCH(1,($B$1:$W$1=$AB16)*($B$2:$W$2=$AC16),0))</f>
        <v>0</v>
      </c>
      <c r="ET16" t="b" cm="1">
        <f t="array" ref="ET16">INDEX($B$1:$W$193,MATCH(ET$1,$B$1:$B$193,0),MATCH(1,($B$1:$W$1=$AB16)*($B$2:$W$2=$AC16),0))</f>
        <v>0</v>
      </c>
      <c r="EU16" t="b" cm="1">
        <f t="array" ref="EU16">INDEX($B$1:$W$193,MATCH(EU$1,$B$1:$B$193,0),MATCH(1,($B$1:$W$1=$AB16)*($B$2:$W$2=$AC16),0))</f>
        <v>0</v>
      </c>
      <c r="EV16" t="b" cm="1">
        <f t="array" ref="EV16">INDEX($B$1:$W$193,MATCH(EV$1,$B$1:$B$193,0),MATCH(1,($B$1:$W$1=$AB16)*($B$2:$W$2=$AC16),0))</f>
        <v>0</v>
      </c>
      <c r="EW16" t="b" cm="1">
        <f t="array" ref="EW16">INDEX($B$1:$W$193,MATCH(EW$1,$B$1:$B$193,0),MATCH(1,($B$1:$W$1=$AB16)*($B$2:$W$2=$AC16),0))</f>
        <v>0</v>
      </c>
      <c r="EX16" t="b" cm="1">
        <f t="array" ref="EX16">INDEX($B$1:$W$193,MATCH(EX$1,$B$1:$B$193,0),MATCH(1,($B$1:$W$1=$AB16)*($B$2:$W$2=$AC16),0))</f>
        <v>0</v>
      </c>
      <c r="EY16" t="b" cm="1">
        <f t="array" ref="EY16">INDEX($B$1:$W$193,MATCH(EY$1,$B$1:$B$193,0),MATCH(1,($B$1:$W$1=$AB16)*($B$2:$W$2=$AC16),0))</f>
        <v>0</v>
      </c>
      <c r="EZ16" t="b" cm="1">
        <f t="array" ref="EZ16">INDEX($B$1:$W$193,MATCH(EZ$1,$B$1:$B$193,0),MATCH(1,($B$1:$W$1=$AB16)*($B$2:$W$2=$AC16),0))</f>
        <v>0</v>
      </c>
      <c r="FA16" t="b" cm="1">
        <f t="array" ref="FA16">INDEX($B$1:$W$193,MATCH(FA$1,$B$1:$B$193,0),MATCH(1,($B$1:$W$1=$AB16)*($B$2:$W$2=$AC16),0))</f>
        <v>0</v>
      </c>
      <c r="FB16" t="b" cm="1">
        <f t="array" ref="FB16">INDEX($B$1:$W$193,MATCH(FB$1,$B$1:$B$193,0),MATCH(1,($B$1:$W$1=$AB16)*($B$2:$W$2=$AC16),0))</f>
        <v>0</v>
      </c>
      <c r="FC16" t="b" cm="1">
        <f t="array" ref="FC16">INDEX($B$1:$W$193,MATCH(FC$1,$B$1:$B$193,0),MATCH(1,($B$1:$W$1=$AB16)*($B$2:$W$2=$AC16),0))</f>
        <v>0</v>
      </c>
      <c r="FD16" t="b" cm="1">
        <f t="array" ref="FD16">INDEX($B$1:$W$193,MATCH(FD$1,$B$1:$B$193,0),MATCH(1,($B$1:$W$1=$AB16)*($B$2:$W$2=$AC16),0))</f>
        <v>0</v>
      </c>
      <c r="FE16" t="b" cm="1">
        <f t="array" ref="FE16">INDEX($B$1:$W$193,MATCH(FE$1,$B$1:$B$193,0),MATCH(1,($B$1:$W$1=$AB16)*($B$2:$W$2=$AC16),0))</f>
        <v>0</v>
      </c>
      <c r="FF16" t="b" cm="1">
        <f t="array" ref="FF16">INDEX($B$1:$W$193,MATCH(FF$1,$B$1:$B$193,0),MATCH(1,($B$1:$W$1=$AB16)*($B$2:$W$2=$AC16),0))</f>
        <v>0</v>
      </c>
      <c r="FG16" t="b" cm="1">
        <f t="array" ref="FG16">INDEX($B$1:$W$193,MATCH(FG$1,$B$1:$B$193,0),MATCH(1,($B$1:$W$1=$AB16)*($B$2:$W$2=$AC16),0))</f>
        <v>0</v>
      </c>
      <c r="FH16" t="b" cm="1">
        <f t="array" ref="FH16">INDEX($B$1:$W$193,MATCH(FH$1,$B$1:$B$193,0),MATCH(1,($B$1:$W$1=$AB16)*($B$2:$W$2=$AC16),0))</f>
        <v>0</v>
      </c>
      <c r="FI16" t="b" cm="1">
        <f t="array" ref="FI16">INDEX($B$1:$W$193,MATCH(FI$1,$B$1:$B$193,0),MATCH(1,($B$1:$W$1=$AB16)*($B$2:$W$2=$AC16),0))</f>
        <v>0</v>
      </c>
      <c r="FJ16" t="b" cm="1">
        <f t="array" ref="FJ16">INDEX($B$1:$W$193,MATCH(FJ$1,$B$1:$B$193,0),MATCH(1,($B$1:$W$1=$AB16)*($B$2:$W$2=$AC16),0))</f>
        <v>0</v>
      </c>
      <c r="FK16" t="b" cm="1">
        <f t="array" ref="FK16">INDEX($B$1:$W$193,MATCH(FK$1,$B$1:$B$193,0),MATCH(1,($B$1:$W$1=$AB16)*($B$2:$W$2=$AC16),0))</f>
        <v>0</v>
      </c>
      <c r="FL16" t="b" cm="1">
        <f t="array" ref="FL16">INDEX($B$1:$W$193,MATCH(FL$1,$B$1:$B$193,0),MATCH(1,($B$1:$W$1=$AB16)*($B$2:$W$2=$AC16),0))</f>
        <v>0</v>
      </c>
      <c r="FM16" t="b" cm="1">
        <f t="array" ref="FM16">INDEX($B$1:$W$193,MATCH(FM$1,$B$1:$B$193,0),MATCH(1,($B$1:$W$1=$AB16)*($B$2:$W$2=$AC16),0))</f>
        <v>0</v>
      </c>
      <c r="FN16" t="b" cm="1">
        <f t="array" ref="FN16">INDEX($B$1:$W$193,MATCH(FN$1,$B$1:$B$193,0),MATCH(1,($B$1:$W$1=$AB16)*($B$2:$W$2=$AC16),0))</f>
        <v>0</v>
      </c>
      <c r="FO16" t="b" cm="1">
        <f t="array" ref="FO16">INDEX($B$1:$W$193,MATCH(FO$1,$B$1:$B$193,0),MATCH(1,($B$1:$W$1=$AB16)*($B$2:$W$2=$AC16),0))</f>
        <v>0</v>
      </c>
      <c r="FP16" t="b" cm="1">
        <f t="array" ref="FP16">INDEX($B$1:$W$193,MATCH(FP$1,$B$1:$B$193,0),MATCH(1,($B$1:$W$1=$AB16)*($B$2:$W$2=$AC16),0))</f>
        <v>0</v>
      </c>
      <c r="FQ16" t="b" cm="1">
        <f t="array" ref="FQ16">INDEX($B$1:$W$193,MATCH(FQ$1,$B$1:$B$193,0),MATCH(1,($B$1:$W$1=$AB16)*($B$2:$W$2=$AC16),0))</f>
        <v>0</v>
      </c>
      <c r="FR16" t="b" cm="1">
        <f t="array" ref="FR16">INDEX($B$1:$W$193,MATCH(FR$1,$B$1:$B$193,0),MATCH(1,($B$1:$W$1=$AB16)*($B$2:$W$2=$AC16),0))</f>
        <v>0</v>
      </c>
      <c r="FS16" t="b" cm="1">
        <f t="array" ref="FS16">INDEX($B$1:$W$193,MATCH(FS$1,$B$1:$B$193,0),MATCH(1,($B$1:$W$1=$AB16)*($B$2:$W$2=$AC16),0))</f>
        <v>0</v>
      </c>
      <c r="FT16" t="b" cm="1">
        <f t="array" ref="FT16">INDEX($B$1:$W$193,MATCH(FT$1,$B$1:$B$193,0),MATCH(1,($B$1:$W$1=$AB16)*($B$2:$W$2=$AC16),0))</f>
        <v>0</v>
      </c>
      <c r="FU16" t="b" cm="1">
        <f t="array" ref="FU16">INDEX($B$1:$W$193,MATCH(FU$1,$B$1:$B$193,0),MATCH(1,($B$1:$W$1=$AB16)*($B$2:$W$2=$AC16),0))</f>
        <v>0</v>
      </c>
      <c r="FV16" t="b" cm="1">
        <f t="array" ref="FV16">INDEX($B$1:$W$193,MATCH(FV$1,$B$1:$B$193,0),MATCH(1,($B$1:$W$1=$AB16)*($B$2:$W$2=$AC16),0))</f>
        <v>0</v>
      </c>
      <c r="FW16" t="b" cm="1">
        <f t="array" ref="FW16">INDEX($B$1:$W$193,MATCH(FW$1,$B$1:$B$193,0),MATCH(1,($B$1:$W$1=$AB16)*($B$2:$W$2=$AC16),0))</f>
        <v>0</v>
      </c>
      <c r="FX16" t="b" cm="1">
        <f t="array" ref="FX16">INDEX($B$1:$W$193,MATCH(FX$1,$B$1:$B$193,0),MATCH(1,($B$1:$W$1=$AB16)*($B$2:$W$2=$AC16),0))</f>
        <v>0</v>
      </c>
      <c r="FY16" t="b" cm="1">
        <f t="array" ref="FY16">INDEX($B$1:$W$193,MATCH(FY$1,$B$1:$B$193,0),MATCH(1,($B$1:$W$1=$AB16)*($B$2:$W$2=$AC16),0))</f>
        <v>0</v>
      </c>
      <c r="FZ16" t="b" cm="1">
        <f t="array" ref="FZ16">INDEX($B$1:$W$193,MATCH(FZ$1,$B$1:$B$193,0),MATCH(1,($B$1:$W$1=$AB16)*($B$2:$W$2=$AC16),0))</f>
        <v>0</v>
      </c>
      <c r="GA16" t="b" cm="1">
        <f t="array" ref="GA16">INDEX($B$1:$W$193,MATCH(GA$1,$B$1:$B$193,0),MATCH(1,($B$1:$W$1=$AB16)*($B$2:$W$2=$AC16),0))</f>
        <v>0</v>
      </c>
      <c r="GB16" t="b" cm="1">
        <f t="array" ref="GB16">INDEX($B$1:$W$193,MATCH(GB$1,$B$1:$B$193,0),MATCH(1,($B$1:$W$1=$AB16)*($B$2:$W$2=$AC16),0))</f>
        <v>0</v>
      </c>
      <c r="GC16" t="b" cm="1">
        <f t="array" ref="GC16">INDEX($B$1:$W$193,MATCH(GC$1,$B$1:$B$193,0),MATCH(1,($B$1:$W$1=$AB16)*($B$2:$W$2=$AC16),0))</f>
        <v>0</v>
      </c>
      <c r="GD16" t="b" cm="1">
        <f t="array" ref="GD16">INDEX($B$1:$W$193,MATCH(GD$1,$B$1:$B$193,0),MATCH(1,($B$1:$W$1=$AB16)*($B$2:$W$2=$AC16),0))</f>
        <v>0</v>
      </c>
      <c r="GE16" t="b" cm="1">
        <f t="array" ref="GE16">INDEX($B$1:$W$193,MATCH(GE$1,$B$1:$B$193,0),MATCH(1,($B$1:$W$1=$AB16)*($B$2:$W$2=$AC16),0))</f>
        <v>0</v>
      </c>
      <c r="GF16" t="b" cm="1">
        <f t="array" ref="GF16">INDEX($B$1:$W$193,MATCH(GF$1,$B$1:$B$193,0),MATCH(1,($B$1:$W$1=$AB16)*($B$2:$W$2=$AC16),0))</f>
        <v>0</v>
      </c>
      <c r="GG16" t="b" cm="1">
        <f t="array" ref="GG16">INDEX($B$1:$W$193,MATCH(GG$1,$B$1:$B$193,0),MATCH(1,($B$1:$W$1=$AB16)*($B$2:$W$2=$AC16),0))</f>
        <v>0</v>
      </c>
      <c r="GH16" t="b" cm="1">
        <f t="array" ref="GH16">INDEX($B$1:$W$193,MATCH(GH$1,$B$1:$B$193,0),MATCH(1,($B$1:$W$1=$AB16)*($B$2:$W$2=$AC16),0))</f>
        <v>0</v>
      </c>
      <c r="GI16" t="b" cm="1">
        <f t="array" ref="GI16">INDEX($B$1:$W$193,MATCH(GI$1,$B$1:$B$193,0),MATCH(1,($B$1:$W$1=$AB16)*($B$2:$W$2=$AC16),0))</f>
        <v>0</v>
      </c>
      <c r="GJ16" t="b" cm="1">
        <f t="array" ref="GJ16">INDEX($B$1:$W$193,MATCH(GJ$1,$B$1:$B$193,0),MATCH(1,($B$1:$W$1=$AB16)*($B$2:$W$2=$AC16),0))</f>
        <v>0</v>
      </c>
      <c r="GK16" t="b" cm="1">
        <f t="array" ref="GK16">INDEX($B$1:$W$193,MATCH(GK$1,$B$1:$B$193,0),MATCH(1,($B$1:$W$1=$AB16)*($B$2:$W$2=$AC16),0))</f>
        <v>0</v>
      </c>
      <c r="GL16" t="b" cm="1">
        <f t="array" ref="GL16">INDEX($B$1:$W$193,MATCH(GL$1,$B$1:$B$193,0),MATCH(1,($B$1:$W$1=$AB16)*($B$2:$W$2=$AC16),0))</f>
        <v>0</v>
      </c>
      <c r="GM16" t="b" cm="1">
        <f t="array" ref="GM16">INDEX($B$1:$W$193,MATCH(GM$1,$B$1:$B$193,0),MATCH(1,($B$1:$W$1=$AB16)*($B$2:$W$2=$AC16),0))</f>
        <v>0</v>
      </c>
      <c r="GN16" t="b" cm="1">
        <f t="array" ref="GN16">INDEX($B$1:$W$193,MATCH(GN$1,$B$1:$B$193,0),MATCH(1,($B$1:$W$1=$AB16)*($B$2:$W$2=$AC16),0))</f>
        <v>0</v>
      </c>
      <c r="GO16" t="b" cm="1">
        <f t="array" ref="GO16">INDEX($B$1:$W$193,MATCH(GO$1,$B$1:$B$193,0),MATCH(1,($B$1:$W$1=$AB16)*($B$2:$W$2=$AC16),0))</f>
        <v>0</v>
      </c>
      <c r="GP16" t="b" cm="1">
        <f t="array" ref="GP16">INDEX($B$1:$W$193,MATCH(GP$1,$B$1:$B$193,0),MATCH(1,($B$1:$W$1=$AB16)*($B$2:$W$2=$AC16),0))</f>
        <v>0</v>
      </c>
      <c r="GQ16" t="b" cm="1">
        <f t="array" ref="GQ16">INDEX($B$1:$W$193,MATCH(GQ$1,$B$1:$B$193,0),MATCH(1,($B$1:$W$1=$AB16)*($B$2:$W$2=$AC16),0))</f>
        <v>0</v>
      </c>
      <c r="GR16" t="b" cm="1">
        <f t="array" ref="GR16">INDEX($B$1:$W$193,MATCH(GR$1,$B$1:$B$193,0),MATCH(1,($B$1:$W$1=$AB16)*($B$2:$W$2=$AC16),0))</f>
        <v>0</v>
      </c>
      <c r="GS16" t="b" cm="1">
        <f t="array" ref="GS16">INDEX($B$1:$W$193,MATCH(GS$1,$B$1:$B$193,0),MATCH(1,($B$1:$W$1=$AB16)*($B$2:$W$2=$AC16),0))</f>
        <v>0</v>
      </c>
      <c r="GT16" t="b" cm="1">
        <f t="array" ref="GT16">INDEX($B$1:$W$193,MATCH(GT$1,$B$1:$B$193,0),MATCH(1,($B$1:$W$1=$AB16)*($B$2:$W$2=$AC16),0))</f>
        <v>0</v>
      </c>
      <c r="GU16" t="b" cm="1">
        <f t="array" ref="GU16">INDEX($B$1:$W$193,MATCH(GU$1,$B$1:$B$193,0),MATCH(1,($B$1:$W$1=$AB16)*($B$2:$W$2=$AC16),0))</f>
        <v>0</v>
      </c>
      <c r="GV16" t="b" cm="1">
        <f t="array" ref="GV16">INDEX($B$1:$W$193,MATCH(GV$1,$B$1:$B$193,0),MATCH(1,($B$1:$W$1=$AB16)*($B$2:$W$2=$AC16),0))</f>
        <v>0</v>
      </c>
      <c r="GW16" t="b" cm="1">
        <f t="array" ref="GW16">INDEX($B$1:$W$193,MATCH(GW$1,$B$1:$B$193,0),MATCH(1,($B$1:$W$1=$AB16)*($B$2:$W$2=$AC16),0))</f>
        <v>0</v>
      </c>
      <c r="GX16" t="b" cm="1">
        <f t="array" ref="GX16">INDEX($B$1:$W$193,MATCH(GX$1,$B$1:$B$193,0),MATCH(1,($B$1:$W$1=$AB16)*($B$2:$W$2=$AC16),0))</f>
        <v>0</v>
      </c>
      <c r="GY16" t="b" cm="1">
        <f t="array" ref="GY16">INDEX($B$1:$W$193,MATCH(GY$1,$B$1:$B$193,0),MATCH(1,($B$1:$W$1=$AB16)*($B$2:$W$2=$AC16),0))</f>
        <v>0</v>
      </c>
      <c r="GZ16" t="b" cm="1">
        <f t="array" ref="GZ16">INDEX($B$1:$W$193,MATCH(GZ$1,$B$1:$B$193,0),MATCH(1,($B$1:$W$1=$AB16)*($B$2:$W$2=$AC16),0))</f>
        <v>0</v>
      </c>
      <c r="HA16" t="b" cm="1">
        <f t="array" ref="HA16">INDEX($B$1:$W$193,MATCH(HA$1,$B$1:$B$193,0),MATCH(1,($B$1:$W$1=$AB16)*($B$2:$W$2=$AC16),0))</f>
        <v>0</v>
      </c>
      <c r="HB16" t="b" cm="1">
        <f t="array" ref="HB16">INDEX($B$1:$W$193,MATCH(HB$1,$B$1:$B$193,0),MATCH(1,($B$1:$W$1=$AB16)*($B$2:$W$2=$AC16),0))</f>
        <v>0</v>
      </c>
      <c r="HC16" t="b" cm="1">
        <f t="array" ref="HC16">INDEX($B$1:$W$193,MATCH(HC$1,$B$1:$B$193,0),MATCH(1,($B$1:$W$1=$AB16)*($B$2:$W$2=$AC16),0))</f>
        <v>0</v>
      </c>
      <c r="HD16" t="b" cm="1">
        <f t="array" ref="HD16">INDEX($B$1:$W$193,MATCH(HD$1,$B$1:$B$193,0),MATCH(1,($B$1:$W$1=$AB16)*($B$2:$W$2=$AC16),0))</f>
        <v>0</v>
      </c>
      <c r="HE16" t="b" cm="1">
        <f t="array" ref="HE16">INDEX($B$1:$W$193,MATCH(HE$1,$B$1:$B$193,0),MATCH(1,($B$1:$W$1=$AB16)*($B$2:$W$2=$AC16),0))</f>
        <v>0</v>
      </c>
      <c r="HF16" t="b" cm="1">
        <f t="array" ref="HF16">INDEX($B$1:$W$193,MATCH(HF$1,$B$1:$B$193,0),MATCH(1,($B$1:$W$1=$AB16)*($B$2:$W$2=$AC16),0))</f>
        <v>0</v>
      </c>
      <c r="HG16" t="b" cm="1">
        <f t="array" ref="HG16">INDEX($B$1:$W$193,MATCH(HG$1,$B$1:$B$193,0),MATCH(1,($B$1:$W$1=$AB16)*($B$2:$W$2=$AC16),0))</f>
        <v>0</v>
      </c>
      <c r="HH16" t="b" cm="1">
        <f t="array" ref="HH16">INDEX($B$1:$W$193,MATCH(HH$1,$B$1:$B$193,0),MATCH(1,($B$1:$W$1=$AB16)*($B$2:$W$2=$AC16),0))</f>
        <v>0</v>
      </c>
      <c r="HI16" t="b" cm="1">
        <f t="array" ref="HI16">INDEX($B$1:$W$193,MATCH(HI$1,$B$1:$B$193,0),MATCH(1,($B$1:$W$1=$AB16)*($B$2:$W$2=$AC16),0))</f>
        <v>0</v>
      </c>
      <c r="HJ16" t="b" cm="1">
        <f t="array" ref="HJ16">INDEX($B$1:$W$193,MATCH(HJ$1,$B$1:$B$193,0),MATCH(1,($B$1:$W$1=$AB16)*($B$2:$W$2=$AC16),0))</f>
        <v>0</v>
      </c>
      <c r="HK16" t="b" cm="1">
        <f t="array" ref="HK16">INDEX($B$1:$W$193,MATCH(HK$1,$B$1:$B$193,0),MATCH(1,($B$1:$W$1=$AB16)*($B$2:$W$2=$AC16),0))</f>
        <v>0</v>
      </c>
      <c r="HL16" t="b" cm="1">
        <f t="array" ref="HL16">INDEX($B$1:$W$193,MATCH(HL$1,$B$1:$B$193,0),MATCH(1,($B$1:$W$1=$AB16)*($B$2:$W$2=$AC16),0))</f>
        <v>0</v>
      </c>
      <c r="HM16" t="b" cm="1">
        <f t="array" ref="HM16">INDEX($B$1:$W$193,MATCH(HM$1,$B$1:$B$193,0),MATCH(1,($B$1:$W$1=$AB16)*($B$2:$W$2=$AC16),0))</f>
        <v>0</v>
      </c>
      <c r="HN16" t="b" cm="1">
        <f t="array" ref="HN16">INDEX($B$1:$W$193,MATCH(HN$1,$B$1:$B$193,0),MATCH(1,($B$1:$W$1=$AB16)*($B$2:$W$2=$AC16),0))</f>
        <v>0</v>
      </c>
      <c r="HO16" t="b" cm="1">
        <f t="array" ref="HO16">INDEX($B$1:$W$193,MATCH(HO$1,$B$1:$B$193,0),MATCH(1,($B$1:$W$1=$AB16)*($B$2:$W$2=$AC16),0))</f>
        <v>0</v>
      </c>
      <c r="HP16" t="b" cm="1">
        <f t="array" ref="HP16">INDEX($B$1:$W$193,MATCH(HP$1,$B$1:$B$193,0),MATCH(1,($B$1:$W$1=$AB16)*($B$2:$W$2=$AC16),0))</f>
        <v>0</v>
      </c>
      <c r="HQ16" t="b" cm="1">
        <f t="array" ref="HQ16">INDEX($B$1:$W$193,MATCH(HQ$1,$B$1:$B$193,0),MATCH(1,($B$1:$W$1=$AB16)*($B$2:$W$2=$AC16),0))</f>
        <v>0</v>
      </c>
      <c r="HR16" t="b" cm="1">
        <f t="array" ref="HR16">INDEX($B$1:$W$193,MATCH(HR$1,$B$1:$B$193,0),MATCH(1,($B$1:$W$1=$AB16)*($B$2:$W$2=$AC16),0))</f>
        <v>0</v>
      </c>
      <c r="HS16" t="b" cm="1">
        <f t="array" ref="HS16">INDEX($B$1:$W$193,MATCH(HS$1,$B$1:$B$193,0),MATCH(1,($B$1:$W$1=$AB16)*($B$2:$W$2=$AC16),0))</f>
        <v>0</v>
      </c>
      <c r="HT16" t="b" cm="1">
        <f t="array" ref="HT16">INDEX($B$1:$W$193,MATCH(HT$1,$B$1:$B$193,0),MATCH(1,($B$1:$W$1=$AB16)*($B$2:$W$2=$AC16),0))</f>
        <v>0</v>
      </c>
      <c r="HU16" t="b" cm="1">
        <f t="array" ref="HU16">INDEX($B$1:$W$193,MATCH(HU$1,$B$1:$B$193,0),MATCH(1,($B$1:$W$1=$AB16)*($B$2:$W$2=$AC16),0))</f>
        <v>0</v>
      </c>
      <c r="HV16" t="b" cm="1">
        <f t="array" ref="HV16">INDEX($B$1:$W$193,MATCH(HV$1,$B$1:$B$193,0),MATCH(1,($B$1:$W$1=$AB16)*($B$2:$W$2=$AC16),0))</f>
        <v>0</v>
      </c>
      <c r="HW16" t="b" cm="1">
        <f t="array" ref="HW16">INDEX($B$1:$W$193,MATCH(HW$1,$B$1:$B$193,0),MATCH(1,($B$1:$W$1=$AB16)*($B$2:$W$2=$AC16),0))</f>
        <v>0</v>
      </c>
      <c r="HX16" t="b" cm="1">
        <f t="array" ref="HX16">INDEX($B$1:$W$193,MATCH(HX$1,$B$1:$B$193,0),MATCH(1,($B$1:$W$1=$AB16)*($B$2:$W$2=$AC16),0))</f>
        <v>0</v>
      </c>
      <c r="HY16" t="b" cm="1">
        <f t="array" ref="HY16">INDEX($B$1:$W$193,MATCH(HY$1,$B$1:$B$193,0),MATCH(1,($B$1:$W$1=$AB16)*($B$2:$W$2=$AC16),0))</f>
        <v>0</v>
      </c>
      <c r="HZ16" t="b" cm="1">
        <f t="array" ref="HZ16">INDEX($B$1:$W$193,MATCH(HZ$1,$B$1:$B$193,0),MATCH(1,($B$1:$W$1=$AB16)*($B$2:$W$2=$AC16),0))</f>
        <v>0</v>
      </c>
      <c r="IA16" t="b" cm="1">
        <f t="array" ref="IA16">INDEX($B$1:$W$193,MATCH(IA$1,$B$1:$B$193,0),MATCH(1,($B$1:$W$1=$AB16)*($B$2:$W$2=$AC16),0))</f>
        <v>0</v>
      </c>
      <c r="IB16" t="b" cm="1">
        <f t="array" ref="IB16">INDEX($B$1:$W$193,MATCH(IB$1,$B$1:$B$193,0),MATCH(1,($B$1:$W$1=$AB16)*($B$2:$W$2=$AC16),0))</f>
        <v>0</v>
      </c>
      <c r="IC16" t="b" cm="1">
        <f t="array" ref="IC16">INDEX($B$1:$W$193,MATCH(IC$1,$B$1:$B$193,0),MATCH(1,($B$1:$W$1=$AB16)*($B$2:$W$2=$AC16),0))</f>
        <v>0</v>
      </c>
      <c r="ID16" t="b" cm="1">
        <f t="array" ref="ID16">INDEX($B$1:$W$193,MATCH(ID$1,$B$1:$B$193,0),MATCH(1,($B$1:$W$1=$AB16)*($B$2:$W$2=$AC16),0))</f>
        <v>0</v>
      </c>
      <c r="IE16" t="b" cm="1">
        <f t="array" ref="IE16">INDEX($B$1:$W$193,MATCH(IE$1,$B$1:$B$193,0),MATCH(1,($B$1:$W$1=$AB16)*($B$2:$W$2=$AC16),0))</f>
        <v>0</v>
      </c>
      <c r="IF16" t="b" cm="1">
        <f t="array" ref="IF16">INDEX($B$1:$W$193,MATCH(IF$1,$B$1:$B$193,0),MATCH(1,($B$1:$W$1=$AB16)*($B$2:$W$2=$AC16),0))</f>
        <v>0</v>
      </c>
      <c r="IG16" t="b" cm="1">
        <f t="array" ref="IG16">INDEX($B$1:$W$193,MATCH(IG$1,$B$1:$B$193,0),MATCH(1,($B$1:$W$1=$AB16)*($B$2:$W$2=$AC16),0))</f>
        <v>0</v>
      </c>
      <c r="IH16" t="b" cm="1">
        <f t="array" ref="IH16">INDEX($B$1:$W$193,MATCH(IH$1,$B$1:$B$193,0),MATCH(1,($B$1:$W$1=$AB16)*($B$2:$W$2=$AC16),0))</f>
        <v>0</v>
      </c>
      <c r="II16" t="b" cm="1">
        <f t="array" ref="II16">INDEX($B$1:$W$193,MATCH(II$1,$B$1:$B$193,0),MATCH(1,($B$1:$W$1=$AB16)*($B$2:$W$2=$AC16),0))</f>
        <v>0</v>
      </c>
      <c r="IJ16" t="b" cm="1">
        <f t="array" ref="IJ16">INDEX($B$1:$W$193,MATCH(IJ$1,$B$1:$B$193,0),MATCH(1,($B$1:$W$1=$AB16)*($B$2:$W$2=$AC16),0))</f>
        <v>0</v>
      </c>
      <c r="IK16" t="b" cm="1">
        <f t="array" ref="IK16">INDEX($B$1:$W$193,MATCH(IK$1,$B$1:$B$193,0),MATCH(1,($B$1:$W$1=$AB16)*($B$2:$W$2=$AC16),0))</f>
        <v>0</v>
      </c>
      <c r="IL16" t="b" cm="1">
        <f t="array" ref="IL16">INDEX($B$1:$W$193,MATCH(IL$1,$B$1:$B$193,0),MATCH(1,($B$1:$W$1=$AB16)*($B$2:$W$2=$AC16),0))</f>
        <v>0</v>
      </c>
      <c r="IM16" t="b" cm="1">
        <f t="array" ref="IM16">INDEX($B$1:$W$193,MATCH(IM$1,$B$1:$B$193,0),MATCH(1,($B$1:$W$1=$AB16)*($B$2:$W$2=$AC16),0))</f>
        <v>0</v>
      </c>
      <c r="IN16" t="b" cm="1">
        <f t="array" ref="IN16">INDEX($B$1:$W$193,MATCH(IN$1,$B$1:$B$193,0),MATCH(1,($B$1:$W$1=$AB16)*($B$2:$W$2=$AC16),0))</f>
        <v>0</v>
      </c>
      <c r="IO16" t="b" cm="1">
        <f t="array" ref="IO16">INDEX($B$1:$W$193,MATCH(IO$1,$B$1:$B$193,0),MATCH(1,($B$1:$W$1=$AB16)*($B$2:$W$2=$AC16),0))</f>
        <v>0</v>
      </c>
      <c r="IP16" t="b" cm="1">
        <f t="array" ref="IP16">INDEX($B$1:$W$193,MATCH(IP$1,$B$1:$B$193,0),MATCH(1,($B$1:$W$1=$AB16)*($B$2:$W$2=$AC16),0))</f>
        <v>0</v>
      </c>
      <c r="IQ16" t="b" cm="1">
        <f t="array" ref="IQ16">INDEX($B$1:$W$193,MATCH(IQ$1,$B$1:$B$193,0),MATCH(1,($B$1:$W$1=$AB16)*($B$2:$W$2=$AC16),0))</f>
        <v>0</v>
      </c>
      <c r="IR16" t="b" cm="1">
        <f t="array" ref="IR16">INDEX($B$1:$W$193,MATCH(IR$1,$B$1:$B$193,0),MATCH(1,($B$1:$W$1=$AB16)*($B$2:$W$2=$AC16),0))</f>
        <v>0</v>
      </c>
      <c r="IS16" t="b" cm="1">
        <f t="array" ref="IS16">INDEX($B$1:$W$193,MATCH(IS$1,$B$1:$B$193,0),MATCH(1,($B$1:$W$1=$AB16)*($B$2:$W$2=$AC16),0))</f>
        <v>0</v>
      </c>
      <c r="IT16" t="b" cm="1">
        <f t="array" ref="IT16">INDEX($B$1:$W$193,MATCH(IT$1,$B$1:$B$193,0),MATCH(1,($B$1:$W$1=$AB16)*($B$2:$W$2=$AC16),0))</f>
        <v>0</v>
      </c>
      <c r="IU16" t="b" cm="1">
        <f t="array" ref="IU16">INDEX($B$1:$W$193,MATCH(IU$1,$B$1:$B$193,0),MATCH(1,($B$1:$W$1=$AB16)*($B$2:$W$2=$AC16),0))</f>
        <v>0</v>
      </c>
      <c r="IV16" t="b" cm="1">
        <f t="array" ref="IV16">INDEX($B$1:$W$193,MATCH(IV$1,$B$1:$B$193,0),MATCH(1,($B$1:$W$1=$AB16)*($B$2:$W$2=$AC16),0))</f>
        <v>0</v>
      </c>
      <c r="IW16" t="b" cm="1">
        <f t="array" ref="IW16">INDEX($B$1:$W$193,MATCH(IW$1,$B$1:$B$193,0),MATCH(1,($B$1:$W$1=$AB16)*($B$2:$W$2=$AC16),0))</f>
        <v>0</v>
      </c>
      <c r="IX16" t="b" cm="1">
        <f t="array" ref="IX16">INDEX($B$1:$W$193,MATCH(IX$1,$B$1:$B$193,0),MATCH(1,($B$1:$W$1=$AB16)*($B$2:$W$2=$AC16),0))</f>
        <v>0</v>
      </c>
      <c r="IY16" t="b" cm="1">
        <f t="array" ref="IY16">INDEX($B$1:$W$193,MATCH(IY$1,$B$1:$B$193,0),MATCH(1,($B$1:$W$1=$AB16)*($B$2:$W$2=$AC16),0))</f>
        <v>0</v>
      </c>
      <c r="IZ16" t="b" cm="1">
        <f t="array" ref="IZ16">INDEX($B$1:$W$193,MATCH(IZ$1,$B$1:$B$193,0),MATCH(1,($B$1:$W$1=$AB16)*($B$2:$W$2=$AC16),0))</f>
        <v>0</v>
      </c>
      <c r="JA16" t="b" cm="1">
        <f t="array" ref="JA16">INDEX($B$1:$W$193,MATCH(JA$1,$B$1:$B$193,0),MATCH(1,($B$1:$W$1=$AB16)*($B$2:$W$2=$AC16),0))</f>
        <v>0</v>
      </c>
      <c r="JB16" t="b" cm="1">
        <f t="array" ref="JB16">INDEX($B$1:$W$193,MATCH(JB$1,$B$1:$B$193,0),MATCH(1,($B$1:$W$1=$AB16)*($B$2:$W$2=$AC16),0))</f>
        <v>0</v>
      </c>
      <c r="JC16" t="b" cm="1">
        <f t="array" ref="JC16">INDEX($B$1:$W$193,MATCH(JC$1,$B$1:$B$193,0),MATCH(1,($B$1:$W$1=$AB16)*($B$2:$W$2=$AC16),0))</f>
        <v>0</v>
      </c>
      <c r="JD16" t="b" cm="1">
        <f t="array" ref="JD16">INDEX($B$1:$W$193,MATCH(JD$1,$B$1:$B$193,0),MATCH(1,($B$1:$W$1=$AB16)*($B$2:$W$2=$AC16),0))</f>
        <v>0</v>
      </c>
      <c r="JE16" t="b" cm="1">
        <f t="array" ref="JE16">INDEX($B$1:$W$193,MATCH(JE$1,$B$1:$B$193,0),MATCH(1,($B$1:$W$1=$AB16)*($B$2:$W$2=$AC16),0))</f>
        <v>0</v>
      </c>
      <c r="JF16" t="b" cm="1">
        <f t="array" ref="JF16">INDEX($B$1:$W$193,MATCH(JF$1,$B$1:$B$193,0),MATCH(1,($B$1:$W$1=$AB16)*($B$2:$W$2=$AC16),0))</f>
        <v>0</v>
      </c>
      <c r="JG16" t="b" cm="1">
        <f t="array" ref="JG16">INDEX($B$1:$W$193,MATCH(JG$1,$B$1:$B$193,0),MATCH(1,($B$1:$W$1=$AB16)*($B$2:$W$2=$AC16),0))</f>
        <v>0</v>
      </c>
      <c r="JH16" t="b" cm="1">
        <f t="array" ref="JH16">INDEX($B$1:$W$193,MATCH(JH$1,$B$1:$B$193,0),MATCH(1,($B$1:$W$1=$AB16)*($B$2:$W$2=$AC16),0))</f>
        <v>0</v>
      </c>
    </row>
    <row r="17" spans="1:268" x14ac:dyDescent="0.25">
      <c r="A17" t="s">
        <v>164</v>
      </c>
      <c r="B17" s="51">
        <v>24</v>
      </c>
      <c r="C17">
        <v>2</v>
      </c>
      <c r="D17">
        <v>3</v>
      </c>
      <c r="E17" t="b">
        <f t="shared" si="1"/>
        <v>1</v>
      </c>
      <c r="F17" t="b">
        <f t="shared" si="0"/>
        <v>1</v>
      </c>
      <c r="G17" t="b">
        <f t="shared" si="0"/>
        <v>1</v>
      </c>
      <c r="H17" t="b">
        <f t="shared" ref="H17:P17" si="5">IF(OR(INT(RIGHT(H$2,1))&lt;$D17,INT(RIGHT(H$2,1))=$D17),TRUE,FALSE)</f>
        <v>0</v>
      </c>
      <c r="I17" t="b">
        <f t="shared" si="5"/>
        <v>0</v>
      </c>
      <c r="J17" t="b">
        <f t="shared" si="5"/>
        <v>0</v>
      </c>
      <c r="K17" t="b">
        <f t="shared" si="5"/>
        <v>1</v>
      </c>
      <c r="L17" t="b">
        <f t="shared" si="5"/>
        <v>1</v>
      </c>
      <c r="M17" t="b">
        <f t="shared" si="5"/>
        <v>1</v>
      </c>
      <c r="N17" t="b">
        <f t="shared" si="5"/>
        <v>0</v>
      </c>
      <c r="O17" t="b">
        <f t="shared" si="5"/>
        <v>0</v>
      </c>
      <c r="P17" t="b">
        <f t="shared" si="5"/>
        <v>0</v>
      </c>
      <c r="Q17" t="b">
        <v>1</v>
      </c>
      <c r="R17" t="b" cm="1">
        <f t="array" ref="R17">_xlfn.IFS(C17=1,FALSE,OR(C17=2,C17&gt;2),TRUE)</f>
        <v>1</v>
      </c>
      <c r="S17" t="b" cm="1">
        <f t="array" ref="S17">_xlfn.IFS(OR(C17=1,C17=2),FALSE,OR(C17=3,C17&gt;3),TRUE)</f>
        <v>0</v>
      </c>
      <c r="T17" t="str">
        <f t="shared" si="2"/>
        <v>TRUE</v>
      </c>
      <c r="U17" t="str">
        <f t="shared" si="3"/>
        <v>FALSE</v>
      </c>
      <c r="V17" t="str">
        <f t="shared" si="4"/>
        <v>FALSE</v>
      </c>
      <c r="W17" t="b" cm="1">
        <f t="array" ref="W17">_xlfn.IFS(H17=1,FALSE,OR(H17=2,H17&gt;2),TRUE)</f>
        <v>1</v>
      </c>
      <c r="X17" t="b" cm="1">
        <f t="array" ref="X17">_xlfn.IFS(H17=1,FALSE,OR(H17=2,H17&gt;2),TRUE)</f>
        <v>1</v>
      </c>
      <c r="Y17" t="b" cm="1">
        <f t="array" ref="Y17">_xlfn.IFS(H17=1,FALSE,OR(H17=2,H17&gt;2),TRUE)</f>
        <v>1</v>
      </c>
      <c r="AB17" t="s">
        <v>146</v>
      </c>
      <c r="AC17" t="s">
        <v>149</v>
      </c>
      <c r="AD17" t="str" cm="1">
        <f t="array" ref="AD17">INDEX($B$1:$W$193,MATCH(AD$1,$B$1:$B$193,0),MATCH(1,($B$1:$W$1=$AB17)*($B$2:$W$2=$AC17),0))</f>
        <v>TRUE</v>
      </c>
      <c r="AE17" t="str" cm="1">
        <f t="array" ref="AE17">INDEX($B$1:$W$193,MATCH(AE$1,$B$1:$B$193,0),MATCH(1,($B$1:$W$1=$AB17)*($B$2:$W$2=$AC17),0))</f>
        <v>TRUE</v>
      </c>
      <c r="AF17" t="str" cm="1">
        <f t="array" ref="AF17">INDEX($B$1:$W$193,MATCH(AF$1,$B$1:$B$193,0),MATCH(1,($B$1:$W$1=$AB17)*($B$2:$W$2=$AC17),0))</f>
        <v>TRUE</v>
      </c>
      <c r="AG17" t="str" cm="1">
        <f t="array" ref="AG17">INDEX($B$1:$W$193,MATCH(AG$1,$B$1:$B$193,0),MATCH(1,($B$1:$W$1=$AB17)*($B$2:$W$2=$AC17),0))</f>
        <v>TRUE</v>
      </c>
      <c r="AH17" t="str" cm="1">
        <f t="array" ref="AH17">INDEX($B$1:$W$193,MATCH(AH$1,$B$1:$B$193,0),MATCH(1,($B$1:$W$1=$AB17)*($B$2:$W$2=$AC17),0))</f>
        <v>TRUE</v>
      </c>
      <c r="AI17" t="str" cm="1">
        <f t="array" ref="AI17">INDEX($B$1:$W$193,MATCH(AI$1,$B$1:$B$193,0),MATCH(1,($B$1:$W$1=$AB17)*($B$2:$W$2=$AC17),0))</f>
        <v>TRUE</v>
      </c>
      <c r="AJ17" t="str" cm="1">
        <f t="array" ref="AJ17">INDEX($B$1:$W$193,MATCH(AJ$1,$B$1:$B$193,0),MATCH(1,($B$1:$W$1=$AB17)*($B$2:$W$2=$AC17),0))</f>
        <v>TRUE</v>
      </c>
      <c r="AK17" t="str" cm="1">
        <f t="array" ref="AK17">INDEX($B$1:$W$193,MATCH(AK$1,$B$1:$B$193,0),MATCH(1,($B$1:$W$1=$AB17)*($B$2:$W$2=$AC17),0))</f>
        <v>TRUE</v>
      </c>
      <c r="AL17" t="str" cm="1">
        <f t="array" ref="AL17">INDEX($B$1:$W$193,MATCH(AL$1,$B$1:$B$193,0),MATCH(1,($B$1:$W$1=$AB17)*($B$2:$W$2=$AC17),0))</f>
        <v>TRUE</v>
      </c>
      <c r="AM17" t="str" cm="1">
        <f t="array" ref="AM17">INDEX($B$1:$W$193,MATCH(AM$1,$B$1:$B$193,0),MATCH(1,($B$1:$W$1=$AB17)*($B$2:$W$2=$AC17),0))</f>
        <v>TRUE</v>
      </c>
      <c r="AN17" t="str" cm="1">
        <f t="array" ref="AN17">INDEX($B$1:$W$193,MATCH(AN$1,$B$1:$B$193,0),MATCH(1,($B$1:$W$1=$AB17)*($B$2:$W$2=$AC17),0))</f>
        <v>TRUE</v>
      </c>
      <c r="AO17" t="str" cm="1">
        <f t="array" ref="AO17">INDEX($B$1:$W$193,MATCH(AO$1,$B$1:$B$193,0),MATCH(1,($B$1:$W$1=$AB17)*($B$2:$W$2=$AC17),0))</f>
        <v>TRUE</v>
      </c>
      <c r="AP17" t="str" cm="1">
        <f t="array" ref="AP17">INDEX($B$1:$W$193,MATCH(AP$1,$B$1:$B$193,0),MATCH(1,($B$1:$W$1=$AB17)*($B$2:$W$2=$AC17),0))</f>
        <v>TRUE</v>
      </c>
      <c r="AQ17" t="str" cm="1">
        <f t="array" ref="AQ17">INDEX($B$1:$W$193,MATCH(AQ$1,$B$1:$B$193,0),MATCH(1,($B$1:$W$1=$AB17)*($B$2:$W$2=$AC17),0))</f>
        <v>TRUE</v>
      </c>
      <c r="AR17" t="str" cm="1">
        <f t="array" ref="AR17">INDEX($B$1:$W$193,MATCH(AR$1,$B$1:$B$193,0),MATCH(1,($B$1:$W$1=$AB17)*($B$2:$W$2=$AC17),0))</f>
        <v>TRUE</v>
      </c>
      <c r="AS17" t="str" cm="1">
        <f t="array" ref="AS17">INDEX($B$1:$W$193,MATCH(AS$1,$B$1:$B$193,0),MATCH(1,($B$1:$W$1=$AB17)*($B$2:$W$2=$AC17),0))</f>
        <v>TRUE</v>
      </c>
      <c r="AT17" t="str" cm="1">
        <f t="array" ref="AT17">INDEX($B$1:$W$193,MATCH(AT$1,$B$1:$B$193,0),MATCH(1,($B$1:$W$1=$AB17)*($B$2:$W$2=$AC17),0))</f>
        <v>TRUE</v>
      </c>
      <c r="AU17" t="str" cm="1">
        <f t="array" ref="AU17">INDEX($B$1:$W$193,MATCH(AU$1,$B$1:$B$193,0),MATCH(1,($B$1:$W$1=$AB17)*($B$2:$W$2=$AC17),0))</f>
        <v>TRUE</v>
      </c>
      <c r="AV17" t="str" cm="1">
        <f t="array" ref="AV17">INDEX($B$1:$W$193,MATCH(AV$1,$B$1:$B$193,0),MATCH(1,($B$1:$W$1=$AB17)*($B$2:$W$2=$AC17),0))</f>
        <v>TRUE</v>
      </c>
      <c r="AW17" t="str" cm="1">
        <f t="array" ref="AW17">INDEX($B$1:$W$193,MATCH(AW$1,$B$1:$B$193,0),MATCH(1,($B$1:$W$1=$AB17)*($B$2:$W$2=$AC17),0))</f>
        <v>TRUE</v>
      </c>
      <c r="AX17" t="str" cm="1">
        <f t="array" ref="AX17">INDEX($B$1:$W$193,MATCH(AX$1,$B$1:$B$193,0),MATCH(1,($B$1:$W$1=$AB17)*($B$2:$W$2=$AC17),0))</f>
        <v>TRUE</v>
      </c>
      <c r="AY17" t="str" cm="1">
        <f t="array" ref="AY17">INDEX($B$1:$W$193,MATCH(AY$1,$B$1:$B$193,0),MATCH(1,($B$1:$W$1=$AB17)*($B$2:$W$2=$AC17),0))</f>
        <v>TRUE</v>
      </c>
      <c r="AZ17" t="str" cm="1">
        <f t="array" ref="AZ17">INDEX($B$1:$W$193,MATCH(AZ$1,$B$1:$B$193,0),MATCH(1,($B$1:$W$1=$AB17)*($B$2:$W$2=$AC17),0))</f>
        <v>TRUE</v>
      </c>
      <c r="BA17" t="str" cm="1">
        <f t="array" ref="BA17">INDEX($B$1:$W$193,MATCH(BA$1,$B$1:$B$193,0),MATCH(1,($B$1:$W$1=$AB17)*($B$2:$W$2=$AC17),0))</f>
        <v>TRUE</v>
      </c>
      <c r="BB17" t="str" cm="1">
        <f t="array" ref="BB17">INDEX($B$1:$W$193,MATCH(BB$1,$B$1:$B$193,0),MATCH(1,($B$1:$W$1=$AB17)*($B$2:$W$2=$AC17),0))</f>
        <v>TRUE</v>
      </c>
      <c r="BC17" t="str" cm="1">
        <f t="array" ref="BC17">INDEX($B$1:$W$193,MATCH(BC$1,$B$1:$B$193,0),MATCH(1,($B$1:$W$1=$AB17)*($B$2:$W$2=$AC17),0))</f>
        <v>TRUE</v>
      </c>
      <c r="BD17" t="str" cm="1">
        <f t="array" ref="BD17">INDEX($B$1:$W$193,MATCH(BD$1,$B$1:$B$193,0),MATCH(1,($B$1:$W$1=$AB17)*($B$2:$W$2=$AC17),0))</f>
        <v>TRUE</v>
      </c>
      <c r="BE17" t="str" cm="1">
        <f t="array" ref="BE17">INDEX($B$1:$W$193,MATCH(BE$1,$B$1:$B$193,0),MATCH(1,($B$1:$W$1=$AB17)*($B$2:$W$2=$AC17),0))</f>
        <v>TRUE</v>
      </c>
      <c r="BF17" t="str" cm="1">
        <f t="array" ref="BF17">INDEX($B$1:$W$193,MATCH(BF$1,$B$1:$B$193,0),MATCH(1,($B$1:$W$1=$AB17)*($B$2:$W$2=$AC17),0))</f>
        <v>FALSE</v>
      </c>
      <c r="BG17" t="str" cm="1">
        <f t="array" ref="BG17">INDEX($B$1:$W$193,MATCH(BG$1,$B$1:$B$193,0),MATCH(1,($B$1:$W$1=$AB17)*($B$2:$W$2=$AC17),0))</f>
        <v>FALSE</v>
      </c>
      <c r="BH17" t="str" cm="1">
        <f t="array" ref="BH17">INDEX($B$1:$W$193,MATCH(BH$1,$B$1:$B$193,0),MATCH(1,($B$1:$W$1=$AB17)*($B$2:$W$2=$AC17),0))</f>
        <v>TRUE</v>
      </c>
      <c r="BI17" t="str" cm="1">
        <f t="array" ref="BI17">INDEX($B$1:$W$193,MATCH(BI$1,$B$1:$B$193,0),MATCH(1,($B$1:$W$1=$AB17)*($B$2:$W$2=$AC17),0))</f>
        <v>TRUE</v>
      </c>
      <c r="BJ17" t="str" cm="1">
        <f t="array" ref="BJ17">INDEX($B$1:$W$193,MATCH(BJ$1,$B$1:$B$193,0),MATCH(1,($B$1:$W$1=$AB17)*($B$2:$W$2=$AC17),0))</f>
        <v>TRUE</v>
      </c>
      <c r="BK17" t="str" cm="1">
        <f t="array" ref="BK17">INDEX($B$1:$W$193,MATCH(BK$1,$B$1:$B$193,0),MATCH(1,($B$1:$W$1=$AB17)*($B$2:$W$2=$AC17),0))</f>
        <v>TRUE</v>
      </c>
      <c r="BL17" t="str" cm="1">
        <f t="array" ref="BL17">INDEX($B$1:$W$193,MATCH(BL$1,$B$1:$B$193,0),MATCH(1,($B$1:$W$1=$AB17)*($B$2:$W$2=$AC17),0))</f>
        <v>TRUE</v>
      </c>
      <c r="BM17" t="str" cm="1">
        <f t="array" ref="BM17">INDEX($B$1:$W$193,MATCH(BM$1,$B$1:$B$193,0),MATCH(1,($B$1:$W$1=$AB17)*($B$2:$W$2=$AC17),0))</f>
        <v>TRUE</v>
      </c>
      <c r="BN17" t="str" cm="1">
        <f t="array" ref="BN17">INDEX($B$1:$W$193,MATCH(BN$1,$B$1:$B$193,0),MATCH(1,($B$1:$W$1=$AB17)*($B$2:$W$2=$AC17),0))</f>
        <v>TRUE</v>
      </c>
      <c r="BO17" t="str" cm="1">
        <f t="array" ref="BO17">INDEX($B$1:$W$193,MATCH(BO$1,$B$1:$B$193,0),MATCH(1,($B$1:$W$1=$AB17)*($B$2:$W$2=$AC17),0))</f>
        <v>TRUE</v>
      </c>
      <c r="BP17" t="str" cm="1">
        <f t="array" ref="BP17">INDEX($B$1:$W$193,MATCH(BP$1,$B$1:$B$193,0),MATCH(1,($B$1:$W$1=$AB17)*($B$2:$W$2=$AC17),0))</f>
        <v>TRUE</v>
      </c>
      <c r="BQ17" t="str" cm="1">
        <f t="array" ref="BQ17">INDEX($B$1:$W$193,MATCH(BQ$1,$B$1:$B$193,0),MATCH(1,($B$1:$W$1=$AB17)*($B$2:$W$2=$AC17),0))</f>
        <v>TRUE</v>
      </c>
      <c r="BR17" t="str" cm="1">
        <f t="array" ref="BR17">INDEX($B$1:$W$193,MATCH(BR$1,$B$1:$B$193,0),MATCH(1,($B$1:$W$1=$AB17)*($B$2:$W$2=$AC17),0))</f>
        <v>TRUE</v>
      </c>
      <c r="BS17" t="str" cm="1">
        <f t="array" ref="BS17">INDEX($B$1:$W$193,MATCH(BS$1,$B$1:$B$193,0),MATCH(1,($B$1:$W$1=$AB17)*($B$2:$W$2=$AC17),0))</f>
        <v>TRUE</v>
      </c>
      <c r="BT17" t="str" cm="1">
        <f t="array" ref="BT17">INDEX($B$1:$W$193,MATCH(BT$1,$B$1:$B$193,0),MATCH(1,($B$1:$W$1=$AB17)*($B$2:$W$2=$AC17),0))</f>
        <v>TRUE</v>
      </c>
      <c r="BU17" t="str" cm="1">
        <f t="array" ref="BU17">INDEX($B$1:$W$193,MATCH(BU$1,$B$1:$B$193,0),MATCH(1,($B$1:$W$1=$AB17)*($B$2:$W$2=$AC17),0))</f>
        <v>TRUE</v>
      </c>
      <c r="BV17" t="str" cm="1">
        <f t="array" ref="BV17">INDEX($B$1:$W$193,MATCH(BV$1,$B$1:$B$193,0),MATCH(1,($B$1:$W$1=$AB17)*($B$2:$W$2=$AC17),0))</f>
        <v>TRUE</v>
      </c>
      <c r="BW17" t="str" cm="1">
        <f t="array" ref="BW17">INDEX($B$1:$W$193,MATCH(BW$1,$B$1:$B$193,0),MATCH(1,($B$1:$W$1=$AB17)*($B$2:$W$2=$AC17),0))</f>
        <v>TRUE</v>
      </c>
      <c r="BX17" t="str" cm="1">
        <f t="array" ref="BX17">INDEX($B$1:$W$193,MATCH(BX$1,$B$1:$B$193,0),MATCH(1,($B$1:$W$1=$AB17)*($B$2:$W$2=$AC17),0))</f>
        <v>TRUE</v>
      </c>
      <c r="BY17" t="str" cm="1">
        <f t="array" ref="BY17">INDEX($B$1:$W$193,MATCH(BY$1,$B$1:$B$193,0),MATCH(1,($B$1:$W$1=$AB17)*($B$2:$W$2=$AC17),0))</f>
        <v>TRUE</v>
      </c>
      <c r="BZ17" t="str" cm="1">
        <f t="array" ref="BZ17">INDEX($B$1:$W$193,MATCH(BZ$1,$B$1:$B$193,0),MATCH(1,($B$1:$W$1=$AB17)*($B$2:$W$2=$AC17),0))</f>
        <v>TRUE</v>
      </c>
      <c r="CA17" t="str" cm="1">
        <f t="array" ref="CA17">INDEX($B$1:$W$193,MATCH(CA$1,$B$1:$B$193,0),MATCH(1,($B$1:$W$1=$AB17)*($B$2:$W$2=$AC17),0))</f>
        <v>TRUE</v>
      </c>
      <c r="CB17" t="str" cm="1">
        <f t="array" ref="CB17">INDEX($B$1:$W$193,MATCH(CB$1,$B$1:$B$193,0),MATCH(1,($B$1:$W$1=$AB17)*($B$2:$W$2=$AC17),0))</f>
        <v>TRUE</v>
      </c>
      <c r="CC17" t="str" cm="1">
        <f t="array" ref="CC17">INDEX($B$1:$W$193,MATCH(CC$1,$B$1:$B$193,0),MATCH(1,($B$1:$W$1=$AB17)*($B$2:$W$2=$AC17),0))</f>
        <v>TRUE</v>
      </c>
      <c r="CD17" t="str" cm="1">
        <f t="array" ref="CD17">INDEX($B$1:$W$193,MATCH(CD$1,$B$1:$B$193,0),MATCH(1,($B$1:$W$1=$AB17)*($B$2:$W$2=$AC17),0))</f>
        <v>TRUE</v>
      </c>
      <c r="CE17" t="str" cm="1">
        <f t="array" ref="CE17">INDEX($B$1:$W$193,MATCH(CE$1,$B$1:$B$193,0),MATCH(1,($B$1:$W$1=$AB17)*($B$2:$W$2=$AC17),0))</f>
        <v>TRUE</v>
      </c>
      <c r="CF17" t="str" cm="1">
        <f t="array" ref="CF17">INDEX($B$1:$W$193,MATCH(CF$1,$B$1:$B$193,0),MATCH(1,($B$1:$W$1=$AB17)*($B$2:$W$2=$AC17),0))</f>
        <v>TRUE</v>
      </c>
      <c r="CG17" t="str" cm="1">
        <f t="array" ref="CG17">INDEX($B$1:$W$193,MATCH(CG$1,$B$1:$B$193,0),MATCH(1,($B$1:$W$1=$AB17)*($B$2:$W$2=$AC17),0))</f>
        <v>TRUE</v>
      </c>
      <c r="CH17" t="str" cm="1">
        <f t="array" ref="CH17">INDEX($B$1:$W$193,MATCH(CH$1,$B$1:$B$193,0),MATCH(1,($B$1:$W$1=$AB17)*($B$2:$W$2=$AC17),0))</f>
        <v>TRUE</v>
      </c>
      <c r="CI17" t="str" cm="1">
        <f t="array" ref="CI17">INDEX($B$1:$W$193,MATCH(CI$1,$B$1:$B$193,0),MATCH(1,($B$1:$W$1=$AB17)*($B$2:$W$2=$AC17),0))</f>
        <v>TRUE</v>
      </c>
      <c r="CJ17" t="str" cm="1">
        <f t="array" ref="CJ17">INDEX($B$1:$W$193,MATCH(CJ$1,$B$1:$B$193,0),MATCH(1,($B$1:$W$1=$AB17)*($B$2:$W$2=$AC17),0))</f>
        <v>TRUE</v>
      </c>
      <c r="CK17" t="str" cm="1">
        <f t="array" ref="CK17">INDEX($B$1:$W$193,MATCH(CK$1,$B$1:$B$193,0),MATCH(1,($B$1:$W$1=$AB17)*($B$2:$W$2=$AC17),0))</f>
        <v>TRUE</v>
      </c>
      <c r="CL17" t="str" cm="1">
        <f t="array" ref="CL17">INDEX($B$1:$W$193,MATCH(CL$1,$B$1:$B$193,0),MATCH(1,($B$1:$W$1=$AB17)*($B$2:$W$2=$AC17),0))</f>
        <v>TRUE</v>
      </c>
      <c r="CM17" t="str" cm="1">
        <f t="array" ref="CM17">INDEX($B$1:$W$193,MATCH(CM$1,$B$1:$B$193,0),MATCH(1,($B$1:$W$1=$AB17)*($B$2:$W$2=$AC17),0))</f>
        <v>TRUE</v>
      </c>
      <c r="CN17" t="str" cm="1">
        <f t="array" ref="CN17">INDEX($B$1:$W$193,MATCH(CN$1,$B$1:$B$193,0),MATCH(1,($B$1:$W$1=$AB17)*($B$2:$W$2=$AC17),0))</f>
        <v>TRUE</v>
      </c>
      <c r="CO17" t="str" cm="1">
        <f t="array" ref="CO17">INDEX($B$1:$W$193,MATCH(CO$1,$B$1:$B$193,0),MATCH(1,($B$1:$W$1=$AB17)*($B$2:$W$2=$AC17),0))</f>
        <v>TRUE</v>
      </c>
      <c r="CP17" t="str" cm="1">
        <f t="array" ref="CP17">INDEX($B$1:$W$193,MATCH(CP$1,$B$1:$B$193,0),MATCH(1,($B$1:$W$1=$AB17)*($B$2:$W$2=$AC17),0))</f>
        <v>TRUE</v>
      </c>
      <c r="CQ17" t="str" cm="1">
        <f t="array" ref="CQ17">INDEX($B$1:$W$193,MATCH(CQ$1,$B$1:$B$193,0),MATCH(1,($B$1:$W$1=$AB17)*($B$2:$W$2=$AC17),0))</f>
        <v>TRUE</v>
      </c>
      <c r="CR17" t="str" cm="1">
        <f t="array" ref="CR17">INDEX($B$1:$W$193,MATCH(CR$1,$B$1:$B$193,0),MATCH(1,($B$1:$W$1=$AB17)*($B$2:$W$2=$AC17),0))</f>
        <v>TRUE</v>
      </c>
      <c r="CS17" t="str" cm="1">
        <f t="array" ref="CS17">INDEX($B$1:$W$193,MATCH(CS$1,$B$1:$B$193,0),MATCH(1,($B$1:$W$1=$AB17)*($B$2:$W$2=$AC17),0))</f>
        <v>TRUE</v>
      </c>
      <c r="CT17" t="str" cm="1">
        <f t="array" ref="CT17">INDEX($B$1:$W$193,MATCH(CT$1,$B$1:$B$193,0),MATCH(1,($B$1:$W$1=$AB17)*($B$2:$W$2=$AC17),0))</f>
        <v>TRUE</v>
      </c>
      <c r="CU17" t="str" cm="1">
        <f t="array" ref="CU17">INDEX($B$1:$W$193,MATCH(CU$1,$B$1:$B$193,0),MATCH(1,($B$1:$W$1=$AB17)*($B$2:$W$2=$AC17),0))</f>
        <v>TRUE</v>
      </c>
      <c r="CV17" t="str" cm="1">
        <f t="array" ref="CV17">INDEX($B$1:$W$193,MATCH(CV$1,$B$1:$B$193,0),MATCH(1,($B$1:$W$1=$AB17)*($B$2:$W$2=$AC17),0))</f>
        <v>TRUE</v>
      </c>
      <c r="CW17" t="str" cm="1">
        <f t="array" ref="CW17">INDEX($B$1:$W$193,MATCH(CW$1,$B$1:$B$193,0),MATCH(1,($B$1:$W$1=$AB17)*($B$2:$W$2=$AC17),0))</f>
        <v>TRUE</v>
      </c>
      <c r="CX17" t="str" cm="1">
        <f t="array" ref="CX17">INDEX($B$1:$W$193,MATCH(CX$1,$B$1:$B$193,0),MATCH(1,($B$1:$W$1=$AB17)*($B$2:$W$2=$AC17),0))</f>
        <v>TRUE</v>
      </c>
      <c r="CY17" t="str" cm="1">
        <f t="array" ref="CY17">INDEX($B$1:$W$193,MATCH(CY$1,$B$1:$B$193,0),MATCH(1,($B$1:$W$1=$AB17)*($B$2:$W$2=$AC17),0))</f>
        <v>TRUE</v>
      </c>
      <c r="CZ17" t="str" cm="1">
        <f t="array" ref="CZ17">INDEX($B$1:$W$193,MATCH(CZ$1,$B$1:$B$193,0),MATCH(1,($B$1:$W$1=$AB17)*($B$2:$W$2=$AC17),0))</f>
        <v>TRUE</v>
      </c>
      <c r="DA17" t="str" cm="1">
        <f t="array" ref="DA17">INDEX($B$1:$W$193,MATCH(DA$1,$B$1:$B$193,0),MATCH(1,($B$1:$W$1=$AB17)*($B$2:$W$2=$AC17),0))</f>
        <v>TRUE</v>
      </c>
      <c r="DB17" t="str" cm="1">
        <f t="array" ref="DB17">INDEX($B$1:$W$193,MATCH(DB$1,$B$1:$B$193,0),MATCH(1,($B$1:$W$1=$AB17)*($B$2:$W$2=$AC17),0))</f>
        <v>TRUE</v>
      </c>
      <c r="DC17" t="str" cm="1">
        <f t="array" ref="DC17">INDEX($B$1:$W$193,MATCH(DC$1,$B$1:$B$193,0),MATCH(1,($B$1:$W$1=$AB17)*($B$2:$W$2=$AC17),0))</f>
        <v>TRUE</v>
      </c>
      <c r="DD17" t="str" cm="1">
        <f t="array" ref="DD17">INDEX($B$1:$W$193,MATCH(DD$1,$B$1:$B$193,0),MATCH(1,($B$1:$W$1=$AB17)*($B$2:$W$2=$AC17),0))</f>
        <v>TRUE</v>
      </c>
      <c r="DE17" t="str" cm="1">
        <f t="array" ref="DE17">INDEX($B$1:$W$193,MATCH(DE$1,$B$1:$B$193,0),MATCH(1,($B$1:$W$1=$AB17)*($B$2:$W$2=$AC17),0))</f>
        <v>TRUE</v>
      </c>
      <c r="DF17" t="str" cm="1">
        <f t="array" ref="DF17">INDEX($B$1:$W$193,MATCH(DF$1,$B$1:$B$193,0),MATCH(1,($B$1:$W$1=$AB17)*($B$2:$W$2=$AC17),0))</f>
        <v>TRUE</v>
      </c>
      <c r="DG17" t="str" cm="1">
        <f t="array" ref="DG17">INDEX($B$1:$W$193,MATCH(DG$1,$B$1:$B$193,0),MATCH(1,($B$1:$W$1=$AB17)*($B$2:$W$2=$AC17),0))</f>
        <v>TRUE</v>
      </c>
      <c r="DH17" t="str" cm="1">
        <f t="array" ref="DH17">INDEX($B$1:$W$193,MATCH(DH$1,$B$1:$B$193,0),MATCH(1,($B$1:$W$1=$AB17)*($B$2:$W$2=$AC17),0))</f>
        <v>TRUE</v>
      </c>
      <c r="DI17" t="str" cm="1">
        <f t="array" ref="DI17">INDEX($B$1:$W$193,MATCH(DI$1,$B$1:$B$193,0),MATCH(1,($B$1:$W$1=$AB17)*($B$2:$W$2=$AC17),0))</f>
        <v>TRUE</v>
      </c>
      <c r="DJ17" t="str" cm="1">
        <f t="array" ref="DJ17">INDEX($B$1:$W$193,MATCH(DJ$1,$B$1:$B$193,0),MATCH(1,($B$1:$W$1=$AB17)*($B$2:$W$2=$AC17),0))</f>
        <v>TRUE</v>
      </c>
      <c r="DK17" t="str" cm="1">
        <f t="array" ref="DK17">INDEX($B$1:$W$193,MATCH(DK$1,$B$1:$B$193,0),MATCH(1,($B$1:$W$1=$AB17)*($B$2:$W$2=$AC17),0))</f>
        <v>TRUE</v>
      </c>
      <c r="DL17" t="str" cm="1">
        <f t="array" ref="DL17">INDEX($B$1:$W$193,MATCH(DL$1,$B$1:$B$193,0),MATCH(1,($B$1:$W$1=$AB17)*($B$2:$W$2=$AC17),0))</f>
        <v>TRUE</v>
      </c>
      <c r="DM17" t="str" cm="1">
        <f t="array" ref="DM17">INDEX($B$1:$W$193,MATCH(DM$1,$B$1:$B$193,0),MATCH(1,($B$1:$W$1=$AB17)*($B$2:$W$2=$AC17),0))</f>
        <v>TRUE</v>
      </c>
      <c r="DN17" t="str" cm="1">
        <f t="array" ref="DN17">INDEX($B$1:$W$193,MATCH(DN$1,$B$1:$B$193,0),MATCH(1,($B$1:$W$1=$AB17)*($B$2:$W$2=$AC17),0))</f>
        <v>TRUE</v>
      </c>
      <c r="DO17" t="str" cm="1">
        <f t="array" ref="DO17">INDEX($B$1:$W$193,MATCH(DO$1,$B$1:$B$193,0),MATCH(1,($B$1:$W$1=$AB17)*($B$2:$W$2=$AC17),0))</f>
        <v>TRUE</v>
      </c>
      <c r="DP17" t="str" cm="1">
        <f t="array" ref="DP17">INDEX($B$1:$W$193,MATCH(DP$1,$B$1:$B$193,0),MATCH(1,($B$1:$W$1=$AB17)*($B$2:$W$2=$AC17),0))</f>
        <v>TRUE</v>
      </c>
      <c r="DQ17" t="str" cm="1">
        <f t="array" ref="DQ17">INDEX($B$1:$W$193,MATCH(DQ$1,$B$1:$B$193,0),MATCH(1,($B$1:$W$1=$AB17)*($B$2:$W$2=$AC17),0))</f>
        <v>TRUE</v>
      </c>
      <c r="DR17" t="str" cm="1">
        <f t="array" ref="DR17">INDEX($B$1:$W$193,MATCH(DR$1,$B$1:$B$193,0),MATCH(1,($B$1:$W$1=$AB17)*($B$2:$W$2=$AC17),0))</f>
        <v>TRUE</v>
      </c>
      <c r="DS17" t="str" cm="1">
        <f t="array" ref="DS17">INDEX($B$1:$W$193,MATCH(DS$1,$B$1:$B$193,0),MATCH(1,($B$1:$W$1=$AB17)*($B$2:$W$2=$AC17),0))</f>
        <v>TRUE</v>
      </c>
      <c r="DT17" t="str" cm="1">
        <f t="array" ref="DT17">INDEX($B$1:$W$193,MATCH(DT$1,$B$1:$B$193,0),MATCH(1,($B$1:$W$1=$AB17)*($B$2:$W$2=$AC17),0))</f>
        <v>TRUE</v>
      </c>
      <c r="DU17" t="str" cm="1">
        <f t="array" ref="DU17">INDEX($B$1:$W$193,MATCH(DU$1,$B$1:$B$193,0),MATCH(1,($B$1:$W$1=$AB17)*($B$2:$W$2=$AC17),0))</f>
        <v>TRUE</v>
      </c>
      <c r="DV17" t="str" cm="1">
        <f t="array" ref="DV17">INDEX($B$1:$W$193,MATCH(DV$1,$B$1:$B$193,0),MATCH(1,($B$1:$W$1=$AB17)*($B$2:$W$2=$AC17),0))</f>
        <v>TRUE</v>
      </c>
      <c r="DW17" t="str" cm="1">
        <f t="array" ref="DW17">INDEX($B$1:$W$193,MATCH(DW$1,$B$1:$B$193,0),MATCH(1,($B$1:$W$1=$AB17)*($B$2:$W$2=$AC17),0))</f>
        <v>TRUE</v>
      </c>
      <c r="DX17" t="str" cm="1">
        <f t="array" ref="DX17">INDEX($B$1:$W$193,MATCH(DX$1,$B$1:$B$193,0),MATCH(1,($B$1:$W$1=$AB17)*($B$2:$W$2=$AC17),0))</f>
        <v>TRUE</v>
      </c>
      <c r="DY17" t="str" cm="1">
        <f t="array" ref="DY17">INDEX($B$1:$W$193,MATCH(DY$1,$B$1:$B$193,0),MATCH(1,($B$1:$W$1=$AB17)*($B$2:$W$2=$AC17),0))</f>
        <v>TRUE</v>
      </c>
      <c r="DZ17" t="str" cm="1">
        <f t="array" ref="DZ17">INDEX($B$1:$W$193,MATCH(DZ$1,$B$1:$B$193,0),MATCH(1,($B$1:$W$1=$AB17)*($B$2:$W$2=$AC17),0))</f>
        <v>TRUE</v>
      </c>
      <c r="EA17" t="str" cm="1">
        <f t="array" ref="EA17">INDEX($B$1:$W$193,MATCH(EA$1,$B$1:$B$193,0),MATCH(1,($B$1:$W$1=$AB17)*($B$2:$W$2=$AC17),0))</f>
        <v>TRUE</v>
      </c>
      <c r="EB17" t="str" cm="1">
        <f t="array" ref="EB17">INDEX($B$1:$W$193,MATCH(EB$1,$B$1:$B$193,0),MATCH(1,($B$1:$W$1=$AB17)*($B$2:$W$2=$AC17),0))</f>
        <v>TRUE</v>
      </c>
      <c r="EC17" t="str" cm="1">
        <f t="array" ref="EC17">INDEX($B$1:$W$193,MATCH(EC$1,$B$1:$B$193,0),MATCH(1,($B$1:$W$1=$AB17)*($B$2:$W$2=$AC17),0))</f>
        <v>TRUE</v>
      </c>
      <c r="ED17" t="str" cm="1">
        <f t="array" ref="ED17">INDEX($B$1:$W$193,MATCH(ED$1,$B$1:$B$193,0),MATCH(1,($B$1:$W$1=$AB17)*($B$2:$W$2=$AC17),0))</f>
        <v>TRUE</v>
      </c>
      <c r="EE17" t="str" cm="1">
        <f t="array" ref="EE17">INDEX($B$1:$W$193,MATCH(EE$1,$B$1:$B$193,0),MATCH(1,($B$1:$W$1=$AB17)*($B$2:$W$2=$AC17),0))</f>
        <v>TRUE</v>
      </c>
      <c r="EF17" t="str" cm="1">
        <f t="array" ref="EF17">INDEX($B$1:$W$193,MATCH(EF$1,$B$1:$B$193,0),MATCH(1,($B$1:$W$1=$AB17)*($B$2:$W$2=$AC17),0))</f>
        <v>TRUE</v>
      </c>
      <c r="EG17" t="str" cm="1">
        <f t="array" ref="EG17">INDEX($B$1:$W$193,MATCH(EG$1,$B$1:$B$193,0),MATCH(1,($B$1:$W$1=$AB17)*($B$2:$W$2=$AC17),0))</f>
        <v>TRUE</v>
      </c>
      <c r="EH17" t="str" cm="1">
        <f t="array" ref="EH17">INDEX($B$1:$W$193,MATCH(EH$1,$B$1:$B$193,0),MATCH(1,($B$1:$W$1=$AB17)*($B$2:$W$2=$AC17),0))</f>
        <v>TRUE</v>
      </c>
      <c r="EI17" t="str" cm="1">
        <f t="array" ref="EI17">INDEX($B$1:$W$193,MATCH(EI$1,$B$1:$B$193,0),MATCH(1,($B$1:$W$1=$AB17)*($B$2:$W$2=$AC17),0))</f>
        <v>TRUE</v>
      </c>
      <c r="EJ17" t="str" cm="1">
        <f t="array" ref="EJ17">INDEX($B$1:$W$193,MATCH(EJ$1,$B$1:$B$193,0),MATCH(1,($B$1:$W$1=$AB17)*($B$2:$W$2=$AC17),0))</f>
        <v>TRUE</v>
      </c>
      <c r="EK17" t="str" cm="1">
        <f t="array" ref="EK17">INDEX($B$1:$W$193,MATCH(EK$1,$B$1:$B$193,0),MATCH(1,($B$1:$W$1=$AB17)*($B$2:$W$2=$AC17),0))</f>
        <v>TRUE</v>
      </c>
      <c r="EL17" t="str" cm="1">
        <f t="array" ref="EL17">INDEX($B$1:$W$193,MATCH(EL$1,$B$1:$B$193,0),MATCH(1,($B$1:$W$1=$AB17)*($B$2:$W$2=$AC17),0))</f>
        <v>FALSE</v>
      </c>
      <c r="EM17" t="str" cm="1">
        <f t="array" ref="EM17">INDEX($B$1:$W$193,MATCH(EM$1,$B$1:$B$193,0),MATCH(1,($B$1:$W$1=$AB17)*($B$2:$W$2=$AC17),0))</f>
        <v>FALSE</v>
      </c>
      <c r="EN17" t="str" cm="1">
        <f t="array" ref="EN17">INDEX($B$1:$W$193,MATCH(EN$1,$B$1:$B$193,0),MATCH(1,($B$1:$W$1=$AB17)*($B$2:$W$2=$AC17),0))</f>
        <v>TRUE</v>
      </c>
      <c r="EO17" t="str" cm="1">
        <f t="array" ref="EO17">INDEX($B$1:$W$193,MATCH(EO$1,$B$1:$B$193,0),MATCH(1,($B$1:$W$1=$AB17)*($B$2:$W$2=$AC17),0))</f>
        <v>TRUE</v>
      </c>
      <c r="EP17" t="str" cm="1">
        <f t="array" ref="EP17">INDEX($B$1:$W$193,MATCH(EP$1,$B$1:$B$193,0),MATCH(1,($B$1:$W$1=$AB17)*($B$2:$W$2=$AC17),0))</f>
        <v>TRUE</v>
      </c>
      <c r="EQ17" t="str" cm="1">
        <f t="array" ref="EQ17">INDEX($B$1:$W$193,MATCH(EQ$1,$B$1:$B$193,0),MATCH(1,($B$1:$W$1=$AB17)*($B$2:$W$2=$AC17),0))</f>
        <v>TRUE</v>
      </c>
      <c r="ER17" t="str" cm="1">
        <f t="array" ref="ER17">INDEX($B$1:$W$193,MATCH(ER$1,$B$1:$B$193,0),MATCH(1,($B$1:$W$1=$AB17)*($B$2:$W$2=$AC17),0))</f>
        <v>TRUE</v>
      </c>
      <c r="ES17" t="str" cm="1">
        <f t="array" ref="ES17">INDEX($B$1:$W$193,MATCH(ES$1,$B$1:$B$193,0),MATCH(1,($B$1:$W$1=$AB17)*($B$2:$W$2=$AC17),0))</f>
        <v>TRUE</v>
      </c>
      <c r="ET17" t="str" cm="1">
        <f t="array" ref="ET17">INDEX($B$1:$W$193,MATCH(ET$1,$B$1:$B$193,0),MATCH(1,($B$1:$W$1=$AB17)*($B$2:$W$2=$AC17),0))</f>
        <v>FALSE</v>
      </c>
      <c r="EU17" t="str" cm="1">
        <f t="array" ref="EU17">INDEX($B$1:$W$193,MATCH(EU$1,$B$1:$B$193,0),MATCH(1,($B$1:$W$1=$AB17)*($B$2:$W$2=$AC17),0))</f>
        <v>FALSE</v>
      </c>
      <c r="EV17" t="str" cm="1">
        <f t="array" ref="EV17">INDEX($B$1:$W$193,MATCH(EV$1,$B$1:$B$193,0),MATCH(1,($B$1:$W$1=$AB17)*($B$2:$W$2=$AC17),0))</f>
        <v>FALSE</v>
      </c>
      <c r="EW17" t="str" cm="1">
        <f t="array" ref="EW17">INDEX($B$1:$W$193,MATCH(EW$1,$B$1:$B$193,0),MATCH(1,($B$1:$W$1=$AB17)*($B$2:$W$2=$AC17),0))</f>
        <v>FALSE</v>
      </c>
      <c r="EX17" t="str" cm="1">
        <f t="array" ref="EX17">INDEX($B$1:$W$193,MATCH(EX$1,$B$1:$B$193,0),MATCH(1,($B$1:$W$1=$AB17)*($B$2:$W$2=$AC17),0))</f>
        <v>FALSE</v>
      </c>
      <c r="EY17" t="str" cm="1">
        <f t="array" ref="EY17">INDEX($B$1:$W$193,MATCH(EY$1,$B$1:$B$193,0),MATCH(1,($B$1:$W$1=$AB17)*($B$2:$W$2=$AC17),0))</f>
        <v>FALSE</v>
      </c>
      <c r="EZ17" t="str" cm="1">
        <f t="array" ref="EZ17">INDEX($B$1:$W$193,MATCH(EZ$1,$B$1:$B$193,0),MATCH(1,($B$1:$W$1=$AB17)*($B$2:$W$2=$AC17),0))</f>
        <v>FALSE</v>
      </c>
      <c r="FA17" t="str" cm="1">
        <f t="array" ref="FA17">INDEX($B$1:$W$193,MATCH(FA$1,$B$1:$B$193,0),MATCH(1,($B$1:$W$1=$AB17)*($B$2:$W$2=$AC17),0))</f>
        <v>FALSE</v>
      </c>
      <c r="FB17" t="str" cm="1">
        <f t="array" ref="FB17">INDEX($B$1:$W$193,MATCH(FB$1,$B$1:$B$193,0),MATCH(1,($B$1:$W$1=$AB17)*($B$2:$W$2=$AC17),0))</f>
        <v>FALSE</v>
      </c>
      <c r="FC17" t="str" cm="1">
        <f t="array" ref="FC17">INDEX($B$1:$W$193,MATCH(FC$1,$B$1:$B$193,0),MATCH(1,($B$1:$W$1=$AB17)*($B$2:$W$2=$AC17),0))</f>
        <v>FALSE</v>
      </c>
      <c r="FD17" t="str" cm="1">
        <f t="array" ref="FD17">INDEX($B$1:$W$193,MATCH(FD$1,$B$1:$B$193,0),MATCH(1,($B$1:$W$1=$AB17)*($B$2:$W$2=$AC17),0))</f>
        <v>FALSE</v>
      </c>
      <c r="FE17" t="str" cm="1">
        <f t="array" ref="FE17">INDEX($B$1:$W$193,MATCH(FE$1,$B$1:$B$193,0),MATCH(1,($B$1:$W$1=$AB17)*($B$2:$W$2=$AC17),0))</f>
        <v>FALSE</v>
      </c>
      <c r="FF17" t="str" cm="1">
        <f t="array" ref="FF17">INDEX($B$1:$W$193,MATCH(FF$1,$B$1:$B$193,0),MATCH(1,($B$1:$W$1=$AB17)*($B$2:$W$2=$AC17),0))</f>
        <v>FALSE</v>
      </c>
      <c r="FG17" t="str" cm="1">
        <f t="array" ref="FG17">INDEX($B$1:$W$193,MATCH(FG$1,$B$1:$B$193,0),MATCH(1,($B$1:$W$1=$AB17)*($B$2:$W$2=$AC17),0))</f>
        <v>FALSE</v>
      </c>
      <c r="FH17" t="str" cm="1">
        <f t="array" ref="FH17">INDEX($B$1:$W$193,MATCH(FH$1,$B$1:$B$193,0),MATCH(1,($B$1:$W$1=$AB17)*($B$2:$W$2=$AC17),0))</f>
        <v>FALSE</v>
      </c>
      <c r="FI17" t="str" cm="1">
        <f t="array" ref="FI17">INDEX($B$1:$W$193,MATCH(FI$1,$B$1:$B$193,0),MATCH(1,($B$1:$W$1=$AB17)*($B$2:$W$2=$AC17),0))</f>
        <v>FALSE</v>
      </c>
      <c r="FJ17" t="str" cm="1">
        <f t="array" ref="FJ17">INDEX($B$1:$W$193,MATCH(FJ$1,$B$1:$B$193,0),MATCH(1,($B$1:$W$1=$AB17)*($B$2:$W$2=$AC17),0))</f>
        <v>FALSE</v>
      </c>
      <c r="FK17" t="str" cm="1">
        <f t="array" ref="FK17">INDEX($B$1:$W$193,MATCH(FK$1,$B$1:$B$193,0),MATCH(1,($B$1:$W$1=$AB17)*($B$2:$W$2=$AC17),0))</f>
        <v>FALSE</v>
      </c>
      <c r="FL17" t="str" cm="1">
        <f t="array" ref="FL17">INDEX($B$1:$W$193,MATCH(FL$1,$B$1:$B$193,0),MATCH(1,($B$1:$W$1=$AB17)*($B$2:$W$2=$AC17),0))</f>
        <v>FALSE</v>
      </c>
      <c r="FM17" t="str" cm="1">
        <f t="array" ref="FM17">INDEX($B$1:$W$193,MATCH(FM$1,$B$1:$B$193,0),MATCH(1,($B$1:$W$1=$AB17)*($B$2:$W$2=$AC17),0))</f>
        <v>FALSE</v>
      </c>
      <c r="FN17" t="str" cm="1">
        <f t="array" ref="FN17">INDEX($B$1:$W$193,MATCH(FN$1,$B$1:$B$193,0),MATCH(1,($B$1:$W$1=$AB17)*($B$2:$W$2=$AC17),0))</f>
        <v>FALSE</v>
      </c>
      <c r="FO17" t="str" cm="1">
        <f t="array" ref="FO17">INDEX($B$1:$W$193,MATCH(FO$1,$B$1:$B$193,0),MATCH(1,($B$1:$W$1=$AB17)*($B$2:$W$2=$AC17),0))</f>
        <v>FALSE</v>
      </c>
      <c r="FP17" t="str" cm="1">
        <f t="array" ref="FP17">INDEX($B$1:$W$193,MATCH(FP$1,$B$1:$B$193,0),MATCH(1,($B$1:$W$1=$AB17)*($B$2:$W$2=$AC17),0))</f>
        <v>FALSE</v>
      </c>
      <c r="FQ17" t="str" cm="1">
        <f t="array" ref="FQ17">INDEX($B$1:$W$193,MATCH(FQ$1,$B$1:$B$193,0),MATCH(1,($B$1:$W$1=$AB17)*($B$2:$W$2=$AC17),0))</f>
        <v>FALSE</v>
      </c>
      <c r="FR17" t="str" cm="1">
        <f t="array" ref="FR17">INDEX($B$1:$W$193,MATCH(FR$1,$B$1:$B$193,0),MATCH(1,($B$1:$W$1=$AB17)*($B$2:$W$2=$AC17),0))</f>
        <v>FALSE</v>
      </c>
      <c r="FS17" t="str" cm="1">
        <f t="array" ref="FS17">INDEX($B$1:$W$193,MATCH(FS$1,$B$1:$B$193,0),MATCH(1,($B$1:$W$1=$AB17)*($B$2:$W$2=$AC17),0))</f>
        <v>FALSE</v>
      </c>
      <c r="FT17" t="str" cm="1">
        <f t="array" ref="FT17">INDEX($B$1:$W$193,MATCH(FT$1,$B$1:$B$193,0),MATCH(1,($B$1:$W$1=$AB17)*($B$2:$W$2=$AC17),0))</f>
        <v>FALSE</v>
      </c>
      <c r="FU17" t="str" cm="1">
        <f t="array" ref="FU17">INDEX($B$1:$W$193,MATCH(FU$1,$B$1:$B$193,0),MATCH(1,($B$1:$W$1=$AB17)*($B$2:$W$2=$AC17),0))</f>
        <v>FALSE</v>
      </c>
      <c r="FV17" t="str" cm="1">
        <f t="array" ref="FV17">INDEX($B$1:$W$193,MATCH(FV$1,$B$1:$B$193,0),MATCH(1,($B$1:$W$1=$AB17)*($B$2:$W$2=$AC17),0))</f>
        <v>FALSE</v>
      </c>
      <c r="FW17" t="str" cm="1">
        <f t="array" ref="FW17">INDEX($B$1:$W$193,MATCH(FW$1,$B$1:$B$193,0),MATCH(1,($B$1:$W$1=$AB17)*($B$2:$W$2=$AC17),0))</f>
        <v>FALSE</v>
      </c>
      <c r="FX17" t="str" cm="1">
        <f t="array" ref="FX17">INDEX($B$1:$W$193,MATCH(FX$1,$B$1:$B$193,0),MATCH(1,($B$1:$W$1=$AB17)*($B$2:$W$2=$AC17),0))</f>
        <v>FALSE</v>
      </c>
      <c r="FY17" t="str" cm="1">
        <f t="array" ref="FY17">INDEX($B$1:$W$193,MATCH(FY$1,$B$1:$B$193,0),MATCH(1,($B$1:$W$1=$AB17)*($B$2:$W$2=$AC17),0))</f>
        <v>FALSE</v>
      </c>
      <c r="FZ17" t="str" cm="1">
        <f t="array" ref="FZ17">INDEX($B$1:$W$193,MATCH(FZ$1,$B$1:$B$193,0),MATCH(1,($B$1:$W$1=$AB17)*($B$2:$W$2=$AC17),0))</f>
        <v>FALSE</v>
      </c>
      <c r="GA17" t="str" cm="1">
        <f t="array" ref="GA17">INDEX($B$1:$W$193,MATCH(GA$1,$B$1:$B$193,0),MATCH(1,($B$1:$W$1=$AB17)*($B$2:$W$2=$AC17),0))</f>
        <v>FALSE</v>
      </c>
      <c r="GB17" t="str" cm="1">
        <f t="array" ref="GB17">INDEX($B$1:$W$193,MATCH(GB$1,$B$1:$B$193,0),MATCH(1,($B$1:$W$1=$AB17)*($B$2:$W$2=$AC17),0))</f>
        <v>FALSE</v>
      </c>
      <c r="GC17" t="str" cm="1">
        <f t="array" ref="GC17">INDEX($B$1:$W$193,MATCH(GC$1,$B$1:$B$193,0),MATCH(1,($B$1:$W$1=$AB17)*($B$2:$W$2=$AC17),0))</f>
        <v>FALSE</v>
      </c>
      <c r="GD17" t="str" cm="1">
        <f t="array" ref="GD17">INDEX($B$1:$W$193,MATCH(GD$1,$B$1:$B$193,0),MATCH(1,($B$1:$W$1=$AB17)*($B$2:$W$2=$AC17),0))</f>
        <v>FALSE</v>
      </c>
      <c r="GE17" t="str" cm="1">
        <f t="array" ref="GE17">INDEX($B$1:$W$193,MATCH(GE$1,$B$1:$B$193,0),MATCH(1,($B$1:$W$1=$AB17)*($B$2:$W$2=$AC17),0))</f>
        <v>FALSE</v>
      </c>
      <c r="GF17" t="str" cm="1">
        <f t="array" ref="GF17">INDEX($B$1:$W$193,MATCH(GF$1,$B$1:$B$193,0),MATCH(1,($B$1:$W$1=$AB17)*($B$2:$W$2=$AC17),0))</f>
        <v>FALSE</v>
      </c>
      <c r="GG17" t="str" cm="1">
        <f t="array" ref="GG17">INDEX($B$1:$W$193,MATCH(GG$1,$B$1:$B$193,0),MATCH(1,($B$1:$W$1=$AB17)*($B$2:$W$2=$AC17),0))</f>
        <v>FALSE</v>
      </c>
      <c r="GH17" t="str" cm="1">
        <f t="array" ref="GH17">INDEX($B$1:$W$193,MATCH(GH$1,$B$1:$B$193,0),MATCH(1,($B$1:$W$1=$AB17)*($B$2:$W$2=$AC17),0))</f>
        <v>FALSE</v>
      </c>
      <c r="GI17" t="str" cm="1">
        <f t="array" ref="GI17">INDEX($B$1:$W$193,MATCH(GI$1,$B$1:$B$193,0),MATCH(1,($B$1:$W$1=$AB17)*($B$2:$W$2=$AC17),0))</f>
        <v>FALSE</v>
      </c>
      <c r="GJ17" t="str" cm="1">
        <f t="array" ref="GJ17">INDEX($B$1:$W$193,MATCH(GJ$1,$B$1:$B$193,0),MATCH(1,($B$1:$W$1=$AB17)*($B$2:$W$2=$AC17),0))</f>
        <v>FALSE</v>
      </c>
      <c r="GK17" t="str" cm="1">
        <f t="array" ref="GK17">INDEX($B$1:$W$193,MATCH(GK$1,$B$1:$B$193,0),MATCH(1,($B$1:$W$1=$AB17)*($B$2:$W$2=$AC17),0))</f>
        <v>FALSE</v>
      </c>
      <c r="GL17" t="str" cm="1">
        <f t="array" ref="GL17">INDEX($B$1:$W$193,MATCH(GL$1,$B$1:$B$193,0),MATCH(1,($B$1:$W$1=$AB17)*($B$2:$W$2=$AC17),0))</f>
        <v>FALSE</v>
      </c>
      <c r="GM17" t="str" cm="1">
        <f t="array" ref="GM17">INDEX($B$1:$W$193,MATCH(GM$1,$B$1:$B$193,0),MATCH(1,($B$1:$W$1=$AB17)*($B$2:$W$2=$AC17),0))</f>
        <v>FALSE</v>
      </c>
      <c r="GN17" t="str" cm="1">
        <f t="array" ref="GN17">INDEX($B$1:$W$193,MATCH(GN$1,$B$1:$B$193,0),MATCH(1,($B$1:$W$1=$AB17)*($B$2:$W$2=$AC17),0))</f>
        <v>FALSE</v>
      </c>
      <c r="GO17" t="str" cm="1">
        <f t="array" ref="GO17">INDEX($B$1:$W$193,MATCH(GO$1,$B$1:$B$193,0),MATCH(1,($B$1:$W$1=$AB17)*($B$2:$W$2=$AC17),0))</f>
        <v>FALSE</v>
      </c>
      <c r="GP17" t="str" cm="1">
        <f t="array" ref="GP17">INDEX($B$1:$W$193,MATCH(GP$1,$B$1:$B$193,0),MATCH(1,($B$1:$W$1=$AB17)*($B$2:$W$2=$AC17),0))</f>
        <v>FALSE</v>
      </c>
      <c r="GQ17" t="str" cm="1">
        <f t="array" ref="GQ17">INDEX($B$1:$W$193,MATCH(GQ$1,$B$1:$B$193,0),MATCH(1,($B$1:$W$1=$AB17)*($B$2:$W$2=$AC17),0))</f>
        <v>FALSE</v>
      </c>
      <c r="GR17" t="str" cm="1">
        <f t="array" ref="GR17">INDEX($B$1:$W$193,MATCH(GR$1,$B$1:$B$193,0),MATCH(1,($B$1:$W$1=$AB17)*($B$2:$W$2=$AC17),0))</f>
        <v>FALSE</v>
      </c>
      <c r="GS17" t="str" cm="1">
        <f t="array" ref="GS17">INDEX($B$1:$W$193,MATCH(GS$1,$B$1:$B$193,0),MATCH(1,($B$1:$W$1=$AB17)*($B$2:$W$2=$AC17),0))</f>
        <v>FALSE</v>
      </c>
      <c r="GT17" t="str" cm="1">
        <f t="array" ref="GT17">INDEX($B$1:$W$193,MATCH(GT$1,$B$1:$B$193,0),MATCH(1,($B$1:$W$1=$AB17)*($B$2:$W$2=$AC17),0))</f>
        <v>FALSE</v>
      </c>
      <c r="GU17" t="str" cm="1">
        <f t="array" ref="GU17">INDEX($B$1:$W$193,MATCH(GU$1,$B$1:$B$193,0),MATCH(1,($B$1:$W$1=$AB17)*($B$2:$W$2=$AC17),0))</f>
        <v>FALSE</v>
      </c>
      <c r="GV17" t="str" cm="1">
        <f t="array" ref="GV17">INDEX($B$1:$W$193,MATCH(GV$1,$B$1:$B$193,0),MATCH(1,($B$1:$W$1=$AB17)*($B$2:$W$2=$AC17),0))</f>
        <v>FALSE</v>
      </c>
      <c r="GW17" t="str" cm="1">
        <f t="array" ref="GW17">INDEX($B$1:$W$193,MATCH(GW$1,$B$1:$B$193,0),MATCH(1,($B$1:$W$1=$AB17)*($B$2:$W$2=$AC17),0))</f>
        <v>FALSE</v>
      </c>
      <c r="GX17" t="str" cm="1">
        <f t="array" ref="GX17">INDEX($B$1:$W$193,MATCH(GX$1,$B$1:$B$193,0),MATCH(1,($B$1:$W$1=$AB17)*($B$2:$W$2=$AC17),0))</f>
        <v>FALSE</v>
      </c>
      <c r="GY17" t="str" cm="1">
        <f t="array" ref="GY17">INDEX($B$1:$W$193,MATCH(GY$1,$B$1:$B$193,0),MATCH(1,($B$1:$W$1=$AB17)*($B$2:$W$2=$AC17),0))</f>
        <v>FALSE</v>
      </c>
      <c r="GZ17" t="str" cm="1">
        <f t="array" ref="GZ17">INDEX($B$1:$W$193,MATCH(GZ$1,$B$1:$B$193,0),MATCH(1,($B$1:$W$1=$AB17)*($B$2:$W$2=$AC17),0))</f>
        <v>FALSE</v>
      </c>
      <c r="HA17" t="str" cm="1">
        <f t="array" ref="HA17">INDEX($B$1:$W$193,MATCH(HA$1,$B$1:$B$193,0),MATCH(1,($B$1:$W$1=$AB17)*($B$2:$W$2=$AC17),0))</f>
        <v>FALSE</v>
      </c>
      <c r="HB17" t="str" cm="1">
        <f t="array" ref="HB17">INDEX($B$1:$W$193,MATCH(HB$1,$B$1:$B$193,0),MATCH(1,($B$1:$W$1=$AB17)*($B$2:$W$2=$AC17),0))</f>
        <v>FALSE</v>
      </c>
      <c r="HC17" t="str" cm="1">
        <f t="array" ref="HC17">INDEX($B$1:$W$193,MATCH(HC$1,$B$1:$B$193,0),MATCH(1,($B$1:$W$1=$AB17)*($B$2:$W$2=$AC17),0))</f>
        <v>FALSE</v>
      </c>
      <c r="HD17" t="str" cm="1">
        <f t="array" ref="HD17">INDEX($B$1:$W$193,MATCH(HD$1,$B$1:$B$193,0),MATCH(1,($B$1:$W$1=$AB17)*($B$2:$W$2=$AC17),0))</f>
        <v>FALSE</v>
      </c>
      <c r="HE17" t="str" cm="1">
        <f t="array" ref="HE17">INDEX($B$1:$W$193,MATCH(HE$1,$B$1:$B$193,0),MATCH(1,($B$1:$W$1=$AB17)*($B$2:$W$2=$AC17),0))</f>
        <v>FALSE</v>
      </c>
      <c r="HF17" t="str" cm="1">
        <f t="array" ref="HF17">INDEX($B$1:$W$193,MATCH(HF$1,$B$1:$B$193,0),MATCH(1,($B$1:$W$1=$AB17)*($B$2:$W$2=$AC17),0))</f>
        <v>FALSE</v>
      </c>
      <c r="HG17" t="str" cm="1">
        <f t="array" ref="HG17">INDEX($B$1:$W$193,MATCH(HG$1,$B$1:$B$193,0),MATCH(1,($B$1:$W$1=$AB17)*($B$2:$W$2=$AC17),0))</f>
        <v>FALSE</v>
      </c>
      <c r="HH17" t="str" cm="1">
        <f t="array" ref="HH17">INDEX($B$1:$W$193,MATCH(HH$1,$B$1:$B$193,0),MATCH(1,($B$1:$W$1=$AB17)*($B$2:$W$2=$AC17),0))</f>
        <v>FALSE</v>
      </c>
      <c r="HI17" t="str" cm="1">
        <f t="array" ref="HI17">INDEX($B$1:$W$193,MATCH(HI$1,$B$1:$B$193,0),MATCH(1,($B$1:$W$1=$AB17)*($B$2:$W$2=$AC17),0))</f>
        <v>FALSE</v>
      </c>
      <c r="HJ17" t="str" cm="1">
        <f t="array" ref="HJ17">INDEX($B$1:$W$193,MATCH(HJ$1,$B$1:$B$193,0),MATCH(1,($B$1:$W$1=$AB17)*($B$2:$W$2=$AC17),0))</f>
        <v>FALSE</v>
      </c>
      <c r="HK17" t="str" cm="1">
        <f t="array" ref="HK17">INDEX($B$1:$W$193,MATCH(HK$1,$B$1:$B$193,0),MATCH(1,($B$1:$W$1=$AB17)*($B$2:$W$2=$AC17),0))</f>
        <v>FALSE</v>
      </c>
      <c r="HL17" t="str" cm="1">
        <f t="array" ref="HL17">INDEX($B$1:$W$193,MATCH(HL$1,$B$1:$B$193,0),MATCH(1,($B$1:$W$1=$AB17)*($B$2:$W$2=$AC17),0))</f>
        <v>FALSE</v>
      </c>
      <c r="HM17" t="str" cm="1">
        <f t="array" ref="HM17">INDEX($B$1:$W$193,MATCH(HM$1,$B$1:$B$193,0),MATCH(1,($B$1:$W$1=$AB17)*($B$2:$W$2=$AC17),0))</f>
        <v>FALSE</v>
      </c>
      <c r="HN17" t="str" cm="1">
        <f t="array" ref="HN17">INDEX($B$1:$W$193,MATCH(HN$1,$B$1:$B$193,0),MATCH(1,($B$1:$W$1=$AB17)*($B$2:$W$2=$AC17),0))</f>
        <v>FALSE</v>
      </c>
      <c r="HO17" t="str" cm="1">
        <f t="array" ref="HO17">INDEX($B$1:$W$193,MATCH(HO$1,$B$1:$B$193,0),MATCH(1,($B$1:$W$1=$AB17)*($B$2:$W$2=$AC17),0))</f>
        <v>FALSE</v>
      </c>
      <c r="HP17" t="str" cm="1">
        <f t="array" ref="HP17">INDEX($B$1:$W$193,MATCH(HP$1,$B$1:$B$193,0),MATCH(1,($B$1:$W$1=$AB17)*($B$2:$W$2=$AC17),0))</f>
        <v>FALSE</v>
      </c>
      <c r="HQ17" t="str" cm="1">
        <f t="array" ref="HQ17">INDEX($B$1:$W$193,MATCH(HQ$1,$B$1:$B$193,0),MATCH(1,($B$1:$W$1=$AB17)*($B$2:$W$2=$AC17),0))</f>
        <v>FALSE</v>
      </c>
      <c r="HR17" t="str" cm="1">
        <f t="array" ref="HR17">INDEX($B$1:$W$193,MATCH(HR$1,$B$1:$B$193,0),MATCH(1,($B$1:$W$1=$AB17)*($B$2:$W$2=$AC17),0))</f>
        <v>FALSE</v>
      </c>
      <c r="HS17" t="str" cm="1">
        <f t="array" ref="HS17">INDEX($B$1:$W$193,MATCH(HS$1,$B$1:$B$193,0),MATCH(1,($B$1:$W$1=$AB17)*($B$2:$W$2=$AC17),0))</f>
        <v>FALSE</v>
      </c>
      <c r="HT17" t="str" cm="1">
        <f t="array" ref="HT17">INDEX($B$1:$W$193,MATCH(HT$1,$B$1:$B$193,0),MATCH(1,($B$1:$W$1=$AB17)*($B$2:$W$2=$AC17),0))</f>
        <v>FALSE</v>
      </c>
      <c r="HU17" t="str" cm="1">
        <f t="array" ref="HU17">INDEX($B$1:$W$193,MATCH(HU$1,$B$1:$B$193,0),MATCH(1,($B$1:$W$1=$AB17)*($B$2:$W$2=$AC17),0))</f>
        <v>FALSE</v>
      </c>
      <c r="HV17" t="str" cm="1">
        <f t="array" ref="HV17">INDEX($B$1:$W$193,MATCH(HV$1,$B$1:$B$193,0),MATCH(1,($B$1:$W$1=$AB17)*($B$2:$W$2=$AC17),0))</f>
        <v>FALSE</v>
      </c>
      <c r="HW17" t="str" cm="1">
        <f t="array" ref="HW17">INDEX($B$1:$W$193,MATCH(HW$1,$B$1:$B$193,0),MATCH(1,($B$1:$W$1=$AB17)*($B$2:$W$2=$AC17),0))</f>
        <v>FALSE</v>
      </c>
      <c r="HX17" t="str" cm="1">
        <f t="array" ref="HX17">INDEX($B$1:$W$193,MATCH(HX$1,$B$1:$B$193,0),MATCH(1,($B$1:$W$1=$AB17)*($B$2:$W$2=$AC17),0))</f>
        <v>FALSE</v>
      </c>
      <c r="HY17" t="str" cm="1">
        <f t="array" ref="HY17">INDEX($B$1:$W$193,MATCH(HY$1,$B$1:$B$193,0),MATCH(1,($B$1:$W$1=$AB17)*($B$2:$W$2=$AC17),0))</f>
        <v>FALSE</v>
      </c>
      <c r="HZ17" t="str" cm="1">
        <f t="array" ref="HZ17">INDEX($B$1:$W$193,MATCH(HZ$1,$B$1:$B$193,0),MATCH(1,($B$1:$W$1=$AB17)*($B$2:$W$2=$AC17),0))</f>
        <v>FALSE</v>
      </c>
      <c r="IA17" t="str" cm="1">
        <f t="array" ref="IA17">INDEX($B$1:$W$193,MATCH(IA$1,$B$1:$B$193,0),MATCH(1,($B$1:$W$1=$AB17)*($B$2:$W$2=$AC17),0))</f>
        <v>FALSE</v>
      </c>
      <c r="IB17" t="str" cm="1">
        <f t="array" ref="IB17">INDEX($B$1:$W$193,MATCH(IB$1,$B$1:$B$193,0),MATCH(1,($B$1:$W$1=$AB17)*($B$2:$W$2=$AC17),0))</f>
        <v>FALSE</v>
      </c>
      <c r="IC17" t="str" cm="1">
        <f t="array" ref="IC17">INDEX($B$1:$W$193,MATCH(IC$1,$B$1:$B$193,0),MATCH(1,($B$1:$W$1=$AB17)*($B$2:$W$2=$AC17),0))</f>
        <v>FALSE</v>
      </c>
      <c r="ID17" t="str" cm="1">
        <f t="array" ref="ID17">INDEX($B$1:$W$193,MATCH(ID$1,$B$1:$B$193,0),MATCH(1,($B$1:$W$1=$AB17)*($B$2:$W$2=$AC17),0))</f>
        <v>FALSE</v>
      </c>
      <c r="IE17" t="str" cm="1">
        <f t="array" ref="IE17">INDEX($B$1:$W$193,MATCH(IE$1,$B$1:$B$193,0),MATCH(1,($B$1:$W$1=$AB17)*($B$2:$W$2=$AC17),0))</f>
        <v>FALSE</v>
      </c>
      <c r="IF17" t="str" cm="1">
        <f t="array" ref="IF17">INDEX($B$1:$W$193,MATCH(IF$1,$B$1:$B$193,0),MATCH(1,($B$1:$W$1=$AB17)*($B$2:$W$2=$AC17),0))</f>
        <v>FALSE</v>
      </c>
      <c r="IG17" t="str" cm="1">
        <f t="array" ref="IG17">INDEX($B$1:$W$193,MATCH(IG$1,$B$1:$B$193,0),MATCH(1,($B$1:$W$1=$AB17)*($B$2:$W$2=$AC17),0))</f>
        <v>FALSE</v>
      </c>
      <c r="IH17" t="str" cm="1">
        <f t="array" ref="IH17">INDEX($B$1:$W$193,MATCH(IH$1,$B$1:$B$193,0),MATCH(1,($B$1:$W$1=$AB17)*($B$2:$W$2=$AC17),0))</f>
        <v>FALSE</v>
      </c>
      <c r="II17" t="str" cm="1">
        <f t="array" ref="II17">INDEX($B$1:$W$193,MATCH(II$1,$B$1:$B$193,0),MATCH(1,($B$1:$W$1=$AB17)*($B$2:$W$2=$AC17),0))</f>
        <v>FALSE</v>
      </c>
      <c r="IJ17" t="str" cm="1">
        <f t="array" ref="IJ17">INDEX($B$1:$W$193,MATCH(IJ$1,$B$1:$B$193,0),MATCH(1,($B$1:$W$1=$AB17)*($B$2:$W$2=$AC17),0))</f>
        <v>FALSE</v>
      </c>
      <c r="IK17" t="str" cm="1">
        <f t="array" ref="IK17">INDEX($B$1:$W$193,MATCH(IK$1,$B$1:$B$193,0),MATCH(1,($B$1:$W$1=$AB17)*($B$2:$W$2=$AC17),0))</f>
        <v>FALSE</v>
      </c>
      <c r="IL17" t="str" cm="1">
        <f t="array" ref="IL17">INDEX($B$1:$W$193,MATCH(IL$1,$B$1:$B$193,0),MATCH(1,($B$1:$W$1=$AB17)*($B$2:$W$2=$AC17),0))</f>
        <v>FALSE</v>
      </c>
      <c r="IM17" t="str" cm="1">
        <f t="array" ref="IM17">INDEX($B$1:$W$193,MATCH(IM$1,$B$1:$B$193,0),MATCH(1,($B$1:$W$1=$AB17)*($B$2:$W$2=$AC17),0))</f>
        <v>FALSE</v>
      </c>
      <c r="IN17" t="str" cm="1">
        <f t="array" ref="IN17">INDEX($B$1:$W$193,MATCH(IN$1,$B$1:$B$193,0),MATCH(1,($B$1:$W$1=$AB17)*($B$2:$W$2=$AC17),0))</f>
        <v>FALSE</v>
      </c>
      <c r="IO17" t="str" cm="1">
        <f t="array" ref="IO17">INDEX($B$1:$W$193,MATCH(IO$1,$B$1:$B$193,0),MATCH(1,($B$1:$W$1=$AB17)*($B$2:$W$2=$AC17),0))</f>
        <v>FALSE</v>
      </c>
      <c r="IP17" t="str" cm="1">
        <f t="array" ref="IP17">INDEX($B$1:$W$193,MATCH(IP$1,$B$1:$B$193,0),MATCH(1,($B$1:$W$1=$AB17)*($B$2:$W$2=$AC17),0))</f>
        <v>FALSE</v>
      </c>
      <c r="IQ17" t="str" cm="1">
        <f t="array" ref="IQ17">INDEX($B$1:$W$193,MATCH(IQ$1,$B$1:$B$193,0),MATCH(1,($B$1:$W$1=$AB17)*($B$2:$W$2=$AC17),0))</f>
        <v>FALSE</v>
      </c>
      <c r="IR17" t="str" cm="1">
        <f t="array" ref="IR17">INDEX($B$1:$W$193,MATCH(IR$1,$B$1:$B$193,0),MATCH(1,($B$1:$W$1=$AB17)*($B$2:$W$2=$AC17),0))</f>
        <v>FALSE</v>
      </c>
      <c r="IS17" t="str" cm="1">
        <f t="array" ref="IS17">INDEX($B$1:$W$193,MATCH(IS$1,$B$1:$B$193,0),MATCH(1,($B$1:$W$1=$AB17)*($B$2:$W$2=$AC17),0))</f>
        <v>FALSE</v>
      </c>
      <c r="IT17" t="str" cm="1">
        <f t="array" ref="IT17">INDEX($B$1:$W$193,MATCH(IT$1,$B$1:$B$193,0),MATCH(1,($B$1:$W$1=$AB17)*($B$2:$W$2=$AC17),0))</f>
        <v>FALSE</v>
      </c>
      <c r="IU17" t="str" cm="1">
        <f t="array" ref="IU17">INDEX($B$1:$W$193,MATCH(IU$1,$B$1:$B$193,0),MATCH(1,($B$1:$W$1=$AB17)*($B$2:$W$2=$AC17),0))</f>
        <v>FALSE</v>
      </c>
      <c r="IV17" t="str" cm="1">
        <f t="array" ref="IV17">INDEX($B$1:$W$193,MATCH(IV$1,$B$1:$B$193,0),MATCH(1,($B$1:$W$1=$AB17)*($B$2:$W$2=$AC17),0))</f>
        <v>FALSE</v>
      </c>
      <c r="IW17" t="str" cm="1">
        <f t="array" ref="IW17">INDEX($B$1:$W$193,MATCH(IW$1,$B$1:$B$193,0),MATCH(1,($B$1:$W$1=$AB17)*($B$2:$W$2=$AC17),0))</f>
        <v>FALSE</v>
      </c>
      <c r="IX17" t="str" cm="1">
        <f t="array" ref="IX17">INDEX($B$1:$W$193,MATCH(IX$1,$B$1:$B$193,0),MATCH(1,($B$1:$W$1=$AB17)*($B$2:$W$2=$AC17),0))</f>
        <v>FALSE</v>
      </c>
      <c r="IY17" t="str" cm="1">
        <f t="array" ref="IY17">INDEX($B$1:$W$193,MATCH(IY$1,$B$1:$B$193,0),MATCH(1,($B$1:$W$1=$AB17)*($B$2:$W$2=$AC17),0))</f>
        <v>FALSE</v>
      </c>
      <c r="IZ17" t="str" cm="1">
        <f t="array" ref="IZ17">INDEX($B$1:$W$193,MATCH(IZ$1,$B$1:$B$193,0),MATCH(1,($B$1:$W$1=$AB17)*($B$2:$W$2=$AC17),0))</f>
        <v>FALSE</v>
      </c>
      <c r="JA17" t="str" cm="1">
        <f t="array" ref="JA17">INDEX($B$1:$W$193,MATCH(JA$1,$B$1:$B$193,0),MATCH(1,($B$1:$W$1=$AB17)*($B$2:$W$2=$AC17),0))</f>
        <v>FALSE</v>
      </c>
      <c r="JB17" t="str" cm="1">
        <f t="array" ref="JB17">INDEX($B$1:$W$193,MATCH(JB$1,$B$1:$B$193,0),MATCH(1,($B$1:$W$1=$AB17)*($B$2:$W$2=$AC17),0))</f>
        <v>FALSE</v>
      </c>
      <c r="JC17" t="str" cm="1">
        <f t="array" ref="JC17">INDEX($B$1:$W$193,MATCH(JC$1,$B$1:$B$193,0),MATCH(1,($B$1:$W$1=$AB17)*($B$2:$W$2=$AC17),0))</f>
        <v>FALSE</v>
      </c>
      <c r="JD17" t="str" cm="1">
        <f t="array" ref="JD17">INDEX($B$1:$W$193,MATCH(JD$1,$B$1:$B$193,0),MATCH(1,($B$1:$W$1=$AB17)*($B$2:$W$2=$AC17),0))</f>
        <v>FALSE</v>
      </c>
      <c r="JE17" t="str" cm="1">
        <f t="array" ref="JE17">INDEX($B$1:$W$193,MATCH(JE$1,$B$1:$B$193,0),MATCH(1,($B$1:$W$1=$AB17)*($B$2:$W$2=$AC17),0))</f>
        <v>FALSE</v>
      </c>
      <c r="JF17" t="str" cm="1">
        <f t="array" ref="JF17">INDEX($B$1:$W$193,MATCH(JF$1,$B$1:$B$193,0),MATCH(1,($B$1:$W$1=$AB17)*($B$2:$W$2=$AC17),0))</f>
        <v>FALSE</v>
      </c>
      <c r="JG17" t="str" cm="1">
        <f t="array" ref="JG17">INDEX($B$1:$W$193,MATCH(JG$1,$B$1:$B$193,0),MATCH(1,($B$1:$W$1=$AB17)*($B$2:$W$2=$AC17),0))</f>
        <v>FALSE</v>
      </c>
      <c r="JH17" t="str" cm="1">
        <f t="array" ref="JH17">INDEX($B$1:$W$193,MATCH(JH$1,$B$1:$B$193,0),MATCH(1,($B$1:$W$1=$AB17)*($B$2:$W$2=$AC17),0))</f>
        <v>FALSE</v>
      </c>
    </row>
    <row r="18" spans="1:268" x14ac:dyDescent="0.25">
      <c r="A18" t="s">
        <v>164</v>
      </c>
      <c r="B18" s="51">
        <v>25</v>
      </c>
      <c r="C18">
        <v>2</v>
      </c>
      <c r="D18">
        <v>3</v>
      </c>
      <c r="E18" t="b">
        <f t="shared" si="1"/>
        <v>1</v>
      </c>
      <c r="F18" t="b">
        <f t="shared" si="1"/>
        <v>1</v>
      </c>
      <c r="G18" t="b">
        <f t="shared" si="1"/>
        <v>1</v>
      </c>
      <c r="H18" t="b">
        <f t="shared" si="1"/>
        <v>0</v>
      </c>
      <c r="I18" t="b">
        <f t="shared" si="1"/>
        <v>0</v>
      </c>
      <c r="J18" t="b">
        <f t="shared" si="1"/>
        <v>0</v>
      </c>
      <c r="K18" t="b">
        <f t="shared" si="1"/>
        <v>1</v>
      </c>
      <c r="L18" t="b">
        <f t="shared" si="1"/>
        <v>1</v>
      </c>
      <c r="M18" t="b">
        <f t="shared" si="1"/>
        <v>1</v>
      </c>
      <c r="N18" t="b">
        <f t="shared" si="1"/>
        <v>0</v>
      </c>
      <c r="O18" t="b">
        <f t="shared" si="1"/>
        <v>0</v>
      </c>
      <c r="P18" t="b">
        <f t="shared" si="1"/>
        <v>0</v>
      </c>
      <c r="Q18" t="b">
        <v>1</v>
      </c>
      <c r="R18" t="b" cm="1">
        <f t="array" ref="R18">_xlfn.IFS(C18=1,FALSE,OR(C18=2,C18&gt;2),TRUE)</f>
        <v>1</v>
      </c>
      <c r="S18" t="b" cm="1">
        <f t="array" ref="S18">_xlfn.IFS(OR(C18=1,C18=2),FALSE,OR(C18=3,C18&gt;3),TRUE)</f>
        <v>0</v>
      </c>
      <c r="T18" t="str">
        <f t="shared" si="2"/>
        <v>TRUE</v>
      </c>
      <c r="U18" t="str">
        <f t="shared" si="3"/>
        <v>FALSE</v>
      </c>
      <c r="V18" t="str">
        <f t="shared" si="4"/>
        <v>FALSE</v>
      </c>
      <c r="W18" t="b" cm="1">
        <f t="array" ref="W18">_xlfn.IFS(H18=1,FALSE,OR(H18=2,H18&gt;2),TRUE)</f>
        <v>1</v>
      </c>
      <c r="X18" t="b" cm="1">
        <f t="array" ref="X18">_xlfn.IFS(H18=1,FALSE,OR(H18=2,H18&gt;2),TRUE)</f>
        <v>1</v>
      </c>
      <c r="Y18" t="b" cm="1">
        <f t="array" ref="Y18">_xlfn.IFS(H18=1,FALSE,OR(H18=2,H18&gt;2),TRUE)</f>
        <v>1</v>
      </c>
      <c r="AB18" t="s">
        <v>146</v>
      </c>
      <c r="AC18" t="s">
        <v>150</v>
      </c>
      <c r="AD18" t="str" cm="1">
        <f t="array" ref="AD18">INDEX($B$1:$W$193,MATCH(AD$1,$B$1:$B$193,0),MATCH(1,($B$1:$W$1=$AB18)*($B$2:$W$2=$AC18),0))</f>
        <v>FALSE</v>
      </c>
      <c r="AE18" t="str" cm="1">
        <f t="array" ref="AE18">INDEX($B$1:$W$193,MATCH(AE$1,$B$1:$B$193,0),MATCH(1,($B$1:$W$1=$AB18)*($B$2:$W$2=$AC18),0))</f>
        <v>FALSE</v>
      </c>
      <c r="AF18" t="str" cm="1">
        <f t="array" ref="AF18">INDEX($B$1:$W$193,MATCH(AF$1,$B$1:$B$193,0),MATCH(1,($B$1:$W$1=$AB18)*($B$2:$W$2=$AC18),0))</f>
        <v>FALSE</v>
      </c>
      <c r="AG18" t="str" cm="1">
        <f t="array" ref="AG18">INDEX($B$1:$W$193,MATCH(AG$1,$B$1:$B$193,0),MATCH(1,($B$1:$W$1=$AB18)*($B$2:$W$2=$AC18),0))</f>
        <v>FALSE</v>
      </c>
      <c r="AH18" t="str" cm="1">
        <f t="array" ref="AH18">INDEX($B$1:$W$193,MATCH(AH$1,$B$1:$B$193,0),MATCH(1,($B$1:$W$1=$AB18)*($B$2:$W$2=$AC18),0))</f>
        <v>FALSE</v>
      </c>
      <c r="AI18" t="str" cm="1">
        <f t="array" ref="AI18">INDEX($B$1:$W$193,MATCH(AI$1,$B$1:$B$193,0),MATCH(1,($B$1:$W$1=$AB18)*($B$2:$W$2=$AC18),0))</f>
        <v>FALSE</v>
      </c>
      <c r="AJ18" t="str" cm="1">
        <f t="array" ref="AJ18">INDEX($B$1:$W$193,MATCH(AJ$1,$B$1:$B$193,0),MATCH(1,($B$1:$W$1=$AB18)*($B$2:$W$2=$AC18),0))</f>
        <v>FALSE</v>
      </c>
      <c r="AK18" t="str" cm="1">
        <f t="array" ref="AK18">INDEX($B$1:$W$193,MATCH(AK$1,$B$1:$B$193,0),MATCH(1,($B$1:$W$1=$AB18)*($B$2:$W$2=$AC18),0))</f>
        <v>FALSE</v>
      </c>
      <c r="AL18" t="str" cm="1">
        <f t="array" ref="AL18">INDEX($B$1:$W$193,MATCH(AL$1,$B$1:$B$193,0),MATCH(1,($B$1:$W$1=$AB18)*($B$2:$W$2=$AC18),0))</f>
        <v>FALSE</v>
      </c>
      <c r="AM18" t="str" cm="1">
        <f t="array" ref="AM18">INDEX($B$1:$W$193,MATCH(AM$1,$B$1:$B$193,0),MATCH(1,($B$1:$W$1=$AB18)*($B$2:$W$2=$AC18),0))</f>
        <v>FALSE</v>
      </c>
      <c r="AN18" t="str" cm="1">
        <f t="array" ref="AN18">INDEX($B$1:$W$193,MATCH(AN$1,$B$1:$B$193,0),MATCH(1,($B$1:$W$1=$AB18)*($B$2:$W$2=$AC18),0))</f>
        <v>TRUE</v>
      </c>
      <c r="AO18" t="str" cm="1">
        <f t="array" ref="AO18">INDEX($B$1:$W$193,MATCH(AO$1,$B$1:$B$193,0),MATCH(1,($B$1:$W$1=$AB18)*($B$2:$W$2=$AC18),0))</f>
        <v>FALSE</v>
      </c>
      <c r="AP18" t="str" cm="1">
        <f t="array" ref="AP18">INDEX($B$1:$W$193,MATCH(AP$1,$B$1:$B$193,0),MATCH(1,($B$1:$W$1=$AB18)*($B$2:$W$2=$AC18),0))</f>
        <v>FALSE</v>
      </c>
      <c r="AQ18" t="str" cm="1">
        <f t="array" ref="AQ18">INDEX($B$1:$W$193,MATCH(AQ$1,$B$1:$B$193,0),MATCH(1,($B$1:$W$1=$AB18)*($B$2:$W$2=$AC18),0))</f>
        <v>FALSE</v>
      </c>
      <c r="AR18" t="str" cm="1">
        <f t="array" ref="AR18">INDEX($B$1:$W$193,MATCH(AR$1,$B$1:$B$193,0),MATCH(1,($B$1:$W$1=$AB18)*($B$2:$W$2=$AC18),0))</f>
        <v>FALSE</v>
      </c>
      <c r="AS18" t="str" cm="1">
        <f t="array" ref="AS18">INDEX($B$1:$W$193,MATCH(AS$1,$B$1:$B$193,0),MATCH(1,($B$1:$W$1=$AB18)*($B$2:$W$2=$AC18),0))</f>
        <v>FALSE</v>
      </c>
      <c r="AT18" t="str" cm="1">
        <f t="array" ref="AT18">INDEX($B$1:$W$193,MATCH(AT$1,$B$1:$B$193,0),MATCH(1,($B$1:$W$1=$AB18)*($B$2:$W$2=$AC18),0))</f>
        <v>TRUE</v>
      </c>
      <c r="AU18" t="str" cm="1">
        <f t="array" ref="AU18">INDEX($B$1:$W$193,MATCH(AU$1,$B$1:$B$193,0),MATCH(1,($B$1:$W$1=$AB18)*($B$2:$W$2=$AC18),0))</f>
        <v>FALSE</v>
      </c>
      <c r="AV18" t="str" cm="1">
        <f t="array" ref="AV18">INDEX($B$1:$W$193,MATCH(AV$1,$B$1:$B$193,0),MATCH(1,($B$1:$W$1=$AB18)*($B$2:$W$2=$AC18),0))</f>
        <v>TRUE</v>
      </c>
      <c r="AW18" t="str" cm="1">
        <f t="array" ref="AW18">INDEX($B$1:$W$193,MATCH(AW$1,$B$1:$B$193,0),MATCH(1,($B$1:$W$1=$AB18)*($B$2:$W$2=$AC18),0))</f>
        <v>FALSE</v>
      </c>
      <c r="AX18" t="str" cm="1">
        <f t="array" ref="AX18">INDEX($B$1:$W$193,MATCH(AX$1,$B$1:$B$193,0),MATCH(1,($B$1:$W$1=$AB18)*($B$2:$W$2=$AC18),0))</f>
        <v>FALSE</v>
      </c>
      <c r="AY18" t="str" cm="1">
        <f t="array" ref="AY18">INDEX($B$1:$W$193,MATCH(AY$1,$B$1:$B$193,0),MATCH(1,($B$1:$W$1=$AB18)*($B$2:$W$2=$AC18),0))</f>
        <v>FALSE</v>
      </c>
      <c r="AZ18" t="str" cm="1">
        <f t="array" ref="AZ18">INDEX($B$1:$W$193,MATCH(AZ$1,$B$1:$B$193,0),MATCH(1,($B$1:$W$1=$AB18)*($B$2:$W$2=$AC18),0))</f>
        <v>FALSE</v>
      </c>
      <c r="BA18" t="str" cm="1">
        <f t="array" ref="BA18">INDEX($B$1:$W$193,MATCH(BA$1,$B$1:$B$193,0),MATCH(1,($B$1:$W$1=$AB18)*($B$2:$W$2=$AC18),0))</f>
        <v>FALSE</v>
      </c>
      <c r="BB18" t="str" cm="1">
        <f t="array" ref="BB18">INDEX($B$1:$W$193,MATCH(BB$1,$B$1:$B$193,0),MATCH(1,($B$1:$W$1=$AB18)*($B$2:$W$2=$AC18),0))</f>
        <v>FALSE</v>
      </c>
      <c r="BC18" t="str" cm="1">
        <f t="array" ref="BC18">INDEX($B$1:$W$193,MATCH(BC$1,$B$1:$B$193,0),MATCH(1,($B$1:$W$1=$AB18)*($B$2:$W$2=$AC18),0))</f>
        <v>FALSE</v>
      </c>
      <c r="BD18" t="str" cm="1">
        <f t="array" ref="BD18">INDEX($B$1:$W$193,MATCH(BD$1,$B$1:$B$193,0),MATCH(1,($B$1:$W$1=$AB18)*($B$2:$W$2=$AC18),0))</f>
        <v>FALSE</v>
      </c>
      <c r="BE18" t="str" cm="1">
        <f t="array" ref="BE18">INDEX($B$1:$W$193,MATCH(BE$1,$B$1:$B$193,0),MATCH(1,($B$1:$W$1=$AB18)*($B$2:$W$2=$AC18),0))</f>
        <v>FALSE</v>
      </c>
      <c r="BF18" t="str" cm="1">
        <f t="array" ref="BF18">INDEX($B$1:$W$193,MATCH(BF$1,$B$1:$B$193,0),MATCH(1,($B$1:$W$1=$AB18)*($B$2:$W$2=$AC18),0))</f>
        <v>FALSE</v>
      </c>
      <c r="BG18" t="str" cm="1">
        <f t="array" ref="BG18">INDEX($B$1:$W$193,MATCH(BG$1,$B$1:$B$193,0),MATCH(1,($B$1:$W$1=$AB18)*($B$2:$W$2=$AC18),0))</f>
        <v>FALSE</v>
      </c>
      <c r="BH18" t="str" cm="1">
        <f t="array" ref="BH18">INDEX($B$1:$W$193,MATCH(BH$1,$B$1:$B$193,0),MATCH(1,($B$1:$W$1=$AB18)*($B$2:$W$2=$AC18),0))</f>
        <v>FALSE</v>
      </c>
      <c r="BI18" t="str" cm="1">
        <f t="array" ref="BI18">INDEX($B$1:$W$193,MATCH(BI$1,$B$1:$B$193,0),MATCH(1,($B$1:$W$1=$AB18)*($B$2:$W$2=$AC18),0))</f>
        <v>TRUE</v>
      </c>
      <c r="BJ18" t="str" cm="1">
        <f t="array" ref="BJ18">INDEX($B$1:$W$193,MATCH(BJ$1,$B$1:$B$193,0),MATCH(1,($B$1:$W$1=$AB18)*($B$2:$W$2=$AC18),0))</f>
        <v>FALSE</v>
      </c>
      <c r="BK18" t="str" cm="1">
        <f t="array" ref="BK18">INDEX($B$1:$W$193,MATCH(BK$1,$B$1:$B$193,0),MATCH(1,($B$1:$W$1=$AB18)*($B$2:$W$2=$AC18),0))</f>
        <v>FALSE</v>
      </c>
      <c r="BL18" t="str" cm="1">
        <f t="array" ref="BL18">INDEX($B$1:$W$193,MATCH(BL$1,$B$1:$B$193,0),MATCH(1,($B$1:$W$1=$AB18)*($B$2:$W$2=$AC18),0))</f>
        <v>FALSE</v>
      </c>
      <c r="BM18" t="str" cm="1">
        <f t="array" ref="BM18">INDEX($B$1:$W$193,MATCH(BM$1,$B$1:$B$193,0),MATCH(1,($B$1:$W$1=$AB18)*($B$2:$W$2=$AC18),0))</f>
        <v>FALSE</v>
      </c>
      <c r="BN18" t="str" cm="1">
        <f t="array" ref="BN18">INDEX($B$1:$W$193,MATCH(BN$1,$B$1:$B$193,0),MATCH(1,($B$1:$W$1=$AB18)*($B$2:$W$2=$AC18),0))</f>
        <v>FALSE</v>
      </c>
      <c r="BO18" t="str" cm="1">
        <f t="array" ref="BO18">INDEX($B$1:$W$193,MATCH(BO$1,$B$1:$B$193,0),MATCH(1,($B$1:$W$1=$AB18)*($B$2:$W$2=$AC18),0))</f>
        <v>FALSE</v>
      </c>
      <c r="BP18" t="str" cm="1">
        <f t="array" ref="BP18">INDEX($B$1:$W$193,MATCH(BP$1,$B$1:$B$193,0),MATCH(1,($B$1:$W$1=$AB18)*($B$2:$W$2=$AC18),0))</f>
        <v>FALSE</v>
      </c>
      <c r="BQ18" t="str" cm="1">
        <f t="array" ref="BQ18">INDEX($B$1:$W$193,MATCH(BQ$1,$B$1:$B$193,0),MATCH(1,($B$1:$W$1=$AB18)*($B$2:$W$2=$AC18),0))</f>
        <v>FALSE</v>
      </c>
      <c r="BR18" t="str" cm="1">
        <f t="array" ref="BR18">INDEX($B$1:$W$193,MATCH(BR$1,$B$1:$B$193,0),MATCH(1,($B$1:$W$1=$AB18)*($B$2:$W$2=$AC18),0))</f>
        <v>FALSE</v>
      </c>
      <c r="BS18" t="str" cm="1">
        <f t="array" ref="BS18">INDEX($B$1:$W$193,MATCH(BS$1,$B$1:$B$193,0),MATCH(1,($B$1:$W$1=$AB18)*($B$2:$W$2=$AC18),0))</f>
        <v>TRUE</v>
      </c>
      <c r="BT18" t="str" cm="1">
        <f t="array" ref="BT18">INDEX($B$1:$W$193,MATCH(BT$1,$B$1:$B$193,0),MATCH(1,($B$1:$W$1=$AB18)*($B$2:$W$2=$AC18),0))</f>
        <v>TRUE</v>
      </c>
      <c r="BU18" t="str" cm="1">
        <f t="array" ref="BU18">INDEX($B$1:$W$193,MATCH(BU$1,$B$1:$B$193,0),MATCH(1,($B$1:$W$1=$AB18)*($B$2:$W$2=$AC18),0))</f>
        <v>FALSE</v>
      </c>
      <c r="BV18" t="str" cm="1">
        <f t="array" ref="BV18">INDEX($B$1:$W$193,MATCH(BV$1,$B$1:$B$193,0),MATCH(1,($B$1:$W$1=$AB18)*($B$2:$W$2=$AC18),0))</f>
        <v>FALSE</v>
      </c>
      <c r="BW18" t="str" cm="1">
        <f t="array" ref="BW18">INDEX($B$1:$W$193,MATCH(BW$1,$B$1:$B$193,0),MATCH(1,($B$1:$W$1=$AB18)*($B$2:$W$2=$AC18),0))</f>
        <v>FALSE</v>
      </c>
      <c r="BX18" t="str" cm="1">
        <f t="array" ref="BX18">INDEX($B$1:$W$193,MATCH(BX$1,$B$1:$B$193,0),MATCH(1,($B$1:$W$1=$AB18)*($B$2:$W$2=$AC18),0))</f>
        <v>TRUE</v>
      </c>
      <c r="BY18" t="str" cm="1">
        <f t="array" ref="BY18">INDEX($B$1:$W$193,MATCH(BY$1,$B$1:$B$193,0),MATCH(1,($B$1:$W$1=$AB18)*($B$2:$W$2=$AC18),0))</f>
        <v>FALSE</v>
      </c>
      <c r="BZ18" t="str" cm="1">
        <f t="array" ref="BZ18">INDEX($B$1:$W$193,MATCH(BZ$1,$B$1:$B$193,0),MATCH(1,($B$1:$W$1=$AB18)*($B$2:$W$2=$AC18),0))</f>
        <v>TRUE</v>
      </c>
      <c r="CA18" t="str" cm="1">
        <f t="array" ref="CA18">INDEX($B$1:$W$193,MATCH(CA$1,$B$1:$B$193,0),MATCH(1,($B$1:$W$1=$AB18)*($B$2:$W$2=$AC18),0))</f>
        <v>TRUE</v>
      </c>
      <c r="CB18" t="str" cm="1">
        <f t="array" ref="CB18">INDEX($B$1:$W$193,MATCH(CB$1,$B$1:$B$193,0),MATCH(1,($B$1:$W$1=$AB18)*($B$2:$W$2=$AC18),0))</f>
        <v>FALSE</v>
      </c>
      <c r="CC18" t="str" cm="1">
        <f t="array" ref="CC18">INDEX($B$1:$W$193,MATCH(CC$1,$B$1:$B$193,0),MATCH(1,($B$1:$W$1=$AB18)*($B$2:$W$2=$AC18),0))</f>
        <v>TRUE</v>
      </c>
      <c r="CD18" t="str" cm="1">
        <f t="array" ref="CD18">INDEX($B$1:$W$193,MATCH(CD$1,$B$1:$B$193,0),MATCH(1,($B$1:$W$1=$AB18)*($B$2:$W$2=$AC18),0))</f>
        <v>FALSE</v>
      </c>
      <c r="CE18" t="str" cm="1">
        <f t="array" ref="CE18">INDEX($B$1:$W$193,MATCH(CE$1,$B$1:$B$193,0),MATCH(1,($B$1:$W$1=$AB18)*($B$2:$W$2=$AC18),0))</f>
        <v>FALSE</v>
      </c>
      <c r="CF18" t="str" cm="1">
        <f t="array" ref="CF18">INDEX($B$1:$W$193,MATCH(CF$1,$B$1:$B$193,0),MATCH(1,($B$1:$W$1=$AB18)*($B$2:$W$2=$AC18),0))</f>
        <v>FALSE</v>
      </c>
      <c r="CG18" t="str" cm="1">
        <f t="array" ref="CG18">INDEX($B$1:$W$193,MATCH(CG$1,$B$1:$B$193,0),MATCH(1,($B$1:$W$1=$AB18)*($B$2:$W$2=$AC18),0))</f>
        <v>TRUE</v>
      </c>
      <c r="CH18" t="str" cm="1">
        <f t="array" ref="CH18">INDEX($B$1:$W$193,MATCH(CH$1,$B$1:$B$193,0),MATCH(1,($B$1:$W$1=$AB18)*($B$2:$W$2=$AC18),0))</f>
        <v>FALSE</v>
      </c>
      <c r="CI18" t="str" cm="1">
        <f t="array" ref="CI18">INDEX($B$1:$W$193,MATCH(CI$1,$B$1:$B$193,0),MATCH(1,($B$1:$W$1=$AB18)*($B$2:$W$2=$AC18),0))</f>
        <v>FALSE</v>
      </c>
      <c r="CJ18" t="str" cm="1">
        <f t="array" ref="CJ18">INDEX($B$1:$W$193,MATCH(CJ$1,$B$1:$B$193,0),MATCH(1,($B$1:$W$1=$AB18)*($B$2:$W$2=$AC18),0))</f>
        <v>FALSE</v>
      </c>
      <c r="CK18" t="str" cm="1">
        <f t="array" ref="CK18">INDEX($B$1:$W$193,MATCH(CK$1,$B$1:$B$193,0),MATCH(1,($B$1:$W$1=$AB18)*($B$2:$W$2=$AC18),0))</f>
        <v>FALSE</v>
      </c>
      <c r="CL18" t="str" cm="1">
        <f t="array" ref="CL18">INDEX($B$1:$W$193,MATCH(CL$1,$B$1:$B$193,0),MATCH(1,($B$1:$W$1=$AB18)*($B$2:$W$2=$AC18),0))</f>
        <v>FALSE</v>
      </c>
      <c r="CM18" t="str" cm="1">
        <f t="array" ref="CM18">INDEX($B$1:$W$193,MATCH(CM$1,$B$1:$B$193,0),MATCH(1,($B$1:$W$1=$AB18)*($B$2:$W$2=$AC18),0))</f>
        <v>FALSE</v>
      </c>
      <c r="CN18" t="str" cm="1">
        <f t="array" ref="CN18">INDEX($B$1:$W$193,MATCH(CN$1,$B$1:$B$193,0),MATCH(1,($B$1:$W$1=$AB18)*($B$2:$W$2=$AC18),0))</f>
        <v>FALSE</v>
      </c>
      <c r="CO18" t="str" cm="1">
        <f t="array" ref="CO18">INDEX($B$1:$W$193,MATCH(CO$1,$B$1:$B$193,0),MATCH(1,($B$1:$W$1=$AB18)*($B$2:$W$2=$AC18),0))</f>
        <v>TRUE</v>
      </c>
      <c r="CP18" t="str" cm="1">
        <f t="array" ref="CP18">INDEX($B$1:$W$193,MATCH(CP$1,$B$1:$B$193,0),MATCH(1,($B$1:$W$1=$AB18)*($B$2:$W$2=$AC18),0))</f>
        <v>FALSE</v>
      </c>
      <c r="CQ18" t="str" cm="1">
        <f t="array" ref="CQ18">INDEX($B$1:$W$193,MATCH(CQ$1,$B$1:$B$193,0),MATCH(1,($B$1:$W$1=$AB18)*($B$2:$W$2=$AC18),0))</f>
        <v>FALSE</v>
      </c>
      <c r="CR18" t="str" cm="1">
        <f t="array" ref="CR18">INDEX($B$1:$W$193,MATCH(CR$1,$B$1:$B$193,0),MATCH(1,($B$1:$W$1=$AB18)*($B$2:$W$2=$AC18),0))</f>
        <v>FALSE</v>
      </c>
      <c r="CS18" t="str" cm="1">
        <f t="array" ref="CS18">INDEX($B$1:$W$193,MATCH(CS$1,$B$1:$B$193,0),MATCH(1,($B$1:$W$1=$AB18)*($B$2:$W$2=$AC18),0))</f>
        <v>FALSE</v>
      </c>
      <c r="CT18" t="str" cm="1">
        <f t="array" ref="CT18">INDEX($B$1:$W$193,MATCH(CT$1,$B$1:$B$193,0),MATCH(1,($B$1:$W$1=$AB18)*($B$2:$W$2=$AC18),0))</f>
        <v>FALSE</v>
      </c>
      <c r="CU18" t="str" cm="1">
        <f t="array" ref="CU18">INDEX($B$1:$W$193,MATCH(CU$1,$B$1:$B$193,0),MATCH(1,($B$1:$W$1=$AB18)*($B$2:$W$2=$AC18),0))</f>
        <v>FALSE</v>
      </c>
      <c r="CV18" t="str" cm="1">
        <f t="array" ref="CV18">INDEX($B$1:$W$193,MATCH(CV$1,$B$1:$B$193,0),MATCH(1,($B$1:$W$1=$AB18)*($B$2:$W$2=$AC18),0))</f>
        <v>FALSE</v>
      </c>
      <c r="CW18" t="str" cm="1">
        <f t="array" ref="CW18">INDEX($B$1:$W$193,MATCH(CW$1,$B$1:$B$193,0),MATCH(1,($B$1:$W$1=$AB18)*($B$2:$W$2=$AC18),0))</f>
        <v>FALSE</v>
      </c>
      <c r="CX18" t="str" cm="1">
        <f t="array" ref="CX18">INDEX($B$1:$W$193,MATCH(CX$1,$B$1:$B$193,0),MATCH(1,($B$1:$W$1=$AB18)*($B$2:$W$2=$AC18),0))</f>
        <v>FALSE</v>
      </c>
      <c r="CY18" t="str" cm="1">
        <f t="array" ref="CY18">INDEX($B$1:$W$193,MATCH(CY$1,$B$1:$B$193,0),MATCH(1,($B$1:$W$1=$AB18)*($B$2:$W$2=$AC18),0))</f>
        <v>FALSE</v>
      </c>
      <c r="CZ18" t="str" cm="1">
        <f t="array" ref="CZ18">INDEX($B$1:$W$193,MATCH(CZ$1,$B$1:$B$193,0),MATCH(1,($B$1:$W$1=$AB18)*($B$2:$W$2=$AC18),0))</f>
        <v>TRUE</v>
      </c>
      <c r="DA18" t="str" cm="1">
        <f t="array" ref="DA18">INDEX($B$1:$W$193,MATCH(DA$1,$B$1:$B$193,0),MATCH(1,($B$1:$W$1=$AB18)*($B$2:$W$2=$AC18),0))</f>
        <v>FALSE</v>
      </c>
      <c r="DB18" t="str" cm="1">
        <f t="array" ref="DB18">INDEX($B$1:$W$193,MATCH(DB$1,$B$1:$B$193,0),MATCH(1,($B$1:$W$1=$AB18)*($B$2:$W$2=$AC18),0))</f>
        <v>FALSE</v>
      </c>
      <c r="DC18" t="str" cm="1">
        <f t="array" ref="DC18">INDEX($B$1:$W$193,MATCH(DC$1,$B$1:$B$193,0),MATCH(1,($B$1:$W$1=$AB18)*($B$2:$W$2=$AC18),0))</f>
        <v>FALSE</v>
      </c>
      <c r="DD18" t="str" cm="1">
        <f t="array" ref="DD18">INDEX($B$1:$W$193,MATCH(DD$1,$B$1:$B$193,0),MATCH(1,($B$1:$W$1=$AB18)*($B$2:$W$2=$AC18),0))</f>
        <v>FALSE</v>
      </c>
      <c r="DE18" t="str" cm="1">
        <f t="array" ref="DE18">INDEX($B$1:$W$193,MATCH(DE$1,$B$1:$B$193,0),MATCH(1,($B$1:$W$1=$AB18)*($B$2:$W$2=$AC18),0))</f>
        <v>TRUE</v>
      </c>
      <c r="DF18" t="str" cm="1">
        <f t="array" ref="DF18">INDEX($B$1:$W$193,MATCH(DF$1,$B$1:$B$193,0),MATCH(1,($B$1:$W$1=$AB18)*($B$2:$W$2=$AC18),0))</f>
        <v>TRUE</v>
      </c>
      <c r="DG18" t="str" cm="1">
        <f t="array" ref="DG18">INDEX($B$1:$W$193,MATCH(DG$1,$B$1:$B$193,0),MATCH(1,($B$1:$W$1=$AB18)*($B$2:$W$2=$AC18),0))</f>
        <v>FALSE</v>
      </c>
      <c r="DH18" t="str" cm="1">
        <f t="array" ref="DH18">INDEX($B$1:$W$193,MATCH(DH$1,$B$1:$B$193,0),MATCH(1,($B$1:$W$1=$AB18)*($B$2:$W$2=$AC18),0))</f>
        <v>FALSE</v>
      </c>
      <c r="DI18" t="str" cm="1">
        <f t="array" ref="DI18">INDEX($B$1:$W$193,MATCH(DI$1,$B$1:$B$193,0),MATCH(1,($B$1:$W$1=$AB18)*($B$2:$W$2=$AC18),0))</f>
        <v>TRUE</v>
      </c>
      <c r="DJ18" t="str" cm="1">
        <f t="array" ref="DJ18">INDEX($B$1:$W$193,MATCH(DJ$1,$B$1:$B$193,0),MATCH(1,($B$1:$W$1=$AB18)*($B$2:$W$2=$AC18),0))</f>
        <v>FALSE</v>
      </c>
      <c r="DK18" t="str" cm="1">
        <f t="array" ref="DK18">INDEX($B$1:$W$193,MATCH(DK$1,$B$1:$B$193,0),MATCH(1,($B$1:$W$1=$AB18)*($B$2:$W$2=$AC18),0))</f>
        <v>FALSE</v>
      </c>
      <c r="DL18" t="str" cm="1">
        <f t="array" ref="DL18">INDEX($B$1:$W$193,MATCH(DL$1,$B$1:$B$193,0),MATCH(1,($B$1:$W$1=$AB18)*($B$2:$W$2=$AC18),0))</f>
        <v>FALSE</v>
      </c>
      <c r="DM18" t="str" cm="1">
        <f t="array" ref="DM18">INDEX($B$1:$W$193,MATCH(DM$1,$B$1:$B$193,0),MATCH(1,($B$1:$W$1=$AB18)*($B$2:$W$2=$AC18),0))</f>
        <v>FALSE</v>
      </c>
      <c r="DN18" t="str" cm="1">
        <f t="array" ref="DN18">INDEX($B$1:$W$193,MATCH(DN$1,$B$1:$B$193,0),MATCH(1,($B$1:$W$1=$AB18)*($B$2:$W$2=$AC18),0))</f>
        <v>FALSE</v>
      </c>
      <c r="DO18" t="str" cm="1">
        <f t="array" ref="DO18">INDEX($B$1:$W$193,MATCH(DO$1,$B$1:$B$193,0),MATCH(1,($B$1:$W$1=$AB18)*($B$2:$W$2=$AC18),0))</f>
        <v>FALSE</v>
      </c>
      <c r="DP18" t="str" cm="1">
        <f t="array" ref="DP18">INDEX($B$1:$W$193,MATCH(DP$1,$B$1:$B$193,0),MATCH(1,($B$1:$W$1=$AB18)*($B$2:$W$2=$AC18),0))</f>
        <v>TRUE</v>
      </c>
      <c r="DQ18" t="str" cm="1">
        <f t="array" ref="DQ18">INDEX($B$1:$W$193,MATCH(DQ$1,$B$1:$B$193,0),MATCH(1,($B$1:$W$1=$AB18)*($B$2:$W$2=$AC18),0))</f>
        <v>FALSE</v>
      </c>
      <c r="DR18" t="str" cm="1">
        <f t="array" ref="DR18">INDEX($B$1:$W$193,MATCH(DR$1,$B$1:$B$193,0),MATCH(1,($B$1:$W$1=$AB18)*($B$2:$W$2=$AC18),0))</f>
        <v>TRUE</v>
      </c>
      <c r="DS18" t="str" cm="1">
        <f t="array" ref="DS18">INDEX($B$1:$W$193,MATCH(DS$1,$B$1:$B$193,0),MATCH(1,($B$1:$W$1=$AB18)*($B$2:$W$2=$AC18),0))</f>
        <v>FALSE</v>
      </c>
      <c r="DT18" t="str" cm="1">
        <f t="array" ref="DT18">INDEX($B$1:$W$193,MATCH(DT$1,$B$1:$B$193,0),MATCH(1,($B$1:$W$1=$AB18)*($B$2:$W$2=$AC18),0))</f>
        <v>FALSE</v>
      </c>
      <c r="DU18" t="str" cm="1">
        <f t="array" ref="DU18">INDEX($B$1:$W$193,MATCH(DU$1,$B$1:$B$193,0),MATCH(1,($B$1:$W$1=$AB18)*($B$2:$W$2=$AC18),0))</f>
        <v>TRUE</v>
      </c>
      <c r="DV18" t="str" cm="1">
        <f t="array" ref="DV18">INDEX($B$1:$W$193,MATCH(DV$1,$B$1:$B$193,0),MATCH(1,($B$1:$W$1=$AB18)*($B$2:$W$2=$AC18),0))</f>
        <v>FALSE</v>
      </c>
      <c r="DW18" t="str" cm="1">
        <f t="array" ref="DW18">INDEX($B$1:$W$193,MATCH(DW$1,$B$1:$B$193,0),MATCH(1,($B$1:$W$1=$AB18)*($B$2:$W$2=$AC18),0))</f>
        <v>FALSE</v>
      </c>
      <c r="DX18" t="str" cm="1">
        <f t="array" ref="DX18">INDEX($B$1:$W$193,MATCH(DX$1,$B$1:$B$193,0),MATCH(1,($B$1:$W$1=$AB18)*($B$2:$W$2=$AC18),0))</f>
        <v>FALSE</v>
      </c>
      <c r="DY18" t="str" cm="1">
        <f t="array" ref="DY18">INDEX($B$1:$W$193,MATCH(DY$1,$B$1:$B$193,0),MATCH(1,($B$1:$W$1=$AB18)*($B$2:$W$2=$AC18),0))</f>
        <v>FALSE</v>
      </c>
      <c r="DZ18" t="str" cm="1">
        <f t="array" ref="DZ18">INDEX($B$1:$W$193,MATCH(DZ$1,$B$1:$B$193,0),MATCH(1,($B$1:$W$1=$AB18)*($B$2:$W$2=$AC18),0))</f>
        <v>FALSE</v>
      </c>
      <c r="EA18" t="str" cm="1">
        <f t="array" ref="EA18">INDEX($B$1:$W$193,MATCH(EA$1,$B$1:$B$193,0),MATCH(1,($B$1:$W$1=$AB18)*($B$2:$W$2=$AC18),0))</f>
        <v>FALSE</v>
      </c>
      <c r="EB18" t="str" cm="1">
        <f t="array" ref="EB18">INDEX($B$1:$W$193,MATCH(EB$1,$B$1:$B$193,0),MATCH(1,($B$1:$W$1=$AB18)*($B$2:$W$2=$AC18),0))</f>
        <v>FALSE</v>
      </c>
      <c r="EC18" t="str" cm="1">
        <f t="array" ref="EC18">INDEX($B$1:$W$193,MATCH(EC$1,$B$1:$B$193,0),MATCH(1,($B$1:$W$1=$AB18)*($B$2:$W$2=$AC18),0))</f>
        <v>FALSE</v>
      </c>
      <c r="ED18" t="str" cm="1">
        <f t="array" ref="ED18">INDEX($B$1:$W$193,MATCH(ED$1,$B$1:$B$193,0),MATCH(1,($B$1:$W$1=$AB18)*($B$2:$W$2=$AC18),0))</f>
        <v>TRUE</v>
      </c>
      <c r="EE18" t="str" cm="1">
        <f t="array" ref="EE18">INDEX($B$1:$W$193,MATCH(EE$1,$B$1:$B$193,0),MATCH(1,($B$1:$W$1=$AB18)*($B$2:$W$2=$AC18),0))</f>
        <v>TRUE</v>
      </c>
      <c r="EF18" t="str" cm="1">
        <f t="array" ref="EF18">INDEX($B$1:$W$193,MATCH(EF$1,$B$1:$B$193,0),MATCH(1,($B$1:$W$1=$AB18)*($B$2:$W$2=$AC18),0))</f>
        <v>TRUE</v>
      </c>
      <c r="EG18" t="str" cm="1">
        <f t="array" ref="EG18">INDEX($B$1:$W$193,MATCH(EG$1,$B$1:$B$193,0),MATCH(1,($B$1:$W$1=$AB18)*($B$2:$W$2=$AC18),0))</f>
        <v>FALSE</v>
      </c>
      <c r="EH18" t="str" cm="1">
        <f t="array" ref="EH18">INDEX($B$1:$W$193,MATCH(EH$1,$B$1:$B$193,0),MATCH(1,($B$1:$W$1=$AB18)*($B$2:$W$2=$AC18),0))</f>
        <v>FALSE</v>
      </c>
      <c r="EI18" t="str" cm="1">
        <f t="array" ref="EI18">INDEX($B$1:$W$193,MATCH(EI$1,$B$1:$B$193,0),MATCH(1,($B$1:$W$1=$AB18)*($B$2:$W$2=$AC18),0))</f>
        <v>FALSE</v>
      </c>
      <c r="EJ18" t="str" cm="1">
        <f t="array" ref="EJ18">INDEX($B$1:$W$193,MATCH(EJ$1,$B$1:$B$193,0),MATCH(1,($B$1:$W$1=$AB18)*($B$2:$W$2=$AC18),0))</f>
        <v>FALSE</v>
      </c>
      <c r="EK18" t="str" cm="1">
        <f t="array" ref="EK18">INDEX($B$1:$W$193,MATCH(EK$1,$B$1:$B$193,0),MATCH(1,($B$1:$W$1=$AB18)*($B$2:$W$2=$AC18),0))</f>
        <v>FALSE</v>
      </c>
      <c r="EL18" t="str" cm="1">
        <f t="array" ref="EL18">INDEX($B$1:$W$193,MATCH(EL$1,$B$1:$B$193,0),MATCH(1,($B$1:$W$1=$AB18)*($B$2:$W$2=$AC18),0))</f>
        <v>FALSE</v>
      </c>
      <c r="EM18" t="str" cm="1">
        <f t="array" ref="EM18">INDEX($B$1:$W$193,MATCH(EM$1,$B$1:$B$193,0),MATCH(1,($B$1:$W$1=$AB18)*($B$2:$W$2=$AC18),0))</f>
        <v>FALSE</v>
      </c>
      <c r="EN18" t="str" cm="1">
        <f t="array" ref="EN18">INDEX($B$1:$W$193,MATCH(EN$1,$B$1:$B$193,0),MATCH(1,($B$1:$W$1=$AB18)*($B$2:$W$2=$AC18),0))</f>
        <v>FALSE</v>
      </c>
      <c r="EO18" t="str" cm="1">
        <f t="array" ref="EO18">INDEX($B$1:$W$193,MATCH(EO$1,$B$1:$B$193,0),MATCH(1,($B$1:$W$1=$AB18)*($B$2:$W$2=$AC18),0))</f>
        <v>FALSE</v>
      </c>
      <c r="EP18" t="str" cm="1">
        <f t="array" ref="EP18">INDEX($B$1:$W$193,MATCH(EP$1,$B$1:$B$193,0),MATCH(1,($B$1:$W$1=$AB18)*($B$2:$W$2=$AC18),0))</f>
        <v>FALSE</v>
      </c>
      <c r="EQ18" t="str" cm="1">
        <f t="array" ref="EQ18">INDEX($B$1:$W$193,MATCH(EQ$1,$B$1:$B$193,0),MATCH(1,($B$1:$W$1=$AB18)*($B$2:$W$2=$AC18),0))</f>
        <v>TRUE</v>
      </c>
      <c r="ER18" t="str" cm="1">
        <f t="array" ref="ER18">INDEX($B$1:$W$193,MATCH(ER$1,$B$1:$B$193,0),MATCH(1,($B$1:$W$1=$AB18)*($B$2:$W$2=$AC18),0))</f>
        <v>FALSE</v>
      </c>
      <c r="ES18" t="str" cm="1">
        <f t="array" ref="ES18">INDEX($B$1:$W$193,MATCH(ES$1,$B$1:$B$193,0),MATCH(1,($B$1:$W$1=$AB18)*($B$2:$W$2=$AC18),0))</f>
        <v>FALSE</v>
      </c>
      <c r="ET18" t="str" cm="1">
        <f t="array" ref="ET18">INDEX($B$1:$W$193,MATCH(ET$1,$B$1:$B$193,0),MATCH(1,($B$1:$W$1=$AB18)*($B$2:$W$2=$AC18),0))</f>
        <v>FALSE</v>
      </c>
      <c r="EU18" t="str" cm="1">
        <f t="array" ref="EU18">INDEX($B$1:$W$193,MATCH(EU$1,$B$1:$B$193,0),MATCH(1,($B$1:$W$1=$AB18)*($B$2:$W$2=$AC18),0))</f>
        <v>FALSE</v>
      </c>
      <c r="EV18" t="str" cm="1">
        <f t="array" ref="EV18">INDEX($B$1:$W$193,MATCH(EV$1,$B$1:$B$193,0),MATCH(1,($B$1:$W$1=$AB18)*($B$2:$W$2=$AC18),0))</f>
        <v>FALSE</v>
      </c>
      <c r="EW18" t="str" cm="1">
        <f t="array" ref="EW18">INDEX($B$1:$W$193,MATCH(EW$1,$B$1:$B$193,0),MATCH(1,($B$1:$W$1=$AB18)*($B$2:$W$2=$AC18),0))</f>
        <v>FALSE</v>
      </c>
      <c r="EX18" t="str" cm="1">
        <f t="array" ref="EX18">INDEX($B$1:$W$193,MATCH(EX$1,$B$1:$B$193,0),MATCH(1,($B$1:$W$1=$AB18)*($B$2:$W$2=$AC18),0))</f>
        <v>FALSE</v>
      </c>
      <c r="EY18" t="str" cm="1">
        <f t="array" ref="EY18">INDEX($B$1:$W$193,MATCH(EY$1,$B$1:$B$193,0),MATCH(1,($B$1:$W$1=$AB18)*($B$2:$W$2=$AC18),0))</f>
        <v>FALSE</v>
      </c>
      <c r="EZ18" t="str" cm="1">
        <f t="array" ref="EZ18">INDEX($B$1:$W$193,MATCH(EZ$1,$B$1:$B$193,0),MATCH(1,($B$1:$W$1=$AB18)*($B$2:$W$2=$AC18),0))</f>
        <v>FALSE</v>
      </c>
      <c r="FA18" t="str" cm="1">
        <f t="array" ref="FA18">INDEX($B$1:$W$193,MATCH(FA$1,$B$1:$B$193,0),MATCH(1,($B$1:$W$1=$AB18)*($B$2:$W$2=$AC18),0))</f>
        <v>FALSE</v>
      </c>
      <c r="FB18" t="str" cm="1">
        <f t="array" ref="FB18">INDEX($B$1:$W$193,MATCH(FB$1,$B$1:$B$193,0),MATCH(1,($B$1:$W$1=$AB18)*($B$2:$W$2=$AC18),0))</f>
        <v>FALSE</v>
      </c>
      <c r="FC18" t="str" cm="1">
        <f t="array" ref="FC18">INDEX($B$1:$W$193,MATCH(FC$1,$B$1:$B$193,0),MATCH(1,($B$1:$W$1=$AB18)*($B$2:$W$2=$AC18),0))</f>
        <v>FALSE</v>
      </c>
      <c r="FD18" t="str" cm="1">
        <f t="array" ref="FD18">INDEX($B$1:$W$193,MATCH(FD$1,$B$1:$B$193,0),MATCH(1,($B$1:$W$1=$AB18)*($B$2:$W$2=$AC18),0))</f>
        <v>FALSE</v>
      </c>
      <c r="FE18" t="str" cm="1">
        <f t="array" ref="FE18">INDEX($B$1:$W$193,MATCH(FE$1,$B$1:$B$193,0),MATCH(1,($B$1:$W$1=$AB18)*($B$2:$W$2=$AC18),0))</f>
        <v>FALSE</v>
      </c>
      <c r="FF18" t="str" cm="1">
        <f t="array" ref="FF18">INDEX($B$1:$W$193,MATCH(FF$1,$B$1:$B$193,0),MATCH(1,($B$1:$W$1=$AB18)*($B$2:$W$2=$AC18),0))</f>
        <v>FALSE</v>
      </c>
      <c r="FG18" t="str" cm="1">
        <f t="array" ref="FG18">INDEX($B$1:$W$193,MATCH(FG$1,$B$1:$B$193,0),MATCH(1,($B$1:$W$1=$AB18)*($B$2:$W$2=$AC18),0))</f>
        <v>FALSE</v>
      </c>
      <c r="FH18" t="str" cm="1">
        <f t="array" ref="FH18">INDEX($B$1:$W$193,MATCH(FH$1,$B$1:$B$193,0),MATCH(1,($B$1:$W$1=$AB18)*($B$2:$W$2=$AC18),0))</f>
        <v>FALSE</v>
      </c>
      <c r="FI18" t="str" cm="1">
        <f t="array" ref="FI18">INDEX($B$1:$W$193,MATCH(FI$1,$B$1:$B$193,0),MATCH(1,($B$1:$W$1=$AB18)*($B$2:$W$2=$AC18),0))</f>
        <v>FALSE</v>
      </c>
      <c r="FJ18" t="str" cm="1">
        <f t="array" ref="FJ18">INDEX($B$1:$W$193,MATCH(FJ$1,$B$1:$B$193,0),MATCH(1,($B$1:$W$1=$AB18)*($B$2:$W$2=$AC18),0))</f>
        <v>FALSE</v>
      </c>
      <c r="FK18" t="str" cm="1">
        <f t="array" ref="FK18">INDEX($B$1:$W$193,MATCH(FK$1,$B$1:$B$193,0),MATCH(1,($B$1:$W$1=$AB18)*($B$2:$W$2=$AC18),0))</f>
        <v>FALSE</v>
      </c>
      <c r="FL18" t="str" cm="1">
        <f t="array" ref="FL18">INDEX($B$1:$W$193,MATCH(FL$1,$B$1:$B$193,0),MATCH(1,($B$1:$W$1=$AB18)*($B$2:$W$2=$AC18),0))</f>
        <v>FALSE</v>
      </c>
      <c r="FM18" t="str" cm="1">
        <f t="array" ref="FM18">INDEX($B$1:$W$193,MATCH(FM$1,$B$1:$B$193,0),MATCH(1,($B$1:$W$1=$AB18)*($B$2:$W$2=$AC18),0))</f>
        <v>FALSE</v>
      </c>
      <c r="FN18" t="str" cm="1">
        <f t="array" ref="FN18">INDEX($B$1:$W$193,MATCH(FN$1,$B$1:$B$193,0),MATCH(1,($B$1:$W$1=$AB18)*($B$2:$W$2=$AC18),0))</f>
        <v>FALSE</v>
      </c>
      <c r="FO18" t="str" cm="1">
        <f t="array" ref="FO18">INDEX($B$1:$W$193,MATCH(FO$1,$B$1:$B$193,0),MATCH(1,($B$1:$W$1=$AB18)*($B$2:$W$2=$AC18),0))</f>
        <v>FALSE</v>
      </c>
      <c r="FP18" t="str" cm="1">
        <f t="array" ref="FP18">INDEX($B$1:$W$193,MATCH(FP$1,$B$1:$B$193,0),MATCH(1,($B$1:$W$1=$AB18)*($B$2:$W$2=$AC18),0))</f>
        <v>FALSE</v>
      </c>
      <c r="FQ18" t="str" cm="1">
        <f t="array" ref="FQ18">INDEX($B$1:$W$193,MATCH(FQ$1,$B$1:$B$193,0),MATCH(1,($B$1:$W$1=$AB18)*($B$2:$W$2=$AC18),0))</f>
        <v>FALSE</v>
      </c>
      <c r="FR18" t="str" cm="1">
        <f t="array" ref="FR18">INDEX($B$1:$W$193,MATCH(FR$1,$B$1:$B$193,0),MATCH(1,($B$1:$W$1=$AB18)*($B$2:$W$2=$AC18),0))</f>
        <v>FALSE</v>
      </c>
      <c r="FS18" t="str" cm="1">
        <f t="array" ref="FS18">INDEX($B$1:$W$193,MATCH(FS$1,$B$1:$B$193,0),MATCH(1,($B$1:$W$1=$AB18)*($B$2:$W$2=$AC18),0))</f>
        <v>FALSE</v>
      </c>
      <c r="FT18" t="str" cm="1">
        <f t="array" ref="FT18">INDEX($B$1:$W$193,MATCH(FT$1,$B$1:$B$193,0),MATCH(1,($B$1:$W$1=$AB18)*($B$2:$W$2=$AC18),0))</f>
        <v>FALSE</v>
      </c>
      <c r="FU18" t="str" cm="1">
        <f t="array" ref="FU18">INDEX($B$1:$W$193,MATCH(FU$1,$B$1:$B$193,0),MATCH(1,($B$1:$W$1=$AB18)*($B$2:$W$2=$AC18),0))</f>
        <v>FALSE</v>
      </c>
      <c r="FV18" t="str" cm="1">
        <f t="array" ref="FV18">INDEX($B$1:$W$193,MATCH(FV$1,$B$1:$B$193,0),MATCH(1,($B$1:$W$1=$AB18)*($B$2:$W$2=$AC18),0))</f>
        <v>FALSE</v>
      </c>
      <c r="FW18" t="str" cm="1">
        <f t="array" ref="FW18">INDEX($B$1:$W$193,MATCH(FW$1,$B$1:$B$193,0),MATCH(1,($B$1:$W$1=$AB18)*($B$2:$W$2=$AC18),0))</f>
        <v>FALSE</v>
      </c>
      <c r="FX18" t="str" cm="1">
        <f t="array" ref="FX18">INDEX($B$1:$W$193,MATCH(FX$1,$B$1:$B$193,0),MATCH(1,($B$1:$W$1=$AB18)*($B$2:$W$2=$AC18),0))</f>
        <v>FALSE</v>
      </c>
      <c r="FY18" t="str" cm="1">
        <f t="array" ref="FY18">INDEX($B$1:$W$193,MATCH(FY$1,$B$1:$B$193,0),MATCH(1,($B$1:$W$1=$AB18)*($B$2:$W$2=$AC18),0))</f>
        <v>FALSE</v>
      </c>
      <c r="FZ18" t="str" cm="1">
        <f t="array" ref="FZ18">INDEX($B$1:$W$193,MATCH(FZ$1,$B$1:$B$193,0),MATCH(1,($B$1:$W$1=$AB18)*($B$2:$W$2=$AC18),0))</f>
        <v>FALSE</v>
      </c>
      <c r="GA18" t="str" cm="1">
        <f t="array" ref="GA18">INDEX($B$1:$W$193,MATCH(GA$1,$B$1:$B$193,0),MATCH(1,($B$1:$W$1=$AB18)*($B$2:$W$2=$AC18),0))</f>
        <v>FALSE</v>
      </c>
      <c r="GB18" t="str" cm="1">
        <f t="array" ref="GB18">INDEX($B$1:$W$193,MATCH(GB$1,$B$1:$B$193,0),MATCH(1,($B$1:$W$1=$AB18)*($B$2:$W$2=$AC18),0))</f>
        <v>FALSE</v>
      </c>
      <c r="GC18" t="str" cm="1">
        <f t="array" ref="GC18">INDEX($B$1:$W$193,MATCH(GC$1,$B$1:$B$193,0),MATCH(1,($B$1:$W$1=$AB18)*($B$2:$W$2=$AC18),0))</f>
        <v>FALSE</v>
      </c>
      <c r="GD18" t="str" cm="1">
        <f t="array" ref="GD18">INDEX($B$1:$W$193,MATCH(GD$1,$B$1:$B$193,0),MATCH(1,($B$1:$W$1=$AB18)*($B$2:$W$2=$AC18),0))</f>
        <v>FALSE</v>
      </c>
      <c r="GE18" t="str" cm="1">
        <f t="array" ref="GE18">INDEX($B$1:$W$193,MATCH(GE$1,$B$1:$B$193,0),MATCH(1,($B$1:$W$1=$AB18)*($B$2:$W$2=$AC18),0))</f>
        <v>FALSE</v>
      </c>
      <c r="GF18" t="str" cm="1">
        <f t="array" ref="GF18">INDEX($B$1:$W$193,MATCH(GF$1,$B$1:$B$193,0),MATCH(1,($B$1:$W$1=$AB18)*($B$2:$W$2=$AC18),0))</f>
        <v>FALSE</v>
      </c>
      <c r="GG18" t="str" cm="1">
        <f t="array" ref="GG18">INDEX($B$1:$W$193,MATCH(GG$1,$B$1:$B$193,0),MATCH(1,($B$1:$W$1=$AB18)*($B$2:$W$2=$AC18),0))</f>
        <v>FALSE</v>
      </c>
      <c r="GH18" t="str" cm="1">
        <f t="array" ref="GH18">INDEX($B$1:$W$193,MATCH(GH$1,$B$1:$B$193,0),MATCH(1,($B$1:$W$1=$AB18)*($B$2:$W$2=$AC18),0))</f>
        <v>FALSE</v>
      </c>
      <c r="GI18" t="str" cm="1">
        <f t="array" ref="GI18">INDEX($B$1:$W$193,MATCH(GI$1,$B$1:$B$193,0),MATCH(1,($B$1:$W$1=$AB18)*($B$2:$W$2=$AC18),0))</f>
        <v>FALSE</v>
      </c>
      <c r="GJ18" t="str" cm="1">
        <f t="array" ref="GJ18">INDEX($B$1:$W$193,MATCH(GJ$1,$B$1:$B$193,0),MATCH(1,($B$1:$W$1=$AB18)*($B$2:$W$2=$AC18),0))</f>
        <v>FALSE</v>
      </c>
      <c r="GK18" t="str" cm="1">
        <f t="array" ref="GK18">INDEX($B$1:$W$193,MATCH(GK$1,$B$1:$B$193,0),MATCH(1,($B$1:$W$1=$AB18)*($B$2:$W$2=$AC18),0))</f>
        <v>FALSE</v>
      </c>
      <c r="GL18" t="str" cm="1">
        <f t="array" ref="GL18">INDEX($B$1:$W$193,MATCH(GL$1,$B$1:$B$193,0),MATCH(1,($B$1:$W$1=$AB18)*($B$2:$W$2=$AC18),0))</f>
        <v>FALSE</v>
      </c>
      <c r="GM18" t="str" cm="1">
        <f t="array" ref="GM18">INDEX($B$1:$W$193,MATCH(GM$1,$B$1:$B$193,0),MATCH(1,($B$1:$W$1=$AB18)*($B$2:$W$2=$AC18),0))</f>
        <v>FALSE</v>
      </c>
      <c r="GN18" t="str" cm="1">
        <f t="array" ref="GN18">INDEX($B$1:$W$193,MATCH(GN$1,$B$1:$B$193,0),MATCH(1,($B$1:$W$1=$AB18)*($B$2:$W$2=$AC18),0))</f>
        <v>FALSE</v>
      </c>
      <c r="GO18" t="str" cm="1">
        <f t="array" ref="GO18">INDEX($B$1:$W$193,MATCH(GO$1,$B$1:$B$193,0),MATCH(1,($B$1:$W$1=$AB18)*($B$2:$W$2=$AC18),0))</f>
        <v>FALSE</v>
      </c>
      <c r="GP18" t="str" cm="1">
        <f t="array" ref="GP18">INDEX($B$1:$W$193,MATCH(GP$1,$B$1:$B$193,0),MATCH(1,($B$1:$W$1=$AB18)*($B$2:$W$2=$AC18),0))</f>
        <v>FALSE</v>
      </c>
      <c r="GQ18" t="str" cm="1">
        <f t="array" ref="GQ18">INDEX($B$1:$W$193,MATCH(GQ$1,$B$1:$B$193,0),MATCH(1,($B$1:$W$1=$AB18)*($B$2:$W$2=$AC18),0))</f>
        <v>FALSE</v>
      </c>
      <c r="GR18" t="str" cm="1">
        <f t="array" ref="GR18">INDEX($B$1:$W$193,MATCH(GR$1,$B$1:$B$193,0),MATCH(1,($B$1:$W$1=$AB18)*($B$2:$W$2=$AC18),0))</f>
        <v>FALSE</v>
      </c>
      <c r="GS18" t="str" cm="1">
        <f t="array" ref="GS18">INDEX($B$1:$W$193,MATCH(GS$1,$B$1:$B$193,0),MATCH(1,($B$1:$W$1=$AB18)*($B$2:$W$2=$AC18),0))</f>
        <v>FALSE</v>
      </c>
      <c r="GT18" t="str" cm="1">
        <f t="array" ref="GT18">INDEX($B$1:$W$193,MATCH(GT$1,$B$1:$B$193,0),MATCH(1,($B$1:$W$1=$AB18)*($B$2:$W$2=$AC18),0))</f>
        <v>FALSE</v>
      </c>
      <c r="GU18" t="str" cm="1">
        <f t="array" ref="GU18">INDEX($B$1:$W$193,MATCH(GU$1,$B$1:$B$193,0),MATCH(1,($B$1:$W$1=$AB18)*($B$2:$W$2=$AC18),0))</f>
        <v>FALSE</v>
      </c>
      <c r="GV18" t="str" cm="1">
        <f t="array" ref="GV18">INDEX($B$1:$W$193,MATCH(GV$1,$B$1:$B$193,0),MATCH(1,($B$1:$W$1=$AB18)*($B$2:$W$2=$AC18),0))</f>
        <v>FALSE</v>
      </c>
      <c r="GW18" t="str" cm="1">
        <f t="array" ref="GW18">INDEX($B$1:$W$193,MATCH(GW$1,$B$1:$B$193,0),MATCH(1,($B$1:$W$1=$AB18)*($B$2:$W$2=$AC18),0))</f>
        <v>FALSE</v>
      </c>
      <c r="GX18" t="str" cm="1">
        <f t="array" ref="GX18">INDEX($B$1:$W$193,MATCH(GX$1,$B$1:$B$193,0),MATCH(1,($B$1:$W$1=$AB18)*($B$2:$W$2=$AC18),0))</f>
        <v>FALSE</v>
      </c>
      <c r="GY18" t="str" cm="1">
        <f t="array" ref="GY18">INDEX($B$1:$W$193,MATCH(GY$1,$B$1:$B$193,0),MATCH(1,($B$1:$W$1=$AB18)*($B$2:$W$2=$AC18),0))</f>
        <v>FALSE</v>
      </c>
      <c r="GZ18" t="str" cm="1">
        <f t="array" ref="GZ18">INDEX($B$1:$W$193,MATCH(GZ$1,$B$1:$B$193,0),MATCH(1,($B$1:$W$1=$AB18)*($B$2:$W$2=$AC18),0))</f>
        <v>FALSE</v>
      </c>
      <c r="HA18" t="str" cm="1">
        <f t="array" ref="HA18">INDEX($B$1:$W$193,MATCH(HA$1,$B$1:$B$193,0),MATCH(1,($B$1:$W$1=$AB18)*($B$2:$W$2=$AC18),0))</f>
        <v>FALSE</v>
      </c>
      <c r="HB18" t="str" cm="1">
        <f t="array" ref="HB18">INDEX($B$1:$W$193,MATCH(HB$1,$B$1:$B$193,0),MATCH(1,($B$1:$W$1=$AB18)*($B$2:$W$2=$AC18),0))</f>
        <v>FALSE</v>
      </c>
      <c r="HC18" t="str" cm="1">
        <f t="array" ref="HC18">INDEX($B$1:$W$193,MATCH(HC$1,$B$1:$B$193,0),MATCH(1,($B$1:$W$1=$AB18)*($B$2:$W$2=$AC18),0))</f>
        <v>FALSE</v>
      </c>
      <c r="HD18" t="str" cm="1">
        <f t="array" ref="HD18">INDEX($B$1:$W$193,MATCH(HD$1,$B$1:$B$193,0),MATCH(1,($B$1:$W$1=$AB18)*($B$2:$W$2=$AC18),0))</f>
        <v>FALSE</v>
      </c>
      <c r="HE18" t="str" cm="1">
        <f t="array" ref="HE18">INDEX($B$1:$W$193,MATCH(HE$1,$B$1:$B$193,0),MATCH(1,($B$1:$W$1=$AB18)*($B$2:$W$2=$AC18),0))</f>
        <v>FALSE</v>
      </c>
      <c r="HF18" t="str" cm="1">
        <f t="array" ref="HF18">INDEX($B$1:$W$193,MATCH(HF$1,$B$1:$B$193,0),MATCH(1,($B$1:$W$1=$AB18)*($B$2:$W$2=$AC18),0))</f>
        <v>FALSE</v>
      </c>
      <c r="HG18" t="str" cm="1">
        <f t="array" ref="HG18">INDEX($B$1:$W$193,MATCH(HG$1,$B$1:$B$193,0),MATCH(1,($B$1:$W$1=$AB18)*($B$2:$W$2=$AC18),0))</f>
        <v>FALSE</v>
      </c>
      <c r="HH18" t="str" cm="1">
        <f t="array" ref="HH18">INDEX($B$1:$W$193,MATCH(HH$1,$B$1:$B$193,0),MATCH(1,($B$1:$W$1=$AB18)*($B$2:$W$2=$AC18),0))</f>
        <v>FALSE</v>
      </c>
      <c r="HI18" t="str" cm="1">
        <f t="array" ref="HI18">INDEX($B$1:$W$193,MATCH(HI$1,$B$1:$B$193,0),MATCH(1,($B$1:$W$1=$AB18)*($B$2:$W$2=$AC18),0))</f>
        <v>FALSE</v>
      </c>
      <c r="HJ18" t="str" cm="1">
        <f t="array" ref="HJ18">INDEX($B$1:$W$193,MATCH(HJ$1,$B$1:$B$193,0),MATCH(1,($B$1:$W$1=$AB18)*($B$2:$W$2=$AC18),0))</f>
        <v>FALSE</v>
      </c>
      <c r="HK18" t="str" cm="1">
        <f t="array" ref="HK18">INDEX($B$1:$W$193,MATCH(HK$1,$B$1:$B$193,0),MATCH(1,($B$1:$W$1=$AB18)*($B$2:$W$2=$AC18),0))</f>
        <v>FALSE</v>
      </c>
      <c r="HL18" t="str" cm="1">
        <f t="array" ref="HL18">INDEX($B$1:$W$193,MATCH(HL$1,$B$1:$B$193,0),MATCH(1,($B$1:$W$1=$AB18)*($B$2:$W$2=$AC18),0))</f>
        <v>FALSE</v>
      </c>
      <c r="HM18" t="str" cm="1">
        <f t="array" ref="HM18">INDEX($B$1:$W$193,MATCH(HM$1,$B$1:$B$193,0),MATCH(1,($B$1:$W$1=$AB18)*($B$2:$W$2=$AC18),0))</f>
        <v>FALSE</v>
      </c>
      <c r="HN18" t="str" cm="1">
        <f t="array" ref="HN18">INDEX($B$1:$W$193,MATCH(HN$1,$B$1:$B$193,0),MATCH(1,($B$1:$W$1=$AB18)*($B$2:$W$2=$AC18),0))</f>
        <v>FALSE</v>
      </c>
      <c r="HO18" t="str" cm="1">
        <f t="array" ref="HO18">INDEX($B$1:$W$193,MATCH(HO$1,$B$1:$B$193,0),MATCH(1,($B$1:$W$1=$AB18)*($B$2:$W$2=$AC18),0))</f>
        <v>FALSE</v>
      </c>
      <c r="HP18" t="str" cm="1">
        <f t="array" ref="HP18">INDEX($B$1:$W$193,MATCH(HP$1,$B$1:$B$193,0),MATCH(1,($B$1:$W$1=$AB18)*($B$2:$W$2=$AC18),0))</f>
        <v>FALSE</v>
      </c>
      <c r="HQ18" t="str" cm="1">
        <f t="array" ref="HQ18">INDEX($B$1:$W$193,MATCH(HQ$1,$B$1:$B$193,0),MATCH(1,($B$1:$W$1=$AB18)*($B$2:$W$2=$AC18),0))</f>
        <v>FALSE</v>
      </c>
      <c r="HR18" t="str" cm="1">
        <f t="array" ref="HR18">INDEX($B$1:$W$193,MATCH(HR$1,$B$1:$B$193,0),MATCH(1,($B$1:$W$1=$AB18)*($B$2:$W$2=$AC18),0))</f>
        <v>FALSE</v>
      </c>
      <c r="HS18" t="str" cm="1">
        <f t="array" ref="HS18">INDEX($B$1:$W$193,MATCH(HS$1,$B$1:$B$193,0),MATCH(1,($B$1:$W$1=$AB18)*($B$2:$W$2=$AC18),0))</f>
        <v>FALSE</v>
      </c>
      <c r="HT18" t="str" cm="1">
        <f t="array" ref="HT18">INDEX($B$1:$W$193,MATCH(HT$1,$B$1:$B$193,0),MATCH(1,($B$1:$W$1=$AB18)*($B$2:$W$2=$AC18),0))</f>
        <v>FALSE</v>
      </c>
      <c r="HU18" t="str" cm="1">
        <f t="array" ref="HU18">INDEX($B$1:$W$193,MATCH(HU$1,$B$1:$B$193,0),MATCH(1,($B$1:$W$1=$AB18)*($B$2:$W$2=$AC18),0))</f>
        <v>FALSE</v>
      </c>
      <c r="HV18" t="str" cm="1">
        <f t="array" ref="HV18">INDEX($B$1:$W$193,MATCH(HV$1,$B$1:$B$193,0),MATCH(1,($B$1:$W$1=$AB18)*($B$2:$W$2=$AC18),0))</f>
        <v>FALSE</v>
      </c>
      <c r="HW18" t="str" cm="1">
        <f t="array" ref="HW18">INDEX($B$1:$W$193,MATCH(HW$1,$B$1:$B$193,0),MATCH(1,($B$1:$W$1=$AB18)*($B$2:$W$2=$AC18),0))</f>
        <v>FALSE</v>
      </c>
      <c r="HX18" t="str" cm="1">
        <f t="array" ref="HX18">INDEX($B$1:$W$193,MATCH(HX$1,$B$1:$B$193,0),MATCH(1,($B$1:$W$1=$AB18)*($B$2:$W$2=$AC18),0))</f>
        <v>FALSE</v>
      </c>
      <c r="HY18" t="str" cm="1">
        <f t="array" ref="HY18">INDEX($B$1:$W$193,MATCH(HY$1,$B$1:$B$193,0),MATCH(1,($B$1:$W$1=$AB18)*($B$2:$W$2=$AC18),0))</f>
        <v>FALSE</v>
      </c>
      <c r="HZ18" t="str" cm="1">
        <f t="array" ref="HZ18">INDEX($B$1:$W$193,MATCH(HZ$1,$B$1:$B$193,0),MATCH(1,($B$1:$W$1=$AB18)*($B$2:$W$2=$AC18),0))</f>
        <v>FALSE</v>
      </c>
      <c r="IA18" t="str" cm="1">
        <f t="array" ref="IA18">INDEX($B$1:$W$193,MATCH(IA$1,$B$1:$B$193,0),MATCH(1,($B$1:$W$1=$AB18)*($B$2:$W$2=$AC18),0))</f>
        <v>FALSE</v>
      </c>
      <c r="IB18" t="str" cm="1">
        <f t="array" ref="IB18">INDEX($B$1:$W$193,MATCH(IB$1,$B$1:$B$193,0),MATCH(1,($B$1:$W$1=$AB18)*($B$2:$W$2=$AC18),0))</f>
        <v>FALSE</v>
      </c>
      <c r="IC18" t="str" cm="1">
        <f t="array" ref="IC18">INDEX($B$1:$W$193,MATCH(IC$1,$B$1:$B$193,0),MATCH(1,($B$1:$W$1=$AB18)*($B$2:$W$2=$AC18),0))</f>
        <v>FALSE</v>
      </c>
      <c r="ID18" t="str" cm="1">
        <f t="array" ref="ID18">INDEX($B$1:$W$193,MATCH(ID$1,$B$1:$B$193,0),MATCH(1,($B$1:$W$1=$AB18)*($B$2:$W$2=$AC18),0))</f>
        <v>FALSE</v>
      </c>
      <c r="IE18" t="str" cm="1">
        <f t="array" ref="IE18">INDEX($B$1:$W$193,MATCH(IE$1,$B$1:$B$193,0),MATCH(1,($B$1:$W$1=$AB18)*($B$2:$W$2=$AC18),0))</f>
        <v>FALSE</v>
      </c>
      <c r="IF18" t="str" cm="1">
        <f t="array" ref="IF18">INDEX($B$1:$W$193,MATCH(IF$1,$B$1:$B$193,0),MATCH(1,($B$1:$W$1=$AB18)*($B$2:$W$2=$AC18),0))</f>
        <v>FALSE</v>
      </c>
      <c r="IG18" t="str" cm="1">
        <f t="array" ref="IG18">INDEX($B$1:$W$193,MATCH(IG$1,$B$1:$B$193,0),MATCH(1,($B$1:$W$1=$AB18)*($B$2:$W$2=$AC18),0))</f>
        <v>FALSE</v>
      </c>
      <c r="IH18" t="str" cm="1">
        <f t="array" ref="IH18">INDEX($B$1:$W$193,MATCH(IH$1,$B$1:$B$193,0),MATCH(1,($B$1:$W$1=$AB18)*($B$2:$W$2=$AC18),0))</f>
        <v>FALSE</v>
      </c>
      <c r="II18" t="str" cm="1">
        <f t="array" ref="II18">INDEX($B$1:$W$193,MATCH(II$1,$B$1:$B$193,0),MATCH(1,($B$1:$W$1=$AB18)*($B$2:$W$2=$AC18),0))</f>
        <v>FALSE</v>
      </c>
      <c r="IJ18" t="str" cm="1">
        <f t="array" ref="IJ18">INDEX($B$1:$W$193,MATCH(IJ$1,$B$1:$B$193,0),MATCH(1,($B$1:$W$1=$AB18)*($B$2:$W$2=$AC18),0))</f>
        <v>FALSE</v>
      </c>
      <c r="IK18" t="str" cm="1">
        <f t="array" ref="IK18">INDEX($B$1:$W$193,MATCH(IK$1,$B$1:$B$193,0),MATCH(1,($B$1:$W$1=$AB18)*($B$2:$W$2=$AC18),0))</f>
        <v>FALSE</v>
      </c>
      <c r="IL18" t="str" cm="1">
        <f t="array" ref="IL18">INDEX($B$1:$W$193,MATCH(IL$1,$B$1:$B$193,0),MATCH(1,($B$1:$W$1=$AB18)*($B$2:$W$2=$AC18),0))</f>
        <v>FALSE</v>
      </c>
      <c r="IM18" t="str" cm="1">
        <f t="array" ref="IM18">INDEX($B$1:$W$193,MATCH(IM$1,$B$1:$B$193,0),MATCH(1,($B$1:$W$1=$AB18)*($B$2:$W$2=$AC18),0))</f>
        <v>FALSE</v>
      </c>
      <c r="IN18" t="str" cm="1">
        <f t="array" ref="IN18">INDEX($B$1:$W$193,MATCH(IN$1,$B$1:$B$193,0),MATCH(1,($B$1:$W$1=$AB18)*($B$2:$W$2=$AC18),0))</f>
        <v>FALSE</v>
      </c>
      <c r="IO18" t="str" cm="1">
        <f t="array" ref="IO18">INDEX($B$1:$W$193,MATCH(IO$1,$B$1:$B$193,0),MATCH(1,($B$1:$W$1=$AB18)*($B$2:$W$2=$AC18),0))</f>
        <v>FALSE</v>
      </c>
      <c r="IP18" t="str" cm="1">
        <f t="array" ref="IP18">INDEX($B$1:$W$193,MATCH(IP$1,$B$1:$B$193,0),MATCH(1,($B$1:$W$1=$AB18)*($B$2:$W$2=$AC18),0))</f>
        <v>FALSE</v>
      </c>
      <c r="IQ18" t="str" cm="1">
        <f t="array" ref="IQ18">INDEX($B$1:$W$193,MATCH(IQ$1,$B$1:$B$193,0),MATCH(1,($B$1:$W$1=$AB18)*($B$2:$W$2=$AC18),0))</f>
        <v>FALSE</v>
      </c>
      <c r="IR18" t="str" cm="1">
        <f t="array" ref="IR18">INDEX($B$1:$W$193,MATCH(IR$1,$B$1:$B$193,0),MATCH(1,($B$1:$W$1=$AB18)*($B$2:$W$2=$AC18),0))</f>
        <v>FALSE</v>
      </c>
      <c r="IS18" t="str" cm="1">
        <f t="array" ref="IS18">INDEX($B$1:$W$193,MATCH(IS$1,$B$1:$B$193,0),MATCH(1,($B$1:$W$1=$AB18)*($B$2:$W$2=$AC18),0))</f>
        <v>FALSE</v>
      </c>
      <c r="IT18" t="str" cm="1">
        <f t="array" ref="IT18">INDEX($B$1:$W$193,MATCH(IT$1,$B$1:$B$193,0),MATCH(1,($B$1:$W$1=$AB18)*($B$2:$W$2=$AC18),0))</f>
        <v>FALSE</v>
      </c>
      <c r="IU18" t="str" cm="1">
        <f t="array" ref="IU18">INDEX($B$1:$W$193,MATCH(IU$1,$B$1:$B$193,0),MATCH(1,($B$1:$W$1=$AB18)*($B$2:$W$2=$AC18),0))</f>
        <v>FALSE</v>
      </c>
      <c r="IV18" t="str" cm="1">
        <f t="array" ref="IV18">INDEX($B$1:$W$193,MATCH(IV$1,$B$1:$B$193,0),MATCH(1,($B$1:$W$1=$AB18)*($B$2:$W$2=$AC18),0))</f>
        <v>FALSE</v>
      </c>
      <c r="IW18" t="str" cm="1">
        <f t="array" ref="IW18">INDEX($B$1:$W$193,MATCH(IW$1,$B$1:$B$193,0),MATCH(1,($B$1:$W$1=$AB18)*($B$2:$W$2=$AC18),0))</f>
        <v>FALSE</v>
      </c>
      <c r="IX18" t="str" cm="1">
        <f t="array" ref="IX18">INDEX($B$1:$W$193,MATCH(IX$1,$B$1:$B$193,0),MATCH(1,($B$1:$W$1=$AB18)*($B$2:$W$2=$AC18),0))</f>
        <v>FALSE</v>
      </c>
      <c r="IY18" t="str" cm="1">
        <f t="array" ref="IY18">INDEX($B$1:$W$193,MATCH(IY$1,$B$1:$B$193,0),MATCH(1,($B$1:$W$1=$AB18)*($B$2:$W$2=$AC18),0))</f>
        <v>FALSE</v>
      </c>
      <c r="IZ18" t="str" cm="1">
        <f t="array" ref="IZ18">INDEX($B$1:$W$193,MATCH(IZ$1,$B$1:$B$193,0),MATCH(1,($B$1:$W$1=$AB18)*($B$2:$W$2=$AC18),0))</f>
        <v>FALSE</v>
      </c>
      <c r="JA18" t="str" cm="1">
        <f t="array" ref="JA18">INDEX($B$1:$W$193,MATCH(JA$1,$B$1:$B$193,0),MATCH(1,($B$1:$W$1=$AB18)*($B$2:$W$2=$AC18),0))</f>
        <v>FALSE</v>
      </c>
      <c r="JB18" t="str" cm="1">
        <f t="array" ref="JB18">INDEX($B$1:$W$193,MATCH(JB$1,$B$1:$B$193,0),MATCH(1,($B$1:$W$1=$AB18)*($B$2:$W$2=$AC18),0))</f>
        <v>FALSE</v>
      </c>
      <c r="JC18" t="str" cm="1">
        <f t="array" ref="JC18">INDEX($B$1:$W$193,MATCH(JC$1,$B$1:$B$193,0),MATCH(1,($B$1:$W$1=$AB18)*($B$2:$W$2=$AC18),0))</f>
        <v>FALSE</v>
      </c>
      <c r="JD18" t="str" cm="1">
        <f t="array" ref="JD18">INDEX($B$1:$W$193,MATCH(JD$1,$B$1:$B$193,0),MATCH(1,($B$1:$W$1=$AB18)*($B$2:$W$2=$AC18),0))</f>
        <v>FALSE</v>
      </c>
      <c r="JE18" t="str" cm="1">
        <f t="array" ref="JE18">INDEX($B$1:$W$193,MATCH(JE$1,$B$1:$B$193,0),MATCH(1,($B$1:$W$1=$AB18)*($B$2:$W$2=$AC18),0))</f>
        <v>FALSE</v>
      </c>
      <c r="JF18" t="str" cm="1">
        <f t="array" ref="JF18">INDEX($B$1:$W$193,MATCH(JF$1,$B$1:$B$193,0),MATCH(1,($B$1:$W$1=$AB18)*($B$2:$W$2=$AC18),0))</f>
        <v>FALSE</v>
      </c>
      <c r="JG18" t="str" cm="1">
        <f t="array" ref="JG18">INDEX($B$1:$W$193,MATCH(JG$1,$B$1:$B$193,0),MATCH(1,($B$1:$W$1=$AB18)*($B$2:$W$2=$AC18),0))</f>
        <v>FALSE</v>
      </c>
      <c r="JH18" t="str" cm="1">
        <f t="array" ref="JH18">INDEX($B$1:$W$193,MATCH(JH$1,$B$1:$B$193,0),MATCH(1,($B$1:$W$1=$AB18)*($B$2:$W$2=$AC18),0))</f>
        <v>FALSE</v>
      </c>
    </row>
    <row r="19" spans="1:268" x14ac:dyDescent="0.25">
      <c r="A19" t="s">
        <v>164</v>
      </c>
      <c r="B19" s="51">
        <v>26</v>
      </c>
      <c r="C19">
        <v>3</v>
      </c>
      <c r="D19">
        <v>4</v>
      </c>
      <c r="E19" t="b">
        <f t="shared" si="1"/>
        <v>1</v>
      </c>
      <c r="F19" t="b">
        <f t="shared" si="1"/>
        <v>1</v>
      </c>
      <c r="G19" t="b">
        <f t="shared" si="1"/>
        <v>1</v>
      </c>
      <c r="H19" t="b">
        <f t="shared" si="1"/>
        <v>1</v>
      </c>
      <c r="I19" t="b">
        <f t="shared" si="1"/>
        <v>0</v>
      </c>
      <c r="J19" t="b">
        <f t="shared" si="1"/>
        <v>0</v>
      </c>
      <c r="K19" t="b">
        <f t="shared" si="1"/>
        <v>1</v>
      </c>
      <c r="L19" t="b">
        <f t="shared" si="1"/>
        <v>1</v>
      </c>
      <c r="M19" t="b">
        <f t="shared" si="1"/>
        <v>1</v>
      </c>
      <c r="N19" t="b">
        <f t="shared" si="1"/>
        <v>1</v>
      </c>
      <c r="O19" t="b">
        <f t="shared" si="1"/>
        <v>0</v>
      </c>
      <c r="P19" t="b">
        <f t="shared" si="1"/>
        <v>0</v>
      </c>
      <c r="Q19" t="b">
        <v>1</v>
      </c>
      <c r="R19" t="b" cm="1">
        <f t="array" ref="R19">_xlfn.IFS(C19=1,FALSE,OR(C19=2,C19&gt;2),TRUE)</f>
        <v>1</v>
      </c>
      <c r="S19" t="b" cm="1">
        <f t="array" ref="S19">_xlfn.IFS(OR(C19=1,C19=2),FALSE,OR(C19=3,C19&gt;3),TRUE)</f>
        <v>1</v>
      </c>
      <c r="T19" t="str">
        <f t="shared" si="2"/>
        <v>TRUE</v>
      </c>
      <c r="U19" t="str">
        <f t="shared" si="3"/>
        <v>TRUE</v>
      </c>
      <c r="V19" t="str">
        <f t="shared" si="4"/>
        <v>FALSE</v>
      </c>
      <c r="W19" t="b" cm="1">
        <f t="array" ref="W19">_xlfn.IFS(H19=1,FALSE,OR(H19=2,H19&gt;2),TRUE)</f>
        <v>1</v>
      </c>
      <c r="X19" t="b" cm="1">
        <f t="array" ref="X19">_xlfn.IFS(H19=1,FALSE,OR(H19=2,H19&gt;2),TRUE)</f>
        <v>1</v>
      </c>
      <c r="Y19" t="b" cm="1">
        <f t="array" ref="Y19">_xlfn.IFS(H19=1,FALSE,OR(H19=2,H19&gt;2),TRUE)</f>
        <v>1</v>
      </c>
      <c r="AB19" t="s">
        <v>146</v>
      </c>
      <c r="AC19" t="s">
        <v>148</v>
      </c>
      <c r="AD19" t="str" cm="1">
        <f t="array" ref="AD19">INDEX($B$1:$W$193,MATCH(AD$1,$B$1:$B$193,0),MATCH(1,($B$1:$W$1=$AB19)*($B$2:$W$2=$AC19),0))</f>
        <v>FALSE</v>
      </c>
      <c r="AE19" t="str" cm="1">
        <f t="array" ref="AE19">INDEX($B$1:$W$193,MATCH(AE$1,$B$1:$B$193,0),MATCH(1,($B$1:$W$1=$AB19)*($B$2:$W$2=$AC19),0))</f>
        <v>FALSE</v>
      </c>
      <c r="AF19" t="str" cm="1">
        <f t="array" ref="AF19">INDEX($B$1:$W$193,MATCH(AF$1,$B$1:$B$193,0),MATCH(1,($B$1:$W$1=$AB19)*($B$2:$W$2=$AC19),0))</f>
        <v>FALSE</v>
      </c>
      <c r="AG19" t="str" cm="1">
        <f t="array" ref="AG19">INDEX($B$1:$W$193,MATCH(AG$1,$B$1:$B$193,0),MATCH(1,($B$1:$W$1=$AB19)*($B$2:$W$2=$AC19),0))</f>
        <v>FALSE</v>
      </c>
      <c r="AH19" t="str" cm="1">
        <f t="array" ref="AH19">INDEX($B$1:$W$193,MATCH(AH$1,$B$1:$B$193,0),MATCH(1,($B$1:$W$1=$AB19)*($B$2:$W$2=$AC19),0))</f>
        <v>FALSE</v>
      </c>
      <c r="AI19" t="str" cm="1">
        <f t="array" ref="AI19">INDEX($B$1:$W$193,MATCH(AI$1,$B$1:$B$193,0),MATCH(1,($B$1:$W$1=$AB19)*($B$2:$W$2=$AC19),0))</f>
        <v>FALSE</v>
      </c>
      <c r="AJ19" t="str" cm="1">
        <f t="array" ref="AJ19">INDEX($B$1:$W$193,MATCH(AJ$1,$B$1:$B$193,0),MATCH(1,($B$1:$W$1=$AB19)*($B$2:$W$2=$AC19),0))</f>
        <v>FALSE</v>
      </c>
      <c r="AK19" t="str" cm="1">
        <f t="array" ref="AK19">INDEX($B$1:$W$193,MATCH(AK$1,$B$1:$B$193,0),MATCH(1,($B$1:$W$1=$AB19)*($B$2:$W$2=$AC19),0))</f>
        <v>FALSE</v>
      </c>
      <c r="AL19" t="str" cm="1">
        <f t="array" ref="AL19">INDEX($B$1:$W$193,MATCH(AL$1,$B$1:$B$193,0),MATCH(1,($B$1:$W$1=$AB19)*($B$2:$W$2=$AC19),0))</f>
        <v>FALSE</v>
      </c>
      <c r="AM19" t="str" cm="1">
        <f t="array" ref="AM19">INDEX($B$1:$W$193,MATCH(AM$1,$B$1:$B$193,0),MATCH(1,($B$1:$W$1=$AB19)*($B$2:$W$2=$AC19),0))</f>
        <v>FALSE</v>
      </c>
      <c r="AN19" t="str" cm="1">
        <f t="array" ref="AN19">INDEX($B$1:$W$193,MATCH(AN$1,$B$1:$B$193,0),MATCH(1,($B$1:$W$1=$AB19)*($B$2:$W$2=$AC19),0))</f>
        <v>FALSE</v>
      </c>
      <c r="AO19" t="str" cm="1">
        <f t="array" ref="AO19">INDEX($B$1:$W$193,MATCH(AO$1,$B$1:$B$193,0),MATCH(1,($B$1:$W$1=$AB19)*($B$2:$W$2=$AC19),0))</f>
        <v>FALSE</v>
      </c>
      <c r="AP19" t="str" cm="1">
        <f t="array" ref="AP19">INDEX($B$1:$W$193,MATCH(AP$1,$B$1:$B$193,0),MATCH(1,($B$1:$W$1=$AB19)*($B$2:$W$2=$AC19),0))</f>
        <v>FALSE</v>
      </c>
      <c r="AQ19" t="str" cm="1">
        <f t="array" ref="AQ19">INDEX($B$1:$W$193,MATCH(AQ$1,$B$1:$B$193,0),MATCH(1,($B$1:$W$1=$AB19)*($B$2:$W$2=$AC19),0))</f>
        <v>FALSE</v>
      </c>
      <c r="AR19" t="str" cm="1">
        <f t="array" ref="AR19">INDEX($B$1:$W$193,MATCH(AR$1,$B$1:$B$193,0),MATCH(1,($B$1:$W$1=$AB19)*($B$2:$W$2=$AC19),0))</f>
        <v>FALSE</v>
      </c>
      <c r="AS19" t="str" cm="1">
        <f t="array" ref="AS19">INDEX($B$1:$W$193,MATCH(AS$1,$B$1:$B$193,0),MATCH(1,($B$1:$W$1=$AB19)*($B$2:$W$2=$AC19),0))</f>
        <v>FALSE</v>
      </c>
      <c r="AT19" t="str" cm="1">
        <f t="array" ref="AT19">INDEX($B$1:$W$193,MATCH(AT$1,$B$1:$B$193,0),MATCH(1,($B$1:$W$1=$AB19)*($B$2:$W$2=$AC19),0))</f>
        <v>FALSE</v>
      </c>
      <c r="AU19" t="str" cm="1">
        <f t="array" ref="AU19">INDEX($B$1:$W$193,MATCH(AU$1,$B$1:$B$193,0),MATCH(1,($B$1:$W$1=$AB19)*($B$2:$W$2=$AC19),0))</f>
        <v>FALSE</v>
      </c>
      <c r="AV19" t="str" cm="1">
        <f t="array" ref="AV19">INDEX($B$1:$W$193,MATCH(AV$1,$B$1:$B$193,0),MATCH(1,($B$1:$W$1=$AB19)*($B$2:$W$2=$AC19),0))</f>
        <v>FALSE</v>
      </c>
      <c r="AW19" t="str" cm="1">
        <f t="array" ref="AW19">INDEX($B$1:$W$193,MATCH(AW$1,$B$1:$B$193,0),MATCH(1,($B$1:$W$1=$AB19)*($B$2:$W$2=$AC19),0))</f>
        <v>FALSE</v>
      </c>
      <c r="AX19" t="str" cm="1">
        <f t="array" ref="AX19">INDEX($B$1:$W$193,MATCH(AX$1,$B$1:$B$193,0),MATCH(1,($B$1:$W$1=$AB19)*($B$2:$W$2=$AC19),0))</f>
        <v>FALSE</v>
      </c>
      <c r="AY19" t="str" cm="1">
        <f t="array" ref="AY19">INDEX($B$1:$W$193,MATCH(AY$1,$B$1:$B$193,0),MATCH(1,($B$1:$W$1=$AB19)*($B$2:$W$2=$AC19),0))</f>
        <v>FALSE</v>
      </c>
      <c r="AZ19" t="str" cm="1">
        <f t="array" ref="AZ19">INDEX($B$1:$W$193,MATCH(AZ$1,$B$1:$B$193,0),MATCH(1,($B$1:$W$1=$AB19)*($B$2:$W$2=$AC19),0))</f>
        <v>FALSE</v>
      </c>
      <c r="BA19" t="str" cm="1">
        <f t="array" ref="BA19">INDEX($B$1:$W$193,MATCH(BA$1,$B$1:$B$193,0),MATCH(1,($B$1:$W$1=$AB19)*($B$2:$W$2=$AC19),0))</f>
        <v>FALSE</v>
      </c>
      <c r="BB19" t="str" cm="1">
        <f t="array" ref="BB19">INDEX($B$1:$W$193,MATCH(BB$1,$B$1:$B$193,0),MATCH(1,($B$1:$W$1=$AB19)*($B$2:$W$2=$AC19),0))</f>
        <v>FALSE</v>
      </c>
      <c r="BC19" t="str" cm="1">
        <f t="array" ref="BC19">INDEX($B$1:$W$193,MATCH(BC$1,$B$1:$B$193,0),MATCH(1,($B$1:$W$1=$AB19)*($B$2:$W$2=$AC19),0))</f>
        <v>FALSE</v>
      </c>
      <c r="BD19" t="str" cm="1">
        <f t="array" ref="BD19">INDEX($B$1:$W$193,MATCH(BD$1,$B$1:$B$193,0),MATCH(1,($B$1:$W$1=$AB19)*($B$2:$W$2=$AC19),0))</f>
        <v>FALSE</v>
      </c>
      <c r="BE19" t="str" cm="1">
        <f t="array" ref="BE19">INDEX($B$1:$W$193,MATCH(BE$1,$B$1:$B$193,0),MATCH(1,($B$1:$W$1=$AB19)*($B$2:$W$2=$AC19),0))</f>
        <v>FALSE</v>
      </c>
      <c r="BF19" t="str" cm="1">
        <f t="array" ref="BF19">INDEX($B$1:$W$193,MATCH(BF$1,$B$1:$B$193,0),MATCH(1,($B$1:$W$1=$AB19)*($B$2:$W$2=$AC19),0))</f>
        <v>FALSE</v>
      </c>
      <c r="BG19" t="str" cm="1">
        <f t="array" ref="BG19">INDEX($B$1:$W$193,MATCH(BG$1,$B$1:$B$193,0),MATCH(1,($B$1:$W$1=$AB19)*($B$2:$W$2=$AC19),0))</f>
        <v>FALSE</v>
      </c>
      <c r="BH19" t="str" cm="1">
        <f t="array" ref="BH19">INDEX($B$1:$W$193,MATCH(BH$1,$B$1:$B$193,0),MATCH(1,($B$1:$W$1=$AB19)*($B$2:$W$2=$AC19),0))</f>
        <v>FALSE</v>
      </c>
      <c r="BI19" t="str" cm="1">
        <f t="array" ref="BI19">INDEX($B$1:$W$193,MATCH(BI$1,$B$1:$B$193,0),MATCH(1,($B$1:$W$1=$AB19)*($B$2:$W$2=$AC19),0))</f>
        <v>FALSE</v>
      </c>
      <c r="BJ19" t="str" cm="1">
        <f t="array" ref="BJ19">INDEX($B$1:$W$193,MATCH(BJ$1,$B$1:$B$193,0),MATCH(1,($B$1:$W$1=$AB19)*($B$2:$W$2=$AC19),0))</f>
        <v>FALSE</v>
      </c>
      <c r="BK19" t="str" cm="1">
        <f t="array" ref="BK19">INDEX($B$1:$W$193,MATCH(BK$1,$B$1:$B$193,0),MATCH(1,($B$1:$W$1=$AB19)*($B$2:$W$2=$AC19),0))</f>
        <v>FALSE</v>
      </c>
      <c r="BL19" t="str" cm="1">
        <f t="array" ref="BL19">INDEX($B$1:$W$193,MATCH(BL$1,$B$1:$B$193,0),MATCH(1,($B$1:$W$1=$AB19)*($B$2:$W$2=$AC19),0))</f>
        <v>FALSE</v>
      </c>
      <c r="BM19" t="str" cm="1">
        <f t="array" ref="BM19">INDEX($B$1:$W$193,MATCH(BM$1,$B$1:$B$193,0),MATCH(1,($B$1:$W$1=$AB19)*($B$2:$W$2=$AC19),0))</f>
        <v>FALSE</v>
      </c>
      <c r="BN19" t="str" cm="1">
        <f t="array" ref="BN19">INDEX($B$1:$W$193,MATCH(BN$1,$B$1:$B$193,0),MATCH(1,($B$1:$W$1=$AB19)*($B$2:$W$2=$AC19),0))</f>
        <v>FALSE</v>
      </c>
      <c r="BO19" t="str" cm="1">
        <f t="array" ref="BO19">INDEX($B$1:$W$193,MATCH(BO$1,$B$1:$B$193,0),MATCH(1,($B$1:$W$1=$AB19)*($B$2:$W$2=$AC19),0))</f>
        <v>FALSE</v>
      </c>
      <c r="BP19" t="str" cm="1">
        <f t="array" ref="BP19">INDEX($B$1:$W$193,MATCH(BP$1,$B$1:$B$193,0),MATCH(1,($B$1:$W$1=$AB19)*($B$2:$W$2=$AC19),0))</f>
        <v>FALSE</v>
      </c>
      <c r="BQ19" t="str" cm="1">
        <f t="array" ref="BQ19">INDEX($B$1:$W$193,MATCH(BQ$1,$B$1:$B$193,0),MATCH(1,($B$1:$W$1=$AB19)*($B$2:$W$2=$AC19),0))</f>
        <v>FALSE</v>
      </c>
      <c r="BR19" t="str" cm="1">
        <f t="array" ref="BR19">INDEX($B$1:$W$193,MATCH(BR$1,$B$1:$B$193,0),MATCH(1,($B$1:$W$1=$AB19)*($B$2:$W$2=$AC19),0))</f>
        <v>FALSE</v>
      </c>
      <c r="BS19" t="str" cm="1">
        <f t="array" ref="BS19">INDEX($B$1:$W$193,MATCH(BS$1,$B$1:$B$193,0),MATCH(1,($B$1:$W$1=$AB19)*($B$2:$W$2=$AC19),0))</f>
        <v>FALSE</v>
      </c>
      <c r="BT19" t="str" cm="1">
        <f t="array" ref="BT19">INDEX($B$1:$W$193,MATCH(BT$1,$B$1:$B$193,0),MATCH(1,($B$1:$W$1=$AB19)*($B$2:$W$2=$AC19),0))</f>
        <v>FALSE</v>
      </c>
      <c r="BU19" t="str" cm="1">
        <f t="array" ref="BU19">INDEX($B$1:$W$193,MATCH(BU$1,$B$1:$B$193,0),MATCH(1,($B$1:$W$1=$AB19)*($B$2:$W$2=$AC19),0))</f>
        <v>FALSE</v>
      </c>
      <c r="BV19" t="str" cm="1">
        <f t="array" ref="BV19">INDEX($B$1:$W$193,MATCH(BV$1,$B$1:$B$193,0),MATCH(1,($B$1:$W$1=$AB19)*($B$2:$W$2=$AC19),0))</f>
        <v>FALSE</v>
      </c>
      <c r="BW19" t="str" cm="1">
        <f t="array" ref="BW19">INDEX($B$1:$W$193,MATCH(BW$1,$B$1:$B$193,0),MATCH(1,($B$1:$W$1=$AB19)*($B$2:$W$2=$AC19),0))</f>
        <v>FALSE</v>
      </c>
      <c r="BX19" t="str" cm="1">
        <f t="array" ref="BX19">INDEX($B$1:$W$193,MATCH(BX$1,$B$1:$B$193,0),MATCH(1,($B$1:$W$1=$AB19)*($B$2:$W$2=$AC19),0))</f>
        <v>FALSE</v>
      </c>
      <c r="BY19" t="str" cm="1">
        <f t="array" ref="BY19">INDEX($B$1:$W$193,MATCH(BY$1,$B$1:$B$193,0),MATCH(1,($B$1:$W$1=$AB19)*($B$2:$W$2=$AC19),0))</f>
        <v>FALSE</v>
      </c>
      <c r="BZ19" t="str" cm="1">
        <f t="array" ref="BZ19">INDEX($B$1:$W$193,MATCH(BZ$1,$B$1:$B$193,0),MATCH(1,($B$1:$W$1=$AB19)*($B$2:$W$2=$AC19),0))</f>
        <v>FALSE</v>
      </c>
      <c r="CA19" t="str" cm="1">
        <f t="array" ref="CA19">INDEX($B$1:$W$193,MATCH(CA$1,$B$1:$B$193,0),MATCH(1,($B$1:$W$1=$AB19)*($B$2:$W$2=$AC19),0))</f>
        <v>FALSE</v>
      </c>
      <c r="CB19" t="str" cm="1">
        <f t="array" ref="CB19">INDEX($B$1:$W$193,MATCH(CB$1,$B$1:$B$193,0),MATCH(1,($B$1:$W$1=$AB19)*($B$2:$W$2=$AC19),0))</f>
        <v>FALSE</v>
      </c>
      <c r="CC19" t="str" cm="1">
        <f t="array" ref="CC19">INDEX($B$1:$W$193,MATCH(CC$1,$B$1:$B$193,0),MATCH(1,($B$1:$W$1=$AB19)*($B$2:$W$2=$AC19),0))</f>
        <v>FALSE</v>
      </c>
      <c r="CD19" t="str" cm="1">
        <f t="array" ref="CD19">INDEX($B$1:$W$193,MATCH(CD$1,$B$1:$B$193,0),MATCH(1,($B$1:$W$1=$AB19)*($B$2:$W$2=$AC19),0))</f>
        <v>FALSE</v>
      </c>
      <c r="CE19" t="str" cm="1">
        <f t="array" ref="CE19">INDEX($B$1:$W$193,MATCH(CE$1,$B$1:$B$193,0),MATCH(1,($B$1:$W$1=$AB19)*($B$2:$W$2=$AC19),0))</f>
        <v>FALSE</v>
      </c>
      <c r="CF19" t="str" cm="1">
        <f t="array" ref="CF19">INDEX($B$1:$W$193,MATCH(CF$1,$B$1:$B$193,0),MATCH(1,($B$1:$W$1=$AB19)*($B$2:$W$2=$AC19),0))</f>
        <v>FALSE</v>
      </c>
      <c r="CG19" t="str" cm="1">
        <f t="array" ref="CG19">INDEX($B$1:$W$193,MATCH(CG$1,$B$1:$B$193,0),MATCH(1,($B$1:$W$1=$AB19)*($B$2:$W$2=$AC19),0))</f>
        <v>FALSE</v>
      </c>
      <c r="CH19" t="str" cm="1">
        <f t="array" ref="CH19">INDEX($B$1:$W$193,MATCH(CH$1,$B$1:$B$193,0),MATCH(1,($B$1:$W$1=$AB19)*($B$2:$W$2=$AC19),0))</f>
        <v>FALSE</v>
      </c>
      <c r="CI19" t="str" cm="1">
        <f t="array" ref="CI19">INDEX($B$1:$W$193,MATCH(CI$1,$B$1:$B$193,0),MATCH(1,($B$1:$W$1=$AB19)*($B$2:$W$2=$AC19),0))</f>
        <v>FALSE</v>
      </c>
      <c r="CJ19" t="str" cm="1">
        <f t="array" ref="CJ19">INDEX($B$1:$W$193,MATCH(CJ$1,$B$1:$B$193,0),MATCH(1,($B$1:$W$1=$AB19)*($B$2:$W$2=$AC19),0))</f>
        <v>FALSE</v>
      </c>
      <c r="CK19" t="str" cm="1">
        <f t="array" ref="CK19">INDEX($B$1:$W$193,MATCH(CK$1,$B$1:$B$193,0),MATCH(1,($B$1:$W$1=$AB19)*($B$2:$W$2=$AC19),0))</f>
        <v>FALSE</v>
      </c>
      <c r="CL19" t="str" cm="1">
        <f t="array" ref="CL19">INDEX($B$1:$W$193,MATCH(CL$1,$B$1:$B$193,0),MATCH(1,($B$1:$W$1=$AB19)*($B$2:$W$2=$AC19),0))</f>
        <v>FALSE</v>
      </c>
      <c r="CM19" t="str" cm="1">
        <f t="array" ref="CM19">INDEX($B$1:$W$193,MATCH(CM$1,$B$1:$B$193,0),MATCH(1,($B$1:$W$1=$AB19)*($B$2:$W$2=$AC19),0))</f>
        <v>FALSE</v>
      </c>
      <c r="CN19" t="str" cm="1">
        <f t="array" ref="CN19">INDEX($B$1:$W$193,MATCH(CN$1,$B$1:$B$193,0),MATCH(1,($B$1:$W$1=$AB19)*($B$2:$W$2=$AC19),0))</f>
        <v>FALSE</v>
      </c>
      <c r="CO19" t="str" cm="1">
        <f t="array" ref="CO19">INDEX($B$1:$W$193,MATCH(CO$1,$B$1:$B$193,0),MATCH(1,($B$1:$W$1=$AB19)*($B$2:$W$2=$AC19),0))</f>
        <v>FALSE</v>
      </c>
      <c r="CP19" t="str" cm="1">
        <f t="array" ref="CP19">INDEX($B$1:$W$193,MATCH(CP$1,$B$1:$B$193,0),MATCH(1,($B$1:$W$1=$AB19)*($B$2:$W$2=$AC19),0))</f>
        <v>FALSE</v>
      </c>
      <c r="CQ19" t="str" cm="1">
        <f t="array" ref="CQ19">INDEX($B$1:$W$193,MATCH(CQ$1,$B$1:$B$193,0),MATCH(1,($B$1:$W$1=$AB19)*($B$2:$W$2=$AC19),0))</f>
        <v>FALSE</v>
      </c>
      <c r="CR19" t="str" cm="1">
        <f t="array" ref="CR19">INDEX($B$1:$W$193,MATCH(CR$1,$B$1:$B$193,0),MATCH(1,($B$1:$W$1=$AB19)*($B$2:$W$2=$AC19),0))</f>
        <v>FALSE</v>
      </c>
      <c r="CS19" t="str" cm="1">
        <f t="array" ref="CS19">INDEX($B$1:$W$193,MATCH(CS$1,$B$1:$B$193,0),MATCH(1,($B$1:$W$1=$AB19)*($B$2:$W$2=$AC19),0))</f>
        <v>FALSE</v>
      </c>
      <c r="CT19" t="str" cm="1">
        <f t="array" ref="CT19">INDEX($B$1:$W$193,MATCH(CT$1,$B$1:$B$193,0),MATCH(1,($B$1:$W$1=$AB19)*($B$2:$W$2=$AC19),0))</f>
        <v>FALSE</v>
      </c>
      <c r="CU19" t="str" cm="1">
        <f t="array" ref="CU19">INDEX($B$1:$W$193,MATCH(CU$1,$B$1:$B$193,0),MATCH(1,($B$1:$W$1=$AB19)*($B$2:$W$2=$AC19),0))</f>
        <v>FALSE</v>
      </c>
      <c r="CV19" t="str" cm="1">
        <f t="array" ref="CV19">INDEX($B$1:$W$193,MATCH(CV$1,$B$1:$B$193,0),MATCH(1,($B$1:$W$1=$AB19)*($B$2:$W$2=$AC19),0))</f>
        <v>FALSE</v>
      </c>
      <c r="CW19" t="str" cm="1">
        <f t="array" ref="CW19">INDEX($B$1:$W$193,MATCH(CW$1,$B$1:$B$193,0),MATCH(1,($B$1:$W$1=$AB19)*($B$2:$W$2=$AC19),0))</f>
        <v>FALSE</v>
      </c>
      <c r="CX19" t="str" cm="1">
        <f t="array" ref="CX19">INDEX($B$1:$W$193,MATCH(CX$1,$B$1:$B$193,0),MATCH(1,($B$1:$W$1=$AB19)*($B$2:$W$2=$AC19),0))</f>
        <v>FALSE</v>
      </c>
      <c r="CY19" t="str" cm="1">
        <f t="array" ref="CY19">INDEX($B$1:$W$193,MATCH(CY$1,$B$1:$B$193,0),MATCH(1,($B$1:$W$1=$AB19)*($B$2:$W$2=$AC19),0))</f>
        <v>FALSE</v>
      </c>
      <c r="CZ19" t="str" cm="1">
        <f t="array" ref="CZ19">INDEX($B$1:$W$193,MATCH(CZ$1,$B$1:$B$193,0),MATCH(1,($B$1:$W$1=$AB19)*($B$2:$W$2=$AC19),0))</f>
        <v>FALSE</v>
      </c>
      <c r="DA19" t="str" cm="1">
        <f t="array" ref="DA19">INDEX($B$1:$W$193,MATCH(DA$1,$B$1:$B$193,0),MATCH(1,($B$1:$W$1=$AB19)*($B$2:$W$2=$AC19),0))</f>
        <v>FALSE</v>
      </c>
      <c r="DB19" t="str" cm="1">
        <f t="array" ref="DB19">INDEX($B$1:$W$193,MATCH(DB$1,$B$1:$B$193,0),MATCH(1,($B$1:$W$1=$AB19)*($B$2:$W$2=$AC19),0))</f>
        <v>FALSE</v>
      </c>
      <c r="DC19" t="str" cm="1">
        <f t="array" ref="DC19">INDEX($B$1:$W$193,MATCH(DC$1,$B$1:$B$193,0),MATCH(1,($B$1:$W$1=$AB19)*($B$2:$W$2=$AC19),0))</f>
        <v>FALSE</v>
      </c>
      <c r="DD19" t="str" cm="1">
        <f t="array" ref="DD19">INDEX($B$1:$W$193,MATCH(DD$1,$B$1:$B$193,0),MATCH(1,($B$1:$W$1=$AB19)*($B$2:$W$2=$AC19),0))</f>
        <v>FALSE</v>
      </c>
      <c r="DE19" t="str" cm="1">
        <f t="array" ref="DE19">INDEX($B$1:$W$193,MATCH(DE$1,$B$1:$B$193,0),MATCH(1,($B$1:$W$1=$AB19)*($B$2:$W$2=$AC19),0))</f>
        <v>FALSE</v>
      </c>
      <c r="DF19" t="str" cm="1">
        <f t="array" ref="DF19">INDEX($B$1:$W$193,MATCH(DF$1,$B$1:$B$193,0),MATCH(1,($B$1:$W$1=$AB19)*($B$2:$W$2=$AC19),0))</f>
        <v>FALSE</v>
      </c>
      <c r="DG19" t="str" cm="1">
        <f t="array" ref="DG19">INDEX($B$1:$W$193,MATCH(DG$1,$B$1:$B$193,0),MATCH(1,($B$1:$W$1=$AB19)*($B$2:$W$2=$AC19),0))</f>
        <v>FALSE</v>
      </c>
      <c r="DH19" t="str" cm="1">
        <f t="array" ref="DH19">INDEX($B$1:$W$193,MATCH(DH$1,$B$1:$B$193,0),MATCH(1,($B$1:$W$1=$AB19)*($B$2:$W$2=$AC19),0))</f>
        <v>FALSE</v>
      </c>
      <c r="DI19" t="str" cm="1">
        <f t="array" ref="DI19">INDEX($B$1:$W$193,MATCH(DI$1,$B$1:$B$193,0),MATCH(1,($B$1:$W$1=$AB19)*($B$2:$W$2=$AC19),0))</f>
        <v>FALSE</v>
      </c>
      <c r="DJ19" t="str" cm="1">
        <f t="array" ref="DJ19">INDEX($B$1:$W$193,MATCH(DJ$1,$B$1:$B$193,0),MATCH(1,($B$1:$W$1=$AB19)*($B$2:$W$2=$AC19),0))</f>
        <v>FALSE</v>
      </c>
      <c r="DK19" t="str" cm="1">
        <f t="array" ref="DK19">INDEX($B$1:$W$193,MATCH(DK$1,$B$1:$B$193,0),MATCH(1,($B$1:$W$1=$AB19)*($B$2:$W$2=$AC19),0))</f>
        <v>FALSE</v>
      </c>
      <c r="DL19" t="str" cm="1">
        <f t="array" ref="DL19">INDEX($B$1:$W$193,MATCH(DL$1,$B$1:$B$193,0),MATCH(1,($B$1:$W$1=$AB19)*($B$2:$W$2=$AC19),0))</f>
        <v>FALSE</v>
      </c>
      <c r="DM19" t="str" cm="1">
        <f t="array" ref="DM19">INDEX($B$1:$W$193,MATCH(DM$1,$B$1:$B$193,0),MATCH(1,($B$1:$W$1=$AB19)*($B$2:$W$2=$AC19),0))</f>
        <v>FALSE</v>
      </c>
      <c r="DN19" t="str" cm="1">
        <f t="array" ref="DN19">INDEX($B$1:$W$193,MATCH(DN$1,$B$1:$B$193,0),MATCH(1,($B$1:$W$1=$AB19)*($B$2:$W$2=$AC19),0))</f>
        <v>FALSE</v>
      </c>
      <c r="DO19" t="str" cm="1">
        <f t="array" ref="DO19">INDEX($B$1:$W$193,MATCH(DO$1,$B$1:$B$193,0),MATCH(1,($B$1:$W$1=$AB19)*($B$2:$W$2=$AC19),0))</f>
        <v>FALSE</v>
      </c>
      <c r="DP19" t="str" cm="1">
        <f t="array" ref="DP19">INDEX($B$1:$W$193,MATCH(DP$1,$B$1:$B$193,0),MATCH(1,($B$1:$W$1=$AB19)*($B$2:$W$2=$AC19),0))</f>
        <v>FALSE</v>
      </c>
      <c r="DQ19" t="str" cm="1">
        <f t="array" ref="DQ19">INDEX($B$1:$W$193,MATCH(DQ$1,$B$1:$B$193,0),MATCH(1,($B$1:$W$1=$AB19)*($B$2:$W$2=$AC19),0))</f>
        <v>FALSE</v>
      </c>
      <c r="DR19" t="str" cm="1">
        <f t="array" ref="DR19">INDEX($B$1:$W$193,MATCH(DR$1,$B$1:$B$193,0),MATCH(1,($B$1:$W$1=$AB19)*($B$2:$W$2=$AC19),0))</f>
        <v>FALSE</v>
      </c>
      <c r="DS19" t="str" cm="1">
        <f t="array" ref="DS19">INDEX($B$1:$W$193,MATCH(DS$1,$B$1:$B$193,0),MATCH(1,($B$1:$W$1=$AB19)*($B$2:$W$2=$AC19),0))</f>
        <v>FALSE</v>
      </c>
      <c r="DT19" t="str" cm="1">
        <f t="array" ref="DT19">INDEX($B$1:$W$193,MATCH(DT$1,$B$1:$B$193,0),MATCH(1,($B$1:$W$1=$AB19)*($B$2:$W$2=$AC19),0))</f>
        <v>FALSE</v>
      </c>
      <c r="DU19" t="str" cm="1">
        <f t="array" ref="DU19">INDEX($B$1:$W$193,MATCH(DU$1,$B$1:$B$193,0),MATCH(1,($B$1:$W$1=$AB19)*($B$2:$W$2=$AC19),0))</f>
        <v>FALSE</v>
      </c>
      <c r="DV19" t="str" cm="1">
        <f t="array" ref="DV19">INDEX($B$1:$W$193,MATCH(DV$1,$B$1:$B$193,0),MATCH(1,($B$1:$W$1=$AB19)*($B$2:$W$2=$AC19),0))</f>
        <v>FALSE</v>
      </c>
      <c r="DW19" t="str" cm="1">
        <f t="array" ref="DW19">INDEX($B$1:$W$193,MATCH(DW$1,$B$1:$B$193,0),MATCH(1,($B$1:$W$1=$AB19)*($B$2:$W$2=$AC19),0))</f>
        <v>FALSE</v>
      </c>
      <c r="DX19" t="str" cm="1">
        <f t="array" ref="DX19">INDEX($B$1:$W$193,MATCH(DX$1,$B$1:$B$193,0),MATCH(1,($B$1:$W$1=$AB19)*($B$2:$W$2=$AC19),0))</f>
        <v>FALSE</v>
      </c>
      <c r="DY19" t="str" cm="1">
        <f t="array" ref="DY19">INDEX($B$1:$W$193,MATCH(DY$1,$B$1:$B$193,0),MATCH(1,($B$1:$W$1=$AB19)*($B$2:$W$2=$AC19),0))</f>
        <v>FALSE</v>
      </c>
      <c r="DZ19" t="str" cm="1">
        <f t="array" ref="DZ19">INDEX($B$1:$W$193,MATCH(DZ$1,$B$1:$B$193,0),MATCH(1,($B$1:$W$1=$AB19)*($B$2:$W$2=$AC19),0))</f>
        <v>FALSE</v>
      </c>
      <c r="EA19" t="str" cm="1">
        <f t="array" ref="EA19">INDEX($B$1:$W$193,MATCH(EA$1,$B$1:$B$193,0),MATCH(1,($B$1:$W$1=$AB19)*($B$2:$W$2=$AC19),0))</f>
        <v>FALSE</v>
      </c>
      <c r="EB19" t="str" cm="1">
        <f t="array" ref="EB19">INDEX($B$1:$W$193,MATCH(EB$1,$B$1:$B$193,0),MATCH(1,($B$1:$W$1=$AB19)*($B$2:$W$2=$AC19),0))</f>
        <v>FALSE</v>
      </c>
      <c r="EC19" t="str" cm="1">
        <f t="array" ref="EC19">INDEX($B$1:$W$193,MATCH(EC$1,$B$1:$B$193,0),MATCH(1,($B$1:$W$1=$AB19)*($B$2:$W$2=$AC19),0))</f>
        <v>FALSE</v>
      </c>
      <c r="ED19" t="str" cm="1">
        <f t="array" ref="ED19">INDEX($B$1:$W$193,MATCH(ED$1,$B$1:$B$193,0),MATCH(1,($B$1:$W$1=$AB19)*($B$2:$W$2=$AC19),0))</f>
        <v>FALSE</v>
      </c>
      <c r="EE19" t="str" cm="1">
        <f t="array" ref="EE19">INDEX($B$1:$W$193,MATCH(EE$1,$B$1:$B$193,0),MATCH(1,($B$1:$W$1=$AB19)*($B$2:$W$2=$AC19),0))</f>
        <v>FALSE</v>
      </c>
      <c r="EF19" t="str" cm="1">
        <f t="array" ref="EF19">INDEX($B$1:$W$193,MATCH(EF$1,$B$1:$B$193,0),MATCH(1,($B$1:$W$1=$AB19)*($B$2:$W$2=$AC19),0))</f>
        <v>FALSE</v>
      </c>
      <c r="EG19" t="str" cm="1">
        <f t="array" ref="EG19">INDEX($B$1:$W$193,MATCH(EG$1,$B$1:$B$193,0),MATCH(1,($B$1:$W$1=$AB19)*($B$2:$W$2=$AC19),0))</f>
        <v>FALSE</v>
      </c>
      <c r="EH19" t="str" cm="1">
        <f t="array" ref="EH19">INDEX($B$1:$W$193,MATCH(EH$1,$B$1:$B$193,0),MATCH(1,($B$1:$W$1=$AB19)*($B$2:$W$2=$AC19),0))</f>
        <v>FALSE</v>
      </c>
      <c r="EI19" t="str" cm="1">
        <f t="array" ref="EI19">INDEX($B$1:$W$193,MATCH(EI$1,$B$1:$B$193,0),MATCH(1,($B$1:$W$1=$AB19)*($B$2:$W$2=$AC19),0))</f>
        <v>FALSE</v>
      </c>
      <c r="EJ19" t="str" cm="1">
        <f t="array" ref="EJ19">INDEX($B$1:$W$193,MATCH(EJ$1,$B$1:$B$193,0),MATCH(1,($B$1:$W$1=$AB19)*($B$2:$W$2=$AC19),0))</f>
        <v>FALSE</v>
      </c>
      <c r="EK19" t="str" cm="1">
        <f t="array" ref="EK19">INDEX($B$1:$W$193,MATCH(EK$1,$B$1:$B$193,0),MATCH(1,($B$1:$W$1=$AB19)*($B$2:$W$2=$AC19),0))</f>
        <v>FALSE</v>
      </c>
      <c r="EL19" t="str" cm="1">
        <f t="array" ref="EL19">INDEX($B$1:$W$193,MATCH(EL$1,$B$1:$B$193,0),MATCH(1,($B$1:$W$1=$AB19)*($B$2:$W$2=$AC19),0))</f>
        <v>FALSE</v>
      </c>
      <c r="EM19" t="str" cm="1">
        <f t="array" ref="EM19">INDEX($B$1:$W$193,MATCH(EM$1,$B$1:$B$193,0),MATCH(1,($B$1:$W$1=$AB19)*($B$2:$W$2=$AC19),0))</f>
        <v>FALSE</v>
      </c>
      <c r="EN19" t="str" cm="1">
        <f t="array" ref="EN19">INDEX($B$1:$W$193,MATCH(EN$1,$B$1:$B$193,0),MATCH(1,($B$1:$W$1=$AB19)*($B$2:$W$2=$AC19),0))</f>
        <v>FALSE</v>
      </c>
      <c r="EO19" t="str" cm="1">
        <f t="array" ref="EO19">INDEX($B$1:$W$193,MATCH(EO$1,$B$1:$B$193,0),MATCH(1,($B$1:$W$1=$AB19)*($B$2:$W$2=$AC19),0))</f>
        <v>FALSE</v>
      </c>
      <c r="EP19" t="str" cm="1">
        <f t="array" ref="EP19">INDEX($B$1:$W$193,MATCH(EP$1,$B$1:$B$193,0),MATCH(1,($B$1:$W$1=$AB19)*($B$2:$W$2=$AC19),0))</f>
        <v>FALSE</v>
      </c>
      <c r="EQ19" t="str" cm="1">
        <f t="array" ref="EQ19">INDEX($B$1:$W$193,MATCH(EQ$1,$B$1:$B$193,0),MATCH(1,($B$1:$W$1=$AB19)*($B$2:$W$2=$AC19),0))</f>
        <v>FALSE</v>
      </c>
      <c r="ER19" t="str" cm="1">
        <f t="array" ref="ER19">INDEX($B$1:$W$193,MATCH(ER$1,$B$1:$B$193,0),MATCH(1,($B$1:$W$1=$AB19)*($B$2:$W$2=$AC19),0))</f>
        <v>FALSE</v>
      </c>
      <c r="ES19" t="str" cm="1">
        <f t="array" ref="ES19">INDEX($B$1:$W$193,MATCH(ES$1,$B$1:$B$193,0),MATCH(1,($B$1:$W$1=$AB19)*($B$2:$W$2=$AC19),0))</f>
        <v>FALSE</v>
      </c>
      <c r="ET19" t="str" cm="1">
        <f t="array" ref="ET19">INDEX($B$1:$W$193,MATCH(ET$1,$B$1:$B$193,0),MATCH(1,($B$1:$W$1=$AB19)*($B$2:$W$2=$AC19),0))</f>
        <v>FALSE</v>
      </c>
      <c r="EU19" t="str" cm="1">
        <f t="array" ref="EU19">INDEX($B$1:$W$193,MATCH(EU$1,$B$1:$B$193,0),MATCH(1,($B$1:$W$1=$AB19)*($B$2:$W$2=$AC19),0))</f>
        <v>FALSE</v>
      </c>
      <c r="EV19" t="str" cm="1">
        <f t="array" ref="EV19">INDEX($B$1:$W$193,MATCH(EV$1,$B$1:$B$193,0),MATCH(1,($B$1:$W$1=$AB19)*($B$2:$W$2=$AC19),0))</f>
        <v>FALSE</v>
      </c>
      <c r="EW19" t="str" cm="1">
        <f t="array" ref="EW19">INDEX($B$1:$W$193,MATCH(EW$1,$B$1:$B$193,0),MATCH(1,($B$1:$W$1=$AB19)*($B$2:$W$2=$AC19),0))</f>
        <v>FALSE</v>
      </c>
      <c r="EX19" t="str" cm="1">
        <f t="array" ref="EX19">INDEX($B$1:$W$193,MATCH(EX$1,$B$1:$B$193,0),MATCH(1,($B$1:$W$1=$AB19)*($B$2:$W$2=$AC19),0))</f>
        <v>FALSE</v>
      </c>
      <c r="EY19" t="str" cm="1">
        <f t="array" ref="EY19">INDEX($B$1:$W$193,MATCH(EY$1,$B$1:$B$193,0),MATCH(1,($B$1:$W$1=$AB19)*($B$2:$W$2=$AC19),0))</f>
        <v>FALSE</v>
      </c>
      <c r="EZ19" t="str" cm="1">
        <f t="array" ref="EZ19">INDEX($B$1:$W$193,MATCH(EZ$1,$B$1:$B$193,0),MATCH(1,($B$1:$W$1=$AB19)*($B$2:$W$2=$AC19),0))</f>
        <v>FALSE</v>
      </c>
      <c r="FA19" t="str" cm="1">
        <f t="array" ref="FA19">INDEX($B$1:$W$193,MATCH(FA$1,$B$1:$B$193,0),MATCH(1,($B$1:$W$1=$AB19)*($B$2:$W$2=$AC19),0))</f>
        <v>FALSE</v>
      </c>
      <c r="FB19" t="str" cm="1">
        <f t="array" ref="FB19">INDEX($B$1:$W$193,MATCH(FB$1,$B$1:$B$193,0),MATCH(1,($B$1:$W$1=$AB19)*($B$2:$W$2=$AC19),0))</f>
        <v>FALSE</v>
      </c>
      <c r="FC19" t="str" cm="1">
        <f t="array" ref="FC19">INDEX($B$1:$W$193,MATCH(FC$1,$B$1:$B$193,0),MATCH(1,($B$1:$W$1=$AB19)*($B$2:$W$2=$AC19),0))</f>
        <v>FALSE</v>
      </c>
      <c r="FD19" t="str" cm="1">
        <f t="array" ref="FD19">INDEX($B$1:$W$193,MATCH(FD$1,$B$1:$B$193,0),MATCH(1,($B$1:$W$1=$AB19)*($B$2:$W$2=$AC19),0))</f>
        <v>FALSE</v>
      </c>
      <c r="FE19" t="str" cm="1">
        <f t="array" ref="FE19">INDEX($B$1:$W$193,MATCH(FE$1,$B$1:$B$193,0),MATCH(1,($B$1:$W$1=$AB19)*($B$2:$W$2=$AC19),0))</f>
        <v>FALSE</v>
      </c>
      <c r="FF19" t="str" cm="1">
        <f t="array" ref="FF19">INDEX($B$1:$W$193,MATCH(FF$1,$B$1:$B$193,0),MATCH(1,($B$1:$W$1=$AB19)*($B$2:$W$2=$AC19),0))</f>
        <v>FALSE</v>
      </c>
      <c r="FG19" t="str" cm="1">
        <f t="array" ref="FG19">INDEX($B$1:$W$193,MATCH(FG$1,$B$1:$B$193,0),MATCH(1,($B$1:$W$1=$AB19)*($B$2:$W$2=$AC19),0))</f>
        <v>FALSE</v>
      </c>
      <c r="FH19" t="str" cm="1">
        <f t="array" ref="FH19">INDEX($B$1:$W$193,MATCH(FH$1,$B$1:$B$193,0),MATCH(1,($B$1:$W$1=$AB19)*($B$2:$W$2=$AC19),0))</f>
        <v>FALSE</v>
      </c>
      <c r="FI19" t="str" cm="1">
        <f t="array" ref="FI19">INDEX($B$1:$W$193,MATCH(FI$1,$B$1:$B$193,0),MATCH(1,($B$1:$W$1=$AB19)*($B$2:$W$2=$AC19),0))</f>
        <v>FALSE</v>
      </c>
      <c r="FJ19" t="str" cm="1">
        <f t="array" ref="FJ19">INDEX($B$1:$W$193,MATCH(FJ$1,$B$1:$B$193,0),MATCH(1,($B$1:$W$1=$AB19)*($B$2:$W$2=$AC19),0))</f>
        <v>FALSE</v>
      </c>
      <c r="FK19" t="str" cm="1">
        <f t="array" ref="FK19">INDEX($B$1:$W$193,MATCH(FK$1,$B$1:$B$193,0),MATCH(1,($B$1:$W$1=$AB19)*($B$2:$W$2=$AC19),0))</f>
        <v>FALSE</v>
      </c>
      <c r="FL19" t="str" cm="1">
        <f t="array" ref="FL19">INDEX($B$1:$W$193,MATCH(FL$1,$B$1:$B$193,0),MATCH(1,($B$1:$W$1=$AB19)*($B$2:$W$2=$AC19),0))</f>
        <v>FALSE</v>
      </c>
      <c r="FM19" t="str" cm="1">
        <f t="array" ref="FM19">INDEX($B$1:$W$193,MATCH(FM$1,$B$1:$B$193,0),MATCH(1,($B$1:$W$1=$AB19)*($B$2:$W$2=$AC19),0))</f>
        <v>FALSE</v>
      </c>
      <c r="FN19" t="str" cm="1">
        <f t="array" ref="FN19">INDEX($B$1:$W$193,MATCH(FN$1,$B$1:$B$193,0),MATCH(1,($B$1:$W$1=$AB19)*($B$2:$W$2=$AC19),0))</f>
        <v>FALSE</v>
      </c>
      <c r="FO19" t="str" cm="1">
        <f t="array" ref="FO19">INDEX($B$1:$W$193,MATCH(FO$1,$B$1:$B$193,0),MATCH(1,($B$1:$W$1=$AB19)*($B$2:$W$2=$AC19),0))</f>
        <v>FALSE</v>
      </c>
      <c r="FP19" t="str" cm="1">
        <f t="array" ref="FP19">INDEX($B$1:$W$193,MATCH(FP$1,$B$1:$B$193,0),MATCH(1,($B$1:$W$1=$AB19)*($B$2:$W$2=$AC19),0))</f>
        <v>FALSE</v>
      </c>
      <c r="FQ19" t="str" cm="1">
        <f t="array" ref="FQ19">INDEX($B$1:$W$193,MATCH(FQ$1,$B$1:$B$193,0),MATCH(1,($B$1:$W$1=$AB19)*($B$2:$W$2=$AC19),0))</f>
        <v>FALSE</v>
      </c>
      <c r="FR19" t="str" cm="1">
        <f t="array" ref="FR19">INDEX($B$1:$W$193,MATCH(FR$1,$B$1:$B$193,0),MATCH(1,($B$1:$W$1=$AB19)*($B$2:$W$2=$AC19),0))</f>
        <v>FALSE</v>
      </c>
      <c r="FS19" t="str" cm="1">
        <f t="array" ref="FS19">INDEX($B$1:$W$193,MATCH(FS$1,$B$1:$B$193,0),MATCH(1,($B$1:$W$1=$AB19)*($B$2:$W$2=$AC19),0))</f>
        <v>FALSE</v>
      </c>
      <c r="FT19" t="str" cm="1">
        <f t="array" ref="FT19">INDEX($B$1:$W$193,MATCH(FT$1,$B$1:$B$193,0),MATCH(1,($B$1:$W$1=$AB19)*($B$2:$W$2=$AC19),0))</f>
        <v>FALSE</v>
      </c>
      <c r="FU19" t="str" cm="1">
        <f t="array" ref="FU19">INDEX($B$1:$W$193,MATCH(FU$1,$B$1:$B$193,0),MATCH(1,($B$1:$W$1=$AB19)*($B$2:$W$2=$AC19),0))</f>
        <v>FALSE</v>
      </c>
      <c r="FV19" t="str" cm="1">
        <f t="array" ref="FV19">INDEX($B$1:$W$193,MATCH(FV$1,$B$1:$B$193,0),MATCH(1,($B$1:$W$1=$AB19)*($B$2:$W$2=$AC19),0))</f>
        <v>FALSE</v>
      </c>
      <c r="FW19" t="str" cm="1">
        <f t="array" ref="FW19">INDEX($B$1:$W$193,MATCH(FW$1,$B$1:$B$193,0),MATCH(1,($B$1:$W$1=$AB19)*($B$2:$W$2=$AC19),0))</f>
        <v>FALSE</v>
      </c>
      <c r="FX19" t="str" cm="1">
        <f t="array" ref="FX19">INDEX($B$1:$W$193,MATCH(FX$1,$B$1:$B$193,0),MATCH(1,($B$1:$W$1=$AB19)*($B$2:$W$2=$AC19),0))</f>
        <v>FALSE</v>
      </c>
      <c r="FY19" t="str" cm="1">
        <f t="array" ref="FY19">INDEX($B$1:$W$193,MATCH(FY$1,$B$1:$B$193,0),MATCH(1,($B$1:$W$1=$AB19)*($B$2:$W$2=$AC19),0))</f>
        <v>FALSE</v>
      </c>
      <c r="FZ19" t="str" cm="1">
        <f t="array" ref="FZ19">INDEX($B$1:$W$193,MATCH(FZ$1,$B$1:$B$193,0),MATCH(1,($B$1:$W$1=$AB19)*($B$2:$W$2=$AC19),0))</f>
        <v>FALSE</v>
      </c>
      <c r="GA19" t="str" cm="1">
        <f t="array" ref="GA19">INDEX($B$1:$W$193,MATCH(GA$1,$B$1:$B$193,0),MATCH(1,($B$1:$W$1=$AB19)*($B$2:$W$2=$AC19),0))</f>
        <v>FALSE</v>
      </c>
      <c r="GB19" t="str" cm="1">
        <f t="array" ref="GB19">INDEX($B$1:$W$193,MATCH(GB$1,$B$1:$B$193,0),MATCH(1,($B$1:$W$1=$AB19)*($B$2:$W$2=$AC19),0))</f>
        <v>FALSE</v>
      </c>
      <c r="GC19" t="str" cm="1">
        <f t="array" ref="GC19">INDEX($B$1:$W$193,MATCH(GC$1,$B$1:$B$193,0),MATCH(1,($B$1:$W$1=$AB19)*($B$2:$W$2=$AC19),0))</f>
        <v>FALSE</v>
      </c>
      <c r="GD19" t="str" cm="1">
        <f t="array" ref="GD19">INDEX($B$1:$W$193,MATCH(GD$1,$B$1:$B$193,0),MATCH(1,($B$1:$W$1=$AB19)*($B$2:$W$2=$AC19),0))</f>
        <v>FALSE</v>
      </c>
      <c r="GE19" t="str" cm="1">
        <f t="array" ref="GE19">INDEX($B$1:$W$193,MATCH(GE$1,$B$1:$B$193,0),MATCH(1,($B$1:$W$1=$AB19)*($B$2:$W$2=$AC19),0))</f>
        <v>FALSE</v>
      </c>
      <c r="GF19" t="str" cm="1">
        <f t="array" ref="GF19">INDEX($B$1:$W$193,MATCH(GF$1,$B$1:$B$193,0),MATCH(1,($B$1:$W$1=$AB19)*($B$2:$W$2=$AC19),0))</f>
        <v>FALSE</v>
      </c>
      <c r="GG19" t="str" cm="1">
        <f t="array" ref="GG19">INDEX($B$1:$W$193,MATCH(GG$1,$B$1:$B$193,0),MATCH(1,($B$1:$W$1=$AB19)*($B$2:$W$2=$AC19),0))</f>
        <v>FALSE</v>
      </c>
      <c r="GH19" t="str" cm="1">
        <f t="array" ref="GH19">INDEX($B$1:$W$193,MATCH(GH$1,$B$1:$B$193,0),MATCH(1,($B$1:$W$1=$AB19)*($B$2:$W$2=$AC19),0))</f>
        <v>FALSE</v>
      </c>
      <c r="GI19" t="str" cm="1">
        <f t="array" ref="GI19">INDEX($B$1:$W$193,MATCH(GI$1,$B$1:$B$193,0),MATCH(1,($B$1:$W$1=$AB19)*($B$2:$W$2=$AC19),0))</f>
        <v>FALSE</v>
      </c>
      <c r="GJ19" t="str" cm="1">
        <f t="array" ref="GJ19">INDEX($B$1:$W$193,MATCH(GJ$1,$B$1:$B$193,0),MATCH(1,($B$1:$W$1=$AB19)*($B$2:$W$2=$AC19),0))</f>
        <v>FALSE</v>
      </c>
      <c r="GK19" t="str" cm="1">
        <f t="array" ref="GK19">INDEX($B$1:$W$193,MATCH(GK$1,$B$1:$B$193,0),MATCH(1,($B$1:$W$1=$AB19)*($B$2:$W$2=$AC19),0))</f>
        <v>FALSE</v>
      </c>
      <c r="GL19" t="str" cm="1">
        <f t="array" ref="GL19">INDEX($B$1:$W$193,MATCH(GL$1,$B$1:$B$193,0),MATCH(1,($B$1:$W$1=$AB19)*($B$2:$W$2=$AC19),0))</f>
        <v>FALSE</v>
      </c>
      <c r="GM19" t="str" cm="1">
        <f t="array" ref="GM19">INDEX($B$1:$W$193,MATCH(GM$1,$B$1:$B$193,0),MATCH(1,($B$1:$W$1=$AB19)*($B$2:$W$2=$AC19),0))</f>
        <v>FALSE</v>
      </c>
      <c r="GN19" t="str" cm="1">
        <f t="array" ref="GN19">INDEX($B$1:$W$193,MATCH(GN$1,$B$1:$B$193,0),MATCH(1,($B$1:$W$1=$AB19)*($B$2:$W$2=$AC19),0))</f>
        <v>FALSE</v>
      </c>
      <c r="GO19" t="str" cm="1">
        <f t="array" ref="GO19">INDEX($B$1:$W$193,MATCH(GO$1,$B$1:$B$193,0),MATCH(1,($B$1:$W$1=$AB19)*($B$2:$W$2=$AC19),0))</f>
        <v>FALSE</v>
      </c>
      <c r="GP19" t="str" cm="1">
        <f t="array" ref="GP19">INDEX($B$1:$W$193,MATCH(GP$1,$B$1:$B$193,0),MATCH(1,($B$1:$W$1=$AB19)*($B$2:$W$2=$AC19),0))</f>
        <v>FALSE</v>
      </c>
      <c r="GQ19" t="str" cm="1">
        <f t="array" ref="GQ19">INDEX($B$1:$W$193,MATCH(GQ$1,$B$1:$B$193,0),MATCH(1,($B$1:$W$1=$AB19)*($B$2:$W$2=$AC19),0))</f>
        <v>FALSE</v>
      </c>
      <c r="GR19" t="str" cm="1">
        <f t="array" ref="GR19">INDEX($B$1:$W$193,MATCH(GR$1,$B$1:$B$193,0),MATCH(1,($B$1:$W$1=$AB19)*($B$2:$W$2=$AC19),0))</f>
        <v>FALSE</v>
      </c>
      <c r="GS19" t="str" cm="1">
        <f t="array" ref="GS19">INDEX($B$1:$W$193,MATCH(GS$1,$B$1:$B$193,0),MATCH(1,($B$1:$W$1=$AB19)*($B$2:$W$2=$AC19),0))</f>
        <v>FALSE</v>
      </c>
      <c r="GT19" t="str" cm="1">
        <f t="array" ref="GT19">INDEX($B$1:$W$193,MATCH(GT$1,$B$1:$B$193,0),MATCH(1,($B$1:$W$1=$AB19)*($B$2:$W$2=$AC19),0))</f>
        <v>FALSE</v>
      </c>
      <c r="GU19" t="str" cm="1">
        <f t="array" ref="GU19">INDEX($B$1:$W$193,MATCH(GU$1,$B$1:$B$193,0),MATCH(1,($B$1:$W$1=$AB19)*($B$2:$W$2=$AC19),0))</f>
        <v>FALSE</v>
      </c>
      <c r="GV19" t="str" cm="1">
        <f t="array" ref="GV19">INDEX($B$1:$W$193,MATCH(GV$1,$B$1:$B$193,0),MATCH(1,($B$1:$W$1=$AB19)*($B$2:$W$2=$AC19),0))</f>
        <v>FALSE</v>
      </c>
      <c r="GW19" t="str" cm="1">
        <f t="array" ref="GW19">INDEX($B$1:$W$193,MATCH(GW$1,$B$1:$B$193,0),MATCH(1,($B$1:$W$1=$AB19)*($B$2:$W$2=$AC19),0))</f>
        <v>FALSE</v>
      </c>
      <c r="GX19" t="str" cm="1">
        <f t="array" ref="GX19">INDEX($B$1:$W$193,MATCH(GX$1,$B$1:$B$193,0),MATCH(1,($B$1:$W$1=$AB19)*($B$2:$W$2=$AC19),0))</f>
        <v>FALSE</v>
      </c>
      <c r="GY19" t="str" cm="1">
        <f t="array" ref="GY19">INDEX($B$1:$W$193,MATCH(GY$1,$B$1:$B$193,0),MATCH(1,($B$1:$W$1=$AB19)*($B$2:$W$2=$AC19),0))</f>
        <v>FALSE</v>
      </c>
      <c r="GZ19" t="str" cm="1">
        <f t="array" ref="GZ19">INDEX($B$1:$W$193,MATCH(GZ$1,$B$1:$B$193,0),MATCH(1,($B$1:$W$1=$AB19)*($B$2:$W$2=$AC19),0))</f>
        <v>FALSE</v>
      </c>
      <c r="HA19" t="str" cm="1">
        <f t="array" ref="HA19">INDEX($B$1:$W$193,MATCH(HA$1,$B$1:$B$193,0),MATCH(1,($B$1:$W$1=$AB19)*($B$2:$W$2=$AC19),0))</f>
        <v>FALSE</v>
      </c>
      <c r="HB19" t="str" cm="1">
        <f t="array" ref="HB19">INDEX($B$1:$W$193,MATCH(HB$1,$B$1:$B$193,0),MATCH(1,($B$1:$W$1=$AB19)*($B$2:$W$2=$AC19),0))</f>
        <v>FALSE</v>
      </c>
      <c r="HC19" t="str" cm="1">
        <f t="array" ref="HC19">INDEX($B$1:$W$193,MATCH(HC$1,$B$1:$B$193,0),MATCH(1,($B$1:$W$1=$AB19)*($B$2:$W$2=$AC19),0))</f>
        <v>FALSE</v>
      </c>
      <c r="HD19" t="str" cm="1">
        <f t="array" ref="HD19">INDEX($B$1:$W$193,MATCH(HD$1,$B$1:$B$193,0),MATCH(1,($B$1:$W$1=$AB19)*($B$2:$W$2=$AC19),0))</f>
        <v>FALSE</v>
      </c>
      <c r="HE19" t="str" cm="1">
        <f t="array" ref="HE19">INDEX($B$1:$W$193,MATCH(HE$1,$B$1:$B$193,0),MATCH(1,($B$1:$W$1=$AB19)*($B$2:$W$2=$AC19),0))</f>
        <v>FALSE</v>
      </c>
      <c r="HF19" t="str" cm="1">
        <f t="array" ref="HF19">INDEX($B$1:$W$193,MATCH(HF$1,$B$1:$B$193,0),MATCH(1,($B$1:$W$1=$AB19)*($B$2:$W$2=$AC19),0))</f>
        <v>FALSE</v>
      </c>
      <c r="HG19" t="str" cm="1">
        <f t="array" ref="HG19">INDEX($B$1:$W$193,MATCH(HG$1,$B$1:$B$193,0),MATCH(1,($B$1:$W$1=$AB19)*($B$2:$W$2=$AC19),0))</f>
        <v>FALSE</v>
      </c>
      <c r="HH19" t="str" cm="1">
        <f t="array" ref="HH19">INDEX($B$1:$W$193,MATCH(HH$1,$B$1:$B$193,0),MATCH(1,($B$1:$W$1=$AB19)*($B$2:$W$2=$AC19),0))</f>
        <v>FALSE</v>
      </c>
      <c r="HI19" t="str" cm="1">
        <f t="array" ref="HI19">INDEX($B$1:$W$193,MATCH(HI$1,$B$1:$B$193,0),MATCH(1,($B$1:$W$1=$AB19)*($B$2:$W$2=$AC19),0))</f>
        <v>FALSE</v>
      </c>
      <c r="HJ19" t="str" cm="1">
        <f t="array" ref="HJ19">INDEX($B$1:$W$193,MATCH(HJ$1,$B$1:$B$193,0),MATCH(1,($B$1:$W$1=$AB19)*($B$2:$W$2=$AC19),0))</f>
        <v>FALSE</v>
      </c>
      <c r="HK19" t="str" cm="1">
        <f t="array" ref="HK19">INDEX($B$1:$W$193,MATCH(HK$1,$B$1:$B$193,0),MATCH(1,($B$1:$W$1=$AB19)*($B$2:$W$2=$AC19),0))</f>
        <v>FALSE</v>
      </c>
      <c r="HL19" t="str" cm="1">
        <f t="array" ref="HL19">INDEX($B$1:$W$193,MATCH(HL$1,$B$1:$B$193,0),MATCH(1,($B$1:$W$1=$AB19)*($B$2:$W$2=$AC19),0))</f>
        <v>FALSE</v>
      </c>
      <c r="HM19" t="str" cm="1">
        <f t="array" ref="HM19">INDEX($B$1:$W$193,MATCH(HM$1,$B$1:$B$193,0),MATCH(1,($B$1:$W$1=$AB19)*($B$2:$W$2=$AC19),0))</f>
        <v>FALSE</v>
      </c>
      <c r="HN19" t="str" cm="1">
        <f t="array" ref="HN19">INDEX($B$1:$W$193,MATCH(HN$1,$B$1:$B$193,0),MATCH(1,($B$1:$W$1=$AB19)*($B$2:$W$2=$AC19),0))</f>
        <v>FALSE</v>
      </c>
      <c r="HO19" t="str" cm="1">
        <f t="array" ref="HO19">INDEX($B$1:$W$193,MATCH(HO$1,$B$1:$B$193,0),MATCH(1,($B$1:$W$1=$AB19)*($B$2:$W$2=$AC19),0))</f>
        <v>FALSE</v>
      </c>
      <c r="HP19" t="str" cm="1">
        <f t="array" ref="HP19">INDEX($B$1:$W$193,MATCH(HP$1,$B$1:$B$193,0),MATCH(1,($B$1:$W$1=$AB19)*($B$2:$W$2=$AC19),0))</f>
        <v>FALSE</v>
      </c>
      <c r="HQ19" t="str" cm="1">
        <f t="array" ref="HQ19">INDEX($B$1:$W$193,MATCH(HQ$1,$B$1:$B$193,0),MATCH(1,($B$1:$W$1=$AB19)*($B$2:$W$2=$AC19),0))</f>
        <v>FALSE</v>
      </c>
      <c r="HR19" t="str" cm="1">
        <f t="array" ref="HR19">INDEX($B$1:$W$193,MATCH(HR$1,$B$1:$B$193,0),MATCH(1,($B$1:$W$1=$AB19)*($B$2:$W$2=$AC19),0))</f>
        <v>FALSE</v>
      </c>
      <c r="HS19" t="str" cm="1">
        <f t="array" ref="HS19">INDEX($B$1:$W$193,MATCH(HS$1,$B$1:$B$193,0),MATCH(1,($B$1:$W$1=$AB19)*($B$2:$W$2=$AC19),0))</f>
        <v>FALSE</v>
      </c>
      <c r="HT19" t="str" cm="1">
        <f t="array" ref="HT19">INDEX($B$1:$W$193,MATCH(HT$1,$B$1:$B$193,0),MATCH(1,($B$1:$W$1=$AB19)*($B$2:$W$2=$AC19),0))</f>
        <v>FALSE</v>
      </c>
      <c r="HU19" t="str" cm="1">
        <f t="array" ref="HU19">INDEX($B$1:$W$193,MATCH(HU$1,$B$1:$B$193,0),MATCH(1,($B$1:$W$1=$AB19)*($B$2:$W$2=$AC19),0))</f>
        <v>FALSE</v>
      </c>
      <c r="HV19" t="str" cm="1">
        <f t="array" ref="HV19">INDEX($B$1:$W$193,MATCH(HV$1,$B$1:$B$193,0),MATCH(1,($B$1:$W$1=$AB19)*($B$2:$W$2=$AC19),0))</f>
        <v>FALSE</v>
      </c>
      <c r="HW19" t="str" cm="1">
        <f t="array" ref="HW19">INDEX($B$1:$W$193,MATCH(HW$1,$B$1:$B$193,0),MATCH(1,($B$1:$W$1=$AB19)*($B$2:$W$2=$AC19),0))</f>
        <v>FALSE</v>
      </c>
      <c r="HX19" t="str" cm="1">
        <f t="array" ref="HX19">INDEX($B$1:$W$193,MATCH(HX$1,$B$1:$B$193,0),MATCH(1,($B$1:$W$1=$AB19)*($B$2:$W$2=$AC19),0))</f>
        <v>FALSE</v>
      </c>
      <c r="HY19" t="str" cm="1">
        <f t="array" ref="HY19">INDEX($B$1:$W$193,MATCH(HY$1,$B$1:$B$193,0),MATCH(1,($B$1:$W$1=$AB19)*($B$2:$W$2=$AC19),0))</f>
        <v>FALSE</v>
      </c>
      <c r="HZ19" t="str" cm="1">
        <f t="array" ref="HZ19">INDEX($B$1:$W$193,MATCH(HZ$1,$B$1:$B$193,0),MATCH(1,($B$1:$W$1=$AB19)*($B$2:$W$2=$AC19),0))</f>
        <v>FALSE</v>
      </c>
      <c r="IA19" t="str" cm="1">
        <f t="array" ref="IA19">INDEX($B$1:$W$193,MATCH(IA$1,$B$1:$B$193,0),MATCH(1,($B$1:$W$1=$AB19)*($B$2:$W$2=$AC19),0))</f>
        <v>FALSE</v>
      </c>
      <c r="IB19" t="str" cm="1">
        <f t="array" ref="IB19">INDEX($B$1:$W$193,MATCH(IB$1,$B$1:$B$193,0),MATCH(1,($B$1:$W$1=$AB19)*($B$2:$W$2=$AC19),0))</f>
        <v>FALSE</v>
      </c>
      <c r="IC19" t="str" cm="1">
        <f t="array" ref="IC19">INDEX($B$1:$W$193,MATCH(IC$1,$B$1:$B$193,0),MATCH(1,($B$1:$W$1=$AB19)*($B$2:$W$2=$AC19),0))</f>
        <v>FALSE</v>
      </c>
      <c r="ID19" t="str" cm="1">
        <f t="array" ref="ID19">INDEX($B$1:$W$193,MATCH(ID$1,$B$1:$B$193,0),MATCH(1,($B$1:$W$1=$AB19)*($B$2:$W$2=$AC19),0))</f>
        <v>FALSE</v>
      </c>
      <c r="IE19" t="str" cm="1">
        <f t="array" ref="IE19">INDEX($B$1:$W$193,MATCH(IE$1,$B$1:$B$193,0),MATCH(1,($B$1:$W$1=$AB19)*($B$2:$W$2=$AC19),0))</f>
        <v>FALSE</v>
      </c>
      <c r="IF19" t="str" cm="1">
        <f t="array" ref="IF19">INDEX($B$1:$W$193,MATCH(IF$1,$B$1:$B$193,0),MATCH(1,($B$1:$W$1=$AB19)*($B$2:$W$2=$AC19),0))</f>
        <v>FALSE</v>
      </c>
      <c r="IG19" t="str" cm="1">
        <f t="array" ref="IG19">INDEX($B$1:$W$193,MATCH(IG$1,$B$1:$B$193,0),MATCH(1,($B$1:$W$1=$AB19)*($B$2:$W$2=$AC19),0))</f>
        <v>FALSE</v>
      </c>
      <c r="IH19" t="str" cm="1">
        <f t="array" ref="IH19">INDEX($B$1:$W$193,MATCH(IH$1,$B$1:$B$193,0),MATCH(1,($B$1:$W$1=$AB19)*($B$2:$W$2=$AC19),0))</f>
        <v>FALSE</v>
      </c>
      <c r="II19" t="str" cm="1">
        <f t="array" ref="II19">INDEX($B$1:$W$193,MATCH(II$1,$B$1:$B$193,0),MATCH(1,($B$1:$W$1=$AB19)*($B$2:$W$2=$AC19),0))</f>
        <v>FALSE</v>
      </c>
      <c r="IJ19" t="str" cm="1">
        <f t="array" ref="IJ19">INDEX($B$1:$W$193,MATCH(IJ$1,$B$1:$B$193,0),MATCH(1,($B$1:$W$1=$AB19)*($B$2:$W$2=$AC19),0))</f>
        <v>FALSE</v>
      </c>
      <c r="IK19" t="str" cm="1">
        <f t="array" ref="IK19">INDEX($B$1:$W$193,MATCH(IK$1,$B$1:$B$193,0),MATCH(1,($B$1:$W$1=$AB19)*($B$2:$W$2=$AC19),0))</f>
        <v>FALSE</v>
      </c>
      <c r="IL19" t="str" cm="1">
        <f t="array" ref="IL19">INDEX($B$1:$W$193,MATCH(IL$1,$B$1:$B$193,0),MATCH(1,($B$1:$W$1=$AB19)*($B$2:$W$2=$AC19),0))</f>
        <v>FALSE</v>
      </c>
      <c r="IM19" t="str" cm="1">
        <f t="array" ref="IM19">INDEX($B$1:$W$193,MATCH(IM$1,$B$1:$B$193,0),MATCH(1,($B$1:$W$1=$AB19)*($B$2:$W$2=$AC19),0))</f>
        <v>FALSE</v>
      </c>
      <c r="IN19" t="str" cm="1">
        <f t="array" ref="IN19">INDEX($B$1:$W$193,MATCH(IN$1,$B$1:$B$193,0),MATCH(1,($B$1:$W$1=$AB19)*($B$2:$W$2=$AC19),0))</f>
        <v>FALSE</v>
      </c>
      <c r="IO19" t="str" cm="1">
        <f t="array" ref="IO19">INDEX($B$1:$W$193,MATCH(IO$1,$B$1:$B$193,0),MATCH(1,($B$1:$W$1=$AB19)*($B$2:$W$2=$AC19),0))</f>
        <v>FALSE</v>
      </c>
      <c r="IP19" t="str" cm="1">
        <f t="array" ref="IP19">INDEX($B$1:$W$193,MATCH(IP$1,$B$1:$B$193,0),MATCH(1,($B$1:$W$1=$AB19)*($B$2:$W$2=$AC19),0))</f>
        <v>FALSE</v>
      </c>
      <c r="IQ19" t="str" cm="1">
        <f t="array" ref="IQ19">INDEX($B$1:$W$193,MATCH(IQ$1,$B$1:$B$193,0),MATCH(1,($B$1:$W$1=$AB19)*($B$2:$W$2=$AC19),0))</f>
        <v>FALSE</v>
      </c>
      <c r="IR19" t="str" cm="1">
        <f t="array" ref="IR19">INDEX($B$1:$W$193,MATCH(IR$1,$B$1:$B$193,0),MATCH(1,($B$1:$W$1=$AB19)*($B$2:$W$2=$AC19),0))</f>
        <v>FALSE</v>
      </c>
      <c r="IS19" t="str" cm="1">
        <f t="array" ref="IS19">INDEX($B$1:$W$193,MATCH(IS$1,$B$1:$B$193,0),MATCH(1,($B$1:$W$1=$AB19)*($B$2:$W$2=$AC19),0))</f>
        <v>FALSE</v>
      </c>
      <c r="IT19" t="str" cm="1">
        <f t="array" ref="IT19">INDEX($B$1:$W$193,MATCH(IT$1,$B$1:$B$193,0),MATCH(1,($B$1:$W$1=$AB19)*($B$2:$W$2=$AC19),0))</f>
        <v>FALSE</v>
      </c>
      <c r="IU19" t="str" cm="1">
        <f t="array" ref="IU19">INDEX($B$1:$W$193,MATCH(IU$1,$B$1:$B$193,0),MATCH(1,($B$1:$W$1=$AB19)*($B$2:$W$2=$AC19),0))</f>
        <v>FALSE</v>
      </c>
      <c r="IV19" t="str" cm="1">
        <f t="array" ref="IV19">INDEX($B$1:$W$193,MATCH(IV$1,$B$1:$B$193,0),MATCH(1,($B$1:$W$1=$AB19)*($B$2:$W$2=$AC19),0))</f>
        <v>FALSE</v>
      </c>
      <c r="IW19" t="str" cm="1">
        <f t="array" ref="IW19">INDEX($B$1:$W$193,MATCH(IW$1,$B$1:$B$193,0),MATCH(1,($B$1:$W$1=$AB19)*($B$2:$W$2=$AC19),0))</f>
        <v>FALSE</v>
      </c>
      <c r="IX19" t="str" cm="1">
        <f t="array" ref="IX19">INDEX($B$1:$W$193,MATCH(IX$1,$B$1:$B$193,0),MATCH(1,($B$1:$W$1=$AB19)*($B$2:$W$2=$AC19),0))</f>
        <v>FALSE</v>
      </c>
      <c r="IY19" t="str" cm="1">
        <f t="array" ref="IY19">INDEX($B$1:$W$193,MATCH(IY$1,$B$1:$B$193,0),MATCH(1,($B$1:$W$1=$AB19)*($B$2:$W$2=$AC19),0))</f>
        <v>FALSE</v>
      </c>
      <c r="IZ19" t="str" cm="1">
        <f t="array" ref="IZ19">INDEX($B$1:$W$193,MATCH(IZ$1,$B$1:$B$193,0),MATCH(1,($B$1:$W$1=$AB19)*($B$2:$W$2=$AC19),0))</f>
        <v>FALSE</v>
      </c>
      <c r="JA19" t="str" cm="1">
        <f t="array" ref="JA19">INDEX($B$1:$W$193,MATCH(JA$1,$B$1:$B$193,0),MATCH(1,($B$1:$W$1=$AB19)*($B$2:$W$2=$AC19),0))</f>
        <v>FALSE</v>
      </c>
      <c r="JB19" t="str" cm="1">
        <f t="array" ref="JB19">INDEX($B$1:$W$193,MATCH(JB$1,$B$1:$B$193,0),MATCH(1,($B$1:$W$1=$AB19)*($B$2:$W$2=$AC19),0))</f>
        <v>FALSE</v>
      </c>
      <c r="JC19" t="str" cm="1">
        <f t="array" ref="JC19">INDEX($B$1:$W$193,MATCH(JC$1,$B$1:$B$193,0),MATCH(1,($B$1:$W$1=$AB19)*($B$2:$W$2=$AC19),0))</f>
        <v>FALSE</v>
      </c>
      <c r="JD19" t="str" cm="1">
        <f t="array" ref="JD19">INDEX($B$1:$W$193,MATCH(JD$1,$B$1:$B$193,0),MATCH(1,($B$1:$W$1=$AB19)*($B$2:$W$2=$AC19),0))</f>
        <v>FALSE</v>
      </c>
      <c r="JE19" t="str" cm="1">
        <f t="array" ref="JE19">INDEX($B$1:$W$193,MATCH(JE$1,$B$1:$B$193,0),MATCH(1,($B$1:$W$1=$AB19)*($B$2:$W$2=$AC19),0))</f>
        <v>FALSE</v>
      </c>
      <c r="JF19" t="str" cm="1">
        <f t="array" ref="JF19">INDEX($B$1:$W$193,MATCH(JF$1,$B$1:$B$193,0),MATCH(1,($B$1:$W$1=$AB19)*($B$2:$W$2=$AC19),0))</f>
        <v>FALSE</v>
      </c>
      <c r="JG19" t="str" cm="1">
        <f t="array" ref="JG19">INDEX($B$1:$W$193,MATCH(JG$1,$B$1:$B$193,0),MATCH(1,($B$1:$W$1=$AB19)*($B$2:$W$2=$AC19),0))</f>
        <v>FALSE</v>
      </c>
      <c r="JH19" t="str" cm="1">
        <f t="array" ref="JH19">INDEX($B$1:$W$193,MATCH(JH$1,$B$1:$B$193,0),MATCH(1,($B$1:$W$1=$AB19)*($B$2:$W$2=$AC19),0))</f>
        <v>FALSE</v>
      </c>
    </row>
    <row r="20" spans="1:268" x14ac:dyDescent="0.25">
      <c r="A20" t="s">
        <v>164</v>
      </c>
      <c r="B20" s="51">
        <v>27</v>
      </c>
      <c r="C20">
        <v>2</v>
      </c>
      <c r="D20">
        <v>3</v>
      </c>
      <c r="E20" t="b">
        <f t="shared" si="1"/>
        <v>1</v>
      </c>
      <c r="F20" t="b">
        <f t="shared" si="1"/>
        <v>1</v>
      </c>
      <c r="G20" t="b">
        <f t="shared" si="1"/>
        <v>1</v>
      </c>
      <c r="H20" t="b">
        <f t="shared" si="1"/>
        <v>0</v>
      </c>
      <c r="I20" t="b">
        <f t="shared" si="1"/>
        <v>0</v>
      </c>
      <c r="J20" t="b">
        <f t="shared" si="1"/>
        <v>0</v>
      </c>
      <c r="K20" t="b">
        <f t="shared" si="1"/>
        <v>1</v>
      </c>
      <c r="L20" t="b">
        <f t="shared" si="1"/>
        <v>1</v>
      </c>
      <c r="M20" t="b">
        <f t="shared" si="1"/>
        <v>1</v>
      </c>
      <c r="N20" t="b">
        <f t="shared" si="1"/>
        <v>0</v>
      </c>
      <c r="O20" t="b">
        <f t="shared" si="1"/>
        <v>0</v>
      </c>
      <c r="P20" t="b">
        <f t="shared" si="1"/>
        <v>0</v>
      </c>
      <c r="Q20" t="b">
        <v>1</v>
      </c>
      <c r="R20" t="b" cm="1">
        <f t="array" ref="R20">_xlfn.IFS(C20=1,FALSE,OR(C20=2,C20&gt;2),TRUE)</f>
        <v>1</v>
      </c>
      <c r="S20" t="b" cm="1">
        <f t="array" ref="S20">_xlfn.IFS(OR(C20=1,C20=2),FALSE,OR(C20=3,C20&gt;3),TRUE)</f>
        <v>0</v>
      </c>
      <c r="T20" t="str">
        <f t="shared" si="2"/>
        <v>TRUE</v>
      </c>
      <c r="U20" t="str">
        <f t="shared" si="3"/>
        <v>FALSE</v>
      </c>
      <c r="V20" t="str">
        <f t="shared" si="4"/>
        <v>FALSE</v>
      </c>
      <c r="W20" t="b" cm="1">
        <f t="array" ref="W20">_xlfn.IFS(H20=1,FALSE,OR(H20=2,H20&gt;2),TRUE)</f>
        <v>1</v>
      </c>
      <c r="X20" t="b" cm="1">
        <f t="array" ref="X20">_xlfn.IFS(H20=1,FALSE,OR(H20=2,H20&gt;2),TRUE)</f>
        <v>1</v>
      </c>
      <c r="Y20" t="b" cm="1">
        <f t="array" ref="Y20">_xlfn.IFS(H20=1,FALSE,OR(H20=2,H20&gt;2),TRUE)</f>
        <v>1</v>
      </c>
      <c r="AB20" t="s">
        <v>0</v>
      </c>
      <c r="AC20" t="s">
        <v>147</v>
      </c>
      <c r="AD20" t="b" cm="1">
        <f t="array" ref="AD20">INDEX($B$1:$W$193,MATCH(AD$1,$B$1:$B$193,0),MATCH(1,($B$1:$W$1=$AB20)*($B$2:$W$2=$AC20),0))</f>
        <v>1</v>
      </c>
      <c r="AE20" t="b" cm="1">
        <f t="array" ref="AE20">INDEX($B$1:$W$193,MATCH(AE$1,$B$1:$B$193,0),MATCH(1,($B$1:$W$1=$AB20)*($B$2:$W$2=$AC20),0))</f>
        <v>1</v>
      </c>
      <c r="AF20" t="b" cm="1">
        <f t="array" ref="AF20">INDEX($B$1:$W$193,MATCH(AF$1,$B$1:$B$193,0),MATCH(1,($B$1:$W$1=$AB20)*($B$2:$W$2=$AC20),0))</f>
        <v>1</v>
      </c>
      <c r="AG20" t="b" cm="1">
        <f t="array" ref="AG20">INDEX($B$1:$W$193,MATCH(AG$1,$B$1:$B$193,0),MATCH(1,($B$1:$W$1=$AB20)*($B$2:$W$2=$AC20),0))</f>
        <v>1</v>
      </c>
      <c r="AH20" t="b" cm="1">
        <f t="array" ref="AH20">INDEX($B$1:$W$193,MATCH(AH$1,$B$1:$B$193,0),MATCH(1,($B$1:$W$1=$AB20)*($B$2:$W$2=$AC20),0))</f>
        <v>1</v>
      </c>
      <c r="AI20" t="b" cm="1">
        <f t="array" ref="AI20">INDEX($B$1:$W$193,MATCH(AI$1,$B$1:$B$193,0),MATCH(1,($B$1:$W$1=$AB20)*($B$2:$W$2=$AC20),0))</f>
        <v>1</v>
      </c>
      <c r="AJ20" t="b" cm="1">
        <f t="array" ref="AJ20">INDEX($B$1:$W$193,MATCH(AJ$1,$B$1:$B$193,0),MATCH(1,($B$1:$W$1=$AB20)*($B$2:$W$2=$AC20),0))</f>
        <v>1</v>
      </c>
      <c r="AK20" t="b" cm="1">
        <f t="array" ref="AK20">INDEX($B$1:$W$193,MATCH(AK$1,$B$1:$B$193,0),MATCH(1,($B$1:$W$1=$AB20)*($B$2:$W$2=$AC20),0))</f>
        <v>1</v>
      </c>
      <c r="AL20" t="b" cm="1">
        <f t="array" ref="AL20">INDEX($B$1:$W$193,MATCH(AL$1,$B$1:$B$193,0),MATCH(1,($B$1:$W$1=$AB20)*($B$2:$W$2=$AC20),0))</f>
        <v>1</v>
      </c>
      <c r="AM20" t="b" cm="1">
        <f t="array" ref="AM20">INDEX($B$1:$W$193,MATCH(AM$1,$B$1:$B$193,0),MATCH(1,($B$1:$W$1=$AB20)*($B$2:$W$2=$AC20),0))</f>
        <v>1</v>
      </c>
      <c r="AN20" t="b" cm="1">
        <f t="array" ref="AN20">INDEX($B$1:$W$193,MATCH(AN$1,$B$1:$B$193,0),MATCH(1,($B$1:$W$1=$AB20)*($B$2:$W$2=$AC20),0))</f>
        <v>1</v>
      </c>
      <c r="AO20" t="b" cm="1">
        <f t="array" ref="AO20">INDEX($B$1:$W$193,MATCH(AO$1,$B$1:$B$193,0),MATCH(1,($B$1:$W$1=$AB20)*($B$2:$W$2=$AC20),0))</f>
        <v>1</v>
      </c>
      <c r="AP20" t="b" cm="1">
        <f t="array" ref="AP20">INDEX($B$1:$W$193,MATCH(AP$1,$B$1:$B$193,0),MATCH(1,($B$1:$W$1=$AB20)*($B$2:$W$2=$AC20),0))</f>
        <v>1</v>
      </c>
      <c r="AQ20" t="b" cm="1">
        <f t="array" ref="AQ20">INDEX($B$1:$W$193,MATCH(AQ$1,$B$1:$B$193,0),MATCH(1,($B$1:$W$1=$AB20)*($B$2:$W$2=$AC20),0))</f>
        <v>1</v>
      </c>
      <c r="AR20" t="b" cm="1">
        <f t="array" ref="AR20">INDEX($B$1:$W$193,MATCH(AR$1,$B$1:$B$193,0),MATCH(1,($B$1:$W$1=$AB20)*($B$2:$W$2=$AC20),0))</f>
        <v>1</v>
      </c>
      <c r="AS20" t="b" cm="1">
        <f t="array" ref="AS20">INDEX($B$1:$W$193,MATCH(AS$1,$B$1:$B$193,0),MATCH(1,($B$1:$W$1=$AB20)*($B$2:$W$2=$AC20),0))</f>
        <v>1</v>
      </c>
      <c r="AT20" t="b" cm="1">
        <f t="array" ref="AT20">INDEX($B$1:$W$193,MATCH(AT$1,$B$1:$B$193,0),MATCH(1,($B$1:$W$1=$AB20)*($B$2:$W$2=$AC20),0))</f>
        <v>1</v>
      </c>
      <c r="AU20" t="b" cm="1">
        <f t="array" ref="AU20">INDEX($B$1:$W$193,MATCH(AU$1,$B$1:$B$193,0),MATCH(1,($B$1:$W$1=$AB20)*($B$2:$W$2=$AC20),0))</f>
        <v>1</v>
      </c>
      <c r="AV20" t="b" cm="1">
        <f t="array" ref="AV20">INDEX($B$1:$W$193,MATCH(AV$1,$B$1:$B$193,0),MATCH(1,($B$1:$W$1=$AB20)*($B$2:$W$2=$AC20),0))</f>
        <v>1</v>
      </c>
      <c r="AW20" t="b" cm="1">
        <f t="array" ref="AW20">INDEX($B$1:$W$193,MATCH(AW$1,$B$1:$B$193,0),MATCH(1,($B$1:$W$1=$AB20)*($B$2:$W$2=$AC20),0))</f>
        <v>1</v>
      </c>
      <c r="AX20" t="b" cm="1">
        <f t="array" ref="AX20">INDEX($B$1:$W$193,MATCH(AX$1,$B$1:$B$193,0),MATCH(1,($B$1:$W$1=$AB20)*($B$2:$W$2=$AC20),0))</f>
        <v>1</v>
      </c>
      <c r="AY20" t="b" cm="1">
        <f t="array" ref="AY20">INDEX($B$1:$W$193,MATCH(AY$1,$B$1:$B$193,0),MATCH(1,($B$1:$W$1=$AB20)*($B$2:$W$2=$AC20),0))</f>
        <v>1</v>
      </c>
      <c r="AZ20" t="b" cm="1">
        <f t="array" ref="AZ20">INDEX($B$1:$W$193,MATCH(AZ$1,$B$1:$B$193,0),MATCH(1,($B$1:$W$1=$AB20)*($B$2:$W$2=$AC20),0))</f>
        <v>1</v>
      </c>
      <c r="BA20" t="b" cm="1">
        <f t="array" ref="BA20">INDEX($B$1:$W$193,MATCH(BA$1,$B$1:$B$193,0),MATCH(1,($B$1:$W$1=$AB20)*($B$2:$W$2=$AC20),0))</f>
        <v>1</v>
      </c>
      <c r="BB20" t="b" cm="1">
        <f t="array" ref="BB20">INDEX($B$1:$W$193,MATCH(BB$1,$B$1:$B$193,0),MATCH(1,($B$1:$W$1=$AB20)*($B$2:$W$2=$AC20),0))</f>
        <v>1</v>
      </c>
      <c r="BC20" t="b" cm="1">
        <f t="array" ref="BC20">INDEX($B$1:$W$193,MATCH(BC$1,$B$1:$B$193,0),MATCH(1,($B$1:$W$1=$AB20)*($B$2:$W$2=$AC20),0))</f>
        <v>1</v>
      </c>
      <c r="BD20" t="b" cm="1">
        <f t="array" ref="BD20">INDEX($B$1:$W$193,MATCH(BD$1,$B$1:$B$193,0),MATCH(1,($B$1:$W$1=$AB20)*($B$2:$W$2=$AC20),0))</f>
        <v>1</v>
      </c>
      <c r="BE20" t="b" cm="1">
        <f t="array" ref="BE20">INDEX($B$1:$W$193,MATCH(BE$1,$B$1:$B$193,0),MATCH(1,($B$1:$W$1=$AB20)*($B$2:$W$2=$AC20),0))</f>
        <v>1</v>
      </c>
      <c r="BF20" t="b" cm="1">
        <f t="array" ref="BF20">INDEX($B$1:$W$193,MATCH(BF$1,$B$1:$B$193,0),MATCH(1,($B$1:$W$1=$AB20)*($B$2:$W$2=$AC20),0))</f>
        <v>1</v>
      </c>
      <c r="BG20" t="b" cm="1">
        <f t="array" ref="BG20">INDEX($B$1:$W$193,MATCH(BG$1,$B$1:$B$193,0),MATCH(1,($B$1:$W$1=$AB20)*($B$2:$W$2=$AC20),0))</f>
        <v>1</v>
      </c>
      <c r="BH20" t="b" cm="1">
        <f t="array" ref="BH20">INDEX($B$1:$W$193,MATCH(BH$1,$B$1:$B$193,0),MATCH(1,($B$1:$W$1=$AB20)*($B$2:$W$2=$AC20),0))</f>
        <v>1</v>
      </c>
      <c r="BI20" t="b" cm="1">
        <f t="array" ref="BI20">INDEX($B$1:$W$193,MATCH(BI$1,$B$1:$B$193,0),MATCH(1,($B$1:$W$1=$AB20)*($B$2:$W$2=$AC20),0))</f>
        <v>1</v>
      </c>
      <c r="BJ20" t="b" cm="1">
        <f t="array" ref="BJ20">INDEX($B$1:$W$193,MATCH(BJ$1,$B$1:$B$193,0),MATCH(1,($B$1:$W$1=$AB20)*($B$2:$W$2=$AC20),0))</f>
        <v>1</v>
      </c>
      <c r="BK20" t="b" cm="1">
        <f t="array" ref="BK20">INDEX($B$1:$W$193,MATCH(BK$1,$B$1:$B$193,0),MATCH(1,($B$1:$W$1=$AB20)*($B$2:$W$2=$AC20),0))</f>
        <v>1</v>
      </c>
      <c r="BL20" t="b" cm="1">
        <f t="array" ref="BL20">INDEX($B$1:$W$193,MATCH(BL$1,$B$1:$B$193,0),MATCH(1,($B$1:$W$1=$AB20)*($B$2:$W$2=$AC20),0))</f>
        <v>1</v>
      </c>
      <c r="BM20" t="b" cm="1">
        <f t="array" ref="BM20">INDEX($B$1:$W$193,MATCH(BM$1,$B$1:$B$193,0),MATCH(1,($B$1:$W$1=$AB20)*($B$2:$W$2=$AC20),0))</f>
        <v>1</v>
      </c>
      <c r="BN20" t="b" cm="1">
        <f t="array" ref="BN20">INDEX($B$1:$W$193,MATCH(BN$1,$B$1:$B$193,0),MATCH(1,($B$1:$W$1=$AB20)*($B$2:$W$2=$AC20),0))</f>
        <v>1</v>
      </c>
      <c r="BO20" t="b" cm="1">
        <f t="array" ref="BO20">INDEX($B$1:$W$193,MATCH(BO$1,$B$1:$B$193,0),MATCH(1,($B$1:$W$1=$AB20)*($B$2:$W$2=$AC20),0))</f>
        <v>1</v>
      </c>
      <c r="BP20" t="b" cm="1">
        <f t="array" ref="BP20">INDEX($B$1:$W$193,MATCH(BP$1,$B$1:$B$193,0),MATCH(1,($B$1:$W$1=$AB20)*($B$2:$W$2=$AC20),0))</f>
        <v>1</v>
      </c>
      <c r="BQ20" t="b" cm="1">
        <f t="array" ref="BQ20">INDEX($B$1:$W$193,MATCH(BQ$1,$B$1:$B$193,0),MATCH(1,($B$1:$W$1=$AB20)*($B$2:$W$2=$AC20),0))</f>
        <v>1</v>
      </c>
      <c r="BR20" t="b" cm="1">
        <f t="array" ref="BR20">INDEX($B$1:$W$193,MATCH(BR$1,$B$1:$B$193,0),MATCH(1,($B$1:$W$1=$AB20)*($B$2:$W$2=$AC20),0))</f>
        <v>1</v>
      </c>
      <c r="BS20" t="b" cm="1">
        <f t="array" ref="BS20">INDEX($B$1:$W$193,MATCH(BS$1,$B$1:$B$193,0),MATCH(1,($B$1:$W$1=$AB20)*($B$2:$W$2=$AC20),0))</f>
        <v>1</v>
      </c>
      <c r="BT20" t="b" cm="1">
        <f t="array" ref="BT20">INDEX($B$1:$W$193,MATCH(BT$1,$B$1:$B$193,0),MATCH(1,($B$1:$W$1=$AB20)*($B$2:$W$2=$AC20),0))</f>
        <v>1</v>
      </c>
      <c r="BU20" t="b" cm="1">
        <f t="array" ref="BU20">INDEX($B$1:$W$193,MATCH(BU$1,$B$1:$B$193,0),MATCH(1,($B$1:$W$1=$AB20)*($B$2:$W$2=$AC20),0))</f>
        <v>1</v>
      </c>
      <c r="BV20" t="b" cm="1">
        <f t="array" ref="BV20">INDEX($B$1:$W$193,MATCH(BV$1,$B$1:$B$193,0),MATCH(1,($B$1:$W$1=$AB20)*($B$2:$W$2=$AC20),0))</f>
        <v>1</v>
      </c>
      <c r="BW20" t="b" cm="1">
        <f t="array" ref="BW20">INDEX($B$1:$W$193,MATCH(BW$1,$B$1:$B$193,0),MATCH(1,($B$1:$W$1=$AB20)*($B$2:$W$2=$AC20),0))</f>
        <v>1</v>
      </c>
      <c r="BX20" t="b" cm="1">
        <f t="array" ref="BX20">INDEX($B$1:$W$193,MATCH(BX$1,$B$1:$B$193,0),MATCH(1,($B$1:$W$1=$AB20)*($B$2:$W$2=$AC20),0))</f>
        <v>1</v>
      </c>
      <c r="BY20" t="b" cm="1">
        <f t="array" ref="BY20">INDEX($B$1:$W$193,MATCH(BY$1,$B$1:$B$193,0),MATCH(1,($B$1:$W$1=$AB20)*($B$2:$W$2=$AC20),0))</f>
        <v>1</v>
      </c>
      <c r="BZ20" t="b" cm="1">
        <f t="array" ref="BZ20">INDEX($B$1:$W$193,MATCH(BZ$1,$B$1:$B$193,0),MATCH(1,($B$1:$W$1=$AB20)*($B$2:$W$2=$AC20),0))</f>
        <v>1</v>
      </c>
      <c r="CA20" t="b" cm="1">
        <f t="array" ref="CA20">INDEX($B$1:$W$193,MATCH(CA$1,$B$1:$B$193,0),MATCH(1,($B$1:$W$1=$AB20)*($B$2:$W$2=$AC20),0))</f>
        <v>1</v>
      </c>
      <c r="CB20" t="b" cm="1">
        <f t="array" ref="CB20">INDEX($B$1:$W$193,MATCH(CB$1,$B$1:$B$193,0),MATCH(1,($B$1:$W$1=$AB20)*($B$2:$W$2=$AC20),0))</f>
        <v>1</v>
      </c>
      <c r="CC20" t="b" cm="1">
        <f t="array" ref="CC20">INDEX($B$1:$W$193,MATCH(CC$1,$B$1:$B$193,0),MATCH(1,($B$1:$W$1=$AB20)*($B$2:$W$2=$AC20),0))</f>
        <v>1</v>
      </c>
      <c r="CD20" t="b" cm="1">
        <f t="array" ref="CD20">INDEX($B$1:$W$193,MATCH(CD$1,$B$1:$B$193,0),MATCH(1,($B$1:$W$1=$AB20)*($B$2:$W$2=$AC20),0))</f>
        <v>1</v>
      </c>
      <c r="CE20" t="b" cm="1">
        <f t="array" ref="CE20">INDEX($B$1:$W$193,MATCH(CE$1,$B$1:$B$193,0),MATCH(1,($B$1:$W$1=$AB20)*($B$2:$W$2=$AC20),0))</f>
        <v>1</v>
      </c>
      <c r="CF20" t="b" cm="1">
        <f t="array" ref="CF20">INDEX($B$1:$W$193,MATCH(CF$1,$B$1:$B$193,0),MATCH(1,($B$1:$W$1=$AB20)*($B$2:$W$2=$AC20),0))</f>
        <v>1</v>
      </c>
      <c r="CG20" t="b" cm="1">
        <f t="array" ref="CG20">INDEX($B$1:$W$193,MATCH(CG$1,$B$1:$B$193,0),MATCH(1,($B$1:$W$1=$AB20)*($B$2:$W$2=$AC20),0))</f>
        <v>1</v>
      </c>
      <c r="CH20" t="b" cm="1">
        <f t="array" ref="CH20">INDEX($B$1:$W$193,MATCH(CH$1,$B$1:$B$193,0),MATCH(1,($B$1:$W$1=$AB20)*($B$2:$W$2=$AC20),0))</f>
        <v>1</v>
      </c>
      <c r="CI20" t="b" cm="1">
        <f t="array" ref="CI20">INDEX($B$1:$W$193,MATCH(CI$1,$B$1:$B$193,0),MATCH(1,($B$1:$W$1=$AB20)*($B$2:$W$2=$AC20),0))</f>
        <v>1</v>
      </c>
      <c r="CJ20" t="b" cm="1">
        <f t="array" ref="CJ20">INDEX($B$1:$W$193,MATCH(CJ$1,$B$1:$B$193,0),MATCH(1,($B$1:$W$1=$AB20)*($B$2:$W$2=$AC20),0))</f>
        <v>1</v>
      </c>
      <c r="CK20" t="b" cm="1">
        <f t="array" ref="CK20">INDEX($B$1:$W$193,MATCH(CK$1,$B$1:$B$193,0),MATCH(1,($B$1:$W$1=$AB20)*($B$2:$W$2=$AC20),0))</f>
        <v>1</v>
      </c>
      <c r="CL20" t="b" cm="1">
        <f t="array" ref="CL20">INDEX($B$1:$W$193,MATCH(CL$1,$B$1:$B$193,0),MATCH(1,($B$1:$W$1=$AB20)*($B$2:$W$2=$AC20),0))</f>
        <v>1</v>
      </c>
      <c r="CM20" t="b" cm="1">
        <f t="array" ref="CM20">INDEX($B$1:$W$193,MATCH(CM$1,$B$1:$B$193,0),MATCH(1,($B$1:$W$1=$AB20)*($B$2:$W$2=$AC20),0))</f>
        <v>1</v>
      </c>
      <c r="CN20" t="b" cm="1">
        <f t="array" ref="CN20">INDEX($B$1:$W$193,MATCH(CN$1,$B$1:$B$193,0),MATCH(1,($B$1:$W$1=$AB20)*($B$2:$W$2=$AC20),0))</f>
        <v>1</v>
      </c>
      <c r="CO20" t="b" cm="1">
        <f t="array" ref="CO20">INDEX($B$1:$W$193,MATCH(CO$1,$B$1:$B$193,0),MATCH(1,($B$1:$W$1=$AB20)*($B$2:$W$2=$AC20),0))</f>
        <v>1</v>
      </c>
      <c r="CP20" t="b" cm="1">
        <f t="array" ref="CP20">INDEX($B$1:$W$193,MATCH(CP$1,$B$1:$B$193,0),MATCH(1,($B$1:$W$1=$AB20)*($B$2:$W$2=$AC20),0))</f>
        <v>1</v>
      </c>
      <c r="CQ20" t="b" cm="1">
        <f t="array" ref="CQ20">INDEX($B$1:$W$193,MATCH(CQ$1,$B$1:$B$193,0),MATCH(1,($B$1:$W$1=$AB20)*($B$2:$W$2=$AC20),0))</f>
        <v>1</v>
      </c>
      <c r="CR20" t="b" cm="1">
        <f t="array" ref="CR20">INDEX($B$1:$W$193,MATCH(CR$1,$B$1:$B$193,0),MATCH(1,($B$1:$W$1=$AB20)*($B$2:$W$2=$AC20),0))</f>
        <v>1</v>
      </c>
      <c r="CS20" t="b" cm="1">
        <f t="array" ref="CS20">INDEX($B$1:$W$193,MATCH(CS$1,$B$1:$B$193,0),MATCH(1,($B$1:$W$1=$AB20)*($B$2:$W$2=$AC20),0))</f>
        <v>1</v>
      </c>
      <c r="CT20" t="b" cm="1">
        <f t="array" ref="CT20">INDEX($B$1:$W$193,MATCH(CT$1,$B$1:$B$193,0),MATCH(1,($B$1:$W$1=$AB20)*($B$2:$W$2=$AC20),0))</f>
        <v>1</v>
      </c>
      <c r="CU20" t="b" cm="1">
        <f t="array" ref="CU20">INDEX($B$1:$W$193,MATCH(CU$1,$B$1:$B$193,0),MATCH(1,($B$1:$W$1=$AB20)*($B$2:$W$2=$AC20),0))</f>
        <v>1</v>
      </c>
      <c r="CV20" t="b" cm="1">
        <f t="array" ref="CV20">INDEX($B$1:$W$193,MATCH(CV$1,$B$1:$B$193,0),MATCH(1,($B$1:$W$1=$AB20)*($B$2:$W$2=$AC20),0))</f>
        <v>1</v>
      </c>
      <c r="CW20" t="b" cm="1">
        <f t="array" ref="CW20">INDEX($B$1:$W$193,MATCH(CW$1,$B$1:$B$193,0),MATCH(1,($B$1:$W$1=$AB20)*($B$2:$W$2=$AC20),0))</f>
        <v>1</v>
      </c>
      <c r="CX20" t="b" cm="1">
        <f t="array" ref="CX20">INDEX($B$1:$W$193,MATCH(CX$1,$B$1:$B$193,0),MATCH(1,($B$1:$W$1=$AB20)*($B$2:$W$2=$AC20),0))</f>
        <v>1</v>
      </c>
      <c r="CY20" t="b" cm="1">
        <f t="array" ref="CY20">INDEX($B$1:$W$193,MATCH(CY$1,$B$1:$B$193,0),MATCH(1,($B$1:$W$1=$AB20)*($B$2:$W$2=$AC20),0))</f>
        <v>1</v>
      </c>
      <c r="CZ20" t="b" cm="1">
        <f t="array" ref="CZ20">INDEX($B$1:$W$193,MATCH(CZ$1,$B$1:$B$193,0),MATCH(1,($B$1:$W$1=$AB20)*($B$2:$W$2=$AC20),0))</f>
        <v>1</v>
      </c>
      <c r="DA20" t="b" cm="1">
        <f t="array" ref="DA20">INDEX($B$1:$W$193,MATCH(DA$1,$B$1:$B$193,0),MATCH(1,($B$1:$W$1=$AB20)*($B$2:$W$2=$AC20),0))</f>
        <v>1</v>
      </c>
      <c r="DB20" t="b" cm="1">
        <f t="array" ref="DB20">INDEX($B$1:$W$193,MATCH(DB$1,$B$1:$B$193,0),MATCH(1,($B$1:$W$1=$AB20)*($B$2:$W$2=$AC20),0))</f>
        <v>1</v>
      </c>
      <c r="DC20" t="b" cm="1">
        <f t="array" ref="DC20">INDEX($B$1:$W$193,MATCH(DC$1,$B$1:$B$193,0),MATCH(1,($B$1:$W$1=$AB20)*($B$2:$W$2=$AC20),0))</f>
        <v>1</v>
      </c>
      <c r="DD20" t="b" cm="1">
        <f t="array" ref="DD20">INDEX($B$1:$W$193,MATCH(DD$1,$B$1:$B$193,0),MATCH(1,($B$1:$W$1=$AB20)*($B$2:$W$2=$AC20),0))</f>
        <v>1</v>
      </c>
      <c r="DE20" t="b" cm="1">
        <f t="array" ref="DE20">INDEX($B$1:$W$193,MATCH(DE$1,$B$1:$B$193,0),MATCH(1,($B$1:$W$1=$AB20)*($B$2:$W$2=$AC20),0))</f>
        <v>1</v>
      </c>
      <c r="DF20" t="b" cm="1">
        <f t="array" ref="DF20">INDEX($B$1:$W$193,MATCH(DF$1,$B$1:$B$193,0),MATCH(1,($B$1:$W$1=$AB20)*($B$2:$W$2=$AC20),0))</f>
        <v>1</v>
      </c>
      <c r="DG20" t="b" cm="1">
        <f t="array" ref="DG20">INDEX($B$1:$W$193,MATCH(DG$1,$B$1:$B$193,0),MATCH(1,($B$1:$W$1=$AB20)*($B$2:$W$2=$AC20),0))</f>
        <v>1</v>
      </c>
      <c r="DH20" t="b" cm="1">
        <f t="array" ref="DH20">INDEX($B$1:$W$193,MATCH(DH$1,$B$1:$B$193,0),MATCH(1,($B$1:$W$1=$AB20)*($B$2:$W$2=$AC20),0))</f>
        <v>1</v>
      </c>
      <c r="DI20" t="b" cm="1">
        <f t="array" ref="DI20">INDEX($B$1:$W$193,MATCH(DI$1,$B$1:$B$193,0),MATCH(1,($B$1:$W$1=$AB20)*($B$2:$W$2=$AC20),0))</f>
        <v>1</v>
      </c>
      <c r="DJ20" t="b" cm="1">
        <f t="array" ref="DJ20">INDEX($B$1:$W$193,MATCH(DJ$1,$B$1:$B$193,0),MATCH(1,($B$1:$W$1=$AB20)*($B$2:$W$2=$AC20),0))</f>
        <v>1</v>
      </c>
      <c r="DK20" t="b" cm="1">
        <f t="array" ref="DK20">INDEX($B$1:$W$193,MATCH(DK$1,$B$1:$B$193,0),MATCH(1,($B$1:$W$1=$AB20)*($B$2:$W$2=$AC20),0))</f>
        <v>1</v>
      </c>
      <c r="DL20" t="b" cm="1">
        <f t="array" ref="DL20">INDEX($B$1:$W$193,MATCH(DL$1,$B$1:$B$193,0),MATCH(1,($B$1:$W$1=$AB20)*($B$2:$W$2=$AC20),0))</f>
        <v>1</v>
      </c>
      <c r="DM20" t="b" cm="1">
        <f t="array" ref="DM20">INDEX($B$1:$W$193,MATCH(DM$1,$B$1:$B$193,0),MATCH(1,($B$1:$W$1=$AB20)*($B$2:$W$2=$AC20),0))</f>
        <v>1</v>
      </c>
      <c r="DN20" t="b" cm="1">
        <f t="array" ref="DN20">INDEX($B$1:$W$193,MATCH(DN$1,$B$1:$B$193,0),MATCH(1,($B$1:$W$1=$AB20)*($B$2:$W$2=$AC20),0))</f>
        <v>1</v>
      </c>
      <c r="DO20" t="b" cm="1">
        <f t="array" ref="DO20">INDEX($B$1:$W$193,MATCH(DO$1,$B$1:$B$193,0),MATCH(1,($B$1:$W$1=$AB20)*($B$2:$W$2=$AC20),0))</f>
        <v>1</v>
      </c>
      <c r="DP20" t="b" cm="1">
        <f t="array" ref="DP20">INDEX($B$1:$W$193,MATCH(DP$1,$B$1:$B$193,0),MATCH(1,($B$1:$W$1=$AB20)*($B$2:$W$2=$AC20),0))</f>
        <v>1</v>
      </c>
      <c r="DQ20" t="b" cm="1">
        <f t="array" ref="DQ20">INDEX($B$1:$W$193,MATCH(DQ$1,$B$1:$B$193,0),MATCH(1,($B$1:$W$1=$AB20)*($B$2:$W$2=$AC20),0))</f>
        <v>1</v>
      </c>
      <c r="DR20" t="b" cm="1">
        <f t="array" ref="DR20">INDEX($B$1:$W$193,MATCH(DR$1,$B$1:$B$193,0),MATCH(1,($B$1:$W$1=$AB20)*($B$2:$W$2=$AC20),0))</f>
        <v>1</v>
      </c>
      <c r="DS20" t="b" cm="1">
        <f t="array" ref="DS20">INDEX($B$1:$W$193,MATCH(DS$1,$B$1:$B$193,0),MATCH(1,($B$1:$W$1=$AB20)*($B$2:$W$2=$AC20),0))</f>
        <v>1</v>
      </c>
      <c r="DT20" t="b" cm="1">
        <f t="array" ref="DT20">INDEX($B$1:$W$193,MATCH(DT$1,$B$1:$B$193,0),MATCH(1,($B$1:$W$1=$AB20)*($B$2:$W$2=$AC20),0))</f>
        <v>1</v>
      </c>
      <c r="DU20" t="b" cm="1">
        <f t="array" ref="DU20">INDEX($B$1:$W$193,MATCH(DU$1,$B$1:$B$193,0),MATCH(1,($B$1:$W$1=$AB20)*($B$2:$W$2=$AC20),0))</f>
        <v>1</v>
      </c>
      <c r="DV20" t="b" cm="1">
        <f t="array" ref="DV20">INDEX($B$1:$W$193,MATCH(DV$1,$B$1:$B$193,0),MATCH(1,($B$1:$W$1=$AB20)*($B$2:$W$2=$AC20),0))</f>
        <v>1</v>
      </c>
      <c r="DW20" t="b" cm="1">
        <f t="array" ref="DW20">INDEX($B$1:$W$193,MATCH(DW$1,$B$1:$B$193,0),MATCH(1,($B$1:$W$1=$AB20)*($B$2:$W$2=$AC20),0))</f>
        <v>1</v>
      </c>
      <c r="DX20" t="b" cm="1">
        <f t="array" ref="DX20">INDEX($B$1:$W$193,MATCH(DX$1,$B$1:$B$193,0),MATCH(1,($B$1:$W$1=$AB20)*($B$2:$W$2=$AC20),0))</f>
        <v>1</v>
      </c>
      <c r="DY20" t="b" cm="1">
        <f t="array" ref="DY20">INDEX($B$1:$W$193,MATCH(DY$1,$B$1:$B$193,0),MATCH(1,($B$1:$W$1=$AB20)*($B$2:$W$2=$AC20),0))</f>
        <v>1</v>
      </c>
      <c r="DZ20" t="b" cm="1">
        <f t="array" ref="DZ20">INDEX($B$1:$W$193,MATCH(DZ$1,$B$1:$B$193,0),MATCH(1,($B$1:$W$1=$AB20)*($B$2:$W$2=$AC20),0))</f>
        <v>1</v>
      </c>
      <c r="EA20" t="b" cm="1">
        <f t="array" ref="EA20">INDEX($B$1:$W$193,MATCH(EA$1,$B$1:$B$193,0),MATCH(1,($B$1:$W$1=$AB20)*($B$2:$W$2=$AC20),0))</f>
        <v>1</v>
      </c>
      <c r="EB20" t="b" cm="1">
        <f t="array" ref="EB20">INDEX($B$1:$W$193,MATCH(EB$1,$B$1:$B$193,0),MATCH(1,($B$1:$W$1=$AB20)*($B$2:$W$2=$AC20),0))</f>
        <v>1</v>
      </c>
      <c r="EC20" t="b" cm="1">
        <f t="array" ref="EC20">INDEX($B$1:$W$193,MATCH(EC$1,$B$1:$B$193,0),MATCH(1,($B$1:$W$1=$AB20)*($B$2:$W$2=$AC20),0))</f>
        <v>1</v>
      </c>
      <c r="ED20" t="b" cm="1">
        <f t="array" ref="ED20">INDEX($B$1:$W$193,MATCH(ED$1,$B$1:$B$193,0),MATCH(1,($B$1:$W$1=$AB20)*($B$2:$W$2=$AC20),0))</f>
        <v>1</v>
      </c>
      <c r="EE20" t="b" cm="1">
        <f t="array" ref="EE20">INDEX($B$1:$W$193,MATCH(EE$1,$B$1:$B$193,0),MATCH(1,($B$1:$W$1=$AB20)*($B$2:$W$2=$AC20),0))</f>
        <v>1</v>
      </c>
      <c r="EF20" t="b" cm="1">
        <f t="array" ref="EF20">INDEX($B$1:$W$193,MATCH(EF$1,$B$1:$B$193,0),MATCH(1,($B$1:$W$1=$AB20)*($B$2:$W$2=$AC20),0))</f>
        <v>1</v>
      </c>
      <c r="EG20" t="b" cm="1">
        <f t="array" ref="EG20">INDEX($B$1:$W$193,MATCH(EG$1,$B$1:$B$193,0),MATCH(1,($B$1:$W$1=$AB20)*($B$2:$W$2=$AC20),0))</f>
        <v>1</v>
      </c>
      <c r="EH20" t="b" cm="1">
        <f t="array" ref="EH20">INDEX($B$1:$W$193,MATCH(EH$1,$B$1:$B$193,0),MATCH(1,($B$1:$W$1=$AB20)*($B$2:$W$2=$AC20),0))</f>
        <v>1</v>
      </c>
      <c r="EI20" t="b" cm="1">
        <f t="array" ref="EI20">INDEX($B$1:$W$193,MATCH(EI$1,$B$1:$B$193,0),MATCH(1,($B$1:$W$1=$AB20)*($B$2:$W$2=$AC20),0))</f>
        <v>1</v>
      </c>
      <c r="EJ20" t="b" cm="1">
        <f t="array" ref="EJ20">INDEX($B$1:$W$193,MATCH(EJ$1,$B$1:$B$193,0),MATCH(1,($B$1:$W$1=$AB20)*($B$2:$W$2=$AC20),0))</f>
        <v>1</v>
      </c>
      <c r="EK20" t="b" cm="1">
        <f t="array" ref="EK20">INDEX($B$1:$W$193,MATCH(EK$1,$B$1:$B$193,0),MATCH(1,($B$1:$W$1=$AB20)*($B$2:$W$2=$AC20),0))</f>
        <v>1</v>
      </c>
      <c r="EL20" t="b" cm="1">
        <f t="array" ref="EL20">INDEX($B$1:$W$193,MATCH(EL$1,$B$1:$B$193,0),MATCH(1,($B$1:$W$1=$AB20)*($B$2:$W$2=$AC20),0))</f>
        <v>1</v>
      </c>
      <c r="EM20" t="b" cm="1">
        <f t="array" ref="EM20">INDEX($B$1:$W$193,MATCH(EM$1,$B$1:$B$193,0),MATCH(1,($B$1:$W$1=$AB20)*($B$2:$W$2=$AC20),0))</f>
        <v>1</v>
      </c>
      <c r="EN20" t="b" cm="1">
        <f t="array" ref="EN20">INDEX($B$1:$W$193,MATCH(EN$1,$B$1:$B$193,0),MATCH(1,($B$1:$W$1=$AB20)*($B$2:$W$2=$AC20),0))</f>
        <v>1</v>
      </c>
      <c r="EO20" t="b" cm="1">
        <f t="array" ref="EO20">INDEX($B$1:$W$193,MATCH(EO$1,$B$1:$B$193,0),MATCH(1,($B$1:$W$1=$AB20)*($B$2:$W$2=$AC20),0))</f>
        <v>1</v>
      </c>
      <c r="EP20" t="b" cm="1">
        <f t="array" ref="EP20">INDEX($B$1:$W$193,MATCH(EP$1,$B$1:$B$193,0),MATCH(1,($B$1:$W$1=$AB20)*($B$2:$W$2=$AC20),0))</f>
        <v>1</v>
      </c>
      <c r="EQ20" t="b" cm="1">
        <f t="array" ref="EQ20">INDEX($B$1:$W$193,MATCH(EQ$1,$B$1:$B$193,0),MATCH(1,($B$1:$W$1=$AB20)*($B$2:$W$2=$AC20),0))</f>
        <v>1</v>
      </c>
      <c r="ER20" t="b" cm="1">
        <f t="array" ref="ER20">INDEX($B$1:$W$193,MATCH(ER$1,$B$1:$B$193,0),MATCH(1,($B$1:$W$1=$AB20)*($B$2:$W$2=$AC20),0))</f>
        <v>1</v>
      </c>
      <c r="ES20" t="b" cm="1">
        <f t="array" ref="ES20">INDEX($B$1:$W$193,MATCH(ES$1,$B$1:$B$193,0),MATCH(1,($B$1:$W$1=$AB20)*($B$2:$W$2=$AC20),0))</f>
        <v>1</v>
      </c>
      <c r="ET20" t="b" cm="1">
        <f t="array" ref="ET20">INDEX($B$1:$W$193,MATCH(ET$1,$B$1:$B$193,0),MATCH(1,($B$1:$W$1=$AB20)*($B$2:$W$2=$AC20),0))</f>
        <v>1</v>
      </c>
      <c r="EU20" t="b" cm="1">
        <f t="array" ref="EU20">INDEX($B$1:$W$193,MATCH(EU$1,$B$1:$B$193,0),MATCH(1,($B$1:$W$1=$AB20)*($B$2:$W$2=$AC20),0))</f>
        <v>1</v>
      </c>
      <c r="EV20" t="b" cm="1">
        <f t="array" ref="EV20">INDEX($B$1:$W$193,MATCH(EV$1,$B$1:$B$193,0),MATCH(1,($B$1:$W$1=$AB20)*($B$2:$W$2=$AC20),0))</f>
        <v>1</v>
      </c>
      <c r="EW20" t="b" cm="1">
        <f t="array" ref="EW20">INDEX($B$1:$W$193,MATCH(EW$1,$B$1:$B$193,0),MATCH(1,($B$1:$W$1=$AB20)*($B$2:$W$2=$AC20),0))</f>
        <v>1</v>
      </c>
      <c r="EX20" t="b" cm="1">
        <f t="array" ref="EX20">INDEX($B$1:$W$193,MATCH(EX$1,$B$1:$B$193,0),MATCH(1,($B$1:$W$1=$AB20)*($B$2:$W$2=$AC20),0))</f>
        <v>1</v>
      </c>
      <c r="EY20" t="b" cm="1">
        <f t="array" ref="EY20">INDEX($B$1:$W$193,MATCH(EY$1,$B$1:$B$193,0),MATCH(1,($B$1:$W$1=$AB20)*($B$2:$W$2=$AC20),0))</f>
        <v>1</v>
      </c>
      <c r="EZ20" t="b" cm="1">
        <f t="array" ref="EZ20">INDEX($B$1:$W$193,MATCH(EZ$1,$B$1:$B$193,0),MATCH(1,($B$1:$W$1=$AB20)*($B$2:$W$2=$AC20),0))</f>
        <v>1</v>
      </c>
      <c r="FA20" t="b" cm="1">
        <f t="array" ref="FA20">INDEX($B$1:$W$193,MATCH(FA$1,$B$1:$B$193,0),MATCH(1,($B$1:$W$1=$AB20)*($B$2:$W$2=$AC20),0))</f>
        <v>1</v>
      </c>
      <c r="FB20" t="b" cm="1">
        <f t="array" ref="FB20">INDEX($B$1:$W$193,MATCH(FB$1,$B$1:$B$193,0),MATCH(1,($B$1:$W$1=$AB20)*($B$2:$W$2=$AC20),0))</f>
        <v>1</v>
      </c>
      <c r="FC20" t="b" cm="1">
        <f t="array" ref="FC20">INDEX($B$1:$W$193,MATCH(FC$1,$B$1:$B$193,0),MATCH(1,($B$1:$W$1=$AB20)*($B$2:$W$2=$AC20),0))</f>
        <v>1</v>
      </c>
      <c r="FD20" t="b" cm="1">
        <f t="array" ref="FD20">INDEX($B$1:$W$193,MATCH(FD$1,$B$1:$B$193,0),MATCH(1,($B$1:$W$1=$AB20)*($B$2:$W$2=$AC20),0))</f>
        <v>1</v>
      </c>
      <c r="FE20" t="b" cm="1">
        <f t="array" ref="FE20">INDEX($B$1:$W$193,MATCH(FE$1,$B$1:$B$193,0),MATCH(1,($B$1:$W$1=$AB20)*($B$2:$W$2=$AC20),0))</f>
        <v>1</v>
      </c>
      <c r="FF20" t="b" cm="1">
        <f t="array" ref="FF20">INDEX($B$1:$W$193,MATCH(FF$1,$B$1:$B$193,0),MATCH(1,($B$1:$W$1=$AB20)*($B$2:$W$2=$AC20),0))</f>
        <v>1</v>
      </c>
      <c r="FG20" t="b" cm="1">
        <f t="array" ref="FG20">INDEX($B$1:$W$193,MATCH(FG$1,$B$1:$B$193,0),MATCH(1,($B$1:$W$1=$AB20)*($B$2:$W$2=$AC20),0))</f>
        <v>1</v>
      </c>
      <c r="FH20" t="b" cm="1">
        <f t="array" ref="FH20">INDEX($B$1:$W$193,MATCH(FH$1,$B$1:$B$193,0),MATCH(1,($B$1:$W$1=$AB20)*($B$2:$W$2=$AC20),0))</f>
        <v>1</v>
      </c>
      <c r="FI20" t="b" cm="1">
        <f t="array" ref="FI20">INDEX($B$1:$W$193,MATCH(FI$1,$B$1:$B$193,0),MATCH(1,($B$1:$W$1=$AB20)*($B$2:$W$2=$AC20),0))</f>
        <v>1</v>
      </c>
      <c r="FJ20" t="b" cm="1">
        <f t="array" ref="FJ20">INDEX($B$1:$W$193,MATCH(FJ$1,$B$1:$B$193,0),MATCH(1,($B$1:$W$1=$AB20)*($B$2:$W$2=$AC20),0))</f>
        <v>1</v>
      </c>
      <c r="FK20" t="b" cm="1">
        <f t="array" ref="FK20">INDEX($B$1:$W$193,MATCH(FK$1,$B$1:$B$193,0),MATCH(1,($B$1:$W$1=$AB20)*($B$2:$W$2=$AC20),0))</f>
        <v>1</v>
      </c>
      <c r="FL20" t="b" cm="1">
        <f t="array" ref="FL20">INDEX($B$1:$W$193,MATCH(FL$1,$B$1:$B$193,0),MATCH(1,($B$1:$W$1=$AB20)*($B$2:$W$2=$AC20),0))</f>
        <v>1</v>
      </c>
      <c r="FM20" t="b" cm="1">
        <f t="array" ref="FM20">INDEX($B$1:$W$193,MATCH(FM$1,$B$1:$B$193,0),MATCH(1,($B$1:$W$1=$AB20)*($B$2:$W$2=$AC20),0))</f>
        <v>1</v>
      </c>
      <c r="FN20" t="b" cm="1">
        <f t="array" ref="FN20">INDEX($B$1:$W$193,MATCH(FN$1,$B$1:$B$193,0),MATCH(1,($B$1:$W$1=$AB20)*($B$2:$W$2=$AC20),0))</f>
        <v>1</v>
      </c>
      <c r="FO20" t="b" cm="1">
        <f t="array" ref="FO20">INDEX($B$1:$W$193,MATCH(FO$1,$B$1:$B$193,0),MATCH(1,($B$1:$W$1=$AB20)*($B$2:$W$2=$AC20),0))</f>
        <v>1</v>
      </c>
      <c r="FP20" t="b" cm="1">
        <f t="array" ref="FP20">INDEX($B$1:$W$193,MATCH(FP$1,$B$1:$B$193,0),MATCH(1,($B$1:$W$1=$AB20)*($B$2:$W$2=$AC20),0))</f>
        <v>1</v>
      </c>
      <c r="FQ20" t="b" cm="1">
        <f t="array" ref="FQ20">INDEX($B$1:$W$193,MATCH(FQ$1,$B$1:$B$193,0),MATCH(1,($B$1:$W$1=$AB20)*($B$2:$W$2=$AC20),0))</f>
        <v>1</v>
      </c>
      <c r="FR20" t="b" cm="1">
        <f t="array" ref="FR20">INDEX($B$1:$W$193,MATCH(FR$1,$B$1:$B$193,0),MATCH(1,($B$1:$W$1=$AB20)*($B$2:$W$2=$AC20),0))</f>
        <v>1</v>
      </c>
      <c r="FS20" t="b" cm="1">
        <f t="array" ref="FS20">INDEX($B$1:$W$193,MATCH(FS$1,$B$1:$B$193,0),MATCH(1,($B$1:$W$1=$AB20)*($B$2:$W$2=$AC20),0))</f>
        <v>1</v>
      </c>
      <c r="FT20" t="b" cm="1">
        <f t="array" ref="FT20">INDEX($B$1:$W$193,MATCH(FT$1,$B$1:$B$193,0),MATCH(1,($B$1:$W$1=$AB20)*($B$2:$W$2=$AC20),0))</f>
        <v>1</v>
      </c>
      <c r="FU20" t="b" cm="1">
        <f t="array" ref="FU20">INDEX($B$1:$W$193,MATCH(FU$1,$B$1:$B$193,0),MATCH(1,($B$1:$W$1=$AB20)*($B$2:$W$2=$AC20),0))</f>
        <v>1</v>
      </c>
      <c r="FV20" t="b" cm="1">
        <f t="array" ref="FV20">INDEX($B$1:$W$193,MATCH(FV$1,$B$1:$B$193,0),MATCH(1,($B$1:$W$1=$AB20)*($B$2:$W$2=$AC20),0))</f>
        <v>1</v>
      </c>
      <c r="FW20" t="b" cm="1">
        <f t="array" ref="FW20">INDEX($B$1:$W$193,MATCH(FW$1,$B$1:$B$193,0),MATCH(1,($B$1:$W$1=$AB20)*($B$2:$W$2=$AC20),0))</f>
        <v>1</v>
      </c>
      <c r="FX20" t="b" cm="1">
        <f t="array" ref="FX20">INDEX($B$1:$W$193,MATCH(FX$1,$B$1:$B$193,0),MATCH(1,($B$1:$W$1=$AB20)*($B$2:$W$2=$AC20),0))</f>
        <v>1</v>
      </c>
      <c r="FY20" t="b" cm="1">
        <f t="array" ref="FY20">INDEX($B$1:$W$193,MATCH(FY$1,$B$1:$B$193,0),MATCH(1,($B$1:$W$1=$AB20)*($B$2:$W$2=$AC20),0))</f>
        <v>1</v>
      </c>
      <c r="FZ20" t="b" cm="1">
        <f t="array" ref="FZ20">INDEX($B$1:$W$193,MATCH(FZ$1,$B$1:$B$193,0),MATCH(1,($B$1:$W$1=$AB20)*($B$2:$W$2=$AC20),0))</f>
        <v>1</v>
      </c>
      <c r="GA20" t="b" cm="1">
        <f t="array" ref="GA20">INDEX($B$1:$W$193,MATCH(GA$1,$B$1:$B$193,0),MATCH(1,($B$1:$W$1=$AB20)*($B$2:$W$2=$AC20),0))</f>
        <v>1</v>
      </c>
      <c r="GB20" t="b" cm="1">
        <f t="array" ref="GB20">INDEX($B$1:$W$193,MATCH(GB$1,$B$1:$B$193,0),MATCH(1,($B$1:$W$1=$AB20)*($B$2:$W$2=$AC20),0))</f>
        <v>1</v>
      </c>
      <c r="GC20" t="b" cm="1">
        <f t="array" ref="GC20">INDEX($B$1:$W$193,MATCH(GC$1,$B$1:$B$193,0),MATCH(1,($B$1:$W$1=$AB20)*($B$2:$W$2=$AC20),0))</f>
        <v>1</v>
      </c>
      <c r="GD20" t="b" cm="1">
        <f t="array" ref="GD20">INDEX($B$1:$W$193,MATCH(GD$1,$B$1:$B$193,0),MATCH(1,($B$1:$W$1=$AB20)*($B$2:$W$2=$AC20),0))</f>
        <v>1</v>
      </c>
      <c r="GE20" t="b" cm="1">
        <f t="array" ref="GE20">INDEX($B$1:$W$193,MATCH(GE$1,$B$1:$B$193,0),MATCH(1,($B$1:$W$1=$AB20)*($B$2:$W$2=$AC20),0))</f>
        <v>1</v>
      </c>
      <c r="GF20" t="b" cm="1">
        <f t="array" ref="GF20">INDEX($B$1:$W$193,MATCH(GF$1,$B$1:$B$193,0),MATCH(1,($B$1:$W$1=$AB20)*($B$2:$W$2=$AC20),0))</f>
        <v>1</v>
      </c>
      <c r="GG20" t="b" cm="1">
        <f t="array" ref="GG20">INDEX($B$1:$W$193,MATCH(GG$1,$B$1:$B$193,0),MATCH(1,($B$1:$W$1=$AB20)*($B$2:$W$2=$AC20),0))</f>
        <v>1</v>
      </c>
      <c r="GH20" t="b" cm="1">
        <f t="array" ref="GH20">INDEX($B$1:$W$193,MATCH(GH$1,$B$1:$B$193,0),MATCH(1,($B$1:$W$1=$AB20)*($B$2:$W$2=$AC20),0))</f>
        <v>1</v>
      </c>
      <c r="GI20" t="b" cm="1">
        <f t="array" ref="GI20">INDEX($B$1:$W$193,MATCH(GI$1,$B$1:$B$193,0),MATCH(1,($B$1:$W$1=$AB20)*($B$2:$W$2=$AC20),0))</f>
        <v>1</v>
      </c>
      <c r="GJ20" t="b" cm="1">
        <f t="array" ref="GJ20">INDEX($B$1:$W$193,MATCH(GJ$1,$B$1:$B$193,0),MATCH(1,($B$1:$W$1=$AB20)*($B$2:$W$2=$AC20),0))</f>
        <v>1</v>
      </c>
      <c r="GK20" t="b" cm="1">
        <f t="array" ref="GK20">INDEX($B$1:$W$193,MATCH(GK$1,$B$1:$B$193,0),MATCH(1,($B$1:$W$1=$AB20)*($B$2:$W$2=$AC20),0))</f>
        <v>1</v>
      </c>
      <c r="GL20" t="b" cm="1">
        <f t="array" ref="GL20">INDEX($B$1:$W$193,MATCH(GL$1,$B$1:$B$193,0),MATCH(1,($B$1:$W$1=$AB20)*($B$2:$W$2=$AC20),0))</f>
        <v>1</v>
      </c>
      <c r="GM20" t="b" cm="1">
        <f t="array" ref="GM20">INDEX($B$1:$W$193,MATCH(GM$1,$B$1:$B$193,0),MATCH(1,($B$1:$W$1=$AB20)*($B$2:$W$2=$AC20),0))</f>
        <v>1</v>
      </c>
      <c r="GN20" t="b" cm="1">
        <f t="array" ref="GN20">INDEX($B$1:$W$193,MATCH(GN$1,$B$1:$B$193,0),MATCH(1,($B$1:$W$1=$AB20)*($B$2:$W$2=$AC20),0))</f>
        <v>1</v>
      </c>
      <c r="GO20" t="b" cm="1">
        <f t="array" ref="GO20">INDEX($B$1:$W$193,MATCH(GO$1,$B$1:$B$193,0),MATCH(1,($B$1:$W$1=$AB20)*($B$2:$W$2=$AC20),0))</f>
        <v>1</v>
      </c>
      <c r="GP20" t="b" cm="1">
        <f t="array" ref="GP20">INDEX($B$1:$W$193,MATCH(GP$1,$B$1:$B$193,0),MATCH(1,($B$1:$W$1=$AB20)*($B$2:$W$2=$AC20),0))</f>
        <v>1</v>
      </c>
      <c r="GQ20" t="b" cm="1">
        <f t="array" ref="GQ20">INDEX($B$1:$W$193,MATCH(GQ$1,$B$1:$B$193,0),MATCH(1,($B$1:$W$1=$AB20)*($B$2:$W$2=$AC20),0))</f>
        <v>1</v>
      </c>
      <c r="GR20" t="b" cm="1">
        <f t="array" ref="GR20">INDEX($B$1:$W$193,MATCH(GR$1,$B$1:$B$193,0),MATCH(1,($B$1:$W$1=$AB20)*($B$2:$W$2=$AC20),0))</f>
        <v>1</v>
      </c>
      <c r="GS20" t="b" cm="1">
        <f t="array" ref="GS20">INDEX($B$1:$W$193,MATCH(GS$1,$B$1:$B$193,0),MATCH(1,($B$1:$W$1=$AB20)*($B$2:$W$2=$AC20),0))</f>
        <v>1</v>
      </c>
      <c r="GT20" t="b" cm="1">
        <f t="array" ref="GT20">INDEX($B$1:$W$193,MATCH(GT$1,$B$1:$B$193,0),MATCH(1,($B$1:$W$1=$AB20)*($B$2:$W$2=$AC20),0))</f>
        <v>1</v>
      </c>
      <c r="GU20" t="b" cm="1">
        <f t="array" ref="GU20">INDEX($B$1:$W$193,MATCH(GU$1,$B$1:$B$193,0),MATCH(1,($B$1:$W$1=$AB20)*($B$2:$W$2=$AC20),0))</f>
        <v>1</v>
      </c>
      <c r="GV20" t="b" cm="1">
        <f t="array" ref="GV20">INDEX($B$1:$W$193,MATCH(GV$1,$B$1:$B$193,0),MATCH(1,($B$1:$W$1=$AB20)*($B$2:$W$2=$AC20),0))</f>
        <v>1</v>
      </c>
      <c r="GW20" t="b" cm="1">
        <f t="array" ref="GW20">INDEX($B$1:$W$193,MATCH(GW$1,$B$1:$B$193,0),MATCH(1,($B$1:$W$1=$AB20)*($B$2:$W$2=$AC20),0))</f>
        <v>1</v>
      </c>
      <c r="GX20" t="b" cm="1">
        <f t="array" ref="GX20">INDEX($B$1:$W$193,MATCH(GX$1,$B$1:$B$193,0),MATCH(1,($B$1:$W$1=$AB20)*($B$2:$W$2=$AC20),0))</f>
        <v>1</v>
      </c>
      <c r="GY20" t="b" cm="1">
        <f t="array" ref="GY20">INDEX($B$1:$W$193,MATCH(GY$1,$B$1:$B$193,0),MATCH(1,($B$1:$W$1=$AB20)*($B$2:$W$2=$AC20),0))</f>
        <v>1</v>
      </c>
      <c r="GZ20" t="b" cm="1">
        <f t="array" ref="GZ20">INDEX($B$1:$W$193,MATCH(GZ$1,$B$1:$B$193,0),MATCH(1,($B$1:$W$1=$AB20)*($B$2:$W$2=$AC20),0))</f>
        <v>1</v>
      </c>
      <c r="HA20" t="b" cm="1">
        <f t="array" ref="HA20">INDEX($B$1:$W$193,MATCH(HA$1,$B$1:$B$193,0),MATCH(1,($B$1:$W$1=$AB20)*($B$2:$W$2=$AC20),0))</f>
        <v>1</v>
      </c>
      <c r="HB20" t="b" cm="1">
        <f t="array" ref="HB20">INDEX($B$1:$W$193,MATCH(HB$1,$B$1:$B$193,0),MATCH(1,($B$1:$W$1=$AB20)*($B$2:$W$2=$AC20),0))</f>
        <v>1</v>
      </c>
      <c r="HC20" t="b" cm="1">
        <f t="array" ref="HC20">INDEX($B$1:$W$193,MATCH(HC$1,$B$1:$B$193,0),MATCH(1,($B$1:$W$1=$AB20)*($B$2:$W$2=$AC20),0))</f>
        <v>1</v>
      </c>
      <c r="HD20" t="b" cm="1">
        <f t="array" ref="HD20">INDEX($B$1:$W$193,MATCH(HD$1,$B$1:$B$193,0),MATCH(1,($B$1:$W$1=$AB20)*($B$2:$W$2=$AC20),0))</f>
        <v>1</v>
      </c>
      <c r="HE20" t="b" cm="1">
        <f t="array" ref="HE20">INDEX($B$1:$W$193,MATCH(HE$1,$B$1:$B$193,0),MATCH(1,($B$1:$W$1=$AB20)*($B$2:$W$2=$AC20),0))</f>
        <v>1</v>
      </c>
      <c r="HF20" t="b" cm="1">
        <f t="array" ref="HF20">INDEX($B$1:$W$193,MATCH(HF$1,$B$1:$B$193,0),MATCH(1,($B$1:$W$1=$AB20)*($B$2:$W$2=$AC20),0))</f>
        <v>1</v>
      </c>
      <c r="HG20" t="b" cm="1">
        <f t="array" ref="HG20">INDEX($B$1:$W$193,MATCH(HG$1,$B$1:$B$193,0),MATCH(1,($B$1:$W$1=$AB20)*($B$2:$W$2=$AC20),0))</f>
        <v>1</v>
      </c>
      <c r="HH20" t="b" cm="1">
        <f t="array" ref="HH20">INDEX($B$1:$W$193,MATCH(HH$1,$B$1:$B$193,0),MATCH(1,($B$1:$W$1=$AB20)*($B$2:$W$2=$AC20),0))</f>
        <v>1</v>
      </c>
      <c r="HI20" t="b" cm="1">
        <f t="array" ref="HI20">INDEX($B$1:$W$193,MATCH(HI$1,$B$1:$B$193,0),MATCH(1,($B$1:$W$1=$AB20)*($B$2:$W$2=$AC20),0))</f>
        <v>1</v>
      </c>
      <c r="HJ20" t="b" cm="1">
        <f t="array" ref="HJ20">INDEX($B$1:$W$193,MATCH(HJ$1,$B$1:$B$193,0),MATCH(1,($B$1:$W$1=$AB20)*($B$2:$W$2=$AC20),0))</f>
        <v>1</v>
      </c>
      <c r="HK20" t="b" cm="1">
        <f t="array" ref="HK20">INDEX($B$1:$W$193,MATCH(HK$1,$B$1:$B$193,0),MATCH(1,($B$1:$W$1=$AB20)*($B$2:$W$2=$AC20),0))</f>
        <v>1</v>
      </c>
      <c r="HL20" t="b" cm="1">
        <f t="array" ref="HL20">INDEX($B$1:$W$193,MATCH(HL$1,$B$1:$B$193,0),MATCH(1,($B$1:$W$1=$AB20)*($B$2:$W$2=$AC20),0))</f>
        <v>1</v>
      </c>
      <c r="HM20" t="b" cm="1">
        <f t="array" ref="HM20">INDEX($B$1:$W$193,MATCH(HM$1,$B$1:$B$193,0),MATCH(1,($B$1:$W$1=$AB20)*($B$2:$W$2=$AC20),0))</f>
        <v>1</v>
      </c>
      <c r="HN20" t="b" cm="1">
        <f t="array" ref="HN20">INDEX($B$1:$W$193,MATCH(HN$1,$B$1:$B$193,0),MATCH(1,($B$1:$W$1=$AB20)*($B$2:$W$2=$AC20),0))</f>
        <v>1</v>
      </c>
      <c r="HO20" t="b" cm="1">
        <f t="array" ref="HO20">INDEX($B$1:$W$193,MATCH(HO$1,$B$1:$B$193,0),MATCH(1,($B$1:$W$1=$AB20)*($B$2:$W$2=$AC20),0))</f>
        <v>1</v>
      </c>
      <c r="HP20" t="b" cm="1">
        <f t="array" ref="HP20">INDEX($B$1:$W$193,MATCH(HP$1,$B$1:$B$193,0),MATCH(1,($B$1:$W$1=$AB20)*($B$2:$W$2=$AC20),0))</f>
        <v>1</v>
      </c>
      <c r="HQ20" t="b" cm="1">
        <f t="array" ref="HQ20">INDEX($B$1:$W$193,MATCH(HQ$1,$B$1:$B$193,0),MATCH(1,($B$1:$W$1=$AB20)*($B$2:$W$2=$AC20),0))</f>
        <v>1</v>
      </c>
      <c r="HR20" t="b" cm="1">
        <f t="array" ref="HR20">INDEX($B$1:$W$193,MATCH(HR$1,$B$1:$B$193,0),MATCH(1,($B$1:$W$1=$AB20)*($B$2:$W$2=$AC20),0))</f>
        <v>1</v>
      </c>
      <c r="HS20" t="b" cm="1">
        <f t="array" ref="HS20">INDEX($B$1:$W$193,MATCH(HS$1,$B$1:$B$193,0),MATCH(1,($B$1:$W$1=$AB20)*($B$2:$W$2=$AC20),0))</f>
        <v>1</v>
      </c>
      <c r="HT20" t="b" cm="1">
        <f t="array" ref="HT20">INDEX($B$1:$W$193,MATCH(HT$1,$B$1:$B$193,0),MATCH(1,($B$1:$W$1=$AB20)*($B$2:$W$2=$AC20),0))</f>
        <v>1</v>
      </c>
      <c r="HU20" t="b" cm="1">
        <f t="array" ref="HU20">INDEX($B$1:$W$193,MATCH(HU$1,$B$1:$B$193,0),MATCH(1,($B$1:$W$1=$AB20)*($B$2:$W$2=$AC20),0))</f>
        <v>1</v>
      </c>
      <c r="HV20" t="b" cm="1">
        <f t="array" ref="HV20">INDEX($B$1:$W$193,MATCH(HV$1,$B$1:$B$193,0),MATCH(1,($B$1:$W$1=$AB20)*($B$2:$W$2=$AC20),0))</f>
        <v>1</v>
      </c>
      <c r="HW20" t="b" cm="1">
        <f t="array" ref="HW20">INDEX($B$1:$W$193,MATCH(HW$1,$B$1:$B$193,0),MATCH(1,($B$1:$W$1=$AB20)*($B$2:$W$2=$AC20),0))</f>
        <v>1</v>
      </c>
      <c r="HX20" t="b" cm="1">
        <f t="array" ref="HX20">INDEX($B$1:$W$193,MATCH(HX$1,$B$1:$B$193,0),MATCH(1,($B$1:$W$1=$AB20)*($B$2:$W$2=$AC20),0))</f>
        <v>1</v>
      </c>
      <c r="HY20" t="b" cm="1">
        <f t="array" ref="HY20">INDEX($B$1:$W$193,MATCH(HY$1,$B$1:$B$193,0),MATCH(1,($B$1:$W$1=$AB20)*($B$2:$W$2=$AC20),0))</f>
        <v>1</v>
      </c>
      <c r="HZ20" t="b" cm="1">
        <f t="array" ref="HZ20">INDEX($B$1:$W$193,MATCH(HZ$1,$B$1:$B$193,0),MATCH(1,($B$1:$W$1=$AB20)*($B$2:$W$2=$AC20),0))</f>
        <v>1</v>
      </c>
      <c r="IA20" t="b" cm="1">
        <f t="array" ref="IA20">INDEX($B$1:$W$193,MATCH(IA$1,$B$1:$B$193,0),MATCH(1,($B$1:$W$1=$AB20)*($B$2:$W$2=$AC20),0))</f>
        <v>1</v>
      </c>
      <c r="IB20" t="b" cm="1">
        <f t="array" ref="IB20">INDEX($B$1:$W$193,MATCH(IB$1,$B$1:$B$193,0),MATCH(1,($B$1:$W$1=$AB20)*($B$2:$W$2=$AC20),0))</f>
        <v>1</v>
      </c>
      <c r="IC20" t="b" cm="1">
        <f t="array" ref="IC20">INDEX($B$1:$W$193,MATCH(IC$1,$B$1:$B$193,0),MATCH(1,($B$1:$W$1=$AB20)*($B$2:$W$2=$AC20),0))</f>
        <v>1</v>
      </c>
      <c r="ID20" t="b" cm="1">
        <f t="array" ref="ID20">INDEX($B$1:$W$193,MATCH(ID$1,$B$1:$B$193,0),MATCH(1,($B$1:$W$1=$AB20)*($B$2:$W$2=$AC20),0))</f>
        <v>1</v>
      </c>
      <c r="IE20" t="b" cm="1">
        <f t="array" ref="IE20">INDEX($B$1:$W$193,MATCH(IE$1,$B$1:$B$193,0),MATCH(1,($B$1:$W$1=$AB20)*($B$2:$W$2=$AC20),0))</f>
        <v>1</v>
      </c>
      <c r="IF20" t="b" cm="1">
        <f t="array" ref="IF20">INDEX($B$1:$W$193,MATCH(IF$1,$B$1:$B$193,0),MATCH(1,($B$1:$W$1=$AB20)*($B$2:$W$2=$AC20),0))</f>
        <v>1</v>
      </c>
      <c r="IG20" t="b" cm="1">
        <f t="array" ref="IG20">INDEX($B$1:$W$193,MATCH(IG$1,$B$1:$B$193,0),MATCH(1,($B$1:$W$1=$AB20)*($B$2:$W$2=$AC20),0))</f>
        <v>1</v>
      </c>
      <c r="IH20" t="b" cm="1">
        <f t="array" ref="IH20">INDEX($B$1:$W$193,MATCH(IH$1,$B$1:$B$193,0),MATCH(1,($B$1:$W$1=$AB20)*($B$2:$W$2=$AC20),0))</f>
        <v>1</v>
      </c>
      <c r="II20" t="b" cm="1">
        <f t="array" ref="II20">INDEX($B$1:$W$193,MATCH(II$1,$B$1:$B$193,0),MATCH(1,($B$1:$W$1=$AB20)*($B$2:$W$2=$AC20),0))</f>
        <v>1</v>
      </c>
      <c r="IJ20" t="b" cm="1">
        <f t="array" ref="IJ20">INDEX($B$1:$W$193,MATCH(IJ$1,$B$1:$B$193,0),MATCH(1,($B$1:$W$1=$AB20)*($B$2:$W$2=$AC20),0))</f>
        <v>1</v>
      </c>
      <c r="IK20" t="b" cm="1">
        <f t="array" ref="IK20">INDEX($B$1:$W$193,MATCH(IK$1,$B$1:$B$193,0),MATCH(1,($B$1:$W$1=$AB20)*($B$2:$W$2=$AC20),0))</f>
        <v>1</v>
      </c>
      <c r="IL20" t="b" cm="1">
        <f t="array" ref="IL20">INDEX($B$1:$W$193,MATCH(IL$1,$B$1:$B$193,0),MATCH(1,($B$1:$W$1=$AB20)*($B$2:$W$2=$AC20),0))</f>
        <v>1</v>
      </c>
      <c r="IM20" t="b" cm="1">
        <f t="array" ref="IM20">INDEX($B$1:$W$193,MATCH(IM$1,$B$1:$B$193,0),MATCH(1,($B$1:$W$1=$AB20)*($B$2:$W$2=$AC20),0))</f>
        <v>1</v>
      </c>
      <c r="IN20" t="b" cm="1">
        <f t="array" ref="IN20">INDEX($B$1:$W$193,MATCH(IN$1,$B$1:$B$193,0),MATCH(1,($B$1:$W$1=$AB20)*($B$2:$W$2=$AC20),0))</f>
        <v>1</v>
      </c>
      <c r="IO20" t="b" cm="1">
        <f t="array" ref="IO20">INDEX($B$1:$W$193,MATCH(IO$1,$B$1:$B$193,0),MATCH(1,($B$1:$W$1=$AB20)*($B$2:$W$2=$AC20),0))</f>
        <v>1</v>
      </c>
      <c r="IP20" t="b" cm="1">
        <f t="array" ref="IP20">INDEX($B$1:$W$193,MATCH(IP$1,$B$1:$B$193,0),MATCH(1,($B$1:$W$1=$AB20)*($B$2:$W$2=$AC20),0))</f>
        <v>1</v>
      </c>
      <c r="IQ20" t="b" cm="1">
        <f t="array" ref="IQ20">INDEX($B$1:$W$193,MATCH(IQ$1,$B$1:$B$193,0),MATCH(1,($B$1:$W$1=$AB20)*($B$2:$W$2=$AC20),0))</f>
        <v>1</v>
      </c>
      <c r="IR20" t="b" cm="1">
        <f t="array" ref="IR20">INDEX($B$1:$W$193,MATCH(IR$1,$B$1:$B$193,0),MATCH(1,($B$1:$W$1=$AB20)*($B$2:$W$2=$AC20),0))</f>
        <v>1</v>
      </c>
      <c r="IS20" t="b" cm="1">
        <f t="array" ref="IS20">INDEX($B$1:$W$193,MATCH(IS$1,$B$1:$B$193,0),MATCH(1,($B$1:$W$1=$AB20)*($B$2:$W$2=$AC20),0))</f>
        <v>1</v>
      </c>
      <c r="IT20" t="b" cm="1">
        <f t="array" ref="IT20">INDEX($B$1:$W$193,MATCH(IT$1,$B$1:$B$193,0),MATCH(1,($B$1:$W$1=$AB20)*($B$2:$W$2=$AC20),0))</f>
        <v>1</v>
      </c>
      <c r="IU20" t="b" cm="1">
        <f t="array" ref="IU20">INDEX($B$1:$W$193,MATCH(IU$1,$B$1:$B$193,0),MATCH(1,($B$1:$W$1=$AB20)*($B$2:$W$2=$AC20),0))</f>
        <v>1</v>
      </c>
      <c r="IV20" t="b" cm="1">
        <f t="array" ref="IV20">INDEX($B$1:$W$193,MATCH(IV$1,$B$1:$B$193,0),MATCH(1,($B$1:$W$1=$AB20)*($B$2:$W$2=$AC20),0))</f>
        <v>1</v>
      </c>
      <c r="IW20" t="b" cm="1">
        <f t="array" ref="IW20">INDEX($B$1:$W$193,MATCH(IW$1,$B$1:$B$193,0),MATCH(1,($B$1:$W$1=$AB20)*($B$2:$W$2=$AC20),0))</f>
        <v>1</v>
      </c>
      <c r="IX20" t="b" cm="1">
        <f t="array" ref="IX20">INDEX($B$1:$W$193,MATCH(IX$1,$B$1:$B$193,0),MATCH(1,($B$1:$W$1=$AB20)*($B$2:$W$2=$AC20),0))</f>
        <v>1</v>
      </c>
      <c r="IY20" t="b" cm="1">
        <f t="array" ref="IY20">INDEX($B$1:$W$193,MATCH(IY$1,$B$1:$B$193,0),MATCH(1,($B$1:$W$1=$AB20)*($B$2:$W$2=$AC20),0))</f>
        <v>1</v>
      </c>
      <c r="IZ20" t="b" cm="1">
        <f t="array" ref="IZ20">INDEX($B$1:$W$193,MATCH(IZ$1,$B$1:$B$193,0),MATCH(1,($B$1:$W$1=$AB20)*($B$2:$W$2=$AC20),0))</f>
        <v>1</v>
      </c>
      <c r="JA20" t="b" cm="1">
        <f t="array" ref="JA20">INDEX($B$1:$W$193,MATCH(JA$1,$B$1:$B$193,0),MATCH(1,($B$1:$W$1=$AB20)*($B$2:$W$2=$AC20),0))</f>
        <v>1</v>
      </c>
      <c r="JB20" t="b" cm="1">
        <f t="array" ref="JB20">INDEX($B$1:$W$193,MATCH(JB$1,$B$1:$B$193,0),MATCH(1,($B$1:$W$1=$AB20)*($B$2:$W$2=$AC20),0))</f>
        <v>1</v>
      </c>
      <c r="JC20" t="b" cm="1">
        <f t="array" ref="JC20">INDEX($B$1:$W$193,MATCH(JC$1,$B$1:$B$193,0),MATCH(1,($B$1:$W$1=$AB20)*($B$2:$W$2=$AC20),0))</f>
        <v>1</v>
      </c>
      <c r="JD20" t="b" cm="1">
        <f t="array" ref="JD20">INDEX($B$1:$W$193,MATCH(JD$1,$B$1:$B$193,0),MATCH(1,($B$1:$W$1=$AB20)*($B$2:$W$2=$AC20),0))</f>
        <v>1</v>
      </c>
      <c r="JE20" t="b" cm="1">
        <f t="array" ref="JE20">INDEX($B$1:$W$193,MATCH(JE$1,$B$1:$B$193,0),MATCH(1,($B$1:$W$1=$AB20)*($B$2:$W$2=$AC20),0))</f>
        <v>1</v>
      </c>
      <c r="JF20" t="b" cm="1">
        <f t="array" ref="JF20">INDEX($B$1:$W$193,MATCH(JF$1,$B$1:$B$193,0),MATCH(1,($B$1:$W$1=$AB20)*($B$2:$W$2=$AC20),0))</f>
        <v>1</v>
      </c>
      <c r="JG20" t="b" cm="1">
        <f t="array" ref="JG20">INDEX($B$1:$W$193,MATCH(JG$1,$B$1:$B$193,0),MATCH(1,($B$1:$W$1=$AB20)*($B$2:$W$2=$AC20),0))</f>
        <v>1</v>
      </c>
      <c r="JH20" t="b" cm="1">
        <f t="array" ref="JH20">INDEX($B$1:$W$193,MATCH(JH$1,$B$1:$B$193,0),MATCH(1,($B$1:$W$1=$AB20)*($B$2:$W$2=$AC20),0))</f>
        <v>1</v>
      </c>
    </row>
    <row r="21" spans="1:268" x14ac:dyDescent="0.25">
      <c r="A21" t="s">
        <v>164</v>
      </c>
      <c r="B21" s="51">
        <v>28</v>
      </c>
      <c r="C21">
        <v>3</v>
      </c>
      <c r="D21">
        <v>4</v>
      </c>
      <c r="E21" t="b">
        <f t="shared" si="1"/>
        <v>1</v>
      </c>
      <c r="F21" t="b">
        <f t="shared" si="1"/>
        <v>1</v>
      </c>
      <c r="G21" t="b">
        <f t="shared" si="1"/>
        <v>1</v>
      </c>
      <c r="H21" t="b">
        <f t="shared" si="1"/>
        <v>1</v>
      </c>
      <c r="I21" t="b">
        <f t="shared" si="1"/>
        <v>0</v>
      </c>
      <c r="J21" t="b">
        <f t="shared" si="1"/>
        <v>0</v>
      </c>
      <c r="K21" t="b">
        <f t="shared" si="1"/>
        <v>1</v>
      </c>
      <c r="L21" t="b">
        <f t="shared" si="1"/>
        <v>1</v>
      </c>
      <c r="M21" t="b">
        <f t="shared" si="1"/>
        <v>1</v>
      </c>
      <c r="N21" t="b">
        <f t="shared" si="1"/>
        <v>1</v>
      </c>
      <c r="O21" t="b">
        <f t="shared" si="1"/>
        <v>0</v>
      </c>
      <c r="P21" t="b">
        <f t="shared" si="1"/>
        <v>0</v>
      </c>
      <c r="Q21" t="b">
        <v>1</v>
      </c>
      <c r="R21" t="b" cm="1">
        <f t="array" ref="R21">_xlfn.IFS(C21=1,FALSE,OR(C21=2,C21&gt;2),TRUE)</f>
        <v>1</v>
      </c>
      <c r="S21" t="b" cm="1">
        <f t="array" ref="S21">_xlfn.IFS(OR(C21=1,C21=2),FALSE,OR(C21=3,C21&gt;3),TRUE)</f>
        <v>1</v>
      </c>
      <c r="T21" t="str">
        <f t="shared" si="2"/>
        <v>TRUE</v>
      </c>
      <c r="U21" t="str">
        <f t="shared" si="3"/>
        <v>TRUE</v>
      </c>
      <c r="V21" t="str">
        <f t="shared" si="4"/>
        <v>FALSE</v>
      </c>
      <c r="W21" t="b" cm="1">
        <f t="array" ref="W21">_xlfn.IFS(H21=1,FALSE,OR(H21=2,H21&gt;2),TRUE)</f>
        <v>1</v>
      </c>
      <c r="X21" t="b" cm="1">
        <f t="array" ref="X21">_xlfn.IFS(H21=1,FALSE,OR(H21=2,H21&gt;2),TRUE)</f>
        <v>1</v>
      </c>
      <c r="Y21" t="b" cm="1">
        <f t="array" ref="Y21">_xlfn.IFS(H21=1,FALSE,OR(H21=2,H21&gt;2),TRUE)</f>
        <v>1</v>
      </c>
      <c r="AB21" t="s">
        <v>0</v>
      </c>
      <c r="AC21" t="s">
        <v>162</v>
      </c>
      <c r="AD21" t="b" cm="1">
        <f t="array" ref="AD21">INDEX($B$1:$Y$193,MATCH(AD$1,$B$1:$B$193,0),MATCH(1,($B$1:$Y$1=$AB21)*($B$2:$Y$2=$AC21),0))</f>
        <v>1</v>
      </c>
      <c r="AE21" t="b" cm="1">
        <f t="array" ref="AE21">INDEX($B$1:$Y$193,MATCH(AE$1,$B$1:$B$193,0),MATCH(1,($B$1:$Y$1=$AB21)*($B$2:$Y$2=$AC21),0))</f>
        <v>1</v>
      </c>
      <c r="AF21" t="b" cm="1">
        <f t="array" ref="AF21">INDEX($B$1:$Y$193,MATCH(AF$1,$B$1:$B$193,0),MATCH(1,($B$1:$Y$1=$AB21)*($B$2:$Y$2=$AC21),0))</f>
        <v>1</v>
      </c>
      <c r="AG21" t="b" cm="1">
        <f t="array" ref="AG21">INDEX($B$1:$Y$193,MATCH(AG$1,$B$1:$B$193,0),MATCH(1,($B$1:$Y$1=$AB21)*($B$2:$Y$2=$AC21),0))</f>
        <v>1</v>
      </c>
      <c r="AH21" t="b" cm="1">
        <f t="array" ref="AH21">INDEX($B$1:$Y$193,MATCH(AH$1,$B$1:$B$193,0),MATCH(1,($B$1:$Y$1=$AB21)*($B$2:$Y$2=$AC21),0))</f>
        <v>1</v>
      </c>
      <c r="AI21" t="b" cm="1">
        <f t="array" ref="AI21">INDEX($B$1:$Y$193,MATCH(AI$1,$B$1:$B$193,0),MATCH(1,($B$1:$Y$1=$AB21)*($B$2:$Y$2=$AC21),0))</f>
        <v>1</v>
      </c>
      <c r="AJ21" t="b" cm="1">
        <f t="array" ref="AJ21">INDEX($B$1:$Y$193,MATCH(AJ$1,$B$1:$B$193,0),MATCH(1,($B$1:$Y$1=$AB21)*($B$2:$Y$2=$AC21),0))</f>
        <v>1</v>
      </c>
      <c r="AK21" t="b" cm="1">
        <f t="array" ref="AK21">INDEX($B$1:$Y$193,MATCH(AK$1,$B$1:$B$193,0),MATCH(1,($B$1:$Y$1=$AB21)*($B$2:$Y$2=$AC21),0))</f>
        <v>1</v>
      </c>
      <c r="AL21" t="b" cm="1">
        <f t="array" ref="AL21">INDEX($B$1:$Y$193,MATCH(AL$1,$B$1:$B$193,0),MATCH(1,($B$1:$Y$1=$AB21)*($B$2:$Y$2=$AC21),0))</f>
        <v>1</v>
      </c>
      <c r="AM21" t="b" cm="1">
        <f t="array" ref="AM21">INDEX($B$1:$Y$193,MATCH(AM$1,$B$1:$B$193,0),MATCH(1,($B$1:$Y$1=$AB21)*($B$2:$Y$2=$AC21),0))</f>
        <v>1</v>
      </c>
      <c r="AN21" t="b" cm="1">
        <f t="array" ref="AN21">INDEX($B$1:$Y$193,MATCH(AN$1,$B$1:$B$193,0),MATCH(1,($B$1:$Y$1=$AB21)*($B$2:$Y$2=$AC21),0))</f>
        <v>1</v>
      </c>
      <c r="AO21" t="b" cm="1">
        <f t="array" ref="AO21">INDEX($B$1:$Y$193,MATCH(AO$1,$B$1:$B$193,0),MATCH(1,($B$1:$Y$1=$AB21)*($B$2:$Y$2=$AC21),0))</f>
        <v>1</v>
      </c>
      <c r="AP21" t="b" cm="1">
        <f t="array" ref="AP21">INDEX($B$1:$Y$193,MATCH(AP$1,$B$1:$B$193,0),MATCH(1,($B$1:$Y$1=$AB21)*($B$2:$Y$2=$AC21),0))</f>
        <v>1</v>
      </c>
      <c r="AQ21" t="b" cm="1">
        <f t="array" ref="AQ21">INDEX($B$1:$Y$193,MATCH(AQ$1,$B$1:$B$193,0),MATCH(1,($B$1:$Y$1=$AB21)*($B$2:$Y$2=$AC21),0))</f>
        <v>1</v>
      </c>
      <c r="AR21" t="b" cm="1">
        <f t="array" ref="AR21">INDEX($B$1:$Y$193,MATCH(AR$1,$B$1:$B$193,0),MATCH(1,($B$1:$Y$1=$AB21)*($B$2:$Y$2=$AC21),0))</f>
        <v>1</v>
      </c>
      <c r="AS21" t="b" cm="1">
        <f t="array" ref="AS21">INDEX($B$1:$Y$193,MATCH(AS$1,$B$1:$B$193,0),MATCH(1,($B$1:$Y$1=$AB21)*($B$2:$Y$2=$AC21),0))</f>
        <v>1</v>
      </c>
      <c r="AT21" t="b" cm="1">
        <f t="array" ref="AT21">INDEX($B$1:$Y$193,MATCH(AT$1,$B$1:$B$193,0),MATCH(1,($B$1:$Y$1=$AB21)*($B$2:$Y$2=$AC21),0))</f>
        <v>1</v>
      </c>
      <c r="AU21" t="b" cm="1">
        <f t="array" ref="AU21">INDEX($B$1:$Y$193,MATCH(AU$1,$B$1:$B$193,0),MATCH(1,($B$1:$Y$1=$AB21)*($B$2:$Y$2=$AC21),0))</f>
        <v>1</v>
      </c>
      <c r="AV21" t="b" cm="1">
        <f t="array" ref="AV21">INDEX($B$1:$Y$193,MATCH(AV$1,$B$1:$B$193,0),MATCH(1,($B$1:$Y$1=$AB21)*($B$2:$Y$2=$AC21),0))</f>
        <v>1</v>
      </c>
      <c r="AW21" t="b" cm="1">
        <f t="array" ref="AW21">INDEX($B$1:$Y$193,MATCH(AW$1,$B$1:$B$193,0),MATCH(1,($B$1:$Y$1=$AB21)*($B$2:$Y$2=$AC21),0))</f>
        <v>1</v>
      </c>
      <c r="AX21" t="b" cm="1">
        <f t="array" ref="AX21">INDEX($B$1:$Y$193,MATCH(AX$1,$B$1:$B$193,0),MATCH(1,($B$1:$Y$1=$AB21)*($B$2:$Y$2=$AC21),0))</f>
        <v>1</v>
      </c>
      <c r="AY21" t="b" cm="1">
        <f t="array" ref="AY21">INDEX($B$1:$Y$193,MATCH(AY$1,$B$1:$B$193,0),MATCH(1,($B$1:$Y$1=$AB21)*($B$2:$Y$2=$AC21),0))</f>
        <v>1</v>
      </c>
      <c r="AZ21" t="b" cm="1">
        <f t="array" ref="AZ21">INDEX($B$1:$Y$193,MATCH(AZ$1,$B$1:$B$193,0),MATCH(1,($B$1:$Y$1=$AB21)*($B$2:$Y$2=$AC21),0))</f>
        <v>1</v>
      </c>
      <c r="BA21" t="b" cm="1">
        <f t="array" ref="BA21">INDEX($B$1:$Y$193,MATCH(BA$1,$B$1:$B$193,0),MATCH(1,($B$1:$Y$1=$AB21)*($B$2:$Y$2=$AC21),0))</f>
        <v>1</v>
      </c>
      <c r="BB21" t="b" cm="1">
        <f t="array" ref="BB21">INDEX($B$1:$Y$193,MATCH(BB$1,$B$1:$B$193,0),MATCH(1,($B$1:$Y$1=$AB21)*($B$2:$Y$2=$AC21),0))</f>
        <v>1</v>
      </c>
      <c r="BC21" t="b" cm="1">
        <f t="array" ref="BC21">INDEX($B$1:$Y$193,MATCH(BC$1,$B$1:$B$193,0),MATCH(1,($B$1:$Y$1=$AB21)*($B$2:$Y$2=$AC21),0))</f>
        <v>1</v>
      </c>
      <c r="BD21" t="b" cm="1">
        <f t="array" ref="BD21">INDEX($B$1:$Y$193,MATCH(BD$1,$B$1:$B$193,0),MATCH(1,($B$1:$Y$1=$AB21)*($B$2:$Y$2=$AC21),0))</f>
        <v>1</v>
      </c>
      <c r="BE21" t="b" cm="1">
        <f t="array" ref="BE21">INDEX($B$1:$Y$193,MATCH(BE$1,$B$1:$B$193,0),MATCH(1,($B$1:$Y$1=$AB21)*($B$2:$Y$2=$AC21),0))</f>
        <v>1</v>
      </c>
      <c r="BF21" t="b" cm="1">
        <f t="array" ref="BF21">INDEX($B$1:$Y$193,MATCH(BF$1,$B$1:$B$193,0),MATCH(1,($B$1:$Y$1=$AB21)*($B$2:$Y$2=$AC21),0))</f>
        <v>1</v>
      </c>
      <c r="BG21" t="b" cm="1">
        <f t="array" ref="BG21">INDEX($B$1:$Y$193,MATCH(BG$1,$B$1:$B$193,0),MATCH(1,($B$1:$Y$1=$AB21)*($B$2:$Y$2=$AC21),0))</f>
        <v>1</v>
      </c>
      <c r="BH21" t="b" cm="1">
        <f t="array" ref="BH21">INDEX($B$1:$Y$193,MATCH(BH$1,$B$1:$B$193,0),MATCH(1,($B$1:$Y$1=$AB21)*($B$2:$Y$2=$AC21),0))</f>
        <v>1</v>
      </c>
      <c r="BI21" t="b" cm="1">
        <f t="array" ref="BI21">INDEX($B$1:$Y$193,MATCH(BI$1,$B$1:$B$193,0),MATCH(1,($B$1:$Y$1=$AB21)*($B$2:$Y$2=$AC21),0))</f>
        <v>1</v>
      </c>
      <c r="BJ21" t="b" cm="1">
        <f t="array" ref="BJ21">INDEX($B$1:$Y$193,MATCH(BJ$1,$B$1:$B$193,0),MATCH(1,($B$1:$Y$1=$AB21)*($B$2:$Y$2=$AC21),0))</f>
        <v>1</v>
      </c>
      <c r="BK21" t="b" cm="1">
        <f t="array" ref="BK21">INDEX($B$1:$Y$193,MATCH(BK$1,$B$1:$B$193,0),MATCH(1,($B$1:$Y$1=$AB21)*($B$2:$Y$2=$AC21),0))</f>
        <v>1</v>
      </c>
      <c r="BL21" t="b" cm="1">
        <f t="array" ref="BL21">INDEX($B$1:$Y$193,MATCH(BL$1,$B$1:$B$193,0),MATCH(1,($B$1:$Y$1=$AB21)*($B$2:$Y$2=$AC21),0))</f>
        <v>1</v>
      </c>
      <c r="BM21" t="b" cm="1">
        <f t="array" ref="BM21">INDEX($B$1:$Y$193,MATCH(BM$1,$B$1:$B$193,0),MATCH(1,($B$1:$Y$1=$AB21)*($B$2:$Y$2=$AC21),0))</f>
        <v>1</v>
      </c>
      <c r="BN21" t="b" cm="1">
        <f t="array" ref="BN21">INDEX($B$1:$Y$193,MATCH(BN$1,$B$1:$B$193,0),MATCH(1,($B$1:$Y$1=$AB21)*($B$2:$Y$2=$AC21),0))</f>
        <v>1</v>
      </c>
      <c r="BO21" t="b" cm="1">
        <f t="array" ref="BO21">INDEX($B$1:$Y$193,MATCH(BO$1,$B$1:$B$193,0),MATCH(1,($B$1:$Y$1=$AB21)*($B$2:$Y$2=$AC21),0))</f>
        <v>1</v>
      </c>
      <c r="BP21" t="b" cm="1">
        <f t="array" ref="BP21">INDEX($B$1:$Y$193,MATCH(BP$1,$B$1:$B$193,0),MATCH(1,($B$1:$Y$1=$AB21)*($B$2:$Y$2=$AC21),0))</f>
        <v>1</v>
      </c>
      <c r="BQ21" t="b" cm="1">
        <f t="array" ref="BQ21">INDEX($B$1:$Y$193,MATCH(BQ$1,$B$1:$B$193,0),MATCH(1,($B$1:$Y$1=$AB21)*($B$2:$Y$2=$AC21),0))</f>
        <v>1</v>
      </c>
      <c r="BR21" t="b" cm="1">
        <f t="array" ref="BR21">INDEX($B$1:$Y$193,MATCH(BR$1,$B$1:$B$193,0),MATCH(1,($B$1:$Y$1=$AB21)*($B$2:$Y$2=$AC21),0))</f>
        <v>1</v>
      </c>
      <c r="BS21" t="b" cm="1">
        <f t="array" ref="BS21">INDEX($B$1:$Y$193,MATCH(BS$1,$B$1:$B$193,0),MATCH(1,($B$1:$Y$1=$AB21)*($B$2:$Y$2=$AC21),0))</f>
        <v>1</v>
      </c>
      <c r="BT21" t="b" cm="1">
        <f t="array" ref="BT21">INDEX($B$1:$Y$193,MATCH(BT$1,$B$1:$B$193,0),MATCH(1,($B$1:$Y$1=$AB21)*($B$2:$Y$2=$AC21),0))</f>
        <v>1</v>
      </c>
      <c r="BU21" t="b" cm="1">
        <f t="array" ref="BU21">INDEX($B$1:$Y$193,MATCH(BU$1,$B$1:$B$193,0),MATCH(1,($B$1:$Y$1=$AB21)*($B$2:$Y$2=$AC21),0))</f>
        <v>1</v>
      </c>
      <c r="BV21" t="b" cm="1">
        <f t="array" ref="BV21">INDEX($B$1:$Y$193,MATCH(BV$1,$B$1:$B$193,0),MATCH(1,($B$1:$Y$1=$AB21)*($B$2:$Y$2=$AC21),0))</f>
        <v>1</v>
      </c>
      <c r="BW21" t="b" cm="1">
        <f t="array" ref="BW21">INDEX($B$1:$Y$193,MATCH(BW$1,$B$1:$B$193,0),MATCH(1,($B$1:$Y$1=$AB21)*($B$2:$Y$2=$AC21),0))</f>
        <v>1</v>
      </c>
      <c r="BX21" t="b" cm="1">
        <f t="array" ref="BX21">INDEX($B$1:$Y$193,MATCH(BX$1,$B$1:$B$193,0),MATCH(1,($B$1:$Y$1=$AB21)*($B$2:$Y$2=$AC21),0))</f>
        <v>1</v>
      </c>
      <c r="BY21" t="b" cm="1">
        <f t="array" ref="BY21">INDEX($B$1:$Y$193,MATCH(BY$1,$B$1:$B$193,0),MATCH(1,($B$1:$Y$1=$AB21)*($B$2:$Y$2=$AC21),0))</f>
        <v>1</v>
      </c>
      <c r="BZ21" t="b" cm="1">
        <f t="array" ref="BZ21">INDEX($B$1:$Y$193,MATCH(BZ$1,$B$1:$B$193,0),MATCH(1,($B$1:$Y$1=$AB21)*($B$2:$Y$2=$AC21),0))</f>
        <v>1</v>
      </c>
      <c r="CA21" t="b" cm="1">
        <f t="array" ref="CA21">INDEX($B$1:$Y$193,MATCH(CA$1,$B$1:$B$193,0),MATCH(1,($B$1:$Y$1=$AB21)*($B$2:$Y$2=$AC21),0))</f>
        <v>1</v>
      </c>
      <c r="CB21" t="b" cm="1">
        <f t="array" ref="CB21">INDEX($B$1:$Y$193,MATCH(CB$1,$B$1:$B$193,0),MATCH(1,($B$1:$Y$1=$AB21)*($B$2:$Y$2=$AC21),0))</f>
        <v>1</v>
      </c>
      <c r="CC21" t="b" cm="1">
        <f t="array" ref="CC21">INDEX($B$1:$Y$193,MATCH(CC$1,$B$1:$B$193,0),MATCH(1,($B$1:$Y$1=$AB21)*($B$2:$Y$2=$AC21),0))</f>
        <v>1</v>
      </c>
      <c r="CD21" t="b" cm="1">
        <f t="array" ref="CD21">INDEX($B$1:$Y$193,MATCH(CD$1,$B$1:$B$193,0),MATCH(1,($B$1:$Y$1=$AB21)*($B$2:$Y$2=$AC21),0))</f>
        <v>1</v>
      </c>
      <c r="CE21" t="b" cm="1">
        <f t="array" ref="CE21">INDEX($B$1:$Y$193,MATCH(CE$1,$B$1:$B$193,0),MATCH(1,($B$1:$Y$1=$AB21)*($B$2:$Y$2=$AC21),0))</f>
        <v>1</v>
      </c>
      <c r="CF21" t="b" cm="1">
        <f t="array" ref="CF21">INDEX($B$1:$Y$193,MATCH(CF$1,$B$1:$B$193,0),MATCH(1,($B$1:$Y$1=$AB21)*($B$2:$Y$2=$AC21),0))</f>
        <v>1</v>
      </c>
      <c r="CG21" t="b" cm="1">
        <f t="array" ref="CG21">INDEX($B$1:$Y$193,MATCH(CG$1,$B$1:$B$193,0),MATCH(1,($B$1:$Y$1=$AB21)*($B$2:$Y$2=$AC21),0))</f>
        <v>1</v>
      </c>
      <c r="CH21" t="b" cm="1">
        <f t="array" ref="CH21">INDEX($B$1:$Y$193,MATCH(CH$1,$B$1:$B$193,0),MATCH(1,($B$1:$Y$1=$AB21)*($B$2:$Y$2=$AC21),0))</f>
        <v>1</v>
      </c>
      <c r="CI21" t="b" cm="1">
        <f t="array" ref="CI21">INDEX($B$1:$Y$193,MATCH(CI$1,$B$1:$B$193,0),MATCH(1,($B$1:$Y$1=$AB21)*($B$2:$Y$2=$AC21),0))</f>
        <v>1</v>
      </c>
      <c r="CJ21" t="b" cm="1">
        <f t="array" ref="CJ21">INDEX($B$1:$Y$193,MATCH(CJ$1,$B$1:$B$193,0),MATCH(1,($B$1:$Y$1=$AB21)*($B$2:$Y$2=$AC21),0))</f>
        <v>1</v>
      </c>
      <c r="CK21" t="b" cm="1">
        <f t="array" ref="CK21">INDEX($B$1:$Y$193,MATCH(CK$1,$B$1:$B$193,0),MATCH(1,($B$1:$Y$1=$AB21)*($B$2:$Y$2=$AC21),0))</f>
        <v>1</v>
      </c>
      <c r="CL21" t="b" cm="1">
        <f t="array" ref="CL21">INDEX($B$1:$Y$193,MATCH(CL$1,$B$1:$B$193,0),MATCH(1,($B$1:$Y$1=$AB21)*($B$2:$Y$2=$AC21),0))</f>
        <v>1</v>
      </c>
      <c r="CM21" t="b" cm="1">
        <f t="array" ref="CM21">INDEX($B$1:$Y$193,MATCH(CM$1,$B$1:$B$193,0),MATCH(1,($B$1:$Y$1=$AB21)*($B$2:$Y$2=$AC21),0))</f>
        <v>1</v>
      </c>
      <c r="CN21" t="b" cm="1">
        <f t="array" ref="CN21">INDEX($B$1:$Y$193,MATCH(CN$1,$B$1:$B$193,0),MATCH(1,($B$1:$Y$1=$AB21)*($B$2:$Y$2=$AC21),0))</f>
        <v>1</v>
      </c>
      <c r="CO21" t="b" cm="1">
        <f t="array" ref="CO21">INDEX($B$1:$Y$193,MATCH(CO$1,$B$1:$B$193,0),MATCH(1,($B$1:$Y$1=$AB21)*($B$2:$Y$2=$AC21),0))</f>
        <v>1</v>
      </c>
      <c r="CP21" t="b" cm="1">
        <f t="array" ref="CP21">INDEX($B$1:$Y$193,MATCH(CP$1,$B$1:$B$193,0),MATCH(1,($B$1:$Y$1=$AB21)*($B$2:$Y$2=$AC21),0))</f>
        <v>1</v>
      </c>
      <c r="CQ21" t="b" cm="1">
        <f t="array" ref="CQ21">INDEX($B$1:$Y$193,MATCH(CQ$1,$B$1:$B$193,0),MATCH(1,($B$1:$Y$1=$AB21)*($B$2:$Y$2=$AC21),0))</f>
        <v>1</v>
      </c>
      <c r="CR21" t="b" cm="1">
        <f t="array" ref="CR21">INDEX($B$1:$Y$193,MATCH(CR$1,$B$1:$B$193,0),MATCH(1,($B$1:$Y$1=$AB21)*($B$2:$Y$2=$AC21),0))</f>
        <v>1</v>
      </c>
      <c r="CS21" t="b" cm="1">
        <f t="array" ref="CS21">INDEX($B$1:$Y$193,MATCH(CS$1,$B$1:$B$193,0),MATCH(1,($B$1:$Y$1=$AB21)*($B$2:$Y$2=$AC21),0))</f>
        <v>1</v>
      </c>
      <c r="CT21" t="b" cm="1">
        <f t="array" ref="CT21">INDEX($B$1:$Y$193,MATCH(CT$1,$B$1:$B$193,0),MATCH(1,($B$1:$Y$1=$AB21)*($B$2:$Y$2=$AC21),0))</f>
        <v>1</v>
      </c>
      <c r="CU21" t="b" cm="1">
        <f t="array" ref="CU21">INDEX($B$1:$Y$193,MATCH(CU$1,$B$1:$B$193,0),MATCH(1,($B$1:$Y$1=$AB21)*($B$2:$Y$2=$AC21),0))</f>
        <v>1</v>
      </c>
      <c r="CV21" t="b" cm="1">
        <f t="array" ref="CV21">INDEX($B$1:$Y$193,MATCH(CV$1,$B$1:$B$193,0),MATCH(1,($B$1:$Y$1=$AB21)*($B$2:$Y$2=$AC21),0))</f>
        <v>1</v>
      </c>
      <c r="CW21" t="b" cm="1">
        <f t="array" ref="CW21">INDEX($B$1:$Y$193,MATCH(CW$1,$B$1:$B$193,0),MATCH(1,($B$1:$Y$1=$AB21)*($B$2:$Y$2=$AC21),0))</f>
        <v>1</v>
      </c>
      <c r="CX21" t="b" cm="1">
        <f t="array" ref="CX21">INDEX($B$1:$Y$193,MATCH(CX$1,$B$1:$B$193,0),MATCH(1,($B$1:$Y$1=$AB21)*($B$2:$Y$2=$AC21),0))</f>
        <v>1</v>
      </c>
      <c r="CY21" t="b" cm="1">
        <f t="array" ref="CY21">INDEX($B$1:$Y$193,MATCH(CY$1,$B$1:$B$193,0),MATCH(1,($B$1:$Y$1=$AB21)*($B$2:$Y$2=$AC21),0))</f>
        <v>1</v>
      </c>
      <c r="CZ21" t="b" cm="1">
        <f t="array" ref="CZ21">INDEX($B$1:$Y$193,MATCH(CZ$1,$B$1:$B$193,0),MATCH(1,($B$1:$Y$1=$AB21)*($B$2:$Y$2=$AC21),0))</f>
        <v>1</v>
      </c>
      <c r="DA21" t="b" cm="1">
        <f t="array" ref="DA21">INDEX($B$1:$Y$193,MATCH(DA$1,$B$1:$B$193,0),MATCH(1,($B$1:$Y$1=$AB21)*($B$2:$Y$2=$AC21),0))</f>
        <v>1</v>
      </c>
      <c r="DB21" t="b" cm="1">
        <f t="array" ref="DB21">INDEX($B$1:$Y$193,MATCH(DB$1,$B$1:$B$193,0),MATCH(1,($B$1:$Y$1=$AB21)*($B$2:$Y$2=$AC21),0))</f>
        <v>1</v>
      </c>
      <c r="DC21" t="b" cm="1">
        <f t="array" ref="DC21">INDEX($B$1:$Y$193,MATCH(DC$1,$B$1:$B$193,0),MATCH(1,($B$1:$Y$1=$AB21)*($B$2:$Y$2=$AC21),0))</f>
        <v>1</v>
      </c>
      <c r="DD21" t="b" cm="1">
        <f t="array" ref="DD21">INDEX($B$1:$Y$193,MATCH(DD$1,$B$1:$B$193,0),MATCH(1,($B$1:$Y$1=$AB21)*($B$2:$Y$2=$AC21),0))</f>
        <v>1</v>
      </c>
      <c r="DE21" t="b" cm="1">
        <f t="array" ref="DE21">INDEX($B$1:$Y$193,MATCH(DE$1,$B$1:$B$193,0),MATCH(1,($B$1:$Y$1=$AB21)*($B$2:$Y$2=$AC21),0))</f>
        <v>1</v>
      </c>
      <c r="DF21" t="b" cm="1">
        <f t="array" ref="DF21">INDEX($B$1:$Y$193,MATCH(DF$1,$B$1:$B$193,0),MATCH(1,($B$1:$Y$1=$AB21)*($B$2:$Y$2=$AC21),0))</f>
        <v>1</v>
      </c>
      <c r="DG21" t="b" cm="1">
        <f t="array" ref="DG21">INDEX($B$1:$Y$193,MATCH(DG$1,$B$1:$B$193,0),MATCH(1,($B$1:$Y$1=$AB21)*($B$2:$Y$2=$AC21),0))</f>
        <v>1</v>
      </c>
      <c r="DH21" t="b" cm="1">
        <f t="array" ref="DH21">INDEX($B$1:$Y$193,MATCH(DH$1,$B$1:$B$193,0),MATCH(1,($B$1:$Y$1=$AB21)*($B$2:$Y$2=$AC21),0))</f>
        <v>1</v>
      </c>
      <c r="DI21" t="b" cm="1">
        <f t="array" ref="DI21">INDEX($B$1:$Y$193,MATCH(DI$1,$B$1:$B$193,0),MATCH(1,($B$1:$Y$1=$AB21)*($B$2:$Y$2=$AC21),0))</f>
        <v>1</v>
      </c>
      <c r="DJ21" t="b" cm="1">
        <f t="array" ref="DJ21">INDEX($B$1:$Y$193,MATCH(DJ$1,$B$1:$B$193,0),MATCH(1,($B$1:$Y$1=$AB21)*($B$2:$Y$2=$AC21),0))</f>
        <v>1</v>
      </c>
      <c r="DK21" t="b" cm="1">
        <f t="array" ref="DK21">INDEX($B$1:$Y$193,MATCH(DK$1,$B$1:$B$193,0),MATCH(1,($B$1:$Y$1=$AB21)*($B$2:$Y$2=$AC21),0))</f>
        <v>1</v>
      </c>
      <c r="DL21" t="b" cm="1">
        <f t="array" ref="DL21">INDEX($B$1:$Y$193,MATCH(DL$1,$B$1:$B$193,0),MATCH(1,($B$1:$Y$1=$AB21)*($B$2:$Y$2=$AC21),0))</f>
        <v>1</v>
      </c>
      <c r="DM21" t="b" cm="1">
        <f t="array" ref="DM21">INDEX($B$1:$Y$193,MATCH(DM$1,$B$1:$B$193,0),MATCH(1,($B$1:$Y$1=$AB21)*($B$2:$Y$2=$AC21),0))</f>
        <v>1</v>
      </c>
      <c r="DN21" t="b" cm="1">
        <f t="array" ref="DN21">INDEX($B$1:$Y$193,MATCH(DN$1,$B$1:$B$193,0),MATCH(1,($B$1:$Y$1=$AB21)*($B$2:$Y$2=$AC21),0))</f>
        <v>1</v>
      </c>
      <c r="DO21" t="b" cm="1">
        <f t="array" ref="DO21">INDEX($B$1:$Y$193,MATCH(DO$1,$B$1:$B$193,0),MATCH(1,($B$1:$Y$1=$AB21)*($B$2:$Y$2=$AC21),0))</f>
        <v>1</v>
      </c>
      <c r="DP21" t="b" cm="1">
        <f t="array" ref="DP21">INDEX($B$1:$Y$193,MATCH(DP$1,$B$1:$B$193,0),MATCH(1,($B$1:$Y$1=$AB21)*($B$2:$Y$2=$AC21),0))</f>
        <v>1</v>
      </c>
      <c r="DQ21" t="b" cm="1">
        <f t="array" ref="DQ21">INDEX($B$1:$Y$193,MATCH(DQ$1,$B$1:$B$193,0),MATCH(1,($B$1:$Y$1=$AB21)*($B$2:$Y$2=$AC21),0))</f>
        <v>1</v>
      </c>
      <c r="DR21" t="b" cm="1">
        <f t="array" ref="DR21">INDEX($B$1:$Y$193,MATCH(DR$1,$B$1:$B$193,0),MATCH(1,($B$1:$Y$1=$AB21)*($B$2:$Y$2=$AC21),0))</f>
        <v>1</v>
      </c>
      <c r="DS21" t="b" cm="1">
        <f t="array" ref="DS21">INDEX($B$1:$Y$193,MATCH(DS$1,$B$1:$B$193,0),MATCH(1,($B$1:$Y$1=$AB21)*($B$2:$Y$2=$AC21),0))</f>
        <v>1</v>
      </c>
      <c r="DT21" t="b" cm="1">
        <f t="array" ref="DT21">INDEX($B$1:$Y$193,MATCH(DT$1,$B$1:$B$193,0),MATCH(1,($B$1:$Y$1=$AB21)*($B$2:$Y$2=$AC21),0))</f>
        <v>1</v>
      </c>
      <c r="DU21" t="b" cm="1">
        <f t="array" ref="DU21">INDEX($B$1:$Y$193,MATCH(DU$1,$B$1:$B$193,0),MATCH(1,($B$1:$Y$1=$AB21)*($B$2:$Y$2=$AC21),0))</f>
        <v>1</v>
      </c>
      <c r="DV21" t="b" cm="1">
        <f t="array" ref="DV21">INDEX($B$1:$Y$193,MATCH(DV$1,$B$1:$B$193,0),MATCH(1,($B$1:$Y$1=$AB21)*($B$2:$Y$2=$AC21),0))</f>
        <v>1</v>
      </c>
      <c r="DW21" t="b" cm="1">
        <f t="array" ref="DW21">INDEX($B$1:$Y$193,MATCH(DW$1,$B$1:$B$193,0),MATCH(1,($B$1:$Y$1=$AB21)*($B$2:$Y$2=$AC21),0))</f>
        <v>1</v>
      </c>
      <c r="DX21" t="b" cm="1">
        <f t="array" ref="DX21">INDEX($B$1:$Y$193,MATCH(DX$1,$B$1:$B$193,0),MATCH(1,($B$1:$Y$1=$AB21)*($B$2:$Y$2=$AC21),0))</f>
        <v>1</v>
      </c>
      <c r="DY21" t="b" cm="1">
        <f t="array" ref="DY21">INDEX($B$1:$Y$193,MATCH(DY$1,$B$1:$B$193,0),MATCH(1,($B$1:$Y$1=$AB21)*($B$2:$Y$2=$AC21),0))</f>
        <v>1</v>
      </c>
      <c r="DZ21" t="b" cm="1">
        <f t="array" ref="DZ21">INDEX($B$1:$Y$193,MATCH(DZ$1,$B$1:$B$193,0),MATCH(1,($B$1:$Y$1=$AB21)*($B$2:$Y$2=$AC21),0))</f>
        <v>1</v>
      </c>
      <c r="EA21" t="b" cm="1">
        <f t="array" ref="EA21">INDEX($B$1:$Y$193,MATCH(EA$1,$B$1:$B$193,0),MATCH(1,($B$1:$Y$1=$AB21)*($B$2:$Y$2=$AC21),0))</f>
        <v>1</v>
      </c>
      <c r="EB21" t="b" cm="1">
        <f t="array" ref="EB21">INDEX($B$1:$Y$193,MATCH(EB$1,$B$1:$B$193,0),MATCH(1,($B$1:$Y$1=$AB21)*($B$2:$Y$2=$AC21),0))</f>
        <v>1</v>
      </c>
      <c r="EC21" t="b" cm="1">
        <f t="array" ref="EC21">INDEX($B$1:$Y$193,MATCH(EC$1,$B$1:$B$193,0),MATCH(1,($B$1:$Y$1=$AB21)*($B$2:$Y$2=$AC21),0))</f>
        <v>1</v>
      </c>
      <c r="ED21" t="b" cm="1">
        <f t="array" ref="ED21">INDEX($B$1:$Y$193,MATCH(ED$1,$B$1:$B$193,0),MATCH(1,($B$1:$Y$1=$AB21)*($B$2:$Y$2=$AC21),0))</f>
        <v>1</v>
      </c>
      <c r="EE21" t="b" cm="1">
        <f t="array" ref="EE21">INDEX($B$1:$Y$193,MATCH(EE$1,$B$1:$B$193,0),MATCH(1,($B$1:$Y$1=$AB21)*($B$2:$Y$2=$AC21),0))</f>
        <v>1</v>
      </c>
      <c r="EF21" t="b" cm="1">
        <f t="array" ref="EF21">INDEX($B$1:$Y$193,MATCH(EF$1,$B$1:$B$193,0),MATCH(1,($B$1:$Y$1=$AB21)*($B$2:$Y$2=$AC21),0))</f>
        <v>1</v>
      </c>
      <c r="EG21" t="b" cm="1">
        <f t="array" ref="EG21">INDEX($B$1:$Y$193,MATCH(EG$1,$B$1:$B$193,0),MATCH(1,($B$1:$Y$1=$AB21)*($B$2:$Y$2=$AC21),0))</f>
        <v>1</v>
      </c>
      <c r="EH21" t="b" cm="1">
        <f t="array" ref="EH21">INDEX($B$1:$Y$193,MATCH(EH$1,$B$1:$B$193,0),MATCH(1,($B$1:$Y$1=$AB21)*($B$2:$Y$2=$AC21),0))</f>
        <v>1</v>
      </c>
      <c r="EI21" t="b" cm="1">
        <f t="array" ref="EI21">INDEX($B$1:$Y$193,MATCH(EI$1,$B$1:$B$193,0),MATCH(1,($B$1:$Y$1=$AB21)*($B$2:$Y$2=$AC21),0))</f>
        <v>1</v>
      </c>
      <c r="EJ21" t="b" cm="1">
        <f t="array" ref="EJ21">INDEX($B$1:$Y$193,MATCH(EJ$1,$B$1:$B$193,0),MATCH(1,($B$1:$Y$1=$AB21)*($B$2:$Y$2=$AC21),0))</f>
        <v>1</v>
      </c>
      <c r="EK21" t="b" cm="1">
        <f t="array" ref="EK21">INDEX($B$1:$Y$193,MATCH(EK$1,$B$1:$B$193,0),MATCH(1,($B$1:$Y$1=$AB21)*($B$2:$Y$2=$AC21),0))</f>
        <v>1</v>
      </c>
      <c r="EL21" t="b" cm="1">
        <f t="array" ref="EL21">INDEX($B$1:$Y$193,MATCH(EL$1,$B$1:$B$193,0),MATCH(1,($B$1:$Y$1=$AB21)*($B$2:$Y$2=$AC21),0))</f>
        <v>1</v>
      </c>
      <c r="EM21" t="b" cm="1">
        <f t="array" ref="EM21">INDEX($B$1:$Y$193,MATCH(EM$1,$B$1:$B$193,0),MATCH(1,($B$1:$Y$1=$AB21)*($B$2:$Y$2=$AC21),0))</f>
        <v>1</v>
      </c>
      <c r="EN21" t="b" cm="1">
        <f t="array" ref="EN21">INDEX($B$1:$Y$193,MATCH(EN$1,$B$1:$B$193,0),MATCH(1,($B$1:$Y$1=$AB21)*($B$2:$Y$2=$AC21),0))</f>
        <v>1</v>
      </c>
      <c r="EO21" t="b" cm="1">
        <f t="array" ref="EO21">INDEX($B$1:$Y$193,MATCH(EO$1,$B$1:$B$193,0),MATCH(1,($B$1:$Y$1=$AB21)*($B$2:$Y$2=$AC21),0))</f>
        <v>1</v>
      </c>
      <c r="EP21" t="b" cm="1">
        <f t="array" ref="EP21">INDEX($B$1:$Y$193,MATCH(EP$1,$B$1:$B$193,0),MATCH(1,($B$1:$Y$1=$AB21)*($B$2:$Y$2=$AC21),0))</f>
        <v>1</v>
      </c>
      <c r="EQ21" t="b" cm="1">
        <f t="array" ref="EQ21">INDEX($B$1:$Y$193,MATCH(EQ$1,$B$1:$B$193,0),MATCH(1,($B$1:$Y$1=$AB21)*($B$2:$Y$2=$AC21),0))</f>
        <v>1</v>
      </c>
      <c r="ER21" t="b" cm="1">
        <f t="array" ref="ER21">INDEX($B$1:$Y$193,MATCH(ER$1,$B$1:$B$193,0),MATCH(1,($B$1:$Y$1=$AB21)*($B$2:$Y$2=$AC21),0))</f>
        <v>1</v>
      </c>
      <c r="ES21" t="b" cm="1">
        <f t="array" ref="ES21">INDEX($B$1:$Y$193,MATCH(ES$1,$B$1:$B$193,0),MATCH(1,($B$1:$Y$1=$AB21)*($B$2:$Y$2=$AC21),0))</f>
        <v>1</v>
      </c>
      <c r="ET21" t="b" cm="1">
        <f t="array" ref="ET21">INDEX($B$1:$Y$193,MATCH(ET$1,$B$1:$B$193,0),MATCH(1,($B$1:$Y$1=$AB21)*($B$2:$Y$2=$AC21),0))</f>
        <v>1</v>
      </c>
      <c r="EU21" t="b" cm="1">
        <f t="array" ref="EU21">INDEX($B$1:$Y$193,MATCH(EU$1,$B$1:$B$193,0),MATCH(1,($B$1:$Y$1=$AB21)*($B$2:$Y$2=$AC21),0))</f>
        <v>1</v>
      </c>
      <c r="EV21" t="b" cm="1">
        <f t="array" ref="EV21">INDEX($B$1:$Y$193,MATCH(EV$1,$B$1:$B$193,0),MATCH(1,($B$1:$Y$1=$AB21)*($B$2:$Y$2=$AC21),0))</f>
        <v>1</v>
      </c>
      <c r="EW21" t="b" cm="1">
        <f t="array" ref="EW21">INDEX($B$1:$Y$193,MATCH(EW$1,$B$1:$B$193,0),MATCH(1,($B$1:$Y$1=$AB21)*($B$2:$Y$2=$AC21),0))</f>
        <v>1</v>
      </c>
      <c r="EX21" t="b" cm="1">
        <f t="array" ref="EX21">INDEX($B$1:$Y$193,MATCH(EX$1,$B$1:$B$193,0),MATCH(1,($B$1:$Y$1=$AB21)*($B$2:$Y$2=$AC21),0))</f>
        <v>1</v>
      </c>
      <c r="EY21" t="b" cm="1">
        <f t="array" ref="EY21">INDEX($B$1:$Y$193,MATCH(EY$1,$B$1:$B$193,0),MATCH(1,($B$1:$Y$1=$AB21)*($B$2:$Y$2=$AC21),0))</f>
        <v>1</v>
      </c>
      <c r="EZ21" t="b" cm="1">
        <f t="array" ref="EZ21">INDEX($B$1:$Y$193,MATCH(EZ$1,$B$1:$B$193,0),MATCH(1,($B$1:$Y$1=$AB21)*($B$2:$Y$2=$AC21),0))</f>
        <v>1</v>
      </c>
      <c r="FA21" t="b" cm="1">
        <f t="array" ref="FA21">INDEX($B$1:$Y$193,MATCH(FA$1,$B$1:$B$193,0),MATCH(1,($B$1:$Y$1=$AB21)*($B$2:$Y$2=$AC21),0))</f>
        <v>1</v>
      </c>
      <c r="FB21" t="b" cm="1">
        <f t="array" ref="FB21">INDEX($B$1:$Y$193,MATCH(FB$1,$B$1:$B$193,0),MATCH(1,($B$1:$Y$1=$AB21)*($B$2:$Y$2=$AC21),0))</f>
        <v>1</v>
      </c>
      <c r="FC21" t="b" cm="1">
        <f t="array" ref="FC21">INDEX($B$1:$Y$193,MATCH(FC$1,$B$1:$B$193,0),MATCH(1,($B$1:$Y$1=$AB21)*($B$2:$Y$2=$AC21),0))</f>
        <v>1</v>
      </c>
      <c r="FD21" t="b" cm="1">
        <f t="array" ref="FD21">INDEX($B$1:$Y$193,MATCH(FD$1,$B$1:$B$193,0),MATCH(1,($B$1:$Y$1=$AB21)*($B$2:$Y$2=$AC21),0))</f>
        <v>1</v>
      </c>
      <c r="FE21" t="b" cm="1">
        <f t="array" ref="FE21">INDEX($B$1:$Y$193,MATCH(FE$1,$B$1:$B$193,0),MATCH(1,($B$1:$Y$1=$AB21)*($B$2:$Y$2=$AC21),0))</f>
        <v>1</v>
      </c>
      <c r="FF21" t="b" cm="1">
        <f t="array" ref="FF21">INDEX($B$1:$Y$193,MATCH(FF$1,$B$1:$B$193,0),MATCH(1,($B$1:$Y$1=$AB21)*($B$2:$Y$2=$AC21),0))</f>
        <v>1</v>
      </c>
      <c r="FG21" t="b" cm="1">
        <f t="array" ref="FG21">INDEX($B$1:$Y$193,MATCH(FG$1,$B$1:$B$193,0),MATCH(1,($B$1:$Y$1=$AB21)*($B$2:$Y$2=$AC21),0))</f>
        <v>1</v>
      </c>
      <c r="FH21" t="b" cm="1">
        <f t="array" ref="FH21">INDEX($B$1:$Y$193,MATCH(FH$1,$B$1:$B$193,0),MATCH(1,($B$1:$Y$1=$AB21)*($B$2:$Y$2=$AC21),0))</f>
        <v>1</v>
      </c>
      <c r="FI21" t="b" cm="1">
        <f t="array" ref="FI21">INDEX($B$1:$Y$193,MATCH(FI$1,$B$1:$B$193,0),MATCH(1,($B$1:$Y$1=$AB21)*($B$2:$Y$2=$AC21),0))</f>
        <v>1</v>
      </c>
      <c r="FJ21" t="b" cm="1">
        <f t="array" ref="FJ21">INDEX($B$1:$Y$193,MATCH(FJ$1,$B$1:$B$193,0),MATCH(1,($B$1:$Y$1=$AB21)*($B$2:$Y$2=$AC21),0))</f>
        <v>1</v>
      </c>
      <c r="FK21" t="b" cm="1">
        <f t="array" ref="FK21">INDEX($B$1:$Y$193,MATCH(FK$1,$B$1:$B$193,0),MATCH(1,($B$1:$Y$1=$AB21)*($B$2:$Y$2=$AC21),0))</f>
        <v>1</v>
      </c>
      <c r="FL21" t="b" cm="1">
        <f t="array" ref="FL21">INDEX($B$1:$Y$193,MATCH(FL$1,$B$1:$B$193,0),MATCH(1,($B$1:$Y$1=$AB21)*($B$2:$Y$2=$AC21),0))</f>
        <v>1</v>
      </c>
      <c r="FM21" t="b" cm="1">
        <f t="array" ref="FM21">INDEX($B$1:$Y$193,MATCH(FM$1,$B$1:$B$193,0),MATCH(1,($B$1:$Y$1=$AB21)*($B$2:$Y$2=$AC21),0))</f>
        <v>1</v>
      </c>
      <c r="FN21" t="b" cm="1">
        <f t="array" ref="FN21">INDEX($B$1:$Y$193,MATCH(FN$1,$B$1:$B$193,0),MATCH(1,($B$1:$Y$1=$AB21)*($B$2:$Y$2=$AC21),0))</f>
        <v>1</v>
      </c>
      <c r="FO21" t="b" cm="1">
        <f t="array" ref="FO21">INDEX($B$1:$Y$193,MATCH(FO$1,$B$1:$B$193,0),MATCH(1,($B$1:$Y$1=$AB21)*($B$2:$Y$2=$AC21),0))</f>
        <v>1</v>
      </c>
      <c r="FP21" t="b" cm="1">
        <f t="array" ref="FP21">INDEX($B$1:$Y$193,MATCH(FP$1,$B$1:$B$193,0),MATCH(1,($B$1:$Y$1=$AB21)*($B$2:$Y$2=$AC21),0))</f>
        <v>1</v>
      </c>
      <c r="FQ21" t="b" cm="1">
        <f t="array" ref="FQ21">INDEX($B$1:$Y$193,MATCH(FQ$1,$B$1:$B$193,0),MATCH(1,($B$1:$Y$1=$AB21)*($B$2:$Y$2=$AC21),0))</f>
        <v>1</v>
      </c>
      <c r="FR21" t="b" cm="1">
        <f t="array" ref="FR21">INDEX($B$1:$Y$193,MATCH(FR$1,$B$1:$B$193,0),MATCH(1,($B$1:$Y$1=$AB21)*($B$2:$Y$2=$AC21),0))</f>
        <v>1</v>
      </c>
      <c r="FS21" t="b" cm="1">
        <f t="array" ref="FS21">INDEX($B$1:$Y$193,MATCH(FS$1,$B$1:$B$193,0),MATCH(1,($B$1:$Y$1=$AB21)*($B$2:$Y$2=$AC21),0))</f>
        <v>1</v>
      </c>
      <c r="FT21" t="b" cm="1">
        <f t="array" ref="FT21">INDEX($B$1:$Y$193,MATCH(FT$1,$B$1:$B$193,0),MATCH(1,($B$1:$Y$1=$AB21)*($B$2:$Y$2=$AC21),0))</f>
        <v>1</v>
      </c>
      <c r="FU21" t="b" cm="1">
        <f t="array" ref="FU21">INDEX($B$1:$Y$193,MATCH(FU$1,$B$1:$B$193,0),MATCH(1,($B$1:$Y$1=$AB21)*($B$2:$Y$2=$AC21),0))</f>
        <v>1</v>
      </c>
      <c r="FV21" t="b" cm="1">
        <f t="array" ref="FV21">INDEX($B$1:$Y$193,MATCH(FV$1,$B$1:$B$193,0),MATCH(1,($B$1:$Y$1=$AB21)*($B$2:$Y$2=$AC21),0))</f>
        <v>1</v>
      </c>
      <c r="FW21" t="b" cm="1">
        <f t="array" ref="FW21">INDEX($B$1:$Y$193,MATCH(FW$1,$B$1:$B$193,0),MATCH(1,($B$1:$Y$1=$AB21)*($B$2:$Y$2=$AC21),0))</f>
        <v>1</v>
      </c>
      <c r="FX21" t="b" cm="1">
        <f t="array" ref="FX21">INDEX($B$1:$Y$193,MATCH(FX$1,$B$1:$B$193,0),MATCH(1,($B$1:$Y$1=$AB21)*($B$2:$Y$2=$AC21),0))</f>
        <v>1</v>
      </c>
      <c r="FY21" t="b" cm="1">
        <f t="array" ref="FY21">INDEX($B$1:$Y$193,MATCH(FY$1,$B$1:$B$193,0),MATCH(1,($B$1:$Y$1=$AB21)*($B$2:$Y$2=$AC21),0))</f>
        <v>1</v>
      </c>
      <c r="FZ21" t="b" cm="1">
        <f t="array" ref="FZ21">INDEX($B$1:$Y$193,MATCH(FZ$1,$B$1:$B$193,0),MATCH(1,($B$1:$Y$1=$AB21)*($B$2:$Y$2=$AC21),0))</f>
        <v>1</v>
      </c>
      <c r="GA21" t="b" cm="1">
        <f t="array" ref="GA21">INDEX($B$1:$Y$193,MATCH(GA$1,$B$1:$B$193,0),MATCH(1,($B$1:$Y$1=$AB21)*($B$2:$Y$2=$AC21),0))</f>
        <v>1</v>
      </c>
      <c r="GB21" t="b" cm="1">
        <f t="array" ref="GB21">INDEX($B$1:$Y$193,MATCH(GB$1,$B$1:$B$193,0),MATCH(1,($B$1:$Y$1=$AB21)*($B$2:$Y$2=$AC21),0))</f>
        <v>1</v>
      </c>
      <c r="GC21" t="b" cm="1">
        <f t="array" ref="GC21">INDEX($B$1:$Y$193,MATCH(GC$1,$B$1:$B$193,0),MATCH(1,($B$1:$Y$1=$AB21)*($B$2:$Y$2=$AC21),0))</f>
        <v>1</v>
      </c>
      <c r="GD21" t="b" cm="1">
        <f t="array" ref="GD21">INDEX($B$1:$Y$193,MATCH(GD$1,$B$1:$B$193,0),MATCH(1,($B$1:$Y$1=$AB21)*($B$2:$Y$2=$AC21),0))</f>
        <v>1</v>
      </c>
      <c r="GE21" t="b" cm="1">
        <f t="array" ref="GE21">INDEX($B$1:$Y$193,MATCH(GE$1,$B$1:$B$193,0),MATCH(1,($B$1:$Y$1=$AB21)*($B$2:$Y$2=$AC21),0))</f>
        <v>1</v>
      </c>
      <c r="GF21" t="b" cm="1">
        <f t="array" ref="GF21">INDEX($B$1:$Y$193,MATCH(GF$1,$B$1:$B$193,0),MATCH(1,($B$1:$Y$1=$AB21)*($B$2:$Y$2=$AC21),0))</f>
        <v>1</v>
      </c>
      <c r="GG21" t="b" cm="1">
        <f t="array" ref="GG21">INDEX($B$1:$Y$193,MATCH(GG$1,$B$1:$B$193,0),MATCH(1,($B$1:$Y$1=$AB21)*($B$2:$Y$2=$AC21),0))</f>
        <v>1</v>
      </c>
      <c r="GH21" t="b" cm="1">
        <f t="array" ref="GH21">INDEX($B$1:$Y$193,MATCH(GH$1,$B$1:$B$193,0),MATCH(1,($B$1:$Y$1=$AB21)*($B$2:$Y$2=$AC21),0))</f>
        <v>1</v>
      </c>
      <c r="GI21" t="b" cm="1">
        <f t="array" ref="GI21">INDEX($B$1:$Y$193,MATCH(GI$1,$B$1:$B$193,0),MATCH(1,($B$1:$Y$1=$AB21)*($B$2:$Y$2=$AC21),0))</f>
        <v>1</v>
      </c>
      <c r="GJ21" t="b" cm="1">
        <f t="array" ref="GJ21">INDEX($B$1:$Y$193,MATCH(GJ$1,$B$1:$B$193,0),MATCH(1,($B$1:$Y$1=$AB21)*($B$2:$Y$2=$AC21),0))</f>
        <v>1</v>
      </c>
      <c r="GK21" t="b" cm="1">
        <f t="array" ref="GK21">INDEX($B$1:$Y$193,MATCH(GK$1,$B$1:$B$193,0),MATCH(1,($B$1:$Y$1=$AB21)*($B$2:$Y$2=$AC21),0))</f>
        <v>1</v>
      </c>
      <c r="GL21" t="b" cm="1">
        <f t="array" ref="GL21">INDEX($B$1:$Y$193,MATCH(GL$1,$B$1:$B$193,0),MATCH(1,($B$1:$Y$1=$AB21)*($B$2:$Y$2=$AC21),0))</f>
        <v>1</v>
      </c>
      <c r="GM21" t="b" cm="1">
        <f t="array" ref="GM21">INDEX($B$1:$Y$193,MATCH(GM$1,$B$1:$B$193,0),MATCH(1,($B$1:$Y$1=$AB21)*($B$2:$Y$2=$AC21),0))</f>
        <v>1</v>
      </c>
      <c r="GN21" t="b" cm="1">
        <f t="array" ref="GN21">INDEX($B$1:$Y$193,MATCH(GN$1,$B$1:$B$193,0),MATCH(1,($B$1:$Y$1=$AB21)*($B$2:$Y$2=$AC21),0))</f>
        <v>1</v>
      </c>
      <c r="GO21" t="b" cm="1">
        <f t="array" ref="GO21">INDEX($B$1:$Y$193,MATCH(GO$1,$B$1:$B$193,0),MATCH(1,($B$1:$Y$1=$AB21)*($B$2:$Y$2=$AC21),0))</f>
        <v>1</v>
      </c>
      <c r="GP21" t="b" cm="1">
        <f t="array" ref="GP21">INDEX($B$1:$Y$193,MATCH(GP$1,$B$1:$B$193,0),MATCH(1,($B$1:$Y$1=$AB21)*($B$2:$Y$2=$AC21),0))</f>
        <v>1</v>
      </c>
      <c r="GQ21" t="b" cm="1">
        <f t="array" ref="GQ21">INDEX($B$1:$Y$193,MATCH(GQ$1,$B$1:$B$193,0),MATCH(1,($B$1:$Y$1=$AB21)*($B$2:$Y$2=$AC21),0))</f>
        <v>1</v>
      </c>
      <c r="GR21" t="b" cm="1">
        <f t="array" ref="GR21">INDEX($B$1:$Y$193,MATCH(GR$1,$B$1:$B$193,0),MATCH(1,($B$1:$Y$1=$AB21)*($B$2:$Y$2=$AC21),0))</f>
        <v>1</v>
      </c>
      <c r="GS21" t="b" cm="1">
        <f t="array" ref="GS21">INDEX($B$1:$Y$193,MATCH(GS$1,$B$1:$B$193,0),MATCH(1,($B$1:$Y$1=$AB21)*($B$2:$Y$2=$AC21),0))</f>
        <v>1</v>
      </c>
      <c r="GT21" t="b" cm="1">
        <f t="array" ref="GT21">INDEX($B$1:$Y$193,MATCH(GT$1,$B$1:$B$193,0),MATCH(1,($B$1:$Y$1=$AB21)*($B$2:$Y$2=$AC21),0))</f>
        <v>1</v>
      </c>
      <c r="GU21" t="b" cm="1">
        <f t="array" ref="GU21">INDEX($B$1:$Y$193,MATCH(GU$1,$B$1:$B$193,0),MATCH(1,($B$1:$Y$1=$AB21)*($B$2:$Y$2=$AC21),0))</f>
        <v>1</v>
      </c>
      <c r="GV21" t="b" cm="1">
        <f t="array" ref="GV21">INDEX($B$1:$Y$193,MATCH(GV$1,$B$1:$B$193,0),MATCH(1,($B$1:$Y$1=$AB21)*($B$2:$Y$2=$AC21),0))</f>
        <v>1</v>
      </c>
      <c r="GW21" t="b" cm="1">
        <f t="array" ref="GW21">INDEX($B$1:$Y$193,MATCH(GW$1,$B$1:$B$193,0),MATCH(1,($B$1:$Y$1=$AB21)*($B$2:$Y$2=$AC21),0))</f>
        <v>1</v>
      </c>
      <c r="GX21" t="b" cm="1">
        <f t="array" ref="GX21">INDEX($B$1:$Y$193,MATCH(GX$1,$B$1:$B$193,0),MATCH(1,($B$1:$Y$1=$AB21)*($B$2:$Y$2=$AC21),0))</f>
        <v>1</v>
      </c>
      <c r="GY21" t="b" cm="1">
        <f t="array" ref="GY21">INDEX($B$1:$Y$193,MATCH(GY$1,$B$1:$B$193,0),MATCH(1,($B$1:$Y$1=$AB21)*($B$2:$Y$2=$AC21),0))</f>
        <v>1</v>
      </c>
      <c r="GZ21" t="b" cm="1">
        <f t="array" ref="GZ21">INDEX($B$1:$Y$193,MATCH(GZ$1,$B$1:$B$193,0),MATCH(1,($B$1:$Y$1=$AB21)*($B$2:$Y$2=$AC21),0))</f>
        <v>1</v>
      </c>
      <c r="HA21" t="b" cm="1">
        <f t="array" ref="HA21">INDEX($B$1:$Y$193,MATCH(HA$1,$B$1:$B$193,0),MATCH(1,($B$1:$Y$1=$AB21)*($B$2:$Y$2=$AC21),0))</f>
        <v>1</v>
      </c>
      <c r="HB21" t="b" cm="1">
        <f t="array" ref="HB21">INDEX($B$1:$Y$193,MATCH(HB$1,$B$1:$B$193,0),MATCH(1,($B$1:$Y$1=$AB21)*($B$2:$Y$2=$AC21),0))</f>
        <v>1</v>
      </c>
      <c r="HC21" t="b" cm="1">
        <f t="array" ref="HC21">INDEX($B$1:$Y$193,MATCH(HC$1,$B$1:$B$193,0),MATCH(1,($B$1:$Y$1=$AB21)*($B$2:$Y$2=$AC21),0))</f>
        <v>1</v>
      </c>
      <c r="HD21" t="b" cm="1">
        <f t="array" ref="HD21">INDEX($B$1:$Y$193,MATCH(HD$1,$B$1:$B$193,0),MATCH(1,($B$1:$Y$1=$AB21)*($B$2:$Y$2=$AC21),0))</f>
        <v>1</v>
      </c>
      <c r="HE21" t="b" cm="1">
        <f t="array" ref="HE21">INDEX($B$1:$Y$193,MATCH(HE$1,$B$1:$B$193,0),MATCH(1,($B$1:$Y$1=$AB21)*($B$2:$Y$2=$AC21),0))</f>
        <v>1</v>
      </c>
      <c r="HF21" t="b" cm="1">
        <f t="array" ref="HF21">INDEX($B$1:$Y$193,MATCH(HF$1,$B$1:$B$193,0),MATCH(1,($B$1:$Y$1=$AB21)*($B$2:$Y$2=$AC21),0))</f>
        <v>1</v>
      </c>
      <c r="HG21" t="b" cm="1">
        <f t="array" ref="HG21">INDEX($B$1:$Y$193,MATCH(HG$1,$B$1:$B$193,0),MATCH(1,($B$1:$Y$1=$AB21)*($B$2:$Y$2=$AC21),0))</f>
        <v>1</v>
      </c>
      <c r="HH21" t="b" cm="1">
        <f t="array" ref="HH21">INDEX($B$1:$Y$193,MATCH(HH$1,$B$1:$B$193,0),MATCH(1,($B$1:$Y$1=$AB21)*($B$2:$Y$2=$AC21),0))</f>
        <v>1</v>
      </c>
      <c r="HI21" t="b" cm="1">
        <f t="array" ref="HI21">INDEX($B$1:$Y$193,MATCH(HI$1,$B$1:$B$193,0),MATCH(1,($B$1:$Y$1=$AB21)*($B$2:$Y$2=$AC21),0))</f>
        <v>1</v>
      </c>
      <c r="HJ21" t="b" cm="1">
        <f t="array" ref="HJ21">INDEX($B$1:$Y$193,MATCH(HJ$1,$B$1:$B$193,0),MATCH(1,($B$1:$Y$1=$AB21)*($B$2:$Y$2=$AC21),0))</f>
        <v>1</v>
      </c>
      <c r="HK21" t="b" cm="1">
        <f t="array" ref="HK21">INDEX($B$1:$Y$193,MATCH(HK$1,$B$1:$B$193,0),MATCH(1,($B$1:$Y$1=$AB21)*($B$2:$Y$2=$AC21),0))</f>
        <v>1</v>
      </c>
      <c r="HL21" t="b" cm="1">
        <f t="array" ref="HL21">INDEX($B$1:$Y$193,MATCH(HL$1,$B$1:$B$193,0),MATCH(1,($B$1:$Y$1=$AB21)*($B$2:$Y$2=$AC21),0))</f>
        <v>1</v>
      </c>
      <c r="HM21" t="b" cm="1">
        <f t="array" ref="HM21">INDEX($B$1:$Y$193,MATCH(HM$1,$B$1:$B$193,0),MATCH(1,($B$1:$Y$1=$AB21)*($B$2:$Y$2=$AC21),0))</f>
        <v>1</v>
      </c>
      <c r="HN21" t="b" cm="1">
        <f t="array" ref="HN21">INDEX($B$1:$Y$193,MATCH(HN$1,$B$1:$B$193,0),MATCH(1,($B$1:$Y$1=$AB21)*($B$2:$Y$2=$AC21),0))</f>
        <v>1</v>
      </c>
      <c r="HO21" t="b" cm="1">
        <f t="array" ref="HO21">INDEX($B$1:$Y$193,MATCH(HO$1,$B$1:$B$193,0),MATCH(1,($B$1:$Y$1=$AB21)*($B$2:$Y$2=$AC21),0))</f>
        <v>1</v>
      </c>
      <c r="HP21" t="b" cm="1">
        <f t="array" ref="HP21">INDEX($B$1:$Y$193,MATCH(HP$1,$B$1:$B$193,0),MATCH(1,($B$1:$Y$1=$AB21)*($B$2:$Y$2=$AC21),0))</f>
        <v>1</v>
      </c>
      <c r="HQ21" t="b" cm="1">
        <f t="array" ref="HQ21">INDEX($B$1:$Y$193,MATCH(HQ$1,$B$1:$B$193,0),MATCH(1,($B$1:$Y$1=$AB21)*($B$2:$Y$2=$AC21),0))</f>
        <v>1</v>
      </c>
      <c r="HR21" t="b" cm="1">
        <f t="array" ref="HR21">INDEX($B$1:$Y$193,MATCH(HR$1,$B$1:$B$193,0),MATCH(1,($B$1:$Y$1=$AB21)*($B$2:$Y$2=$AC21),0))</f>
        <v>1</v>
      </c>
      <c r="HS21" t="b" cm="1">
        <f t="array" ref="HS21">INDEX($B$1:$Y$193,MATCH(HS$1,$B$1:$B$193,0),MATCH(1,($B$1:$Y$1=$AB21)*($B$2:$Y$2=$AC21),0))</f>
        <v>1</v>
      </c>
      <c r="HT21" t="b" cm="1">
        <f t="array" ref="HT21">INDEX($B$1:$Y$193,MATCH(HT$1,$B$1:$B$193,0),MATCH(1,($B$1:$Y$1=$AB21)*($B$2:$Y$2=$AC21),0))</f>
        <v>1</v>
      </c>
      <c r="HU21" t="b" cm="1">
        <f t="array" ref="HU21">INDEX($B$1:$Y$193,MATCH(HU$1,$B$1:$B$193,0),MATCH(1,($B$1:$Y$1=$AB21)*($B$2:$Y$2=$AC21),0))</f>
        <v>1</v>
      </c>
      <c r="HV21" t="b" cm="1">
        <f t="array" ref="HV21">INDEX($B$1:$Y$193,MATCH(HV$1,$B$1:$B$193,0),MATCH(1,($B$1:$Y$1=$AB21)*($B$2:$Y$2=$AC21),0))</f>
        <v>1</v>
      </c>
      <c r="HW21" t="b" cm="1">
        <f t="array" ref="HW21">INDEX($B$1:$Y$193,MATCH(HW$1,$B$1:$B$193,0),MATCH(1,($B$1:$Y$1=$AB21)*($B$2:$Y$2=$AC21),0))</f>
        <v>1</v>
      </c>
      <c r="HX21" t="b" cm="1">
        <f t="array" ref="HX21">INDEX($B$1:$Y$193,MATCH(HX$1,$B$1:$B$193,0),MATCH(1,($B$1:$Y$1=$AB21)*($B$2:$Y$2=$AC21),0))</f>
        <v>1</v>
      </c>
      <c r="HY21" t="b" cm="1">
        <f t="array" ref="HY21">INDEX($B$1:$Y$193,MATCH(HY$1,$B$1:$B$193,0),MATCH(1,($B$1:$Y$1=$AB21)*($B$2:$Y$2=$AC21),0))</f>
        <v>1</v>
      </c>
      <c r="HZ21" t="b" cm="1">
        <f t="array" ref="HZ21">INDEX($B$1:$Y$193,MATCH(HZ$1,$B$1:$B$193,0),MATCH(1,($B$1:$Y$1=$AB21)*($B$2:$Y$2=$AC21),0))</f>
        <v>1</v>
      </c>
      <c r="IA21" t="b" cm="1">
        <f t="array" ref="IA21">INDEX($B$1:$Y$193,MATCH(IA$1,$B$1:$B$193,0),MATCH(1,($B$1:$Y$1=$AB21)*($B$2:$Y$2=$AC21),0))</f>
        <v>1</v>
      </c>
      <c r="IB21" t="b" cm="1">
        <f t="array" ref="IB21">INDEX($B$1:$Y$193,MATCH(IB$1,$B$1:$B$193,0),MATCH(1,($B$1:$Y$1=$AB21)*($B$2:$Y$2=$AC21),0))</f>
        <v>1</v>
      </c>
      <c r="IC21" t="b" cm="1">
        <f t="array" ref="IC21">INDEX($B$1:$Y$193,MATCH(IC$1,$B$1:$B$193,0),MATCH(1,($B$1:$Y$1=$AB21)*($B$2:$Y$2=$AC21),0))</f>
        <v>1</v>
      </c>
      <c r="ID21" t="b" cm="1">
        <f t="array" ref="ID21">INDEX($B$1:$Y$193,MATCH(ID$1,$B$1:$B$193,0),MATCH(1,($B$1:$Y$1=$AB21)*($B$2:$Y$2=$AC21),0))</f>
        <v>1</v>
      </c>
      <c r="IE21" t="b" cm="1">
        <f t="array" ref="IE21">INDEX($B$1:$Y$193,MATCH(IE$1,$B$1:$B$193,0),MATCH(1,($B$1:$Y$1=$AB21)*($B$2:$Y$2=$AC21),0))</f>
        <v>1</v>
      </c>
      <c r="IF21" t="b" cm="1">
        <f t="array" ref="IF21">INDEX($B$1:$Y$193,MATCH(IF$1,$B$1:$B$193,0),MATCH(1,($B$1:$Y$1=$AB21)*($B$2:$Y$2=$AC21),0))</f>
        <v>1</v>
      </c>
      <c r="IG21" t="b" cm="1">
        <f t="array" ref="IG21">INDEX($B$1:$Y$193,MATCH(IG$1,$B$1:$B$193,0),MATCH(1,($B$1:$Y$1=$AB21)*($B$2:$Y$2=$AC21),0))</f>
        <v>1</v>
      </c>
      <c r="IH21" t="b" cm="1">
        <f t="array" ref="IH21">INDEX($B$1:$Y$193,MATCH(IH$1,$B$1:$B$193,0),MATCH(1,($B$1:$Y$1=$AB21)*($B$2:$Y$2=$AC21),0))</f>
        <v>1</v>
      </c>
      <c r="II21" t="b" cm="1">
        <f t="array" ref="II21">INDEX($B$1:$Y$193,MATCH(II$1,$B$1:$B$193,0),MATCH(1,($B$1:$Y$1=$AB21)*($B$2:$Y$2=$AC21),0))</f>
        <v>1</v>
      </c>
      <c r="IJ21" t="b" cm="1">
        <f t="array" ref="IJ21">INDEX($B$1:$Y$193,MATCH(IJ$1,$B$1:$B$193,0),MATCH(1,($B$1:$Y$1=$AB21)*($B$2:$Y$2=$AC21),0))</f>
        <v>1</v>
      </c>
      <c r="IK21" t="b" cm="1">
        <f t="array" ref="IK21">INDEX($B$1:$Y$193,MATCH(IK$1,$B$1:$B$193,0),MATCH(1,($B$1:$Y$1=$AB21)*($B$2:$Y$2=$AC21),0))</f>
        <v>1</v>
      </c>
      <c r="IL21" t="b" cm="1">
        <f t="array" ref="IL21">INDEX($B$1:$Y$193,MATCH(IL$1,$B$1:$B$193,0),MATCH(1,($B$1:$Y$1=$AB21)*($B$2:$Y$2=$AC21),0))</f>
        <v>1</v>
      </c>
      <c r="IM21" t="b" cm="1">
        <f t="array" ref="IM21">INDEX($B$1:$Y$193,MATCH(IM$1,$B$1:$B$193,0),MATCH(1,($B$1:$Y$1=$AB21)*($B$2:$Y$2=$AC21),0))</f>
        <v>1</v>
      </c>
      <c r="IN21" t="b" cm="1">
        <f t="array" ref="IN21">INDEX($B$1:$Y$193,MATCH(IN$1,$B$1:$B$193,0),MATCH(1,($B$1:$Y$1=$AB21)*($B$2:$Y$2=$AC21),0))</f>
        <v>1</v>
      </c>
      <c r="IO21" t="b" cm="1">
        <f t="array" ref="IO21">INDEX($B$1:$Y$193,MATCH(IO$1,$B$1:$B$193,0),MATCH(1,($B$1:$Y$1=$AB21)*($B$2:$Y$2=$AC21),0))</f>
        <v>1</v>
      </c>
      <c r="IP21" t="b" cm="1">
        <f t="array" ref="IP21">INDEX($B$1:$Y$193,MATCH(IP$1,$B$1:$B$193,0),MATCH(1,($B$1:$Y$1=$AB21)*($B$2:$Y$2=$AC21),0))</f>
        <v>1</v>
      </c>
      <c r="IQ21" t="b" cm="1">
        <f t="array" ref="IQ21">INDEX($B$1:$Y$193,MATCH(IQ$1,$B$1:$B$193,0),MATCH(1,($B$1:$Y$1=$AB21)*($B$2:$Y$2=$AC21),0))</f>
        <v>1</v>
      </c>
      <c r="IR21" t="b" cm="1">
        <f t="array" ref="IR21">INDEX($B$1:$Y$193,MATCH(IR$1,$B$1:$B$193,0),MATCH(1,($B$1:$Y$1=$AB21)*($B$2:$Y$2=$AC21),0))</f>
        <v>1</v>
      </c>
      <c r="IS21" t="b" cm="1">
        <f t="array" ref="IS21">INDEX($B$1:$Y$193,MATCH(IS$1,$B$1:$B$193,0),MATCH(1,($B$1:$Y$1=$AB21)*($B$2:$Y$2=$AC21),0))</f>
        <v>1</v>
      </c>
      <c r="IT21" t="b" cm="1">
        <f t="array" ref="IT21">INDEX($B$1:$Y$193,MATCH(IT$1,$B$1:$B$193,0),MATCH(1,($B$1:$Y$1=$AB21)*($B$2:$Y$2=$AC21),0))</f>
        <v>1</v>
      </c>
      <c r="IU21" t="b" cm="1">
        <f t="array" ref="IU21">INDEX($B$1:$Y$193,MATCH(IU$1,$B$1:$B$193,0),MATCH(1,($B$1:$Y$1=$AB21)*($B$2:$Y$2=$AC21),0))</f>
        <v>1</v>
      </c>
      <c r="IV21" t="b" cm="1">
        <f t="array" ref="IV21">INDEX($B$1:$Y$193,MATCH(IV$1,$B$1:$B$193,0),MATCH(1,($B$1:$Y$1=$AB21)*($B$2:$Y$2=$AC21),0))</f>
        <v>1</v>
      </c>
      <c r="IW21" t="b" cm="1">
        <f t="array" ref="IW21">INDEX($B$1:$Y$193,MATCH(IW$1,$B$1:$B$193,0),MATCH(1,($B$1:$Y$1=$AB21)*($B$2:$Y$2=$AC21),0))</f>
        <v>1</v>
      </c>
      <c r="IX21" t="b" cm="1">
        <f t="array" ref="IX21">INDEX($B$1:$Y$193,MATCH(IX$1,$B$1:$B$193,0),MATCH(1,($B$1:$Y$1=$AB21)*($B$2:$Y$2=$AC21),0))</f>
        <v>1</v>
      </c>
      <c r="IY21" t="b" cm="1">
        <f t="array" ref="IY21">INDEX($B$1:$Y$193,MATCH(IY$1,$B$1:$B$193,0),MATCH(1,($B$1:$Y$1=$AB21)*($B$2:$Y$2=$AC21),0))</f>
        <v>1</v>
      </c>
      <c r="IZ21" t="b" cm="1">
        <f t="array" ref="IZ21">INDEX($B$1:$Y$193,MATCH(IZ$1,$B$1:$B$193,0),MATCH(1,($B$1:$Y$1=$AB21)*($B$2:$Y$2=$AC21),0))</f>
        <v>1</v>
      </c>
      <c r="JA21" t="b" cm="1">
        <f t="array" ref="JA21">INDEX($B$1:$Y$193,MATCH(JA$1,$B$1:$B$193,0),MATCH(1,($B$1:$Y$1=$AB21)*($B$2:$Y$2=$AC21),0))</f>
        <v>1</v>
      </c>
      <c r="JB21" t="b" cm="1">
        <f t="array" ref="JB21">INDEX($B$1:$Y$193,MATCH(JB$1,$B$1:$B$193,0),MATCH(1,($B$1:$Y$1=$AB21)*($B$2:$Y$2=$AC21),0))</f>
        <v>1</v>
      </c>
      <c r="JC21" t="b" cm="1">
        <f t="array" ref="JC21">INDEX($B$1:$Y$193,MATCH(JC$1,$B$1:$B$193,0),MATCH(1,($B$1:$Y$1=$AB21)*($B$2:$Y$2=$AC21),0))</f>
        <v>1</v>
      </c>
      <c r="JD21" t="b" cm="1">
        <f t="array" ref="JD21">INDEX($B$1:$Y$193,MATCH(JD$1,$B$1:$B$193,0),MATCH(1,($B$1:$Y$1=$AB21)*($B$2:$Y$2=$AC21),0))</f>
        <v>1</v>
      </c>
      <c r="JE21" t="b" cm="1">
        <f t="array" ref="JE21">INDEX($B$1:$Y$193,MATCH(JE$1,$B$1:$B$193,0),MATCH(1,($B$1:$Y$1=$AB21)*($B$2:$Y$2=$AC21),0))</f>
        <v>1</v>
      </c>
      <c r="JF21" t="b" cm="1">
        <f t="array" ref="JF21">INDEX($B$1:$Y$193,MATCH(JF$1,$B$1:$B$193,0),MATCH(1,($B$1:$Y$1=$AB21)*($B$2:$Y$2=$AC21),0))</f>
        <v>1</v>
      </c>
      <c r="JG21" t="b" cm="1">
        <f t="array" ref="JG21">INDEX($B$1:$Y$193,MATCH(JG$1,$B$1:$B$193,0),MATCH(1,($B$1:$Y$1=$AB21)*($B$2:$Y$2=$AC21),0))</f>
        <v>1</v>
      </c>
      <c r="JH21" t="b" cm="1">
        <f t="array" ref="JH21">INDEX($B$1:$Y$193,MATCH(JH$1,$B$1:$B$193,0),MATCH(1,($B$1:$Y$1=$AB21)*($B$2:$Y$2=$AC21),0))</f>
        <v>1</v>
      </c>
    </row>
    <row r="22" spans="1:268" x14ac:dyDescent="0.25">
      <c r="A22" t="s">
        <v>164</v>
      </c>
      <c r="B22" s="51">
        <v>29</v>
      </c>
      <c r="C22">
        <v>2</v>
      </c>
      <c r="D22">
        <v>3</v>
      </c>
      <c r="E22" t="b">
        <f t="shared" si="1"/>
        <v>1</v>
      </c>
      <c r="F22" t="b">
        <f t="shared" si="1"/>
        <v>1</v>
      </c>
      <c r="G22" t="b">
        <f t="shared" si="1"/>
        <v>1</v>
      </c>
      <c r="H22" t="b">
        <f t="shared" si="1"/>
        <v>0</v>
      </c>
      <c r="I22" t="b">
        <f t="shared" si="1"/>
        <v>0</v>
      </c>
      <c r="J22" t="b">
        <f t="shared" si="1"/>
        <v>0</v>
      </c>
      <c r="K22" t="b">
        <f t="shared" si="1"/>
        <v>1</v>
      </c>
      <c r="L22" t="b">
        <f t="shared" si="1"/>
        <v>1</v>
      </c>
      <c r="M22" t="b">
        <f t="shared" si="1"/>
        <v>1</v>
      </c>
      <c r="N22" t="b">
        <f t="shared" si="1"/>
        <v>0</v>
      </c>
      <c r="O22" t="b">
        <f t="shared" si="1"/>
        <v>0</v>
      </c>
      <c r="P22" t="b">
        <f t="shared" si="1"/>
        <v>0</v>
      </c>
      <c r="Q22" t="b">
        <v>1</v>
      </c>
      <c r="R22" t="b" cm="1">
        <f t="array" ref="R22">_xlfn.IFS(C22=1,FALSE,OR(C22=2,C22&gt;2),TRUE)</f>
        <v>1</v>
      </c>
      <c r="S22" t="b" cm="1">
        <f t="array" ref="S22">_xlfn.IFS(OR(C22=1,C22=2),FALSE,OR(C22=3,C22&gt;3),TRUE)</f>
        <v>0</v>
      </c>
      <c r="T22" t="str">
        <f t="shared" si="2"/>
        <v>TRUE</v>
      </c>
      <c r="U22" t="str">
        <f t="shared" si="3"/>
        <v>FALSE</v>
      </c>
      <c r="V22" t="str">
        <f t="shared" si="4"/>
        <v>FALSE</v>
      </c>
      <c r="W22" t="b" cm="1">
        <f t="array" ref="W22">_xlfn.IFS(H22=1,FALSE,OR(H22=2,H22&gt;2),TRUE)</f>
        <v>1</v>
      </c>
      <c r="X22" t="b" cm="1">
        <f t="array" ref="X22">_xlfn.IFS(H22=1,FALSE,OR(H22=2,H22&gt;2),TRUE)</f>
        <v>1</v>
      </c>
      <c r="Y22" t="b" cm="1">
        <f t="array" ref="Y22">_xlfn.IFS(H22=1,FALSE,OR(H22=2,H22&gt;2),TRUE)</f>
        <v>1</v>
      </c>
      <c r="AB22" t="s">
        <v>0</v>
      </c>
      <c r="AC22" t="s">
        <v>163</v>
      </c>
      <c r="AD22" t="b" cm="1">
        <f t="array" ref="AD22">INDEX($B$1:$Y$193,MATCH(AD$1,$B$1:$B$193,0),MATCH(1,($B$1:$Y$1=$AB22)*($B$2:$Y$2=$AC22),0))</f>
        <v>1</v>
      </c>
      <c r="AE22" t="b" cm="1">
        <f t="array" ref="AE22">INDEX($B$1:$Y$193,MATCH(AE$1,$B$1:$B$193,0),MATCH(1,($B$1:$Y$1=$AB22)*($B$2:$Y$2=$AC22),0))</f>
        <v>1</v>
      </c>
      <c r="AF22" t="b" cm="1">
        <f t="array" ref="AF22">INDEX($B$1:$Y$193,MATCH(AF$1,$B$1:$B$193,0),MATCH(1,($B$1:$Y$1=$AB22)*($B$2:$Y$2=$AC22),0))</f>
        <v>1</v>
      </c>
      <c r="AG22" t="b" cm="1">
        <f t="array" ref="AG22">INDEX($B$1:$Y$193,MATCH(AG$1,$B$1:$B$193,0),MATCH(1,($B$1:$Y$1=$AB22)*($B$2:$Y$2=$AC22),0))</f>
        <v>1</v>
      </c>
      <c r="AH22" t="b" cm="1">
        <f t="array" ref="AH22">INDEX($B$1:$Y$193,MATCH(AH$1,$B$1:$B$193,0),MATCH(1,($B$1:$Y$1=$AB22)*($B$2:$Y$2=$AC22),0))</f>
        <v>1</v>
      </c>
      <c r="AI22" t="b" cm="1">
        <f t="array" ref="AI22">INDEX($B$1:$Y$193,MATCH(AI$1,$B$1:$B$193,0),MATCH(1,($B$1:$Y$1=$AB22)*($B$2:$Y$2=$AC22),0))</f>
        <v>1</v>
      </c>
      <c r="AJ22" t="b" cm="1">
        <f t="array" ref="AJ22">INDEX($B$1:$Y$193,MATCH(AJ$1,$B$1:$B$193,0),MATCH(1,($B$1:$Y$1=$AB22)*($B$2:$Y$2=$AC22),0))</f>
        <v>1</v>
      </c>
      <c r="AK22" t="b" cm="1">
        <f t="array" ref="AK22">INDEX($B$1:$Y$193,MATCH(AK$1,$B$1:$B$193,0),MATCH(1,($B$1:$Y$1=$AB22)*($B$2:$Y$2=$AC22),0))</f>
        <v>1</v>
      </c>
      <c r="AL22" t="b" cm="1">
        <f t="array" ref="AL22">INDEX($B$1:$Y$193,MATCH(AL$1,$B$1:$B$193,0),MATCH(1,($B$1:$Y$1=$AB22)*($B$2:$Y$2=$AC22),0))</f>
        <v>1</v>
      </c>
      <c r="AM22" t="b" cm="1">
        <f t="array" ref="AM22">INDEX($B$1:$Y$193,MATCH(AM$1,$B$1:$B$193,0),MATCH(1,($B$1:$Y$1=$AB22)*($B$2:$Y$2=$AC22),0))</f>
        <v>1</v>
      </c>
      <c r="AN22" t="b" cm="1">
        <f t="array" ref="AN22">INDEX($B$1:$Y$193,MATCH(AN$1,$B$1:$B$193,0),MATCH(1,($B$1:$Y$1=$AB22)*($B$2:$Y$2=$AC22),0))</f>
        <v>1</v>
      </c>
      <c r="AO22" t="b" cm="1">
        <f t="array" ref="AO22">INDEX($B$1:$Y$193,MATCH(AO$1,$B$1:$B$193,0),MATCH(1,($B$1:$Y$1=$AB22)*($B$2:$Y$2=$AC22),0))</f>
        <v>1</v>
      </c>
      <c r="AP22" t="b" cm="1">
        <f t="array" ref="AP22">INDEX($B$1:$Y$193,MATCH(AP$1,$B$1:$B$193,0),MATCH(1,($B$1:$Y$1=$AB22)*($B$2:$Y$2=$AC22),0))</f>
        <v>1</v>
      </c>
      <c r="AQ22" t="b" cm="1">
        <f t="array" ref="AQ22">INDEX($B$1:$Y$193,MATCH(AQ$1,$B$1:$B$193,0),MATCH(1,($B$1:$Y$1=$AB22)*($B$2:$Y$2=$AC22),0))</f>
        <v>1</v>
      </c>
      <c r="AR22" t="b" cm="1">
        <f t="array" ref="AR22">INDEX($B$1:$Y$193,MATCH(AR$1,$B$1:$B$193,0),MATCH(1,($B$1:$Y$1=$AB22)*($B$2:$Y$2=$AC22),0))</f>
        <v>1</v>
      </c>
      <c r="AS22" t="b" cm="1">
        <f t="array" ref="AS22">INDEX($B$1:$Y$193,MATCH(AS$1,$B$1:$B$193,0),MATCH(1,($B$1:$Y$1=$AB22)*($B$2:$Y$2=$AC22),0))</f>
        <v>1</v>
      </c>
      <c r="AT22" t="b" cm="1">
        <f t="array" ref="AT22">INDEX($B$1:$Y$193,MATCH(AT$1,$B$1:$B$193,0),MATCH(1,($B$1:$Y$1=$AB22)*($B$2:$Y$2=$AC22),0))</f>
        <v>1</v>
      </c>
      <c r="AU22" t="b" cm="1">
        <f t="array" ref="AU22">INDEX($B$1:$Y$193,MATCH(AU$1,$B$1:$B$193,0),MATCH(1,($B$1:$Y$1=$AB22)*($B$2:$Y$2=$AC22),0))</f>
        <v>1</v>
      </c>
      <c r="AV22" t="b" cm="1">
        <f t="array" ref="AV22">INDEX($B$1:$Y$193,MATCH(AV$1,$B$1:$B$193,0),MATCH(1,($B$1:$Y$1=$AB22)*($B$2:$Y$2=$AC22),0))</f>
        <v>1</v>
      </c>
      <c r="AW22" t="b" cm="1">
        <f t="array" ref="AW22">INDEX($B$1:$Y$193,MATCH(AW$1,$B$1:$B$193,0),MATCH(1,($B$1:$Y$1=$AB22)*($B$2:$Y$2=$AC22),0))</f>
        <v>1</v>
      </c>
      <c r="AX22" t="b" cm="1">
        <f t="array" ref="AX22">INDEX($B$1:$Y$193,MATCH(AX$1,$B$1:$B$193,0),MATCH(1,($B$1:$Y$1=$AB22)*($B$2:$Y$2=$AC22),0))</f>
        <v>1</v>
      </c>
      <c r="AY22" t="b" cm="1">
        <f t="array" ref="AY22">INDEX($B$1:$Y$193,MATCH(AY$1,$B$1:$B$193,0),MATCH(1,($B$1:$Y$1=$AB22)*($B$2:$Y$2=$AC22),0))</f>
        <v>1</v>
      </c>
      <c r="AZ22" t="b" cm="1">
        <f t="array" ref="AZ22">INDEX($B$1:$Y$193,MATCH(AZ$1,$B$1:$B$193,0),MATCH(1,($B$1:$Y$1=$AB22)*($B$2:$Y$2=$AC22),0))</f>
        <v>1</v>
      </c>
      <c r="BA22" t="b" cm="1">
        <f t="array" ref="BA22">INDEX($B$1:$Y$193,MATCH(BA$1,$B$1:$B$193,0),MATCH(1,($B$1:$Y$1=$AB22)*($B$2:$Y$2=$AC22),0))</f>
        <v>1</v>
      </c>
      <c r="BB22" t="b" cm="1">
        <f t="array" ref="BB22">INDEX($B$1:$Y$193,MATCH(BB$1,$B$1:$B$193,0),MATCH(1,($B$1:$Y$1=$AB22)*($B$2:$Y$2=$AC22),0))</f>
        <v>1</v>
      </c>
      <c r="BC22" t="b" cm="1">
        <f t="array" ref="BC22">INDEX($B$1:$Y$193,MATCH(BC$1,$B$1:$B$193,0),MATCH(1,($B$1:$Y$1=$AB22)*($B$2:$Y$2=$AC22),0))</f>
        <v>1</v>
      </c>
      <c r="BD22" t="b" cm="1">
        <f t="array" ref="BD22">INDEX($B$1:$Y$193,MATCH(BD$1,$B$1:$B$193,0),MATCH(1,($B$1:$Y$1=$AB22)*($B$2:$Y$2=$AC22),0))</f>
        <v>1</v>
      </c>
      <c r="BE22" t="b" cm="1">
        <f t="array" ref="BE22">INDEX($B$1:$Y$193,MATCH(BE$1,$B$1:$B$193,0),MATCH(1,($B$1:$Y$1=$AB22)*($B$2:$Y$2=$AC22),0))</f>
        <v>1</v>
      </c>
      <c r="BF22" t="b" cm="1">
        <f t="array" ref="BF22">INDEX($B$1:$Y$193,MATCH(BF$1,$B$1:$B$193,0),MATCH(1,($B$1:$Y$1=$AB22)*($B$2:$Y$2=$AC22),0))</f>
        <v>1</v>
      </c>
      <c r="BG22" t="b" cm="1">
        <f t="array" ref="BG22">INDEX($B$1:$Y$193,MATCH(BG$1,$B$1:$B$193,0),MATCH(1,($B$1:$Y$1=$AB22)*($B$2:$Y$2=$AC22),0))</f>
        <v>1</v>
      </c>
      <c r="BH22" t="b" cm="1">
        <f t="array" ref="BH22">INDEX($B$1:$Y$193,MATCH(BH$1,$B$1:$B$193,0),MATCH(1,($B$1:$Y$1=$AB22)*($B$2:$Y$2=$AC22),0))</f>
        <v>1</v>
      </c>
      <c r="BI22" t="b" cm="1">
        <f t="array" ref="BI22">INDEX($B$1:$Y$193,MATCH(BI$1,$B$1:$B$193,0),MATCH(1,($B$1:$Y$1=$AB22)*($B$2:$Y$2=$AC22),0))</f>
        <v>1</v>
      </c>
      <c r="BJ22" t="b" cm="1">
        <f t="array" ref="BJ22">INDEX($B$1:$Y$193,MATCH(BJ$1,$B$1:$B$193,0),MATCH(1,($B$1:$Y$1=$AB22)*($B$2:$Y$2=$AC22),0))</f>
        <v>1</v>
      </c>
      <c r="BK22" t="b" cm="1">
        <f t="array" ref="BK22">INDEX($B$1:$Y$193,MATCH(BK$1,$B$1:$B$193,0),MATCH(1,($B$1:$Y$1=$AB22)*($B$2:$Y$2=$AC22),0))</f>
        <v>1</v>
      </c>
      <c r="BL22" t="b" cm="1">
        <f t="array" ref="BL22">INDEX($B$1:$Y$193,MATCH(BL$1,$B$1:$B$193,0),MATCH(1,($B$1:$Y$1=$AB22)*($B$2:$Y$2=$AC22),0))</f>
        <v>1</v>
      </c>
      <c r="BM22" t="b" cm="1">
        <f t="array" ref="BM22">INDEX($B$1:$Y$193,MATCH(BM$1,$B$1:$B$193,0),MATCH(1,($B$1:$Y$1=$AB22)*($B$2:$Y$2=$AC22),0))</f>
        <v>1</v>
      </c>
      <c r="BN22" t="b" cm="1">
        <f t="array" ref="BN22">INDEX($B$1:$Y$193,MATCH(BN$1,$B$1:$B$193,0),MATCH(1,($B$1:$Y$1=$AB22)*($B$2:$Y$2=$AC22),0))</f>
        <v>1</v>
      </c>
      <c r="BO22" t="b" cm="1">
        <f t="array" ref="BO22">INDEX($B$1:$Y$193,MATCH(BO$1,$B$1:$B$193,0),MATCH(1,($B$1:$Y$1=$AB22)*($B$2:$Y$2=$AC22),0))</f>
        <v>1</v>
      </c>
      <c r="BP22" t="b" cm="1">
        <f t="array" ref="BP22">INDEX($B$1:$Y$193,MATCH(BP$1,$B$1:$B$193,0),MATCH(1,($B$1:$Y$1=$AB22)*($B$2:$Y$2=$AC22),0))</f>
        <v>1</v>
      </c>
      <c r="BQ22" t="b" cm="1">
        <f t="array" ref="BQ22">INDEX($B$1:$Y$193,MATCH(BQ$1,$B$1:$B$193,0),MATCH(1,($B$1:$Y$1=$AB22)*($B$2:$Y$2=$AC22),0))</f>
        <v>1</v>
      </c>
      <c r="BR22" t="b" cm="1">
        <f t="array" ref="BR22">INDEX($B$1:$Y$193,MATCH(BR$1,$B$1:$B$193,0),MATCH(1,($B$1:$Y$1=$AB22)*($B$2:$Y$2=$AC22),0))</f>
        <v>1</v>
      </c>
      <c r="BS22" t="b" cm="1">
        <f t="array" ref="BS22">INDEX($B$1:$Y$193,MATCH(BS$1,$B$1:$B$193,0),MATCH(1,($B$1:$Y$1=$AB22)*($B$2:$Y$2=$AC22),0))</f>
        <v>1</v>
      </c>
      <c r="BT22" t="b" cm="1">
        <f t="array" ref="BT22">INDEX($B$1:$Y$193,MATCH(BT$1,$B$1:$B$193,0),MATCH(1,($B$1:$Y$1=$AB22)*($B$2:$Y$2=$AC22),0))</f>
        <v>1</v>
      </c>
      <c r="BU22" t="b" cm="1">
        <f t="array" ref="BU22">INDEX($B$1:$Y$193,MATCH(BU$1,$B$1:$B$193,0),MATCH(1,($B$1:$Y$1=$AB22)*($B$2:$Y$2=$AC22),0))</f>
        <v>1</v>
      </c>
      <c r="BV22" t="b" cm="1">
        <f t="array" ref="BV22">INDEX($B$1:$Y$193,MATCH(BV$1,$B$1:$B$193,0),MATCH(1,($B$1:$Y$1=$AB22)*($B$2:$Y$2=$AC22),0))</f>
        <v>1</v>
      </c>
      <c r="BW22" t="b" cm="1">
        <f t="array" ref="BW22">INDEX($B$1:$Y$193,MATCH(BW$1,$B$1:$B$193,0),MATCH(1,($B$1:$Y$1=$AB22)*($B$2:$Y$2=$AC22),0))</f>
        <v>1</v>
      </c>
      <c r="BX22" t="b" cm="1">
        <f t="array" ref="BX22">INDEX($B$1:$Y$193,MATCH(BX$1,$B$1:$B$193,0),MATCH(1,($B$1:$Y$1=$AB22)*($B$2:$Y$2=$AC22),0))</f>
        <v>1</v>
      </c>
      <c r="BY22" t="b" cm="1">
        <f t="array" ref="BY22">INDEX($B$1:$Y$193,MATCH(BY$1,$B$1:$B$193,0),MATCH(1,($B$1:$Y$1=$AB22)*($B$2:$Y$2=$AC22),0))</f>
        <v>1</v>
      </c>
      <c r="BZ22" t="b" cm="1">
        <f t="array" ref="BZ22">INDEX($B$1:$Y$193,MATCH(BZ$1,$B$1:$B$193,0),MATCH(1,($B$1:$Y$1=$AB22)*($B$2:$Y$2=$AC22),0))</f>
        <v>1</v>
      </c>
      <c r="CA22" t="b" cm="1">
        <f t="array" ref="CA22">INDEX($B$1:$Y$193,MATCH(CA$1,$B$1:$B$193,0),MATCH(1,($B$1:$Y$1=$AB22)*($B$2:$Y$2=$AC22),0))</f>
        <v>1</v>
      </c>
      <c r="CB22" t="b" cm="1">
        <f t="array" ref="CB22">INDEX($B$1:$Y$193,MATCH(CB$1,$B$1:$B$193,0),MATCH(1,($B$1:$Y$1=$AB22)*($B$2:$Y$2=$AC22),0))</f>
        <v>1</v>
      </c>
      <c r="CC22" t="b" cm="1">
        <f t="array" ref="CC22">INDEX($B$1:$Y$193,MATCH(CC$1,$B$1:$B$193,0),MATCH(1,($B$1:$Y$1=$AB22)*($B$2:$Y$2=$AC22),0))</f>
        <v>1</v>
      </c>
      <c r="CD22" t="b" cm="1">
        <f t="array" ref="CD22">INDEX($B$1:$Y$193,MATCH(CD$1,$B$1:$B$193,0),MATCH(1,($B$1:$Y$1=$AB22)*($B$2:$Y$2=$AC22),0))</f>
        <v>1</v>
      </c>
      <c r="CE22" t="b" cm="1">
        <f t="array" ref="CE22">INDEX($B$1:$Y$193,MATCH(CE$1,$B$1:$B$193,0),MATCH(1,($B$1:$Y$1=$AB22)*($B$2:$Y$2=$AC22),0))</f>
        <v>1</v>
      </c>
      <c r="CF22" t="b" cm="1">
        <f t="array" ref="CF22">INDEX($B$1:$Y$193,MATCH(CF$1,$B$1:$B$193,0),MATCH(1,($B$1:$Y$1=$AB22)*($B$2:$Y$2=$AC22),0))</f>
        <v>1</v>
      </c>
      <c r="CG22" t="b" cm="1">
        <f t="array" ref="CG22">INDEX($B$1:$Y$193,MATCH(CG$1,$B$1:$B$193,0),MATCH(1,($B$1:$Y$1=$AB22)*($B$2:$Y$2=$AC22),0))</f>
        <v>1</v>
      </c>
      <c r="CH22" t="b" cm="1">
        <f t="array" ref="CH22">INDEX($B$1:$Y$193,MATCH(CH$1,$B$1:$B$193,0),MATCH(1,($B$1:$Y$1=$AB22)*($B$2:$Y$2=$AC22),0))</f>
        <v>1</v>
      </c>
      <c r="CI22" t="b" cm="1">
        <f t="array" ref="CI22">INDEX($B$1:$Y$193,MATCH(CI$1,$B$1:$B$193,0),MATCH(1,($B$1:$Y$1=$AB22)*($B$2:$Y$2=$AC22),0))</f>
        <v>1</v>
      </c>
      <c r="CJ22" t="b" cm="1">
        <f t="array" ref="CJ22">INDEX($B$1:$Y$193,MATCH(CJ$1,$B$1:$B$193,0),MATCH(1,($B$1:$Y$1=$AB22)*($B$2:$Y$2=$AC22),0))</f>
        <v>1</v>
      </c>
      <c r="CK22" t="b" cm="1">
        <f t="array" ref="CK22">INDEX($B$1:$Y$193,MATCH(CK$1,$B$1:$B$193,0),MATCH(1,($B$1:$Y$1=$AB22)*($B$2:$Y$2=$AC22),0))</f>
        <v>1</v>
      </c>
      <c r="CL22" t="b" cm="1">
        <f t="array" ref="CL22">INDEX($B$1:$Y$193,MATCH(CL$1,$B$1:$B$193,0),MATCH(1,($B$1:$Y$1=$AB22)*($B$2:$Y$2=$AC22),0))</f>
        <v>1</v>
      </c>
      <c r="CM22" t="b" cm="1">
        <f t="array" ref="CM22">INDEX($B$1:$Y$193,MATCH(CM$1,$B$1:$B$193,0),MATCH(1,($B$1:$Y$1=$AB22)*($B$2:$Y$2=$AC22),0))</f>
        <v>1</v>
      </c>
      <c r="CN22" t="b" cm="1">
        <f t="array" ref="CN22">INDEX($B$1:$Y$193,MATCH(CN$1,$B$1:$B$193,0),MATCH(1,($B$1:$Y$1=$AB22)*($B$2:$Y$2=$AC22),0))</f>
        <v>1</v>
      </c>
      <c r="CO22" t="b" cm="1">
        <f t="array" ref="CO22">INDEX($B$1:$Y$193,MATCH(CO$1,$B$1:$B$193,0),MATCH(1,($B$1:$Y$1=$AB22)*($B$2:$Y$2=$AC22),0))</f>
        <v>1</v>
      </c>
      <c r="CP22" t="b" cm="1">
        <f t="array" ref="CP22">INDEX($B$1:$Y$193,MATCH(CP$1,$B$1:$B$193,0),MATCH(1,($B$1:$Y$1=$AB22)*($B$2:$Y$2=$AC22),0))</f>
        <v>1</v>
      </c>
      <c r="CQ22" t="b" cm="1">
        <f t="array" ref="CQ22">INDEX($B$1:$Y$193,MATCH(CQ$1,$B$1:$B$193,0),MATCH(1,($B$1:$Y$1=$AB22)*($B$2:$Y$2=$AC22),0))</f>
        <v>1</v>
      </c>
      <c r="CR22" t="b" cm="1">
        <f t="array" ref="CR22">INDEX($B$1:$Y$193,MATCH(CR$1,$B$1:$B$193,0),MATCH(1,($B$1:$Y$1=$AB22)*($B$2:$Y$2=$AC22),0))</f>
        <v>1</v>
      </c>
      <c r="CS22" t="b" cm="1">
        <f t="array" ref="CS22">INDEX($B$1:$Y$193,MATCH(CS$1,$B$1:$B$193,0),MATCH(1,($B$1:$Y$1=$AB22)*($B$2:$Y$2=$AC22),0))</f>
        <v>1</v>
      </c>
      <c r="CT22" t="b" cm="1">
        <f t="array" ref="CT22">INDEX($B$1:$Y$193,MATCH(CT$1,$B$1:$B$193,0),MATCH(1,($B$1:$Y$1=$AB22)*($B$2:$Y$2=$AC22),0))</f>
        <v>1</v>
      </c>
      <c r="CU22" t="b" cm="1">
        <f t="array" ref="CU22">INDEX($B$1:$Y$193,MATCH(CU$1,$B$1:$B$193,0),MATCH(1,($B$1:$Y$1=$AB22)*($B$2:$Y$2=$AC22),0))</f>
        <v>1</v>
      </c>
      <c r="CV22" t="b" cm="1">
        <f t="array" ref="CV22">INDEX($B$1:$Y$193,MATCH(CV$1,$B$1:$B$193,0),MATCH(1,($B$1:$Y$1=$AB22)*($B$2:$Y$2=$AC22),0))</f>
        <v>1</v>
      </c>
      <c r="CW22" t="b" cm="1">
        <f t="array" ref="CW22">INDEX($B$1:$Y$193,MATCH(CW$1,$B$1:$B$193,0),MATCH(1,($B$1:$Y$1=$AB22)*($B$2:$Y$2=$AC22),0))</f>
        <v>1</v>
      </c>
      <c r="CX22" t="b" cm="1">
        <f t="array" ref="CX22">INDEX($B$1:$Y$193,MATCH(CX$1,$B$1:$B$193,0),MATCH(1,($B$1:$Y$1=$AB22)*($B$2:$Y$2=$AC22),0))</f>
        <v>1</v>
      </c>
      <c r="CY22" t="b" cm="1">
        <f t="array" ref="CY22">INDEX($B$1:$Y$193,MATCH(CY$1,$B$1:$B$193,0),MATCH(1,($B$1:$Y$1=$AB22)*($B$2:$Y$2=$AC22),0))</f>
        <v>1</v>
      </c>
      <c r="CZ22" t="b" cm="1">
        <f t="array" ref="CZ22">INDEX($B$1:$Y$193,MATCH(CZ$1,$B$1:$B$193,0),MATCH(1,($B$1:$Y$1=$AB22)*($B$2:$Y$2=$AC22),0))</f>
        <v>1</v>
      </c>
      <c r="DA22" t="b" cm="1">
        <f t="array" ref="DA22">INDEX($B$1:$Y$193,MATCH(DA$1,$B$1:$B$193,0),MATCH(1,($B$1:$Y$1=$AB22)*($B$2:$Y$2=$AC22),0))</f>
        <v>1</v>
      </c>
      <c r="DB22" t="b" cm="1">
        <f t="array" ref="DB22">INDEX($B$1:$Y$193,MATCH(DB$1,$B$1:$B$193,0),MATCH(1,($B$1:$Y$1=$AB22)*($B$2:$Y$2=$AC22),0))</f>
        <v>1</v>
      </c>
      <c r="DC22" t="b" cm="1">
        <f t="array" ref="DC22">INDEX($B$1:$Y$193,MATCH(DC$1,$B$1:$B$193,0),MATCH(1,($B$1:$Y$1=$AB22)*($B$2:$Y$2=$AC22),0))</f>
        <v>1</v>
      </c>
      <c r="DD22" t="b" cm="1">
        <f t="array" ref="DD22">INDEX($B$1:$Y$193,MATCH(DD$1,$B$1:$B$193,0),MATCH(1,($B$1:$Y$1=$AB22)*($B$2:$Y$2=$AC22),0))</f>
        <v>1</v>
      </c>
      <c r="DE22" t="b" cm="1">
        <f t="array" ref="DE22">INDEX($B$1:$Y$193,MATCH(DE$1,$B$1:$B$193,0),MATCH(1,($B$1:$Y$1=$AB22)*($B$2:$Y$2=$AC22),0))</f>
        <v>1</v>
      </c>
      <c r="DF22" t="b" cm="1">
        <f t="array" ref="DF22">INDEX($B$1:$Y$193,MATCH(DF$1,$B$1:$B$193,0),MATCH(1,($B$1:$Y$1=$AB22)*($B$2:$Y$2=$AC22),0))</f>
        <v>1</v>
      </c>
      <c r="DG22" t="b" cm="1">
        <f t="array" ref="DG22">INDEX($B$1:$Y$193,MATCH(DG$1,$B$1:$B$193,0),MATCH(1,($B$1:$Y$1=$AB22)*($B$2:$Y$2=$AC22),0))</f>
        <v>1</v>
      </c>
      <c r="DH22" t="b" cm="1">
        <f t="array" ref="DH22">INDEX($B$1:$Y$193,MATCH(DH$1,$B$1:$B$193,0),MATCH(1,($B$1:$Y$1=$AB22)*($B$2:$Y$2=$AC22),0))</f>
        <v>1</v>
      </c>
      <c r="DI22" t="b" cm="1">
        <f t="array" ref="DI22">INDEX($B$1:$Y$193,MATCH(DI$1,$B$1:$B$193,0),MATCH(1,($B$1:$Y$1=$AB22)*($B$2:$Y$2=$AC22),0))</f>
        <v>1</v>
      </c>
      <c r="DJ22" t="b" cm="1">
        <f t="array" ref="DJ22">INDEX($B$1:$Y$193,MATCH(DJ$1,$B$1:$B$193,0),MATCH(1,($B$1:$Y$1=$AB22)*($B$2:$Y$2=$AC22),0))</f>
        <v>1</v>
      </c>
      <c r="DK22" t="b" cm="1">
        <f t="array" ref="DK22">INDEX($B$1:$Y$193,MATCH(DK$1,$B$1:$B$193,0),MATCH(1,($B$1:$Y$1=$AB22)*($B$2:$Y$2=$AC22),0))</f>
        <v>1</v>
      </c>
      <c r="DL22" t="b" cm="1">
        <f t="array" ref="DL22">INDEX($B$1:$Y$193,MATCH(DL$1,$B$1:$B$193,0),MATCH(1,($B$1:$Y$1=$AB22)*($B$2:$Y$2=$AC22),0))</f>
        <v>1</v>
      </c>
      <c r="DM22" t="b" cm="1">
        <f t="array" ref="DM22">INDEX($B$1:$Y$193,MATCH(DM$1,$B$1:$B$193,0),MATCH(1,($B$1:$Y$1=$AB22)*($B$2:$Y$2=$AC22),0))</f>
        <v>1</v>
      </c>
      <c r="DN22" t="b" cm="1">
        <f t="array" ref="DN22">INDEX($B$1:$Y$193,MATCH(DN$1,$B$1:$B$193,0),MATCH(1,($B$1:$Y$1=$AB22)*($B$2:$Y$2=$AC22),0))</f>
        <v>1</v>
      </c>
      <c r="DO22" t="b" cm="1">
        <f t="array" ref="DO22">INDEX($B$1:$Y$193,MATCH(DO$1,$B$1:$B$193,0),MATCH(1,($B$1:$Y$1=$AB22)*($B$2:$Y$2=$AC22),0))</f>
        <v>1</v>
      </c>
      <c r="DP22" t="b" cm="1">
        <f t="array" ref="DP22">INDEX($B$1:$Y$193,MATCH(DP$1,$B$1:$B$193,0),MATCH(1,($B$1:$Y$1=$AB22)*($B$2:$Y$2=$AC22),0))</f>
        <v>1</v>
      </c>
      <c r="DQ22" t="b" cm="1">
        <f t="array" ref="DQ22">INDEX($B$1:$Y$193,MATCH(DQ$1,$B$1:$B$193,0),MATCH(1,($B$1:$Y$1=$AB22)*($B$2:$Y$2=$AC22),0))</f>
        <v>1</v>
      </c>
      <c r="DR22" t="b" cm="1">
        <f t="array" ref="DR22">INDEX($B$1:$Y$193,MATCH(DR$1,$B$1:$B$193,0),MATCH(1,($B$1:$Y$1=$AB22)*($B$2:$Y$2=$AC22),0))</f>
        <v>1</v>
      </c>
      <c r="DS22" t="b" cm="1">
        <f t="array" ref="DS22">INDEX($B$1:$Y$193,MATCH(DS$1,$B$1:$B$193,0),MATCH(1,($B$1:$Y$1=$AB22)*($B$2:$Y$2=$AC22),0))</f>
        <v>1</v>
      </c>
      <c r="DT22" t="b" cm="1">
        <f t="array" ref="DT22">INDEX($B$1:$Y$193,MATCH(DT$1,$B$1:$B$193,0),MATCH(1,($B$1:$Y$1=$AB22)*($B$2:$Y$2=$AC22),0))</f>
        <v>1</v>
      </c>
      <c r="DU22" t="b" cm="1">
        <f t="array" ref="DU22">INDEX($B$1:$Y$193,MATCH(DU$1,$B$1:$B$193,0),MATCH(1,($B$1:$Y$1=$AB22)*($B$2:$Y$2=$AC22),0))</f>
        <v>1</v>
      </c>
      <c r="DV22" t="b" cm="1">
        <f t="array" ref="DV22">INDEX($B$1:$Y$193,MATCH(DV$1,$B$1:$B$193,0),MATCH(1,($B$1:$Y$1=$AB22)*($B$2:$Y$2=$AC22),0))</f>
        <v>1</v>
      </c>
      <c r="DW22" t="b" cm="1">
        <f t="array" ref="DW22">INDEX($B$1:$Y$193,MATCH(DW$1,$B$1:$B$193,0),MATCH(1,($B$1:$Y$1=$AB22)*($B$2:$Y$2=$AC22),0))</f>
        <v>1</v>
      </c>
      <c r="DX22" t="b" cm="1">
        <f t="array" ref="DX22">INDEX($B$1:$Y$193,MATCH(DX$1,$B$1:$B$193,0),MATCH(1,($B$1:$Y$1=$AB22)*($B$2:$Y$2=$AC22),0))</f>
        <v>1</v>
      </c>
      <c r="DY22" t="b" cm="1">
        <f t="array" ref="DY22">INDEX($B$1:$Y$193,MATCH(DY$1,$B$1:$B$193,0),MATCH(1,($B$1:$Y$1=$AB22)*($B$2:$Y$2=$AC22),0))</f>
        <v>1</v>
      </c>
      <c r="DZ22" t="b" cm="1">
        <f t="array" ref="DZ22">INDEX($B$1:$Y$193,MATCH(DZ$1,$B$1:$B$193,0),MATCH(1,($B$1:$Y$1=$AB22)*($B$2:$Y$2=$AC22),0))</f>
        <v>1</v>
      </c>
      <c r="EA22" t="b" cm="1">
        <f t="array" ref="EA22">INDEX($B$1:$Y$193,MATCH(EA$1,$B$1:$B$193,0),MATCH(1,($B$1:$Y$1=$AB22)*($B$2:$Y$2=$AC22),0))</f>
        <v>1</v>
      </c>
      <c r="EB22" t="b" cm="1">
        <f t="array" ref="EB22">INDEX($B$1:$Y$193,MATCH(EB$1,$B$1:$B$193,0),MATCH(1,($B$1:$Y$1=$AB22)*($B$2:$Y$2=$AC22),0))</f>
        <v>1</v>
      </c>
      <c r="EC22" t="b" cm="1">
        <f t="array" ref="EC22">INDEX($B$1:$Y$193,MATCH(EC$1,$B$1:$B$193,0),MATCH(1,($B$1:$Y$1=$AB22)*($B$2:$Y$2=$AC22),0))</f>
        <v>1</v>
      </c>
      <c r="ED22" t="b" cm="1">
        <f t="array" ref="ED22">INDEX($B$1:$Y$193,MATCH(ED$1,$B$1:$B$193,0),MATCH(1,($B$1:$Y$1=$AB22)*($B$2:$Y$2=$AC22),0))</f>
        <v>1</v>
      </c>
      <c r="EE22" t="b" cm="1">
        <f t="array" ref="EE22">INDEX($B$1:$Y$193,MATCH(EE$1,$B$1:$B$193,0),MATCH(1,($B$1:$Y$1=$AB22)*($B$2:$Y$2=$AC22),0))</f>
        <v>1</v>
      </c>
      <c r="EF22" t="b" cm="1">
        <f t="array" ref="EF22">INDEX($B$1:$Y$193,MATCH(EF$1,$B$1:$B$193,0),MATCH(1,($B$1:$Y$1=$AB22)*($B$2:$Y$2=$AC22),0))</f>
        <v>1</v>
      </c>
      <c r="EG22" t="b" cm="1">
        <f t="array" ref="EG22">INDEX($B$1:$Y$193,MATCH(EG$1,$B$1:$B$193,0),MATCH(1,($B$1:$Y$1=$AB22)*($B$2:$Y$2=$AC22),0))</f>
        <v>1</v>
      </c>
      <c r="EH22" t="b" cm="1">
        <f t="array" ref="EH22">INDEX($B$1:$Y$193,MATCH(EH$1,$B$1:$B$193,0),MATCH(1,($B$1:$Y$1=$AB22)*($B$2:$Y$2=$AC22),0))</f>
        <v>1</v>
      </c>
      <c r="EI22" t="b" cm="1">
        <f t="array" ref="EI22">INDEX($B$1:$Y$193,MATCH(EI$1,$B$1:$B$193,0),MATCH(1,($B$1:$Y$1=$AB22)*($B$2:$Y$2=$AC22),0))</f>
        <v>1</v>
      </c>
      <c r="EJ22" t="b" cm="1">
        <f t="array" ref="EJ22">INDEX($B$1:$Y$193,MATCH(EJ$1,$B$1:$B$193,0),MATCH(1,($B$1:$Y$1=$AB22)*($B$2:$Y$2=$AC22),0))</f>
        <v>1</v>
      </c>
      <c r="EK22" t="b" cm="1">
        <f t="array" ref="EK22">INDEX($B$1:$Y$193,MATCH(EK$1,$B$1:$B$193,0),MATCH(1,($B$1:$Y$1=$AB22)*($B$2:$Y$2=$AC22),0))</f>
        <v>1</v>
      </c>
      <c r="EL22" t="b" cm="1">
        <f t="array" ref="EL22">INDEX($B$1:$Y$193,MATCH(EL$1,$B$1:$B$193,0),MATCH(1,($B$1:$Y$1=$AB22)*($B$2:$Y$2=$AC22),0))</f>
        <v>1</v>
      </c>
      <c r="EM22" t="b" cm="1">
        <f t="array" ref="EM22">INDEX($B$1:$Y$193,MATCH(EM$1,$B$1:$B$193,0),MATCH(1,($B$1:$Y$1=$AB22)*($B$2:$Y$2=$AC22),0))</f>
        <v>1</v>
      </c>
      <c r="EN22" t="b" cm="1">
        <f t="array" ref="EN22">INDEX($B$1:$Y$193,MATCH(EN$1,$B$1:$B$193,0),MATCH(1,($B$1:$Y$1=$AB22)*($B$2:$Y$2=$AC22),0))</f>
        <v>1</v>
      </c>
      <c r="EO22" t="b" cm="1">
        <f t="array" ref="EO22">INDEX($B$1:$Y$193,MATCH(EO$1,$B$1:$B$193,0),MATCH(1,($B$1:$Y$1=$AB22)*($B$2:$Y$2=$AC22),0))</f>
        <v>1</v>
      </c>
      <c r="EP22" t="b" cm="1">
        <f t="array" ref="EP22">INDEX($B$1:$Y$193,MATCH(EP$1,$B$1:$B$193,0),MATCH(1,($B$1:$Y$1=$AB22)*($B$2:$Y$2=$AC22),0))</f>
        <v>1</v>
      </c>
      <c r="EQ22" t="b" cm="1">
        <f t="array" ref="EQ22">INDEX($B$1:$Y$193,MATCH(EQ$1,$B$1:$B$193,0),MATCH(1,($B$1:$Y$1=$AB22)*($B$2:$Y$2=$AC22),0))</f>
        <v>1</v>
      </c>
      <c r="ER22" t="b" cm="1">
        <f t="array" ref="ER22">INDEX($B$1:$Y$193,MATCH(ER$1,$B$1:$B$193,0),MATCH(1,($B$1:$Y$1=$AB22)*($B$2:$Y$2=$AC22),0))</f>
        <v>1</v>
      </c>
      <c r="ES22" t="b" cm="1">
        <f t="array" ref="ES22">INDEX($B$1:$Y$193,MATCH(ES$1,$B$1:$B$193,0),MATCH(1,($B$1:$Y$1=$AB22)*($B$2:$Y$2=$AC22),0))</f>
        <v>1</v>
      </c>
      <c r="ET22" t="b" cm="1">
        <f t="array" ref="ET22">INDEX($B$1:$Y$193,MATCH(ET$1,$B$1:$B$193,0),MATCH(1,($B$1:$Y$1=$AB22)*($B$2:$Y$2=$AC22),0))</f>
        <v>1</v>
      </c>
      <c r="EU22" t="b" cm="1">
        <f t="array" ref="EU22">INDEX($B$1:$Y$193,MATCH(EU$1,$B$1:$B$193,0),MATCH(1,($B$1:$Y$1=$AB22)*($B$2:$Y$2=$AC22),0))</f>
        <v>1</v>
      </c>
      <c r="EV22" t="b" cm="1">
        <f t="array" ref="EV22">INDEX($B$1:$Y$193,MATCH(EV$1,$B$1:$B$193,0),MATCH(1,($B$1:$Y$1=$AB22)*($B$2:$Y$2=$AC22),0))</f>
        <v>1</v>
      </c>
      <c r="EW22" t="b" cm="1">
        <f t="array" ref="EW22">INDEX($B$1:$Y$193,MATCH(EW$1,$B$1:$B$193,0),MATCH(1,($B$1:$Y$1=$AB22)*($B$2:$Y$2=$AC22),0))</f>
        <v>1</v>
      </c>
      <c r="EX22" t="b" cm="1">
        <f t="array" ref="EX22">INDEX($B$1:$Y$193,MATCH(EX$1,$B$1:$B$193,0),MATCH(1,($B$1:$Y$1=$AB22)*($B$2:$Y$2=$AC22),0))</f>
        <v>1</v>
      </c>
      <c r="EY22" t="b" cm="1">
        <f t="array" ref="EY22">INDEX($B$1:$Y$193,MATCH(EY$1,$B$1:$B$193,0),MATCH(1,($B$1:$Y$1=$AB22)*($B$2:$Y$2=$AC22),0))</f>
        <v>1</v>
      </c>
      <c r="EZ22" t="b" cm="1">
        <f t="array" ref="EZ22">INDEX($B$1:$Y$193,MATCH(EZ$1,$B$1:$B$193,0),MATCH(1,($B$1:$Y$1=$AB22)*($B$2:$Y$2=$AC22),0))</f>
        <v>1</v>
      </c>
      <c r="FA22" t="b" cm="1">
        <f t="array" ref="FA22">INDEX($B$1:$Y$193,MATCH(FA$1,$B$1:$B$193,0),MATCH(1,($B$1:$Y$1=$AB22)*($B$2:$Y$2=$AC22),0))</f>
        <v>1</v>
      </c>
      <c r="FB22" t="b" cm="1">
        <f t="array" ref="FB22">INDEX($B$1:$Y$193,MATCH(FB$1,$B$1:$B$193,0),MATCH(1,($B$1:$Y$1=$AB22)*($B$2:$Y$2=$AC22),0))</f>
        <v>1</v>
      </c>
      <c r="FC22" t="b" cm="1">
        <f t="array" ref="FC22">INDEX($B$1:$Y$193,MATCH(FC$1,$B$1:$B$193,0),MATCH(1,($B$1:$Y$1=$AB22)*($B$2:$Y$2=$AC22),0))</f>
        <v>1</v>
      </c>
      <c r="FD22" t="b" cm="1">
        <f t="array" ref="FD22">INDEX($B$1:$Y$193,MATCH(FD$1,$B$1:$B$193,0),MATCH(1,($B$1:$Y$1=$AB22)*($B$2:$Y$2=$AC22),0))</f>
        <v>1</v>
      </c>
      <c r="FE22" t="b" cm="1">
        <f t="array" ref="FE22">INDEX($B$1:$Y$193,MATCH(FE$1,$B$1:$B$193,0),MATCH(1,($B$1:$Y$1=$AB22)*($B$2:$Y$2=$AC22),0))</f>
        <v>1</v>
      </c>
      <c r="FF22" t="b" cm="1">
        <f t="array" ref="FF22">INDEX($B$1:$Y$193,MATCH(FF$1,$B$1:$B$193,0),MATCH(1,($B$1:$Y$1=$AB22)*($B$2:$Y$2=$AC22),0))</f>
        <v>1</v>
      </c>
      <c r="FG22" t="b" cm="1">
        <f t="array" ref="FG22">INDEX($B$1:$Y$193,MATCH(FG$1,$B$1:$B$193,0),MATCH(1,($B$1:$Y$1=$AB22)*($B$2:$Y$2=$AC22),0))</f>
        <v>1</v>
      </c>
      <c r="FH22" t="b" cm="1">
        <f t="array" ref="FH22">INDEX($B$1:$Y$193,MATCH(FH$1,$B$1:$B$193,0),MATCH(1,($B$1:$Y$1=$AB22)*($B$2:$Y$2=$AC22),0))</f>
        <v>1</v>
      </c>
      <c r="FI22" t="b" cm="1">
        <f t="array" ref="FI22">INDEX($B$1:$Y$193,MATCH(FI$1,$B$1:$B$193,0),MATCH(1,($B$1:$Y$1=$AB22)*($B$2:$Y$2=$AC22),0))</f>
        <v>1</v>
      </c>
      <c r="FJ22" t="b" cm="1">
        <f t="array" ref="FJ22">INDEX($B$1:$Y$193,MATCH(FJ$1,$B$1:$B$193,0),MATCH(1,($B$1:$Y$1=$AB22)*($B$2:$Y$2=$AC22),0))</f>
        <v>1</v>
      </c>
      <c r="FK22" t="b" cm="1">
        <f t="array" ref="FK22">INDEX($B$1:$Y$193,MATCH(FK$1,$B$1:$B$193,0),MATCH(1,($B$1:$Y$1=$AB22)*($B$2:$Y$2=$AC22),0))</f>
        <v>1</v>
      </c>
      <c r="FL22" t="b" cm="1">
        <f t="array" ref="FL22">INDEX($B$1:$Y$193,MATCH(FL$1,$B$1:$B$193,0),MATCH(1,($B$1:$Y$1=$AB22)*($B$2:$Y$2=$AC22),0))</f>
        <v>1</v>
      </c>
      <c r="FM22" t="b" cm="1">
        <f t="array" ref="FM22">INDEX($B$1:$Y$193,MATCH(FM$1,$B$1:$B$193,0),MATCH(1,($B$1:$Y$1=$AB22)*($B$2:$Y$2=$AC22),0))</f>
        <v>1</v>
      </c>
      <c r="FN22" t="b" cm="1">
        <f t="array" ref="FN22">INDEX($B$1:$Y$193,MATCH(FN$1,$B$1:$B$193,0),MATCH(1,($B$1:$Y$1=$AB22)*($B$2:$Y$2=$AC22),0))</f>
        <v>1</v>
      </c>
      <c r="FO22" t="b" cm="1">
        <f t="array" ref="FO22">INDEX($B$1:$Y$193,MATCH(FO$1,$B$1:$B$193,0),MATCH(1,($B$1:$Y$1=$AB22)*($B$2:$Y$2=$AC22),0))</f>
        <v>1</v>
      </c>
      <c r="FP22" t="b" cm="1">
        <f t="array" ref="FP22">INDEX($B$1:$Y$193,MATCH(FP$1,$B$1:$B$193,0),MATCH(1,($B$1:$Y$1=$AB22)*($B$2:$Y$2=$AC22),0))</f>
        <v>1</v>
      </c>
      <c r="FQ22" t="b" cm="1">
        <f t="array" ref="FQ22">INDEX($B$1:$Y$193,MATCH(FQ$1,$B$1:$B$193,0),MATCH(1,($B$1:$Y$1=$AB22)*($B$2:$Y$2=$AC22),0))</f>
        <v>1</v>
      </c>
      <c r="FR22" t="b" cm="1">
        <f t="array" ref="FR22">INDEX($B$1:$Y$193,MATCH(FR$1,$B$1:$B$193,0),MATCH(1,($B$1:$Y$1=$AB22)*($B$2:$Y$2=$AC22),0))</f>
        <v>1</v>
      </c>
      <c r="FS22" t="b" cm="1">
        <f t="array" ref="FS22">INDEX($B$1:$Y$193,MATCH(FS$1,$B$1:$B$193,0),MATCH(1,($B$1:$Y$1=$AB22)*($B$2:$Y$2=$AC22),0))</f>
        <v>1</v>
      </c>
      <c r="FT22" t="b" cm="1">
        <f t="array" ref="FT22">INDEX($B$1:$Y$193,MATCH(FT$1,$B$1:$B$193,0),MATCH(1,($B$1:$Y$1=$AB22)*($B$2:$Y$2=$AC22),0))</f>
        <v>1</v>
      </c>
      <c r="FU22" t="b" cm="1">
        <f t="array" ref="FU22">INDEX($B$1:$Y$193,MATCH(FU$1,$B$1:$B$193,0),MATCH(1,($B$1:$Y$1=$AB22)*($B$2:$Y$2=$AC22),0))</f>
        <v>1</v>
      </c>
      <c r="FV22" t="b" cm="1">
        <f t="array" ref="FV22">INDEX($B$1:$Y$193,MATCH(FV$1,$B$1:$B$193,0),MATCH(1,($B$1:$Y$1=$AB22)*($B$2:$Y$2=$AC22),0))</f>
        <v>1</v>
      </c>
      <c r="FW22" t="b" cm="1">
        <f t="array" ref="FW22">INDEX($B$1:$Y$193,MATCH(FW$1,$B$1:$B$193,0),MATCH(1,($B$1:$Y$1=$AB22)*($B$2:$Y$2=$AC22),0))</f>
        <v>1</v>
      </c>
      <c r="FX22" t="b" cm="1">
        <f t="array" ref="FX22">INDEX($B$1:$Y$193,MATCH(FX$1,$B$1:$B$193,0),MATCH(1,($B$1:$Y$1=$AB22)*($B$2:$Y$2=$AC22),0))</f>
        <v>1</v>
      </c>
      <c r="FY22" t="b" cm="1">
        <f t="array" ref="FY22">INDEX($B$1:$Y$193,MATCH(FY$1,$B$1:$B$193,0),MATCH(1,($B$1:$Y$1=$AB22)*($B$2:$Y$2=$AC22),0))</f>
        <v>1</v>
      </c>
      <c r="FZ22" t="b" cm="1">
        <f t="array" ref="FZ22">INDEX($B$1:$Y$193,MATCH(FZ$1,$B$1:$B$193,0),MATCH(1,($B$1:$Y$1=$AB22)*($B$2:$Y$2=$AC22),0))</f>
        <v>1</v>
      </c>
      <c r="GA22" t="b" cm="1">
        <f t="array" ref="GA22">INDEX($B$1:$Y$193,MATCH(GA$1,$B$1:$B$193,0),MATCH(1,($B$1:$Y$1=$AB22)*($B$2:$Y$2=$AC22),0))</f>
        <v>1</v>
      </c>
      <c r="GB22" t="b" cm="1">
        <f t="array" ref="GB22">INDEX($B$1:$Y$193,MATCH(GB$1,$B$1:$B$193,0),MATCH(1,($B$1:$Y$1=$AB22)*($B$2:$Y$2=$AC22),0))</f>
        <v>1</v>
      </c>
      <c r="GC22" t="b" cm="1">
        <f t="array" ref="GC22">INDEX($B$1:$Y$193,MATCH(GC$1,$B$1:$B$193,0),MATCH(1,($B$1:$Y$1=$AB22)*($B$2:$Y$2=$AC22),0))</f>
        <v>1</v>
      </c>
      <c r="GD22" t="b" cm="1">
        <f t="array" ref="GD22">INDEX($B$1:$Y$193,MATCH(GD$1,$B$1:$B$193,0),MATCH(1,($B$1:$Y$1=$AB22)*($B$2:$Y$2=$AC22),0))</f>
        <v>1</v>
      </c>
      <c r="GE22" t="b" cm="1">
        <f t="array" ref="GE22">INDEX($B$1:$Y$193,MATCH(GE$1,$B$1:$B$193,0),MATCH(1,($B$1:$Y$1=$AB22)*($B$2:$Y$2=$AC22),0))</f>
        <v>1</v>
      </c>
      <c r="GF22" t="b" cm="1">
        <f t="array" ref="GF22">INDEX($B$1:$Y$193,MATCH(GF$1,$B$1:$B$193,0),MATCH(1,($B$1:$Y$1=$AB22)*($B$2:$Y$2=$AC22),0))</f>
        <v>1</v>
      </c>
      <c r="GG22" t="b" cm="1">
        <f t="array" ref="GG22">INDEX($B$1:$Y$193,MATCH(GG$1,$B$1:$B$193,0),MATCH(1,($B$1:$Y$1=$AB22)*($B$2:$Y$2=$AC22),0))</f>
        <v>1</v>
      </c>
      <c r="GH22" t="b" cm="1">
        <f t="array" ref="GH22">INDEX($B$1:$Y$193,MATCH(GH$1,$B$1:$B$193,0),MATCH(1,($B$1:$Y$1=$AB22)*($B$2:$Y$2=$AC22),0))</f>
        <v>1</v>
      </c>
      <c r="GI22" t="b" cm="1">
        <f t="array" ref="GI22">INDEX($B$1:$Y$193,MATCH(GI$1,$B$1:$B$193,0),MATCH(1,($B$1:$Y$1=$AB22)*($B$2:$Y$2=$AC22),0))</f>
        <v>1</v>
      </c>
      <c r="GJ22" t="b" cm="1">
        <f t="array" ref="GJ22">INDEX($B$1:$Y$193,MATCH(GJ$1,$B$1:$B$193,0),MATCH(1,($B$1:$Y$1=$AB22)*($B$2:$Y$2=$AC22),0))</f>
        <v>1</v>
      </c>
      <c r="GK22" t="b" cm="1">
        <f t="array" ref="GK22">INDEX($B$1:$Y$193,MATCH(GK$1,$B$1:$B$193,0),MATCH(1,($B$1:$Y$1=$AB22)*($B$2:$Y$2=$AC22),0))</f>
        <v>1</v>
      </c>
      <c r="GL22" t="b" cm="1">
        <f t="array" ref="GL22">INDEX($B$1:$Y$193,MATCH(GL$1,$B$1:$B$193,0),MATCH(1,($B$1:$Y$1=$AB22)*($B$2:$Y$2=$AC22),0))</f>
        <v>1</v>
      </c>
      <c r="GM22" t="b" cm="1">
        <f t="array" ref="GM22">INDEX($B$1:$Y$193,MATCH(GM$1,$B$1:$B$193,0),MATCH(1,($B$1:$Y$1=$AB22)*($B$2:$Y$2=$AC22),0))</f>
        <v>1</v>
      </c>
      <c r="GN22" t="b" cm="1">
        <f t="array" ref="GN22">INDEX($B$1:$Y$193,MATCH(GN$1,$B$1:$B$193,0),MATCH(1,($B$1:$Y$1=$AB22)*($B$2:$Y$2=$AC22),0))</f>
        <v>1</v>
      </c>
      <c r="GO22" t="b" cm="1">
        <f t="array" ref="GO22">INDEX($B$1:$Y$193,MATCH(GO$1,$B$1:$B$193,0),MATCH(1,($B$1:$Y$1=$AB22)*($B$2:$Y$2=$AC22),0))</f>
        <v>1</v>
      </c>
      <c r="GP22" t="b" cm="1">
        <f t="array" ref="GP22">INDEX($B$1:$Y$193,MATCH(GP$1,$B$1:$B$193,0),MATCH(1,($B$1:$Y$1=$AB22)*($B$2:$Y$2=$AC22),0))</f>
        <v>1</v>
      </c>
      <c r="GQ22" t="b" cm="1">
        <f t="array" ref="GQ22">INDEX($B$1:$Y$193,MATCH(GQ$1,$B$1:$B$193,0),MATCH(1,($B$1:$Y$1=$AB22)*($B$2:$Y$2=$AC22),0))</f>
        <v>1</v>
      </c>
      <c r="GR22" t="b" cm="1">
        <f t="array" ref="GR22">INDEX($B$1:$Y$193,MATCH(GR$1,$B$1:$B$193,0),MATCH(1,($B$1:$Y$1=$AB22)*($B$2:$Y$2=$AC22),0))</f>
        <v>1</v>
      </c>
      <c r="GS22" t="b" cm="1">
        <f t="array" ref="GS22">INDEX($B$1:$Y$193,MATCH(GS$1,$B$1:$B$193,0),MATCH(1,($B$1:$Y$1=$AB22)*($B$2:$Y$2=$AC22),0))</f>
        <v>1</v>
      </c>
      <c r="GT22" t="b" cm="1">
        <f t="array" ref="GT22">INDEX($B$1:$Y$193,MATCH(GT$1,$B$1:$B$193,0),MATCH(1,($B$1:$Y$1=$AB22)*($B$2:$Y$2=$AC22),0))</f>
        <v>1</v>
      </c>
      <c r="GU22" t="b" cm="1">
        <f t="array" ref="GU22">INDEX($B$1:$Y$193,MATCH(GU$1,$B$1:$B$193,0),MATCH(1,($B$1:$Y$1=$AB22)*($B$2:$Y$2=$AC22),0))</f>
        <v>1</v>
      </c>
      <c r="GV22" t="b" cm="1">
        <f t="array" ref="GV22">INDEX($B$1:$Y$193,MATCH(GV$1,$B$1:$B$193,0),MATCH(1,($B$1:$Y$1=$AB22)*($B$2:$Y$2=$AC22),0))</f>
        <v>1</v>
      </c>
      <c r="GW22" t="b" cm="1">
        <f t="array" ref="GW22">INDEX($B$1:$Y$193,MATCH(GW$1,$B$1:$B$193,0),MATCH(1,($B$1:$Y$1=$AB22)*($B$2:$Y$2=$AC22),0))</f>
        <v>1</v>
      </c>
      <c r="GX22" t="b" cm="1">
        <f t="array" ref="GX22">INDEX($B$1:$Y$193,MATCH(GX$1,$B$1:$B$193,0),MATCH(1,($B$1:$Y$1=$AB22)*($B$2:$Y$2=$AC22),0))</f>
        <v>1</v>
      </c>
      <c r="GY22" t="b" cm="1">
        <f t="array" ref="GY22">INDEX($B$1:$Y$193,MATCH(GY$1,$B$1:$B$193,0),MATCH(1,($B$1:$Y$1=$AB22)*($B$2:$Y$2=$AC22),0))</f>
        <v>1</v>
      </c>
      <c r="GZ22" t="b" cm="1">
        <f t="array" ref="GZ22">INDEX($B$1:$Y$193,MATCH(GZ$1,$B$1:$B$193,0),MATCH(1,($B$1:$Y$1=$AB22)*($B$2:$Y$2=$AC22),0))</f>
        <v>1</v>
      </c>
      <c r="HA22" t="b" cm="1">
        <f t="array" ref="HA22">INDEX($B$1:$Y$193,MATCH(HA$1,$B$1:$B$193,0),MATCH(1,($B$1:$Y$1=$AB22)*($B$2:$Y$2=$AC22),0))</f>
        <v>1</v>
      </c>
      <c r="HB22" t="b" cm="1">
        <f t="array" ref="HB22">INDEX($B$1:$Y$193,MATCH(HB$1,$B$1:$B$193,0),MATCH(1,($B$1:$Y$1=$AB22)*($B$2:$Y$2=$AC22),0))</f>
        <v>1</v>
      </c>
      <c r="HC22" t="b" cm="1">
        <f t="array" ref="HC22">INDEX($B$1:$Y$193,MATCH(HC$1,$B$1:$B$193,0),MATCH(1,($B$1:$Y$1=$AB22)*($B$2:$Y$2=$AC22),0))</f>
        <v>1</v>
      </c>
      <c r="HD22" t="b" cm="1">
        <f t="array" ref="HD22">INDEX($B$1:$Y$193,MATCH(HD$1,$B$1:$B$193,0),MATCH(1,($B$1:$Y$1=$AB22)*($B$2:$Y$2=$AC22),0))</f>
        <v>1</v>
      </c>
      <c r="HE22" t="b" cm="1">
        <f t="array" ref="HE22">INDEX($B$1:$Y$193,MATCH(HE$1,$B$1:$B$193,0),MATCH(1,($B$1:$Y$1=$AB22)*($B$2:$Y$2=$AC22),0))</f>
        <v>1</v>
      </c>
      <c r="HF22" t="b" cm="1">
        <f t="array" ref="HF22">INDEX($B$1:$Y$193,MATCH(HF$1,$B$1:$B$193,0),MATCH(1,($B$1:$Y$1=$AB22)*($B$2:$Y$2=$AC22),0))</f>
        <v>1</v>
      </c>
      <c r="HG22" t="b" cm="1">
        <f t="array" ref="HG22">INDEX($B$1:$Y$193,MATCH(HG$1,$B$1:$B$193,0),MATCH(1,($B$1:$Y$1=$AB22)*($B$2:$Y$2=$AC22),0))</f>
        <v>1</v>
      </c>
      <c r="HH22" t="b" cm="1">
        <f t="array" ref="HH22">INDEX($B$1:$Y$193,MATCH(HH$1,$B$1:$B$193,0),MATCH(1,($B$1:$Y$1=$AB22)*($B$2:$Y$2=$AC22),0))</f>
        <v>1</v>
      </c>
      <c r="HI22" t="b" cm="1">
        <f t="array" ref="HI22">INDEX($B$1:$Y$193,MATCH(HI$1,$B$1:$B$193,0),MATCH(1,($B$1:$Y$1=$AB22)*($B$2:$Y$2=$AC22),0))</f>
        <v>1</v>
      </c>
      <c r="HJ22" t="b" cm="1">
        <f t="array" ref="HJ22">INDEX($B$1:$Y$193,MATCH(HJ$1,$B$1:$B$193,0),MATCH(1,($B$1:$Y$1=$AB22)*($B$2:$Y$2=$AC22),0))</f>
        <v>1</v>
      </c>
      <c r="HK22" t="b" cm="1">
        <f t="array" ref="HK22">INDEX($B$1:$Y$193,MATCH(HK$1,$B$1:$B$193,0),MATCH(1,($B$1:$Y$1=$AB22)*($B$2:$Y$2=$AC22),0))</f>
        <v>1</v>
      </c>
      <c r="HL22" t="b" cm="1">
        <f t="array" ref="HL22">INDEX($B$1:$Y$193,MATCH(HL$1,$B$1:$B$193,0),MATCH(1,($B$1:$Y$1=$AB22)*($B$2:$Y$2=$AC22),0))</f>
        <v>1</v>
      </c>
      <c r="HM22" t="b" cm="1">
        <f t="array" ref="HM22">INDEX($B$1:$Y$193,MATCH(HM$1,$B$1:$B$193,0),MATCH(1,($B$1:$Y$1=$AB22)*($B$2:$Y$2=$AC22),0))</f>
        <v>1</v>
      </c>
      <c r="HN22" t="b" cm="1">
        <f t="array" ref="HN22">INDEX($B$1:$Y$193,MATCH(HN$1,$B$1:$B$193,0),MATCH(1,($B$1:$Y$1=$AB22)*($B$2:$Y$2=$AC22),0))</f>
        <v>1</v>
      </c>
      <c r="HO22" t="b" cm="1">
        <f t="array" ref="HO22">INDEX($B$1:$Y$193,MATCH(HO$1,$B$1:$B$193,0),MATCH(1,($B$1:$Y$1=$AB22)*($B$2:$Y$2=$AC22),0))</f>
        <v>1</v>
      </c>
      <c r="HP22" t="b" cm="1">
        <f t="array" ref="HP22">INDEX($B$1:$Y$193,MATCH(HP$1,$B$1:$B$193,0),MATCH(1,($B$1:$Y$1=$AB22)*($B$2:$Y$2=$AC22),0))</f>
        <v>1</v>
      </c>
      <c r="HQ22" t="b" cm="1">
        <f t="array" ref="HQ22">INDEX($B$1:$Y$193,MATCH(HQ$1,$B$1:$B$193,0),MATCH(1,($B$1:$Y$1=$AB22)*($B$2:$Y$2=$AC22),0))</f>
        <v>1</v>
      </c>
      <c r="HR22" t="b" cm="1">
        <f t="array" ref="HR22">INDEX($B$1:$Y$193,MATCH(HR$1,$B$1:$B$193,0),MATCH(1,($B$1:$Y$1=$AB22)*($B$2:$Y$2=$AC22),0))</f>
        <v>1</v>
      </c>
      <c r="HS22" t="b" cm="1">
        <f t="array" ref="HS22">INDEX($B$1:$Y$193,MATCH(HS$1,$B$1:$B$193,0),MATCH(1,($B$1:$Y$1=$AB22)*($B$2:$Y$2=$AC22),0))</f>
        <v>1</v>
      </c>
      <c r="HT22" t="b" cm="1">
        <f t="array" ref="HT22">INDEX($B$1:$Y$193,MATCH(HT$1,$B$1:$B$193,0),MATCH(1,($B$1:$Y$1=$AB22)*($B$2:$Y$2=$AC22),0))</f>
        <v>1</v>
      </c>
      <c r="HU22" t="b" cm="1">
        <f t="array" ref="HU22">INDEX($B$1:$Y$193,MATCH(HU$1,$B$1:$B$193,0),MATCH(1,($B$1:$Y$1=$AB22)*($B$2:$Y$2=$AC22),0))</f>
        <v>1</v>
      </c>
      <c r="HV22" t="b" cm="1">
        <f t="array" ref="HV22">INDEX($B$1:$Y$193,MATCH(HV$1,$B$1:$B$193,0),MATCH(1,($B$1:$Y$1=$AB22)*($B$2:$Y$2=$AC22),0))</f>
        <v>1</v>
      </c>
      <c r="HW22" t="b" cm="1">
        <f t="array" ref="HW22">INDEX($B$1:$Y$193,MATCH(HW$1,$B$1:$B$193,0),MATCH(1,($B$1:$Y$1=$AB22)*($B$2:$Y$2=$AC22),0))</f>
        <v>1</v>
      </c>
      <c r="HX22" t="b" cm="1">
        <f t="array" ref="HX22">INDEX($B$1:$Y$193,MATCH(HX$1,$B$1:$B$193,0),MATCH(1,($B$1:$Y$1=$AB22)*($B$2:$Y$2=$AC22),0))</f>
        <v>1</v>
      </c>
      <c r="HY22" t="b" cm="1">
        <f t="array" ref="HY22">INDEX($B$1:$Y$193,MATCH(HY$1,$B$1:$B$193,0),MATCH(1,($B$1:$Y$1=$AB22)*($B$2:$Y$2=$AC22),0))</f>
        <v>1</v>
      </c>
      <c r="HZ22" t="b" cm="1">
        <f t="array" ref="HZ22">INDEX($B$1:$Y$193,MATCH(HZ$1,$B$1:$B$193,0),MATCH(1,($B$1:$Y$1=$AB22)*($B$2:$Y$2=$AC22),0))</f>
        <v>1</v>
      </c>
      <c r="IA22" t="b" cm="1">
        <f t="array" ref="IA22">INDEX($B$1:$Y$193,MATCH(IA$1,$B$1:$B$193,0),MATCH(1,($B$1:$Y$1=$AB22)*($B$2:$Y$2=$AC22),0))</f>
        <v>1</v>
      </c>
      <c r="IB22" t="b" cm="1">
        <f t="array" ref="IB22">INDEX($B$1:$Y$193,MATCH(IB$1,$B$1:$B$193,0),MATCH(1,($B$1:$Y$1=$AB22)*($B$2:$Y$2=$AC22),0))</f>
        <v>1</v>
      </c>
      <c r="IC22" t="b" cm="1">
        <f t="array" ref="IC22">INDEX($B$1:$Y$193,MATCH(IC$1,$B$1:$B$193,0),MATCH(1,($B$1:$Y$1=$AB22)*($B$2:$Y$2=$AC22),0))</f>
        <v>1</v>
      </c>
      <c r="ID22" t="b" cm="1">
        <f t="array" ref="ID22">INDEX($B$1:$Y$193,MATCH(ID$1,$B$1:$B$193,0),MATCH(1,($B$1:$Y$1=$AB22)*($B$2:$Y$2=$AC22),0))</f>
        <v>1</v>
      </c>
      <c r="IE22" t="b" cm="1">
        <f t="array" ref="IE22">INDEX($B$1:$Y$193,MATCH(IE$1,$B$1:$B$193,0),MATCH(1,($B$1:$Y$1=$AB22)*($B$2:$Y$2=$AC22),0))</f>
        <v>1</v>
      </c>
      <c r="IF22" t="b" cm="1">
        <f t="array" ref="IF22">INDEX($B$1:$Y$193,MATCH(IF$1,$B$1:$B$193,0),MATCH(1,($B$1:$Y$1=$AB22)*($B$2:$Y$2=$AC22),0))</f>
        <v>1</v>
      </c>
      <c r="IG22" t="b" cm="1">
        <f t="array" ref="IG22">INDEX($B$1:$Y$193,MATCH(IG$1,$B$1:$B$193,0),MATCH(1,($B$1:$Y$1=$AB22)*($B$2:$Y$2=$AC22),0))</f>
        <v>1</v>
      </c>
      <c r="IH22" t="b" cm="1">
        <f t="array" ref="IH22">INDEX($B$1:$Y$193,MATCH(IH$1,$B$1:$B$193,0),MATCH(1,($B$1:$Y$1=$AB22)*($B$2:$Y$2=$AC22),0))</f>
        <v>1</v>
      </c>
      <c r="II22" t="b" cm="1">
        <f t="array" ref="II22">INDEX($B$1:$Y$193,MATCH(II$1,$B$1:$B$193,0),MATCH(1,($B$1:$Y$1=$AB22)*($B$2:$Y$2=$AC22),0))</f>
        <v>1</v>
      </c>
      <c r="IJ22" t="b" cm="1">
        <f t="array" ref="IJ22">INDEX($B$1:$Y$193,MATCH(IJ$1,$B$1:$B$193,0),MATCH(1,($B$1:$Y$1=$AB22)*($B$2:$Y$2=$AC22),0))</f>
        <v>1</v>
      </c>
      <c r="IK22" t="b" cm="1">
        <f t="array" ref="IK22">INDEX($B$1:$Y$193,MATCH(IK$1,$B$1:$B$193,0),MATCH(1,($B$1:$Y$1=$AB22)*($B$2:$Y$2=$AC22),0))</f>
        <v>1</v>
      </c>
      <c r="IL22" t="b" cm="1">
        <f t="array" ref="IL22">INDEX($B$1:$Y$193,MATCH(IL$1,$B$1:$B$193,0),MATCH(1,($B$1:$Y$1=$AB22)*($B$2:$Y$2=$AC22),0))</f>
        <v>1</v>
      </c>
      <c r="IM22" t="b" cm="1">
        <f t="array" ref="IM22">INDEX($B$1:$Y$193,MATCH(IM$1,$B$1:$B$193,0),MATCH(1,($B$1:$Y$1=$AB22)*($B$2:$Y$2=$AC22),0))</f>
        <v>1</v>
      </c>
      <c r="IN22" t="b" cm="1">
        <f t="array" ref="IN22">INDEX($B$1:$Y$193,MATCH(IN$1,$B$1:$B$193,0),MATCH(1,($B$1:$Y$1=$AB22)*($B$2:$Y$2=$AC22),0))</f>
        <v>1</v>
      </c>
      <c r="IO22" t="b" cm="1">
        <f t="array" ref="IO22">INDEX($B$1:$Y$193,MATCH(IO$1,$B$1:$B$193,0),MATCH(1,($B$1:$Y$1=$AB22)*($B$2:$Y$2=$AC22),0))</f>
        <v>1</v>
      </c>
      <c r="IP22" t="b" cm="1">
        <f t="array" ref="IP22">INDEX($B$1:$Y$193,MATCH(IP$1,$B$1:$B$193,0),MATCH(1,($B$1:$Y$1=$AB22)*($B$2:$Y$2=$AC22),0))</f>
        <v>1</v>
      </c>
      <c r="IQ22" t="b" cm="1">
        <f t="array" ref="IQ22">INDEX($B$1:$Y$193,MATCH(IQ$1,$B$1:$B$193,0),MATCH(1,($B$1:$Y$1=$AB22)*($B$2:$Y$2=$AC22),0))</f>
        <v>1</v>
      </c>
      <c r="IR22" t="b" cm="1">
        <f t="array" ref="IR22">INDEX($B$1:$Y$193,MATCH(IR$1,$B$1:$B$193,0),MATCH(1,($B$1:$Y$1=$AB22)*($B$2:$Y$2=$AC22),0))</f>
        <v>1</v>
      </c>
      <c r="IS22" t="b" cm="1">
        <f t="array" ref="IS22">INDEX($B$1:$Y$193,MATCH(IS$1,$B$1:$B$193,0),MATCH(1,($B$1:$Y$1=$AB22)*($B$2:$Y$2=$AC22),0))</f>
        <v>1</v>
      </c>
      <c r="IT22" t="b" cm="1">
        <f t="array" ref="IT22">INDEX($B$1:$Y$193,MATCH(IT$1,$B$1:$B$193,0),MATCH(1,($B$1:$Y$1=$AB22)*($B$2:$Y$2=$AC22),0))</f>
        <v>1</v>
      </c>
      <c r="IU22" t="b" cm="1">
        <f t="array" ref="IU22">INDEX($B$1:$Y$193,MATCH(IU$1,$B$1:$B$193,0),MATCH(1,($B$1:$Y$1=$AB22)*($B$2:$Y$2=$AC22),0))</f>
        <v>1</v>
      </c>
      <c r="IV22" t="b" cm="1">
        <f t="array" ref="IV22">INDEX($B$1:$Y$193,MATCH(IV$1,$B$1:$B$193,0),MATCH(1,($B$1:$Y$1=$AB22)*($B$2:$Y$2=$AC22),0))</f>
        <v>1</v>
      </c>
      <c r="IW22" t="b" cm="1">
        <f t="array" ref="IW22">INDEX($B$1:$Y$193,MATCH(IW$1,$B$1:$B$193,0),MATCH(1,($B$1:$Y$1=$AB22)*($B$2:$Y$2=$AC22),0))</f>
        <v>1</v>
      </c>
      <c r="IX22" t="b" cm="1">
        <f t="array" ref="IX22">INDEX($B$1:$Y$193,MATCH(IX$1,$B$1:$B$193,0),MATCH(1,($B$1:$Y$1=$AB22)*($B$2:$Y$2=$AC22),0))</f>
        <v>1</v>
      </c>
      <c r="IY22" t="b" cm="1">
        <f t="array" ref="IY22">INDEX($B$1:$Y$193,MATCH(IY$1,$B$1:$B$193,0),MATCH(1,($B$1:$Y$1=$AB22)*($B$2:$Y$2=$AC22),0))</f>
        <v>1</v>
      </c>
      <c r="IZ22" t="b" cm="1">
        <f t="array" ref="IZ22">INDEX($B$1:$Y$193,MATCH(IZ$1,$B$1:$B$193,0),MATCH(1,($B$1:$Y$1=$AB22)*($B$2:$Y$2=$AC22),0))</f>
        <v>1</v>
      </c>
      <c r="JA22" t="b" cm="1">
        <f t="array" ref="JA22">INDEX($B$1:$Y$193,MATCH(JA$1,$B$1:$B$193,0),MATCH(1,($B$1:$Y$1=$AB22)*($B$2:$Y$2=$AC22),0))</f>
        <v>1</v>
      </c>
      <c r="JB22" t="b" cm="1">
        <f t="array" ref="JB22">INDEX($B$1:$Y$193,MATCH(JB$1,$B$1:$B$193,0),MATCH(1,($B$1:$Y$1=$AB22)*($B$2:$Y$2=$AC22),0))</f>
        <v>1</v>
      </c>
      <c r="JC22" t="b" cm="1">
        <f t="array" ref="JC22">INDEX($B$1:$Y$193,MATCH(JC$1,$B$1:$B$193,0),MATCH(1,($B$1:$Y$1=$AB22)*($B$2:$Y$2=$AC22),0))</f>
        <v>1</v>
      </c>
      <c r="JD22" t="b" cm="1">
        <f t="array" ref="JD22">INDEX($B$1:$Y$193,MATCH(JD$1,$B$1:$B$193,0),MATCH(1,($B$1:$Y$1=$AB22)*($B$2:$Y$2=$AC22),0))</f>
        <v>1</v>
      </c>
      <c r="JE22" t="b" cm="1">
        <f t="array" ref="JE22">INDEX($B$1:$Y$193,MATCH(JE$1,$B$1:$B$193,0),MATCH(1,($B$1:$Y$1=$AB22)*($B$2:$Y$2=$AC22),0))</f>
        <v>1</v>
      </c>
      <c r="JF22" t="b" cm="1">
        <f t="array" ref="JF22">INDEX($B$1:$Y$193,MATCH(JF$1,$B$1:$B$193,0),MATCH(1,($B$1:$Y$1=$AB22)*($B$2:$Y$2=$AC22),0))</f>
        <v>1</v>
      </c>
      <c r="JG22" t="b" cm="1">
        <f t="array" ref="JG22">INDEX($B$1:$Y$193,MATCH(JG$1,$B$1:$B$193,0),MATCH(1,($B$1:$Y$1=$AB22)*($B$2:$Y$2=$AC22),0))</f>
        <v>1</v>
      </c>
      <c r="JH22" t="b" cm="1">
        <f t="array" ref="JH22">INDEX($B$1:$Y$193,MATCH(JH$1,$B$1:$B$193,0),MATCH(1,($B$1:$Y$1=$AB22)*($B$2:$Y$2=$AC22),0))</f>
        <v>1</v>
      </c>
    </row>
    <row r="23" spans="1:268" x14ac:dyDescent="0.25">
      <c r="A23" t="s">
        <v>165</v>
      </c>
      <c r="B23" s="51" t="s">
        <v>173</v>
      </c>
      <c r="C23">
        <v>2</v>
      </c>
      <c r="D23">
        <v>3</v>
      </c>
      <c r="E23" t="b">
        <f t="shared" si="1"/>
        <v>1</v>
      </c>
      <c r="F23" t="b">
        <f t="shared" si="1"/>
        <v>1</v>
      </c>
      <c r="G23" t="b">
        <f t="shared" si="1"/>
        <v>1</v>
      </c>
      <c r="H23" t="b">
        <f t="shared" si="1"/>
        <v>0</v>
      </c>
      <c r="I23" t="b">
        <f t="shared" si="1"/>
        <v>0</v>
      </c>
      <c r="J23" t="b">
        <f t="shared" si="1"/>
        <v>0</v>
      </c>
      <c r="K23" t="b">
        <f t="shared" si="1"/>
        <v>1</v>
      </c>
      <c r="L23" t="b">
        <f t="shared" si="1"/>
        <v>1</v>
      </c>
      <c r="M23" t="b">
        <f t="shared" si="1"/>
        <v>1</v>
      </c>
      <c r="N23" t="b">
        <f t="shared" si="1"/>
        <v>0</v>
      </c>
      <c r="O23" t="b">
        <f t="shared" si="1"/>
        <v>0</v>
      </c>
      <c r="P23" t="b">
        <f t="shared" si="1"/>
        <v>0</v>
      </c>
      <c r="Q23" t="b">
        <v>1</v>
      </c>
      <c r="R23" t="b" cm="1">
        <f t="array" ref="R23">_xlfn.IFS(C23=1,FALSE,OR(C23=2,C23&gt;2),TRUE)</f>
        <v>1</v>
      </c>
      <c r="S23" t="b" cm="1">
        <f t="array" ref="S23">_xlfn.IFS(OR(C23=1,C23=2),FALSE,OR(C23=3,C23&gt;3),TRUE)</f>
        <v>0</v>
      </c>
      <c r="T23" t="str">
        <f t="shared" si="2"/>
        <v>TRUE</v>
      </c>
      <c r="U23" t="str">
        <f t="shared" si="3"/>
        <v>FALSE</v>
      </c>
      <c r="V23" t="str">
        <f t="shared" si="4"/>
        <v>FALSE</v>
      </c>
      <c r="W23" t="b" cm="1">
        <f t="array" ref="W23">_xlfn.IFS(H23=1,FALSE,OR(H23=2,H23&gt;2),TRUE)</f>
        <v>1</v>
      </c>
      <c r="X23" t="b" cm="1">
        <f t="array" ref="X23">_xlfn.IFS(H23=1,FALSE,OR(H23=2,H23&gt;2),TRUE)</f>
        <v>1</v>
      </c>
      <c r="Y23" t="b" cm="1">
        <f t="array" ref="Y23">_xlfn.IFS(H23=1,FALSE,OR(H23=2,H23&gt;2),TRUE)</f>
        <v>1</v>
      </c>
    </row>
    <row r="24" spans="1:268" x14ac:dyDescent="0.25">
      <c r="A24" t="s">
        <v>165</v>
      </c>
      <c r="B24" s="51" t="s">
        <v>174</v>
      </c>
      <c r="C24">
        <v>2</v>
      </c>
      <c r="D24">
        <v>3</v>
      </c>
      <c r="E24" t="b">
        <f t="shared" si="1"/>
        <v>1</v>
      </c>
      <c r="F24" t="b">
        <f t="shared" si="1"/>
        <v>1</v>
      </c>
      <c r="G24" t="b">
        <f t="shared" si="1"/>
        <v>1</v>
      </c>
      <c r="H24" t="b">
        <f t="shared" si="1"/>
        <v>0</v>
      </c>
      <c r="I24" t="b">
        <f t="shared" si="1"/>
        <v>0</v>
      </c>
      <c r="J24" t="b">
        <f t="shared" si="1"/>
        <v>0</v>
      </c>
      <c r="K24" t="b">
        <f t="shared" si="1"/>
        <v>1</v>
      </c>
      <c r="L24" t="b">
        <f t="shared" si="1"/>
        <v>1</v>
      </c>
      <c r="M24" t="b">
        <f t="shared" si="1"/>
        <v>1</v>
      </c>
      <c r="N24" t="b">
        <f t="shared" si="1"/>
        <v>0</v>
      </c>
      <c r="O24" t="b">
        <f t="shared" si="1"/>
        <v>0</v>
      </c>
      <c r="P24" t="b">
        <f t="shared" si="1"/>
        <v>0</v>
      </c>
      <c r="Q24" t="b">
        <v>1</v>
      </c>
      <c r="R24" t="b" cm="1">
        <f t="array" ref="R24">_xlfn.IFS(C24=1,FALSE,OR(C24=2,C24&gt;2),TRUE)</f>
        <v>1</v>
      </c>
      <c r="S24" t="b" cm="1">
        <f t="array" ref="S24">_xlfn.IFS(OR(C24=1,C24=2),FALSE,OR(C24=3,C24&gt;3),TRUE)</f>
        <v>0</v>
      </c>
      <c r="T24" t="str">
        <f t="shared" si="2"/>
        <v>TRUE</v>
      </c>
      <c r="U24" t="str">
        <f t="shared" si="3"/>
        <v>FALSE</v>
      </c>
      <c r="V24" t="str">
        <f t="shared" si="4"/>
        <v>FALSE</v>
      </c>
      <c r="W24" t="b" cm="1">
        <f t="array" ref="W24">_xlfn.IFS(H24=1,FALSE,OR(H24=2,H24&gt;2),TRUE)</f>
        <v>1</v>
      </c>
      <c r="X24" t="b" cm="1">
        <f t="array" ref="X24">_xlfn.IFS(H24=1,FALSE,OR(H24=2,H24&gt;2),TRUE)</f>
        <v>1</v>
      </c>
      <c r="Y24" t="b" cm="1">
        <f t="array" ref="Y24">_xlfn.IFS(H24=1,FALSE,OR(H24=2,H24&gt;2),TRUE)</f>
        <v>1</v>
      </c>
    </row>
    <row r="25" spans="1:268" x14ac:dyDescent="0.25">
      <c r="A25" t="s">
        <v>165</v>
      </c>
      <c r="B25" s="51" t="s">
        <v>175</v>
      </c>
      <c r="C25">
        <v>2</v>
      </c>
      <c r="D25">
        <v>3</v>
      </c>
      <c r="E25" t="b">
        <f t="shared" si="1"/>
        <v>1</v>
      </c>
      <c r="F25" t="b">
        <f t="shared" si="1"/>
        <v>1</v>
      </c>
      <c r="G25" t="b">
        <f t="shared" si="1"/>
        <v>1</v>
      </c>
      <c r="H25" t="b">
        <f t="shared" si="1"/>
        <v>0</v>
      </c>
      <c r="I25" t="b">
        <f t="shared" si="1"/>
        <v>0</v>
      </c>
      <c r="J25" t="b">
        <f t="shared" si="1"/>
        <v>0</v>
      </c>
      <c r="K25" t="b">
        <f t="shared" si="1"/>
        <v>1</v>
      </c>
      <c r="L25" t="b">
        <f t="shared" si="1"/>
        <v>1</v>
      </c>
      <c r="M25" t="b">
        <f t="shared" si="1"/>
        <v>1</v>
      </c>
      <c r="N25" t="b">
        <f t="shared" si="1"/>
        <v>0</v>
      </c>
      <c r="O25" t="b">
        <f t="shared" si="1"/>
        <v>0</v>
      </c>
      <c r="P25" t="b">
        <f t="shared" si="1"/>
        <v>0</v>
      </c>
      <c r="Q25" t="b">
        <v>1</v>
      </c>
      <c r="R25" t="b" cm="1">
        <f t="array" ref="R25">_xlfn.IFS(C25=1,FALSE,OR(C25=2,C25&gt;2),TRUE)</f>
        <v>1</v>
      </c>
      <c r="S25" t="b" cm="1">
        <f t="array" ref="S25">_xlfn.IFS(OR(C25=1,C25=2),FALSE,OR(C25=3,C25&gt;3),TRUE)</f>
        <v>0</v>
      </c>
      <c r="T25" t="str">
        <f t="shared" si="2"/>
        <v>TRUE</v>
      </c>
      <c r="U25" t="str">
        <f t="shared" si="3"/>
        <v>FALSE</v>
      </c>
      <c r="V25" t="str">
        <f t="shared" si="4"/>
        <v>FALSE</v>
      </c>
      <c r="W25" t="b" cm="1">
        <f t="array" ref="W25">_xlfn.IFS(H25=1,FALSE,OR(H25=2,H25&gt;2),TRUE)</f>
        <v>1</v>
      </c>
      <c r="X25" t="b" cm="1">
        <f t="array" ref="X25">_xlfn.IFS(H25=1,FALSE,OR(H25=2,H25&gt;2),TRUE)</f>
        <v>1</v>
      </c>
      <c r="Y25" t="b" cm="1">
        <f t="array" ref="Y25">_xlfn.IFS(H25=1,FALSE,OR(H25=2,H25&gt;2),TRUE)</f>
        <v>1</v>
      </c>
    </row>
    <row r="26" spans="1:268" x14ac:dyDescent="0.25">
      <c r="A26" t="s">
        <v>165</v>
      </c>
      <c r="B26" s="51" t="s">
        <v>176</v>
      </c>
      <c r="C26">
        <v>2</v>
      </c>
      <c r="D26">
        <v>3</v>
      </c>
      <c r="E26" t="b">
        <f t="shared" si="1"/>
        <v>1</v>
      </c>
      <c r="F26" t="b">
        <f t="shared" si="1"/>
        <v>1</v>
      </c>
      <c r="G26" t="b">
        <f t="shared" si="1"/>
        <v>1</v>
      </c>
      <c r="H26" t="b">
        <f t="shared" si="1"/>
        <v>0</v>
      </c>
      <c r="I26" t="b">
        <f t="shared" si="1"/>
        <v>0</v>
      </c>
      <c r="J26" t="b">
        <f t="shared" si="1"/>
        <v>0</v>
      </c>
      <c r="K26" t="b">
        <f t="shared" si="1"/>
        <v>1</v>
      </c>
      <c r="L26" t="b">
        <f t="shared" si="1"/>
        <v>1</v>
      </c>
      <c r="M26" t="b">
        <f t="shared" si="1"/>
        <v>1</v>
      </c>
      <c r="N26" t="b">
        <f t="shared" si="1"/>
        <v>0</v>
      </c>
      <c r="O26" t="b">
        <f t="shared" si="1"/>
        <v>0</v>
      </c>
      <c r="P26" t="b">
        <f t="shared" si="1"/>
        <v>0</v>
      </c>
      <c r="Q26" t="b">
        <v>1</v>
      </c>
      <c r="R26" t="b" cm="1">
        <f t="array" ref="R26">_xlfn.IFS(C26=1,FALSE,OR(C26=2,C26&gt;2),TRUE)</f>
        <v>1</v>
      </c>
      <c r="S26" t="b" cm="1">
        <f t="array" ref="S26">_xlfn.IFS(OR(C26=1,C26=2),FALSE,OR(C26=3,C26&gt;3),TRUE)</f>
        <v>0</v>
      </c>
      <c r="T26" t="str">
        <f t="shared" si="2"/>
        <v>TRUE</v>
      </c>
      <c r="U26" t="str">
        <f t="shared" si="3"/>
        <v>FALSE</v>
      </c>
      <c r="V26" t="str">
        <f t="shared" si="4"/>
        <v>FALSE</v>
      </c>
      <c r="W26" t="b" cm="1">
        <f t="array" ref="W26">_xlfn.IFS(H26=1,FALSE,OR(H26=2,H26&gt;2),TRUE)</f>
        <v>1</v>
      </c>
      <c r="X26" t="b" cm="1">
        <f t="array" ref="X26">_xlfn.IFS(H26=1,FALSE,OR(H26=2,H26&gt;2),TRUE)</f>
        <v>1</v>
      </c>
      <c r="Y26" t="b" cm="1">
        <f t="array" ref="Y26">_xlfn.IFS(H26=1,FALSE,OR(H26=2,H26&gt;2),TRUE)</f>
        <v>1</v>
      </c>
    </row>
    <row r="27" spans="1:268" x14ac:dyDescent="0.25">
      <c r="A27" t="s">
        <v>165</v>
      </c>
      <c r="B27" s="51" t="s">
        <v>177</v>
      </c>
      <c r="C27">
        <v>2</v>
      </c>
      <c r="D27">
        <v>3</v>
      </c>
      <c r="E27" t="b">
        <f t="shared" si="1"/>
        <v>1</v>
      </c>
      <c r="F27" t="b">
        <f t="shared" si="1"/>
        <v>1</v>
      </c>
      <c r="G27" t="b">
        <f t="shared" si="1"/>
        <v>1</v>
      </c>
      <c r="H27" t="b">
        <f t="shared" si="1"/>
        <v>0</v>
      </c>
      <c r="I27" t="b">
        <f t="shared" si="1"/>
        <v>0</v>
      </c>
      <c r="J27" t="b">
        <f t="shared" si="1"/>
        <v>0</v>
      </c>
      <c r="K27" t="b">
        <f t="shared" si="1"/>
        <v>1</v>
      </c>
      <c r="L27" t="b">
        <f t="shared" si="1"/>
        <v>1</v>
      </c>
      <c r="M27" t="b">
        <f t="shared" si="1"/>
        <v>1</v>
      </c>
      <c r="N27" t="b">
        <f t="shared" si="1"/>
        <v>0</v>
      </c>
      <c r="O27" t="b">
        <f t="shared" si="1"/>
        <v>0</v>
      </c>
      <c r="P27" t="b">
        <f t="shared" si="1"/>
        <v>0</v>
      </c>
      <c r="Q27" t="b">
        <v>1</v>
      </c>
      <c r="R27" t="b" cm="1">
        <f t="array" ref="R27">_xlfn.IFS(C27=1,FALSE,OR(C27=2,C27&gt;2),TRUE)</f>
        <v>1</v>
      </c>
      <c r="S27" t="b" cm="1">
        <f t="array" ref="S27">_xlfn.IFS(OR(C27=1,C27=2),FALSE,OR(C27=3,C27&gt;3),TRUE)</f>
        <v>0</v>
      </c>
      <c r="T27" t="str">
        <f t="shared" si="2"/>
        <v>TRUE</v>
      </c>
      <c r="U27" t="str">
        <f t="shared" si="3"/>
        <v>FALSE</v>
      </c>
      <c r="V27" t="str">
        <f t="shared" si="4"/>
        <v>FALSE</v>
      </c>
      <c r="W27" t="b" cm="1">
        <f t="array" ref="W27">_xlfn.IFS(H27=1,FALSE,OR(H27=2,H27&gt;2),TRUE)</f>
        <v>1</v>
      </c>
      <c r="X27" t="b" cm="1">
        <f t="array" ref="X27">_xlfn.IFS(H27=1,FALSE,OR(H27=2,H27&gt;2),TRUE)</f>
        <v>1</v>
      </c>
      <c r="Y27" t="b" cm="1">
        <f t="array" ref="Y27">_xlfn.IFS(H27=1,FALSE,OR(H27=2,H27&gt;2),TRUE)</f>
        <v>1</v>
      </c>
      <c r="AB27" t="s">
        <v>92</v>
      </c>
      <c r="AC27" t="s">
        <v>93</v>
      </c>
      <c r="AD27" t="s">
        <v>94</v>
      </c>
      <c r="AE27" t="s">
        <v>95</v>
      </c>
    </row>
    <row r="28" spans="1:268" x14ac:dyDescent="0.25">
      <c r="A28" t="s">
        <v>164</v>
      </c>
      <c r="B28" s="51">
        <v>45</v>
      </c>
      <c r="C28">
        <v>2</v>
      </c>
      <c r="D28">
        <v>3</v>
      </c>
      <c r="E28" t="b">
        <f t="shared" si="1"/>
        <v>1</v>
      </c>
      <c r="F28" t="b">
        <f t="shared" si="1"/>
        <v>1</v>
      </c>
      <c r="G28" t="b">
        <f t="shared" si="1"/>
        <v>1</v>
      </c>
      <c r="H28" t="b">
        <f t="shared" si="1"/>
        <v>0</v>
      </c>
      <c r="I28" t="b">
        <f t="shared" si="1"/>
        <v>0</v>
      </c>
      <c r="J28" t="b">
        <f t="shared" si="1"/>
        <v>0</v>
      </c>
      <c r="K28" t="b">
        <f t="shared" si="1"/>
        <v>1</v>
      </c>
      <c r="L28" t="b">
        <f t="shared" si="1"/>
        <v>1</v>
      </c>
      <c r="M28" t="b">
        <f t="shared" si="1"/>
        <v>1</v>
      </c>
      <c r="N28" t="b">
        <f t="shared" si="1"/>
        <v>0</v>
      </c>
      <c r="O28" t="b">
        <f t="shared" si="1"/>
        <v>0</v>
      </c>
      <c r="P28" t="b">
        <f t="shared" si="1"/>
        <v>0</v>
      </c>
      <c r="Q28" t="b">
        <v>1</v>
      </c>
      <c r="R28" t="b" cm="1">
        <f t="array" ref="R28">_xlfn.IFS(C28=1,FALSE,OR(C28=2,C28&gt;2),TRUE)</f>
        <v>1</v>
      </c>
      <c r="S28" t="b" cm="1">
        <f t="array" ref="S28">_xlfn.IFS(OR(C28=1,C28=2),FALSE,OR(C28=3,C28&gt;3),TRUE)</f>
        <v>0</v>
      </c>
      <c r="T28" t="str">
        <f t="shared" si="2"/>
        <v>TRUE</v>
      </c>
      <c r="U28" t="str">
        <f t="shared" si="3"/>
        <v>FALSE</v>
      </c>
      <c r="V28" t="str">
        <f t="shared" si="4"/>
        <v>FALSE</v>
      </c>
      <c r="W28" t="b" cm="1">
        <f t="array" ref="W28">_xlfn.IFS(H28=1,FALSE,OR(H28=2,H28&gt;2),TRUE)</f>
        <v>1</v>
      </c>
      <c r="X28" t="b" cm="1">
        <f t="array" ref="X28">_xlfn.IFS(H28=1,FALSE,OR(H28=2,H28&gt;2),TRUE)</f>
        <v>1</v>
      </c>
      <c r="Y28" t="b" cm="1">
        <f t="array" ref="Y28">_xlfn.IFS(H28=1,FALSE,OR(H28=2,H28&gt;2),TRUE)</f>
        <v>1</v>
      </c>
      <c r="AB28" t="s">
        <v>0</v>
      </c>
      <c r="AC28" t="s">
        <v>77</v>
      </c>
      <c r="AD28" t="b">
        <f>INDEX($AC$1:$EW$22,MATCH(AC28,$AC$1:$AC$22,0),MATCH(AE28,$AC$1:$EW$1,0))</f>
        <v>1</v>
      </c>
      <c r="AE28">
        <f>AD1</f>
        <v>1</v>
      </c>
      <c r="AF28" t="str">
        <f>IF(LEFT(AE28,1)="G",AE28,"Plot "&amp;AE28)</f>
        <v>Plot 1</v>
      </c>
    </row>
    <row r="29" spans="1:268" x14ac:dyDescent="0.25">
      <c r="A29" t="s">
        <v>164</v>
      </c>
      <c r="B29" s="51">
        <v>46</v>
      </c>
      <c r="C29">
        <v>2</v>
      </c>
      <c r="D29">
        <v>3</v>
      </c>
      <c r="E29" t="b">
        <f t="shared" si="1"/>
        <v>1</v>
      </c>
      <c r="F29" t="b">
        <f t="shared" si="1"/>
        <v>1</v>
      </c>
      <c r="G29" t="b">
        <f t="shared" si="1"/>
        <v>1</v>
      </c>
      <c r="H29" t="b">
        <f t="shared" si="1"/>
        <v>0</v>
      </c>
      <c r="I29" t="b">
        <f t="shared" si="1"/>
        <v>0</v>
      </c>
      <c r="J29" t="b">
        <f t="shared" si="1"/>
        <v>0</v>
      </c>
      <c r="K29" t="b">
        <f t="shared" si="1"/>
        <v>1</v>
      </c>
      <c r="L29" t="b">
        <f t="shared" si="1"/>
        <v>1</v>
      </c>
      <c r="M29" t="b">
        <f t="shared" si="1"/>
        <v>1</v>
      </c>
      <c r="N29" t="b">
        <f t="shared" si="1"/>
        <v>0</v>
      </c>
      <c r="O29" t="b">
        <f t="shared" si="1"/>
        <v>0</v>
      </c>
      <c r="P29" t="b">
        <f t="shared" si="1"/>
        <v>0</v>
      </c>
      <c r="Q29" t="b">
        <v>1</v>
      </c>
      <c r="R29" t="b" cm="1">
        <f t="array" ref="R29">_xlfn.IFS(C29=1,FALSE,OR(C29=2,C29&gt;2),TRUE)</f>
        <v>1</v>
      </c>
      <c r="S29" t="b" cm="1">
        <f t="array" ref="S29">_xlfn.IFS(OR(C29=1,C29=2),FALSE,OR(C29=3,C29&gt;3),TRUE)</f>
        <v>0</v>
      </c>
      <c r="T29" t="str">
        <f t="shared" si="2"/>
        <v>TRUE</v>
      </c>
      <c r="U29" t="str">
        <f t="shared" si="3"/>
        <v>FALSE</v>
      </c>
      <c r="V29" t="str">
        <f t="shared" si="4"/>
        <v>FALSE</v>
      </c>
      <c r="W29" t="b" cm="1">
        <f t="array" ref="W29">_xlfn.IFS(H29=1,FALSE,OR(H29=2,H29&gt;2),TRUE)</f>
        <v>1</v>
      </c>
      <c r="X29" t="b" cm="1">
        <f t="array" ref="X29">_xlfn.IFS(H29=1,FALSE,OR(H29=2,H29&gt;2),TRUE)</f>
        <v>1</v>
      </c>
      <c r="Y29" t="b" cm="1">
        <f t="array" ref="Y29">_xlfn.IFS(H29=1,FALSE,OR(H29=2,H29&gt;2),TRUE)</f>
        <v>1</v>
      </c>
      <c r="AB29" t="s">
        <v>0</v>
      </c>
      <c r="AC29" t="s">
        <v>78</v>
      </c>
      <c r="AD29" t="b">
        <f ca="1">INDEX($AC$1:$JH$22,MATCH(AC29,$AC$1:$AC$22,0),MATCH(AE29,$AC$1:$JH$1,0))</f>
        <v>1</v>
      </c>
      <c r="AE29" s="1">
        <f ca="1">OFFSET($AD$1,0,FLOOR(ROW(B1)/21,1))</f>
        <v>1</v>
      </c>
      <c r="AF29" t="str">
        <f t="shared" ref="AF29:AF92" ca="1" si="6">IF(LEFT(AE29,1)="G",AE29,"Plot "&amp;AE29)</f>
        <v>Plot 1</v>
      </c>
    </row>
    <row r="30" spans="1:268" x14ac:dyDescent="0.25">
      <c r="A30" t="s">
        <v>164</v>
      </c>
      <c r="B30" s="51">
        <v>47</v>
      </c>
      <c r="C30">
        <v>2</v>
      </c>
      <c r="D30">
        <v>3</v>
      </c>
      <c r="E30" t="b">
        <f t="shared" si="1"/>
        <v>1</v>
      </c>
      <c r="F30" t="b">
        <f t="shared" si="1"/>
        <v>1</v>
      </c>
      <c r="G30" t="b">
        <f t="shared" si="1"/>
        <v>1</v>
      </c>
      <c r="H30" t="b">
        <f t="shared" si="1"/>
        <v>0</v>
      </c>
      <c r="I30" t="b">
        <f t="shared" si="1"/>
        <v>0</v>
      </c>
      <c r="J30" t="b">
        <f t="shared" si="1"/>
        <v>0</v>
      </c>
      <c r="K30" t="b">
        <f t="shared" si="1"/>
        <v>1</v>
      </c>
      <c r="L30" t="b">
        <f t="shared" si="1"/>
        <v>1</v>
      </c>
      <c r="M30" t="b">
        <f t="shared" si="1"/>
        <v>1</v>
      </c>
      <c r="N30" t="b">
        <f t="shared" si="1"/>
        <v>0</v>
      </c>
      <c r="O30" t="b">
        <f t="shared" si="1"/>
        <v>0</v>
      </c>
      <c r="P30" t="b">
        <f t="shared" si="1"/>
        <v>0</v>
      </c>
      <c r="Q30" t="b">
        <v>1</v>
      </c>
      <c r="R30" t="b" cm="1">
        <f t="array" ref="R30">_xlfn.IFS(C30=1,FALSE,OR(C30=2,C30&gt;2),TRUE)</f>
        <v>1</v>
      </c>
      <c r="S30" t="b" cm="1">
        <f t="array" ref="S30">_xlfn.IFS(OR(C30=1,C30=2),FALSE,OR(C30=3,C30&gt;3),TRUE)</f>
        <v>0</v>
      </c>
      <c r="T30" t="str">
        <f t="shared" si="2"/>
        <v>TRUE</v>
      </c>
      <c r="U30" t="str">
        <f t="shared" si="3"/>
        <v>FALSE</v>
      </c>
      <c r="V30" t="str">
        <f t="shared" si="4"/>
        <v>FALSE</v>
      </c>
      <c r="W30" t="b" cm="1">
        <f t="array" ref="W30">_xlfn.IFS(H30=1,FALSE,OR(H30=2,H30&gt;2),TRUE)</f>
        <v>1</v>
      </c>
      <c r="X30" t="b" cm="1">
        <f t="array" ref="X30">_xlfn.IFS(H30=1,FALSE,OR(H30=2,H30&gt;2),TRUE)</f>
        <v>1</v>
      </c>
      <c r="Y30" t="b" cm="1">
        <f t="array" ref="Y30">_xlfn.IFS(H30=1,FALSE,OR(H30=2,H30&gt;2),TRUE)</f>
        <v>1</v>
      </c>
      <c r="AB30" t="s">
        <v>0</v>
      </c>
      <c r="AC30" t="s">
        <v>79</v>
      </c>
      <c r="AD30" t="b">
        <f t="shared" ref="AD30:AD93" ca="1" si="7">INDEX($AC$1:$JH$22,MATCH(AC30,$AC$1:$AC$22,0),MATCH(AE30,$AC$1:$JH$1,0))</f>
        <v>1</v>
      </c>
      <c r="AE30" s="1">
        <f t="shared" ref="AE30:AE49" ca="1" si="8">OFFSET($AD$1,0,FLOOR(ROW(B2)/21,1))</f>
        <v>1</v>
      </c>
      <c r="AF30" t="str">
        <f t="shared" ca="1" si="6"/>
        <v>Plot 1</v>
      </c>
    </row>
    <row r="31" spans="1:268" x14ac:dyDescent="0.25">
      <c r="A31" t="s">
        <v>164</v>
      </c>
      <c r="B31" s="51">
        <v>48</v>
      </c>
      <c r="C31">
        <v>1</v>
      </c>
      <c r="D31">
        <v>2</v>
      </c>
      <c r="E31" t="b">
        <f t="shared" si="1"/>
        <v>1</v>
      </c>
      <c r="F31" t="b">
        <f t="shared" si="1"/>
        <v>1</v>
      </c>
      <c r="G31" t="b">
        <f t="shared" si="1"/>
        <v>0</v>
      </c>
      <c r="H31" t="b">
        <f t="shared" si="1"/>
        <v>0</v>
      </c>
      <c r="I31" t="b">
        <f t="shared" ref="I31:P31" si="9">IF(OR(INT(RIGHT(I$2,1))&lt;$D31,INT(RIGHT(I$2,1))=$D31),TRUE,FALSE)</f>
        <v>0</v>
      </c>
      <c r="J31" t="b">
        <f t="shared" si="9"/>
        <v>0</v>
      </c>
      <c r="K31" t="b">
        <f t="shared" si="9"/>
        <v>1</v>
      </c>
      <c r="L31" t="b">
        <f t="shared" si="9"/>
        <v>1</v>
      </c>
      <c r="M31" t="b">
        <f t="shared" si="9"/>
        <v>0</v>
      </c>
      <c r="N31" t="b">
        <f t="shared" si="9"/>
        <v>0</v>
      </c>
      <c r="O31" t="b">
        <f t="shared" si="9"/>
        <v>0</v>
      </c>
      <c r="P31" t="b">
        <f t="shared" si="9"/>
        <v>0</v>
      </c>
      <c r="Q31" t="b">
        <v>1</v>
      </c>
      <c r="R31" t="b" cm="1">
        <f t="array" ref="R31">_xlfn.IFS(C31=1,FALSE,OR(C31=2,C31&gt;2),TRUE)</f>
        <v>0</v>
      </c>
      <c r="S31" t="b" cm="1">
        <f t="array" ref="S31">_xlfn.IFS(OR(C31=1,C31=2),FALSE,OR(C31=3,C31&gt;3),TRUE)</f>
        <v>0</v>
      </c>
      <c r="T31" t="str">
        <f t="shared" si="2"/>
        <v>FALSE</v>
      </c>
      <c r="U31" t="str">
        <f t="shared" si="3"/>
        <v>FALSE</v>
      </c>
      <c r="V31" t="str">
        <f t="shared" si="4"/>
        <v>FALSE</v>
      </c>
      <c r="W31" t="b" cm="1">
        <f t="array" ref="W31">_xlfn.IFS(H31=1,FALSE,OR(H31=2,H31&gt;2),TRUE)</f>
        <v>1</v>
      </c>
      <c r="X31" t="b" cm="1">
        <f t="array" ref="X31">_xlfn.IFS(H31=1,FALSE,OR(H31=2,H31&gt;2),TRUE)</f>
        <v>1</v>
      </c>
      <c r="Y31" t="b" cm="1">
        <f t="array" ref="Y31">_xlfn.IFS(H31=1,FALSE,OR(H31=2,H31&gt;2),TRUE)</f>
        <v>1</v>
      </c>
      <c r="AB31" t="s">
        <v>0</v>
      </c>
      <c r="AC31" t="s">
        <v>80</v>
      </c>
      <c r="AD31" t="b">
        <f t="shared" ca="1" si="7"/>
        <v>0</v>
      </c>
      <c r="AE31" s="1">
        <f t="shared" ca="1" si="8"/>
        <v>1</v>
      </c>
      <c r="AF31" t="str">
        <f t="shared" ca="1" si="6"/>
        <v>Plot 1</v>
      </c>
    </row>
    <row r="32" spans="1:268" x14ac:dyDescent="0.25">
      <c r="A32" t="s">
        <v>164</v>
      </c>
      <c r="B32" s="51">
        <v>49</v>
      </c>
      <c r="C32">
        <v>1</v>
      </c>
      <c r="D32">
        <v>2</v>
      </c>
      <c r="E32" t="b">
        <f t="shared" ref="E32:P45" si="10">IF(OR(INT(RIGHT(E$2,1))&lt;$D32,INT(RIGHT(E$2,1))=$D32),TRUE,FALSE)</f>
        <v>1</v>
      </c>
      <c r="F32" t="b">
        <f t="shared" si="10"/>
        <v>1</v>
      </c>
      <c r="G32" t="b">
        <f t="shared" si="10"/>
        <v>0</v>
      </c>
      <c r="H32" t="b">
        <f t="shared" si="10"/>
        <v>0</v>
      </c>
      <c r="I32" t="b">
        <f t="shared" si="10"/>
        <v>0</v>
      </c>
      <c r="J32" t="b">
        <f t="shared" si="10"/>
        <v>0</v>
      </c>
      <c r="K32" t="b">
        <f t="shared" si="10"/>
        <v>1</v>
      </c>
      <c r="L32" t="b">
        <f t="shared" si="10"/>
        <v>1</v>
      </c>
      <c r="M32" t="b">
        <f t="shared" si="10"/>
        <v>0</v>
      </c>
      <c r="N32" t="b">
        <f t="shared" si="10"/>
        <v>0</v>
      </c>
      <c r="O32" t="b">
        <f t="shared" si="10"/>
        <v>0</v>
      </c>
      <c r="P32" t="b">
        <f t="shared" si="10"/>
        <v>0</v>
      </c>
      <c r="Q32" t="b">
        <v>1</v>
      </c>
      <c r="R32" t="b" cm="1">
        <f t="array" ref="R32">_xlfn.IFS(C32=1,FALSE,OR(C32=2,C32&gt;2),TRUE)</f>
        <v>0</v>
      </c>
      <c r="S32" t="b" cm="1">
        <f t="array" ref="S32">_xlfn.IFS(OR(C32=1,C32=2),FALSE,OR(C32=3,C32&gt;3),TRUE)</f>
        <v>0</v>
      </c>
      <c r="T32" t="str">
        <f t="shared" si="2"/>
        <v>FALSE</v>
      </c>
      <c r="U32" t="str">
        <f t="shared" si="3"/>
        <v>FALSE</v>
      </c>
      <c r="V32" t="str">
        <f t="shared" si="4"/>
        <v>FALSE</v>
      </c>
      <c r="W32" t="b" cm="1">
        <f t="array" ref="W32">_xlfn.IFS(H32=1,FALSE,OR(H32=2,H32&gt;2),TRUE)</f>
        <v>1</v>
      </c>
      <c r="X32" t="b" cm="1">
        <f t="array" ref="X32">_xlfn.IFS(H32=1,FALSE,OR(H32=2,H32&gt;2),TRUE)</f>
        <v>1</v>
      </c>
      <c r="Y32" t="b" cm="1">
        <f t="array" ref="Y32">_xlfn.IFS(H32=1,FALSE,OR(H32=2,H32&gt;2),TRUE)</f>
        <v>1</v>
      </c>
      <c r="AB32" t="s">
        <v>0</v>
      </c>
      <c r="AC32" t="s">
        <v>81</v>
      </c>
      <c r="AD32" t="b">
        <f t="shared" ca="1" si="7"/>
        <v>0</v>
      </c>
      <c r="AE32" s="1">
        <f t="shared" ca="1" si="8"/>
        <v>1</v>
      </c>
      <c r="AF32" t="str">
        <f t="shared" ca="1" si="6"/>
        <v>Plot 1</v>
      </c>
    </row>
    <row r="33" spans="1:32" x14ac:dyDescent="0.25">
      <c r="A33" t="s">
        <v>164</v>
      </c>
      <c r="B33" s="51">
        <v>50</v>
      </c>
      <c r="C33">
        <v>2</v>
      </c>
      <c r="D33">
        <v>3</v>
      </c>
      <c r="E33" t="b">
        <f t="shared" si="10"/>
        <v>1</v>
      </c>
      <c r="F33" t="b">
        <f t="shared" si="10"/>
        <v>1</v>
      </c>
      <c r="G33" t="b">
        <f t="shared" si="10"/>
        <v>1</v>
      </c>
      <c r="H33" t="b">
        <f t="shared" si="10"/>
        <v>0</v>
      </c>
      <c r="I33" t="b">
        <f t="shared" si="10"/>
        <v>0</v>
      </c>
      <c r="J33" t="b">
        <f t="shared" si="10"/>
        <v>0</v>
      </c>
      <c r="K33" t="b">
        <f t="shared" si="10"/>
        <v>1</v>
      </c>
      <c r="L33" t="b">
        <f t="shared" si="10"/>
        <v>1</v>
      </c>
      <c r="M33" t="b">
        <f t="shared" si="10"/>
        <v>1</v>
      </c>
      <c r="N33" t="b">
        <f t="shared" si="10"/>
        <v>0</v>
      </c>
      <c r="O33" t="b">
        <f t="shared" si="10"/>
        <v>0</v>
      </c>
      <c r="P33" t="b">
        <f t="shared" si="10"/>
        <v>0</v>
      </c>
      <c r="Q33" t="b">
        <v>1</v>
      </c>
      <c r="R33" t="b" cm="1">
        <f t="array" ref="R33">_xlfn.IFS(C33=1,FALSE,OR(C33=2,C33&gt;2),TRUE)</f>
        <v>1</v>
      </c>
      <c r="S33" t="b" cm="1">
        <f t="array" ref="S33">_xlfn.IFS(OR(C33=1,C33=2),FALSE,OR(C33=3,C33&gt;3),TRUE)</f>
        <v>0</v>
      </c>
      <c r="T33" t="str">
        <f t="shared" si="2"/>
        <v>TRUE</v>
      </c>
      <c r="U33" t="str">
        <f t="shared" si="3"/>
        <v>FALSE</v>
      </c>
      <c r="V33" t="str">
        <f t="shared" si="4"/>
        <v>FALSE</v>
      </c>
      <c r="W33" t="b" cm="1">
        <f t="array" ref="W33">_xlfn.IFS(H33=1,FALSE,OR(H33=2,H33&gt;2),TRUE)</f>
        <v>1</v>
      </c>
      <c r="X33" t="b" cm="1">
        <f t="array" ref="X33">_xlfn.IFS(H33=1,FALSE,OR(H33=2,H33&gt;2),TRUE)</f>
        <v>1</v>
      </c>
      <c r="Y33" t="b" cm="1">
        <f t="array" ref="Y33">_xlfn.IFS(H33=1,FALSE,OR(H33=2,H33&gt;2),TRUE)</f>
        <v>1</v>
      </c>
      <c r="AB33" t="s">
        <v>0</v>
      </c>
      <c r="AC33" t="s">
        <v>82</v>
      </c>
      <c r="AD33" t="b">
        <f t="shared" ca="1" si="7"/>
        <v>0</v>
      </c>
      <c r="AE33" s="1">
        <f t="shared" ca="1" si="8"/>
        <v>1</v>
      </c>
      <c r="AF33" t="str">
        <f t="shared" ca="1" si="6"/>
        <v>Plot 1</v>
      </c>
    </row>
    <row r="34" spans="1:32" x14ac:dyDescent="0.25">
      <c r="A34" t="s">
        <v>164</v>
      </c>
      <c r="B34" s="51">
        <v>51</v>
      </c>
      <c r="C34">
        <v>3</v>
      </c>
      <c r="D34">
        <v>4</v>
      </c>
      <c r="E34" t="b">
        <f t="shared" si="10"/>
        <v>1</v>
      </c>
      <c r="F34" t="b">
        <f t="shared" si="10"/>
        <v>1</v>
      </c>
      <c r="G34" t="b">
        <f t="shared" si="10"/>
        <v>1</v>
      </c>
      <c r="H34" t="b">
        <f t="shared" si="10"/>
        <v>1</v>
      </c>
      <c r="I34" t="b">
        <f t="shared" si="10"/>
        <v>0</v>
      </c>
      <c r="J34" t="b">
        <f t="shared" si="10"/>
        <v>0</v>
      </c>
      <c r="K34" t="b">
        <f t="shared" si="10"/>
        <v>1</v>
      </c>
      <c r="L34" t="b">
        <f t="shared" si="10"/>
        <v>1</v>
      </c>
      <c r="M34" t="b">
        <f t="shared" si="10"/>
        <v>1</v>
      </c>
      <c r="N34" t="b">
        <f t="shared" si="10"/>
        <v>1</v>
      </c>
      <c r="O34" t="b">
        <f t="shared" si="10"/>
        <v>0</v>
      </c>
      <c r="P34" t="b">
        <f t="shared" si="10"/>
        <v>0</v>
      </c>
      <c r="Q34" t="b">
        <v>1</v>
      </c>
      <c r="R34" t="b" cm="1">
        <f t="array" ref="R34">_xlfn.IFS(C34=1,FALSE,OR(C34=2,C34&gt;2),TRUE)</f>
        <v>1</v>
      </c>
      <c r="S34" t="b" cm="1">
        <f t="array" ref="S34">_xlfn.IFS(OR(C34=1,C34=2),FALSE,OR(C34=3,C34&gt;3),TRUE)</f>
        <v>1</v>
      </c>
      <c r="T34" t="str">
        <f t="shared" si="2"/>
        <v>TRUE</v>
      </c>
      <c r="U34" t="str">
        <f t="shared" si="3"/>
        <v>TRUE</v>
      </c>
      <c r="V34" t="str">
        <f t="shared" si="4"/>
        <v>FALSE</v>
      </c>
      <c r="W34" t="b" cm="1">
        <f t="array" ref="W34">_xlfn.IFS(H34=1,FALSE,OR(H34=2,H34&gt;2),TRUE)</f>
        <v>1</v>
      </c>
      <c r="X34" t="b" cm="1">
        <f t="array" ref="X34">_xlfn.IFS(H34=1,FALSE,OR(H34=2,H34&gt;2),TRUE)</f>
        <v>1</v>
      </c>
      <c r="Y34" t="b" cm="1">
        <f t="array" ref="Y34">_xlfn.IFS(H34=1,FALSE,OR(H34=2,H34&gt;2),TRUE)</f>
        <v>1</v>
      </c>
      <c r="AB34" t="s">
        <v>1</v>
      </c>
      <c r="AC34" t="s">
        <v>77</v>
      </c>
      <c r="AD34" t="b">
        <f t="shared" ca="1" si="7"/>
        <v>1</v>
      </c>
      <c r="AE34" s="1">
        <f t="shared" ca="1" si="8"/>
        <v>1</v>
      </c>
      <c r="AF34" t="str">
        <f t="shared" ca="1" si="6"/>
        <v>Plot 1</v>
      </c>
    </row>
    <row r="35" spans="1:32" x14ac:dyDescent="0.25">
      <c r="A35" t="s">
        <v>164</v>
      </c>
      <c r="B35" s="51">
        <v>52</v>
      </c>
      <c r="C35">
        <v>2</v>
      </c>
      <c r="D35">
        <v>3</v>
      </c>
      <c r="E35" t="b">
        <f t="shared" si="10"/>
        <v>1</v>
      </c>
      <c r="F35" t="b">
        <f t="shared" si="10"/>
        <v>1</v>
      </c>
      <c r="G35" t="b">
        <f t="shared" si="10"/>
        <v>1</v>
      </c>
      <c r="H35" t="b">
        <f t="shared" si="10"/>
        <v>0</v>
      </c>
      <c r="I35" t="b">
        <f t="shared" si="10"/>
        <v>0</v>
      </c>
      <c r="J35" t="b">
        <f t="shared" si="10"/>
        <v>0</v>
      </c>
      <c r="K35" t="b">
        <f t="shared" si="10"/>
        <v>1</v>
      </c>
      <c r="L35" t="b">
        <f t="shared" si="10"/>
        <v>1</v>
      </c>
      <c r="M35" t="b">
        <f t="shared" si="10"/>
        <v>1</v>
      </c>
      <c r="N35" t="b">
        <f t="shared" si="10"/>
        <v>0</v>
      </c>
      <c r="O35" t="b">
        <f t="shared" si="10"/>
        <v>0</v>
      </c>
      <c r="P35" t="b">
        <f t="shared" si="10"/>
        <v>0</v>
      </c>
      <c r="Q35" t="b">
        <v>1</v>
      </c>
      <c r="R35" t="b" cm="1">
        <f t="array" ref="R35">_xlfn.IFS(C35=1,FALSE,OR(C35=2,C35&gt;2),TRUE)</f>
        <v>1</v>
      </c>
      <c r="S35" t="b" cm="1">
        <f t="array" ref="S35">_xlfn.IFS(OR(C35=1,C35=2),FALSE,OR(C35=3,C35&gt;3),TRUE)</f>
        <v>0</v>
      </c>
      <c r="T35" t="str">
        <f t="shared" si="2"/>
        <v>TRUE</v>
      </c>
      <c r="U35" t="str">
        <f t="shared" si="3"/>
        <v>FALSE</v>
      </c>
      <c r="V35" t="str">
        <f t="shared" si="4"/>
        <v>FALSE</v>
      </c>
      <c r="W35" t="b" cm="1">
        <f t="array" ref="W35">_xlfn.IFS(H35=1,FALSE,OR(H35=2,H35&gt;2),TRUE)</f>
        <v>1</v>
      </c>
      <c r="X35" t="b" cm="1">
        <f t="array" ref="X35">_xlfn.IFS(H35=1,FALSE,OR(H35=2,H35&gt;2),TRUE)</f>
        <v>1</v>
      </c>
      <c r="Y35" t="b" cm="1">
        <f t="array" ref="Y35">_xlfn.IFS(H35=1,FALSE,OR(H35=2,H35&gt;2),TRUE)</f>
        <v>1</v>
      </c>
      <c r="AB35" t="s">
        <v>1</v>
      </c>
      <c r="AC35" t="s">
        <v>78</v>
      </c>
      <c r="AD35" t="b">
        <f t="shared" ca="1" si="7"/>
        <v>1</v>
      </c>
      <c r="AE35" s="1">
        <f t="shared" ca="1" si="8"/>
        <v>1</v>
      </c>
      <c r="AF35" t="str">
        <f t="shared" ca="1" si="6"/>
        <v>Plot 1</v>
      </c>
    </row>
    <row r="36" spans="1:32" x14ac:dyDescent="0.25">
      <c r="A36" t="s">
        <v>165</v>
      </c>
      <c r="B36" s="51" t="s">
        <v>178</v>
      </c>
      <c r="C36">
        <v>2</v>
      </c>
      <c r="D36">
        <v>3</v>
      </c>
      <c r="E36" t="b">
        <f t="shared" si="10"/>
        <v>1</v>
      </c>
      <c r="F36" t="b">
        <f t="shared" si="10"/>
        <v>1</v>
      </c>
      <c r="G36" t="b">
        <f t="shared" si="10"/>
        <v>1</v>
      </c>
      <c r="H36" t="b">
        <f t="shared" si="10"/>
        <v>0</v>
      </c>
      <c r="I36" t="b">
        <f t="shared" si="10"/>
        <v>0</v>
      </c>
      <c r="J36" t="b">
        <f t="shared" si="10"/>
        <v>0</v>
      </c>
      <c r="K36" t="b">
        <f t="shared" si="10"/>
        <v>1</v>
      </c>
      <c r="L36" t="b">
        <f t="shared" si="10"/>
        <v>1</v>
      </c>
      <c r="M36" t="b">
        <f t="shared" si="10"/>
        <v>1</v>
      </c>
      <c r="N36" t="b">
        <f t="shared" si="10"/>
        <v>0</v>
      </c>
      <c r="O36" t="b">
        <f t="shared" si="10"/>
        <v>0</v>
      </c>
      <c r="P36" t="b">
        <f t="shared" si="10"/>
        <v>0</v>
      </c>
      <c r="Q36" t="b">
        <v>1</v>
      </c>
      <c r="R36" t="b" cm="1">
        <f t="array" ref="R36">_xlfn.IFS(C36=1,FALSE,OR(C36=2,C36&gt;2),TRUE)</f>
        <v>1</v>
      </c>
      <c r="S36" t="b" cm="1">
        <f t="array" ref="S36">_xlfn.IFS(OR(C36=1,C36=2),FALSE,OR(C36=3,C36&gt;3),TRUE)</f>
        <v>0</v>
      </c>
      <c r="T36" t="str">
        <f t="shared" si="2"/>
        <v>TRUE</v>
      </c>
      <c r="U36" t="str">
        <f t="shared" si="3"/>
        <v>FALSE</v>
      </c>
      <c r="V36" t="str">
        <f t="shared" si="4"/>
        <v>FALSE</v>
      </c>
      <c r="W36" t="b" cm="1">
        <f t="array" ref="W36">_xlfn.IFS(H36=1,FALSE,OR(H36=2,H36&gt;2),TRUE)</f>
        <v>1</v>
      </c>
      <c r="X36" t="b" cm="1">
        <f t="array" ref="X36">_xlfn.IFS(H36=1,FALSE,OR(H36=2,H36&gt;2),TRUE)</f>
        <v>1</v>
      </c>
      <c r="Y36" t="b" cm="1">
        <f t="array" ref="Y36">_xlfn.IFS(H36=1,FALSE,OR(H36=2,H36&gt;2),TRUE)</f>
        <v>1</v>
      </c>
      <c r="AB36" t="s">
        <v>1</v>
      </c>
      <c r="AC36" t="s">
        <v>79</v>
      </c>
      <c r="AD36" t="b">
        <f t="shared" ca="1" si="7"/>
        <v>1</v>
      </c>
      <c r="AE36" s="1">
        <f t="shared" ca="1" si="8"/>
        <v>1</v>
      </c>
      <c r="AF36" t="str">
        <f t="shared" ca="1" si="6"/>
        <v>Plot 1</v>
      </c>
    </row>
    <row r="37" spans="1:32" x14ac:dyDescent="0.25">
      <c r="A37" t="s">
        <v>164</v>
      </c>
      <c r="B37" s="51">
        <v>55</v>
      </c>
      <c r="C37">
        <v>2</v>
      </c>
      <c r="D37">
        <v>3</v>
      </c>
      <c r="E37" t="b">
        <f t="shared" si="10"/>
        <v>1</v>
      </c>
      <c r="F37" t="b">
        <f t="shared" si="10"/>
        <v>1</v>
      </c>
      <c r="G37" t="b">
        <f t="shared" si="10"/>
        <v>1</v>
      </c>
      <c r="H37" t="b">
        <f t="shared" si="10"/>
        <v>0</v>
      </c>
      <c r="I37" t="b">
        <f t="shared" si="10"/>
        <v>0</v>
      </c>
      <c r="J37" t="b">
        <f t="shared" si="10"/>
        <v>0</v>
      </c>
      <c r="K37" t="b">
        <f t="shared" si="10"/>
        <v>1</v>
      </c>
      <c r="L37" t="b">
        <f t="shared" si="10"/>
        <v>1</v>
      </c>
      <c r="M37" t="b">
        <f t="shared" si="10"/>
        <v>1</v>
      </c>
      <c r="N37" t="b">
        <f t="shared" si="10"/>
        <v>0</v>
      </c>
      <c r="O37" t="b">
        <f t="shared" si="10"/>
        <v>0</v>
      </c>
      <c r="P37" t="b">
        <f t="shared" si="10"/>
        <v>0</v>
      </c>
      <c r="Q37" t="b">
        <v>1</v>
      </c>
      <c r="R37" t="b" cm="1">
        <f t="array" ref="R37">_xlfn.IFS(C37=1,FALSE,OR(C37=2,C37&gt;2),TRUE)</f>
        <v>1</v>
      </c>
      <c r="S37" t="b" cm="1">
        <f t="array" ref="S37">_xlfn.IFS(OR(C37=1,C37=2),FALSE,OR(C37=3,C37&gt;3),TRUE)</f>
        <v>0</v>
      </c>
      <c r="T37" t="str">
        <f t="shared" si="2"/>
        <v>TRUE</v>
      </c>
      <c r="U37" t="str">
        <f t="shared" si="3"/>
        <v>FALSE</v>
      </c>
      <c r="V37" t="str">
        <f t="shared" si="4"/>
        <v>FALSE</v>
      </c>
      <c r="W37" t="b" cm="1">
        <f t="array" ref="W37">_xlfn.IFS(H37=1,FALSE,OR(H37=2,H37&gt;2),TRUE)</f>
        <v>1</v>
      </c>
      <c r="X37" t="b" cm="1">
        <f t="array" ref="X37">_xlfn.IFS(H37=1,FALSE,OR(H37=2,H37&gt;2),TRUE)</f>
        <v>1</v>
      </c>
      <c r="Y37" t="b" cm="1">
        <f t="array" ref="Y37">_xlfn.IFS(H37=1,FALSE,OR(H37=2,H37&gt;2),TRUE)</f>
        <v>1</v>
      </c>
      <c r="AB37" t="s">
        <v>1</v>
      </c>
      <c r="AC37" t="s">
        <v>80</v>
      </c>
      <c r="AD37" t="b">
        <f t="shared" ca="1" si="7"/>
        <v>0</v>
      </c>
      <c r="AE37" s="1">
        <f t="shared" ca="1" si="8"/>
        <v>1</v>
      </c>
      <c r="AF37" t="str">
        <f t="shared" ca="1" si="6"/>
        <v>Plot 1</v>
      </c>
    </row>
    <row r="38" spans="1:32" x14ac:dyDescent="0.25">
      <c r="A38" t="s">
        <v>164</v>
      </c>
      <c r="B38" s="51">
        <v>56</v>
      </c>
      <c r="C38">
        <v>2</v>
      </c>
      <c r="D38">
        <v>3</v>
      </c>
      <c r="E38" t="b">
        <f t="shared" si="10"/>
        <v>1</v>
      </c>
      <c r="F38" t="b">
        <f t="shared" si="10"/>
        <v>1</v>
      </c>
      <c r="G38" t="b">
        <f t="shared" si="10"/>
        <v>1</v>
      </c>
      <c r="H38" t="b">
        <f t="shared" si="10"/>
        <v>0</v>
      </c>
      <c r="I38" t="b">
        <f t="shared" si="10"/>
        <v>0</v>
      </c>
      <c r="J38" t="b">
        <f t="shared" si="10"/>
        <v>0</v>
      </c>
      <c r="K38" t="b">
        <f t="shared" si="10"/>
        <v>1</v>
      </c>
      <c r="L38" t="b">
        <f t="shared" si="10"/>
        <v>1</v>
      </c>
      <c r="M38" t="b">
        <f t="shared" si="10"/>
        <v>1</v>
      </c>
      <c r="N38" t="b">
        <f t="shared" si="10"/>
        <v>0</v>
      </c>
      <c r="O38" t="b">
        <f t="shared" si="10"/>
        <v>0</v>
      </c>
      <c r="P38" t="b">
        <f t="shared" si="10"/>
        <v>0</v>
      </c>
      <c r="Q38" t="b">
        <v>1</v>
      </c>
      <c r="R38" t="b" cm="1">
        <f t="array" ref="R38">_xlfn.IFS(C38=1,FALSE,OR(C38=2,C38&gt;2),TRUE)</f>
        <v>1</v>
      </c>
      <c r="S38" t="b" cm="1">
        <f t="array" ref="S38">_xlfn.IFS(OR(C38=1,C38=2),FALSE,OR(C38=3,C38&gt;3),TRUE)</f>
        <v>0</v>
      </c>
      <c r="T38" t="str">
        <f t="shared" si="2"/>
        <v>TRUE</v>
      </c>
      <c r="U38" t="str">
        <f t="shared" si="3"/>
        <v>FALSE</v>
      </c>
      <c r="V38" t="str">
        <f t="shared" si="4"/>
        <v>FALSE</v>
      </c>
      <c r="W38" t="b" cm="1">
        <f t="array" ref="W38">_xlfn.IFS(H38=1,FALSE,OR(H38=2,H38&gt;2),TRUE)</f>
        <v>1</v>
      </c>
      <c r="X38" t="b" cm="1">
        <f t="array" ref="X38">_xlfn.IFS(H38=1,FALSE,OR(H38=2,H38&gt;2),TRUE)</f>
        <v>1</v>
      </c>
      <c r="Y38" t="b" cm="1">
        <f t="array" ref="Y38">_xlfn.IFS(H38=1,FALSE,OR(H38=2,H38&gt;2),TRUE)</f>
        <v>1</v>
      </c>
      <c r="AB38" t="s">
        <v>1</v>
      </c>
      <c r="AC38" t="s">
        <v>81</v>
      </c>
      <c r="AD38" t="b">
        <f t="shared" ca="1" si="7"/>
        <v>0</v>
      </c>
      <c r="AE38" s="1">
        <f t="shared" ca="1" si="8"/>
        <v>1</v>
      </c>
      <c r="AF38" t="str">
        <f t="shared" ca="1" si="6"/>
        <v>Plot 1</v>
      </c>
    </row>
    <row r="39" spans="1:32" x14ac:dyDescent="0.25">
      <c r="A39" t="s">
        <v>164</v>
      </c>
      <c r="B39" s="51">
        <v>57</v>
      </c>
      <c r="C39">
        <v>2</v>
      </c>
      <c r="D39">
        <v>3</v>
      </c>
      <c r="E39" t="b">
        <f t="shared" si="10"/>
        <v>1</v>
      </c>
      <c r="F39" t="b">
        <f t="shared" si="10"/>
        <v>1</v>
      </c>
      <c r="G39" t="b">
        <f t="shared" si="10"/>
        <v>1</v>
      </c>
      <c r="H39" t="b">
        <f t="shared" si="10"/>
        <v>0</v>
      </c>
      <c r="I39" t="b">
        <f t="shared" si="10"/>
        <v>0</v>
      </c>
      <c r="J39" t="b">
        <f t="shared" si="10"/>
        <v>0</v>
      </c>
      <c r="K39" t="b">
        <f t="shared" si="10"/>
        <v>1</v>
      </c>
      <c r="L39" t="b">
        <f t="shared" si="10"/>
        <v>1</v>
      </c>
      <c r="M39" t="b">
        <f t="shared" si="10"/>
        <v>1</v>
      </c>
      <c r="N39" t="b">
        <f t="shared" si="10"/>
        <v>0</v>
      </c>
      <c r="O39" t="b">
        <f t="shared" si="10"/>
        <v>0</v>
      </c>
      <c r="P39" t="b">
        <f t="shared" si="10"/>
        <v>0</v>
      </c>
      <c r="Q39" t="b">
        <v>1</v>
      </c>
      <c r="R39" t="b" cm="1">
        <f t="array" ref="R39">_xlfn.IFS(C39=1,FALSE,OR(C39=2,C39&gt;2),TRUE)</f>
        <v>1</v>
      </c>
      <c r="S39" t="b" cm="1">
        <f t="array" ref="S39">_xlfn.IFS(OR(C39=1,C39=2),FALSE,OR(C39=3,C39&gt;3),TRUE)</f>
        <v>0</v>
      </c>
      <c r="T39" t="str">
        <f t="shared" si="2"/>
        <v>TRUE</v>
      </c>
      <c r="U39" t="str">
        <f t="shared" si="3"/>
        <v>FALSE</v>
      </c>
      <c r="V39" t="str">
        <f t="shared" si="4"/>
        <v>FALSE</v>
      </c>
      <c r="W39" t="b" cm="1">
        <f t="array" ref="W39">_xlfn.IFS(H39=1,FALSE,OR(H39=2,H39&gt;2),TRUE)</f>
        <v>1</v>
      </c>
      <c r="X39" t="b" cm="1">
        <f t="array" ref="X39">_xlfn.IFS(H39=1,FALSE,OR(H39=2,H39&gt;2),TRUE)</f>
        <v>1</v>
      </c>
      <c r="Y39" t="b" cm="1">
        <f t="array" ref="Y39">_xlfn.IFS(H39=1,FALSE,OR(H39=2,H39&gt;2),TRUE)</f>
        <v>1</v>
      </c>
      <c r="AB39" t="s">
        <v>1</v>
      </c>
      <c r="AC39" t="s">
        <v>82</v>
      </c>
      <c r="AD39" t="b">
        <f t="shared" ca="1" si="7"/>
        <v>0</v>
      </c>
      <c r="AE39" s="1">
        <f t="shared" ca="1" si="8"/>
        <v>1</v>
      </c>
      <c r="AF39" t="str">
        <f t="shared" ca="1" si="6"/>
        <v>Plot 1</v>
      </c>
    </row>
    <row r="40" spans="1:32" x14ac:dyDescent="0.25">
      <c r="A40" t="s">
        <v>164</v>
      </c>
      <c r="B40" s="51">
        <v>58</v>
      </c>
      <c r="C40">
        <v>2</v>
      </c>
      <c r="D40">
        <v>3</v>
      </c>
      <c r="E40" t="b">
        <f t="shared" si="10"/>
        <v>1</v>
      </c>
      <c r="F40" t="b">
        <f t="shared" si="10"/>
        <v>1</v>
      </c>
      <c r="G40" t="b">
        <f t="shared" si="10"/>
        <v>1</v>
      </c>
      <c r="H40" t="b">
        <f t="shared" si="10"/>
        <v>0</v>
      </c>
      <c r="I40" t="b">
        <f t="shared" si="10"/>
        <v>0</v>
      </c>
      <c r="J40" t="b">
        <f t="shared" si="10"/>
        <v>0</v>
      </c>
      <c r="K40" t="b">
        <f t="shared" si="10"/>
        <v>1</v>
      </c>
      <c r="L40" t="b">
        <f t="shared" si="10"/>
        <v>1</v>
      </c>
      <c r="M40" t="b">
        <f t="shared" si="10"/>
        <v>1</v>
      </c>
      <c r="N40" t="b">
        <f t="shared" si="10"/>
        <v>0</v>
      </c>
      <c r="O40" t="b">
        <f t="shared" si="10"/>
        <v>0</v>
      </c>
      <c r="P40" t="b">
        <f t="shared" si="10"/>
        <v>0</v>
      </c>
      <c r="Q40" t="b">
        <v>1</v>
      </c>
      <c r="R40" t="b" cm="1">
        <f t="array" ref="R40">_xlfn.IFS(C40=1,FALSE,OR(C40=2,C40&gt;2),TRUE)</f>
        <v>1</v>
      </c>
      <c r="S40" t="b" cm="1">
        <f t="array" ref="S40">_xlfn.IFS(OR(C40=1,C40=2),FALSE,OR(C40=3,C40&gt;3),TRUE)</f>
        <v>0</v>
      </c>
      <c r="T40" t="str">
        <f t="shared" si="2"/>
        <v>TRUE</v>
      </c>
      <c r="U40" t="str">
        <f t="shared" si="3"/>
        <v>FALSE</v>
      </c>
      <c r="V40" t="str">
        <f t="shared" si="4"/>
        <v>FALSE</v>
      </c>
      <c r="W40" t="b" cm="1">
        <f t="array" ref="W40">_xlfn.IFS(H40=1,FALSE,OR(H40=2,H40&gt;2),TRUE)</f>
        <v>1</v>
      </c>
      <c r="X40" t="b" cm="1">
        <f t="array" ref="X40">_xlfn.IFS(H40=1,FALSE,OR(H40=2,H40&gt;2),TRUE)</f>
        <v>1</v>
      </c>
      <c r="Y40" t="b" cm="1">
        <f t="array" ref="Y40">_xlfn.IFS(H40=1,FALSE,OR(H40=2,H40&gt;2),TRUE)</f>
        <v>1</v>
      </c>
      <c r="AB40" t="s">
        <v>2</v>
      </c>
      <c r="AC40" t="s">
        <v>89</v>
      </c>
      <c r="AD40" t="b">
        <f t="shared" ca="1" si="7"/>
        <v>1</v>
      </c>
      <c r="AE40" s="1">
        <f t="shared" ca="1" si="8"/>
        <v>1</v>
      </c>
      <c r="AF40" t="str">
        <f t="shared" ca="1" si="6"/>
        <v>Plot 1</v>
      </c>
    </row>
    <row r="41" spans="1:32" x14ac:dyDescent="0.25">
      <c r="A41" t="s">
        <v>164</v>
      </c>
      <c r="B41" s="51">
        <v>59</v>
      </c>
      <c r="C41">
        <v>2</v>
      </c>
      <c r="D41">
        <v>3</v>
      </c>
      <c r="E41" t="b">
        <f t="shared" si="10"/>
        <v>1</v>
      </c>
      <c r="F41" t="b">
        <f t="shared" si="10"/>
        <v>1</v>
      </c>
      <c r="G41" t="b">
        <f t="shared" si="10"/>
        <v>1</v>
      </c>
      <c r="H41" t="b">
        <f t="shared" si="10"/>
        <v>0</v>
      </c>
      <c r="I41" t="b">
        <f t="shared" si="10"/>
        <v>0</v>
      </c>
      <c r="J41" t="b">
        <f t="shared" si="10"/>
        <v>0</v>
      </c>
      <c r="K41" t="b">
        <f t="shared" si="10"/>
        <v>1</v>
      </c>
      <c r="L41" t="b">
        <f t="shared" si="10"/>
        <v>1</v>
      </c>
      <c r="M41" t="b">
        <f t="shared" si="10"/>
        <v>1</v>
      </c>
      <c r="N41" t="b">
        <f t="shared" si="10"/>
        <v>0</v>
      </c>
      <c r="O41" t="b">
        <f t="shared" si="10"/>
        <v>0</v>
      </c>
      <c r="P41" t="b">
        <f t="shared" si="10"/>
        <v>0</v>
      </c>
      <c r="Q41" t="b">
        <v>1</v>
      </c>
      <c r="R41" t="b" cm="1">
        <f t="array" ref="R41">_xlfn.IFS(C41=1,FALSE,OR(C41=2,C41&gt;2),TRUE)</f>
        <v>1</v>
      </c>
      <c r="S41" t="b" cm="1">
        <f t="array" ref="S41">_xlfn.IFS(OR(C41=1,C41=2),FALSE,OR(C41=3,C41&gt;3),TRUE)</f>
        <v>0</v>
      </c>
      <c r="T41" t="str">
        <f t="shared" si="2"/>
        <v>TRUE</v>
      </c>
      <c r="U41" t="str">
        <f t="shared" si="3"/>
        <v>FALSE</v>
      </c>
      <c r="V41" t="str">
        <f t="shared" si="4"/>
        <v>FALSE</v>
      </c>
      <c r="W41" t="b" cm="1">
        <f t="array" ref="W41">_xlfn.IFS(H41=1,FALSE,OR(H41=2,H41&gt;2),TRUE)</f>
        <v>1</v>
      </c>
      <c r="X41" t="b" cm="1">
        <f t="array" ref="X41">_xlfn.IFS(H41=1,FALSE,OR(H41=2,H41&gt;2),TRUE)</f>
        <v>1</v>
      </c>
      <c r="Y41" t="b" cm="1">
        <f t="array" ref="Y41">_xlfn.IFS(H41=1,FALSE,OR(H41=2,H41&gt;2),TRUE)</f>
        <v>1</v>
      </c>
      <c r="AB41" t="s">
        <v>2</v>
      </c>
      <c r="AC41" t="s">
        <v>90</v>
      </c>
      <c r="AD41" t="b">
        <f t="shared" ca="1" si="7"/>
        <v>1</v>
      </c>
      <c r="AE41" s="1">
        <f t="shared" ca="1" si="8"/>
        <v>1</v>
      </c>
      <c r="AF41" t="str">
        <f t="shared" ca="1" si="6"/>
        <v>Plot 1</v>
      </c>
    </row>
    <row r="42" spans="1:32" x14ac:dyDescent="0.25">
      <c r="A42" t="s">
        <v>164</v>
      </c>
      <c r="B42" s="51">
        <v>60</v>
      </c>
      <c r="C42">
        <v>2</v>
      </c>
      <c r="D42">
        <v>3</v>
      </c>
      <c r="E42" t="b">
        <f t="shared" si="10"/>
        <v>1</v>
      </c>
      <c r="F42" t="b">
        <f t="shared" si="10"/>
        <v>1</v>
      </c>
      <c r="G42" t="b">
        <f t="shared" si="10"/>
        <v>1</v>
      </c>
      <c r="H42" t="b">
        <f t="shared" si="10"/>
        <v>0</v>
      </c>
      <c r="I42" t="b">
        <f t="shared" si="10"/>
        <v>0</v>
      </c>
      <c r="J42" t="b">
        <f t="shared" si="10"/>
        <v>0</v>
      </c>
      <c r="K42" t="b">
        <f t="shared" si="10"/>
        <v>1</v>
      </c>
      <c r="L42" t="b">
        <f t="shared" si="10"/>
        <v>1</v>
      </c>
      <c r="M42" t="b">
        <f t="shared" si="10"/>
        <v>1</v>
      </c>
      <c r="N42" t="b">
        <f t="shared" si="10"/>
        <v>0</v>
      </c>
      <c r="O42" t="b">
        <f t="shared" si="10"/>
        <v>0</v>
      </c>
      <c r="P42" t="b">
        <f t="shared" si="10"/>
        <v>0</v>
      </c>
      <c r="Q42" t="b">
        <v>1</v>
      </c>
      <c r="R42" t="b" cm="1">
        <f t="array" ref="R42">_xlfn.IFS(C42=1,FALSE,OR(C42=2,C42&gt;2),TRUE)</f>
        <v>1</v>
      </c>
      <c r="S42" t="b" cm="1">
        <f t="array" ref="S42">_xlfn.IFS(OR(C42=1,C42=2),FALSE,OR(C42=3,C42&gt;3),TRUE)</f>
        <v>0</v>
      </c>
      <c r="T42" t="str">
        <f t="shared" si="2"/>
        <v>TRUE</v>
      </c>
      <c r="U42" t="str">
        <f t="shared" si="3"/>
        <v>FALSE</v>
      </c>
      <c r="V42" t="str">
        <f t="shared" si="4"/>
        <v>FALSE</v>
      </c>
      <c r="W42" t="b" cm="1">
        <f t="array" ref="W42">_xlfn.IFS(H42=1,FALSE,OR(H42=2,H42&gt;2),TRUE)</f>
        <v>1</v>
      </c>
      <c r="X42" t="b" cm="1">
        <f t="array" ref="X42">_xlfn.IFS(H42=1,FALSE,OR(H42=2,H42&gt;2),TRUE)</f>
        <v>1</v>
      </c>
      <c r="Y42" t="b" cm="1">
        <f t="array" ref="Y42">_xlfn.IFS(H42=1,FALSE,OR(H42=2,H42&gt;2),TRUE)</f>
        <v>1</v>
      </c>
      <c r="AB42" t="s">
        <v>2</v>
      </c>
      <c r="AC42" t="s">
        <v>91</v>
      </c>
      <c r="AD42" t="b">
        <f t="shared" ca="1" si="7"/>
        <v>0</v>
      </c>
      <c r="AE42" s="1">
        <f t="shared" ca="1" si="8"/>
        <v>1</v>
      </c>
      <c r="AF42" t="str">
        <f t="shared" ca="1" si="6"/>
        <v>Plot 1</v>
      </c>
    </row>
    <row r="43" spans="1:32" x14ac:dyDescent="0.25">
      <c r="A43" t="s">
        <v>165</v>
      </c>
      <c r="B43" s="51" t="s">
        <v>179</v>
      </c>
      <c r="C43">
        <v>2</v>
      </c>
      <c r="D43">
        <v>3</v>
      </c>
      <c r="E43" t="b">
        <f t="shared" si="10"/>
        <v>1</v>
      </c>
      <c r="F43" t="b">
        <f t="shared" si="10"/>
        <v>1</v>
      </c>
      <c r="G43" t="b">
        <f t="shared" si="10"/>
        <v>1</v>
      </c>
      <c r="H43" t="b">
        <f t="shared" si="10"/>
        <v>0</v>
      </c>
      <c r="I43" t="b">
        <f t="shared" si="10"/>
        <v>0</v>
      </c>
      <c r="J43" t="b">
        <f t="shared" si="10"/>
        <v>0</v>
      </c>
      <c r="K43" t="b">
        <f t="shared" si="10"/>
        <v>1</v>
      </c>
      <c r="L43" t="b">
        <f t="shared" si="10"/>
        <v>1</v>
      </c>
      <c r="M43" t="b">
        <f t="shared" si="10"/>
        <v>1</v>
      </c>
      <c r="N43" t="b">
        <f t="shared" si="10"/>
        <v>0</v>
      </c>
      <c r="O43" t="b">
        <f t="shared" si="10"/>
        <v>0</v>
      </c>
      <c r="P43" t="b">
        <f t="shared" si="10"/>
        <v>0</v>
      </c>
      <c r="Q43" t="b">
        <v>1</v>
      </c>
      <c r="R43" t="b" cm="1">
        <f t="array" ref="R43">_xlfn.IFS(C43=1,FALSE,OR(C43=2,C43&gt;2),TRUE)</f>
        <v>1</v>
      </c>
      <c r="S43" t="b" cm="1">
        <f t="array" ref="S43">_xlfn.IFS(OR(C43=1,C43=2),FALSE,OR(C43=3,C43&gt;3),TRUE)</f>
        <v>0</v>
      </c>
      <c r="T43" t="str">
        <f t="shared" si="2"/>
        <v>TRUE</v>
      </c>
      <c r="U43" t="str">
        <f t="shared" si="3"/>
        <v>FALSE</v>
      </c>
      <c r="V43" t="str">
        <f t="shared" si="4"/>
        <v>FALSE</v>
      </c>
      <c r="W43" t="b" cm="1">
        <f t="array" ref="W43">_xlfn.IFS(H43=1,FALSE,OR(H43=2,H43&gt;2),TRUE)</f>
        <v>1</v>
      </c>
      <c r="X43" t="b" cm="1">
        <f t="array" ref="X43">_xlfn.IFS(H43=1,FALSE,OR(H43=2,H43&gt;2),TRUE)</f>
        <v>1</v>
      </c>
      <c r="Y43" t="b" cm="1">
        <f t="array" ref="Y43">_xlfn.IFS(H43=1,FALSE,OR(H43=2,H43&gt;2),TRUE)</f>
        <v>1</v>
      </c>
      <c r="AB43" t="s">
        <v>146</v>
      </c>
      <c r="AC43" t="s">
        <v>149</v>
      </c>
      <c r="AD43" t="str">
        <f t="shared" ca="1" si="7"/>
        <v>TRUE</v>
      </c>
      <c r="AE43" s="1">
        <f t="shared" ca="1" si="8"/>
        <v>1</v>
      </c>
      <c r="AF43" t="str">
        <f t="shared" ca="1" si="6"/>
        <v>Plot 1</v>
      </c>
    </row>
    <row r="44" spans="1:32" x14ac:dyDescent="0.25">
      <c r="A44" t="s">
        <v>164</v>
      </c>
      <c r="B44" s="51">
        <v>63</v>
      </c>
      <c r="C44">
        <v>3</v>
      </c>
      <c r="D44">
        <v>4</v>
      </c>
      <c r="E44" t="b">
        <f t="shared" si="10"/>
        <v>1</v>
      </c>
      <c r="F44" t="b">
        <f t="shared" si="10"/>
        <v>1</v>
      </c>
      <c r="G44" t="b">
        <f t="shared" si="10"/>
        <v>1</v>
      </c>
      <c r="H44" t="b">
        <f t="shared" si="10"/>
        <v>1</v>
      </c>
      <c r="I44" t="b">
        <f t="shared" si="10"/>
        <v>0</v>
      </c>
      <c r="J44" t="b">
        <f t="shared" si="10"/>
        <v>0</v>
      </c>
      <c r="K44" t="b">
        <f t="shared" si="10"/>
        <v>1</v>
      </c>
      <c r="L44" t="b">
        <f t="shared" si="10"/>
        <v>1</v>
      </c>
      <c r="M44" t="b">
        <f t="shared" si="10"/>
        <v>1</v>
      </c>
      <c r="N44" t="b">
        <f t="shared" si="10"/>
        <v>1</v>
      </c>
      <c r="O44" t="b">
        <f t="shared" si="10"/>
        <v>0</v>
      </c>
      <c r="P44" t="b">
        <f t="shared" si="10"/>
        <v>0</v>
      </c>
      <c r="Q44" t="b">
        <v>1</v>
      </c>
      <c r="R44" t="b" cm="1">
        <f t="array" ref="R44">_xlfn.IFS(C44=1,FALSE,OR(C44=2,C44&gt;2),TRUE)</f>
        <v>1</v>
      </c>
      <c r="S44" t="b" cm="1">
        <f t="array" ref="S44">_xlfn.IFS(OR(C44=1,C44=2),FALSE,OR(C44=3,C44&gt;3),TRUE)</f>
        <v>1</v>
      </c>
      <c r="T44" t="str">
        <f t="shared" si="2"/>
        <v>TRUE</v>
      </c>
      <c r="U44" t="str">
        <f t="shared" si="3"/>
        <v>TRUE</v>
      </c>
      <c r="V44" t="str">
        <f t="shared" si="4"/>
        <v>FALSE</v>
      </c>
      <c r="W44" t="b" cm="1">
        <f t="array" ref="W44">_xlfn.IFS(H44=1,FALSE,OR(H44=2,H44&gt;2),TRUE)</f>
        <v>1</v>
      </c>
      <c r="X44" t="b" cm="1">
        <f t="array" ref="X44">_xlfn.IFS(H44=1,FALSE,OR(H44=2,H44&gt;2),TRUE)</f>
        <v>1</v>
      </c>
      <c r="Y44" t="b" cm="1">
        <f t="array" ref="Y44">_xlfn.IFS(H44=1,FALSE,OR(H44=2,H44&gt;2),TRUE)</f>
        <v>1</v>
      </c>
      <c r="AB44" t="s">
        <v>146</v>
      </c>
      <c r="AC44" t="s">
        <v>150</v>
      </c>
      <c r="AD44" t="str">
        <f t="shared" ca="1" si="7"/>
        <v>FALSE</v>
      </c>
      <c r="AE44" s="1">
        <f t="shared" ca="1" si="8"/>
        <v>1</v>
      </c>
      <c r="AF44" t="str">
        <f t="shared" ca="1" si="6"/>
        <v>Plot 1</v>
      </c>
    </row>
    <row r="45" spans="1:32" x14ac:dyDescent="0.25">
      <c r="A45" t="s">
        <v>164</v>
      </c>
      <c r="B45" s="51">
        <v>64</v>
      </c>
      <c r="C45">
        <v>3</v>
      </c>
      <c r="D45">
        <v>4</v>
      </c>
      <c r="E45" t="b">
        <f t="shared" si="10"/>
        <v>1</v>
      </c>
      <c r="F45" t="b">
        <f t="shared" si="10"/>
        <v>1</v>
      </c>
      <c r="G45" t="b">
        <f t="shared" si="10"/>
        <v>1</v>
      </c>
      <c r="H45" t="b">
        <f t="shared" si="10"/>
        <v>1</v>
      </c>
      <c r="I45" t="b">
        <f t="shared" si="10"/>
        <v>0</v>
      </c>
      <c r="J45" t="b">
        <f t="shared" si="10"/>
        <v>0</v>
      </c>
      <c r="K45" t="b">
        <f t="shared" si="10"/>
        <v>1</v>
      </c>
      <c r="L45" t="b">
        <f t="shared" si="10"/>
        <v>1</v>
      </c>
      <c r="M45" t="b">
        <f t="shared" si="10"/>
        <v>1</v>
      </c>
      <c r="N45" t="b">
        <f t="shared" si="10"/>
        <v>1</v>
      </c>
      <c r="O45" t="b">
        <f t="shared" si="10"/>
        <v>0</v>
      </c>
      <c r="P45" t="b">
        <f t="shared" si="10"/>
        <v>0</v>
      </c>
      <c r="Q45" t="b">
        <v>1</v>
      </c>
      <c r="R45" t="b" cm="1">
        <f t="array" ref="R45">_xlfn.IFS(C45=1,FALSE,OR(C45=2,C45&gt;2),TRUE)</f>
        <v>1</v>
      </c>
      <c r="S45" t="b" cm="1">
        <f t="array" ref="S45">_xlfn.IFS(OR(C45=1,C45=2),FALSE,OR(C45=3,C45&gt;3),TRUE)</f>
        <v>1</v>
      </c>
      <c r="T45" t="str">
        <f t="shared" si="2"/>
        <v>TRUE</v>
      </c>
      <c r="U45" t="str">
        <f t="shared" si="3"/>
        <v>TRUE</v>
      </c>
      <c r="V45" t="str">
        <f t="shared" si="4"/>
        <v>FALSE</v>
      </c>
      <c r="W45" t="b" cm="1">
        <f t="array" ref="W45">_xlfn.IFS(H45=1,FALSE,OR(H45=2,H45&gt;2),TRUE)</f>
        <v>1</v>
      </c>
      <c r="X45" t="b" cm="1">
        <f t="array" ref="X45">_xlfn.IFS(H45=1,FALSE,OR(H45=2,H45&gt;2),TRUE)</f>
        <v>1</v>
      </c>
      <c r="Y45" t="b" cm="1">
        <f t="array" ref="Y45">_xlfn.IFS(H45=1,FALSE,OR(H45=2,H45&gt;2),TRUE)</f>
        <v>1</v>
      </c>
      <c r="AB45" t="s">
        <v>146</v>
      </c>
      <c r="AC45" t="s">
        <v>148</v>
      </c>
      <c r="AD45" t="str">
        <f t="shared" ca="1" si="7"/>
        <v>FALSE</v>
      </c>
      <c r="AE45" s="1">
        <f t="shared" ca="1" si="8"/>
        <v>1</v>
      </c>
      <c r="AF45" t="str">
        <f t="shared" ca="1" si="6"/>
        <v>Plot 1</v>
      </c>
    </row>
    <row r="46" spans="1:32" x14ac:dyDescent="0.25">
      <c r="A46" t="s">
        <v>164</v>
      </c>
      <c r="B46" s="51">
        <v>65</v>
      </c>
      <c r="C46">
        <v>2</v>
      </c>
      <c r="D46">
        <v>3</v>
      </c>
      <c r="E46" t="b">
        <f t="shared" ref="E46:P65" si="11">IF(OR(INT(RIGHT(E$2,1))&lt;$D46,INT(RIGHT(E$2,1))=$D46),TRUE,FALSE)</f>
        <v>1</v>
      </c>
      <c r="F46" t="b">
        <f t="shared" si="11"/>
        <v>1</v>
      </c>
      <c r="G46" t="b">
        <f t="shared" si="11"/>
        <v>1</v>
      </c>
      <c r="H46" t="b">
        <f t="shared" si="11"/>
        <v>0</v>
      </c>
      <c r="I46" t="b">
        <f t="shared" si="11"/>
        <v>0</v>
      </c>
      <c r="J46" t="b">
        <f t="shared" si="11"/>
        <v>0</v>
      </c>
      <c r="K46" t="b">
        <f t="shared" si="11"/>
        <v>1</v>
      </c>
      <c r="L46" t="b">
        <f t="shared" si="11"/>
        <v>1</v>
      </c>
      <c r="M46" t="b">
        <f t="shared" si="11"/>
        <v>1</v>
      </c>
      <c r="N46" t="b">
        <f t="shared" si="11"/>
        <v>0</v>
      </c>
      <c r="O46" t="b">
        <f t="shared" si="11"/>
        <v>0</v>
      </c>
      <c r="P46" t="b">
        <f t="shared" si="11"/>
        <v>0</v>
      </c>
      <c r="Q46" t="b">
        <v>1</v>
      </c>
      <c r="R46" t="b" cm="1">
        <f t="array" ref="R46">_xlfn.IFS(C46=1,FALSE,OR(C46=2,C46&gt;2),TRUE)</f>
        <v>1</v>
      </c>
      <c r="S46" t="b" cm="1">
        <f t="array" ref="S46">_xlfn.IFS(OR(C46=1,C46=2),FALSE,OR(C46=3,C46&gt;3),TRUE)</f>
        <v>0</v>
      </c>
      <c r="T46" t="str">
        <f t="shared" si="2"/>
        <v>TRUE</v>
      </c>
      <c r="U46" t="str">
        <f t="shared" si="3"/>
        <v>FALSE</v>
      </c>
      <c r="V46" t="str">
        <f t="shared" si="4"/>
        <v>FALSE</v>
      </c>
      <c r="W46" t="b" cm="1">
        <f t="array" ref="W46">_xlfn.IFS(H46=1,FALSE,OR(H46=2,H46&gt;2),TRUE)</f>
        <v>1</v>
      </c>
      <c r="X46" t="b" cm="1">
        <f t="array" ref="X46">_xlfn.IFS(H46=1,FALSE,OR(H46=2,H46&gt;2),TRUE)</f>
        <v>1</v>
      </c>
      <c r="Y46" t="b" cm="1">
        <f t="array" ref="Y46">_xlfn.IFS(H46=1,FALSE,OR(H46=2,H46&gt;2),TRUE)</f>
        <v>1</v>
      </c>
      <c r="AB46" t="s">
        <v>0</v>
      </c>
      <c r="AC46" t="s">
        <v>147</v>
      </c>
      <c r="AD46" t="b">
        <f t="shared" ca="1" si="7"/>
        <v>1</v>
      </c>
      <c r="AE46" s="1">
        <f t="shared" ca="1" si="8"/>
        <v>1</v>
      </c>
      <c r="AF46" t="str">
        <f t="shared" ca="1" si="6"/>
        <v>Plot 1</v>
      </c>
    </row>
    <row r="47" spans="1:32" x14ac:dyDescent="0.25">
      <c r="A47" t="s">
        <v>164</v>
      </c>
      <c r="B47" s="51">
        <v>66</v>
      </c>
      <c r="C47">
        <v>2</v>
      </c>
      <c r="D47">
        <v>3</v>
      </c>
      <c r="E47" t="b">
        <f t="shared" si="11"/>
        <v>1</v>
      </c>
      <c r="F47" t="b">
        <f t="shared" si="11"/>
        <v>1</v>
      </c>
      <c r="G47" t="b">
        <f t="shared" si="11"/>
        <v>1</v>
      </c>
      <c r="H47" t="b">
        <f t="shared" si="11"/>
        <v>0</v>
      </c>
      <c r="I47" t="b">
        <f t="shared" si="11"/>
        <v>0</v>
      </c>
      <c r="J47" t="b">
        <f t="shared" si="11"/>
        <v>0</v>
      </c>
      <c r="K47" t="b">
        <f t="shared" si="11"/>
        <v>1</v>
      </c>
      <c r="L47" t="b">
        <f t="shared" si="11"/>
        <v>1</v>
      </c>
      <c r="M47" t="b">
        <f t="shared" si="11"/>
        <v>1</v>
      </c>
      <c r="N47" t="b">
        <f t="shared" si="11"/>
        <v>0</v>
      </c>
      <c r="O47" t="b">
        <f t="shared" si="11"/>
        <v>0</v>
      </c>
      <c r="P47" t="b">
        <f t="shared" si="11"/>
        <v>0</v>
      </c>
      <c r="Q47" t="b">
        <v>1</v>
      </c>
      <c r="R47" t="b" cm="1">
        <f t="array" ref="R47">_xlfn.IFS(C47=1,FALSE,OR(C47=2,C47&gt;2),TRUE)</f>
        <v>1</v>
      </c>
      <c r="S47" t="b" cm="1">
        <f t="array" ref="S47">_xlfn.IFS(OR(C47=1,C47=2),FALSE,OR(C47=3,C47&gt;3),TRUE)</f>
        <v>0</v>
      </c>
      <c r="T47" t="str">
        <f t="shared" si="2"/>
        <v>TRUE</v>
      </c>
      <c r="U47" t="str">
        <f t="shared" si="3"/>
        <v>FALSE</v>
      </c>
      <c r="V47" t="str">
        <f t="shared" si="4"/>
        <v>FALSE</v>
      </c>
      <c r="W47" t="b" cm="1">
        <f t="array" ref="W47">_xlfn.IFS(H47=1,FALSE,OR(H47=2,H47&gt;2),TRUE)</f>
        <v>1</v>
      </c>
      <c r="X47" t="b" cm="1">
        <f t="array" ref="X47">_xlfn.IFS(H47=1,FALSE,OR(H47=2,H47&gt;2),TRUE)</f>
        <v>1</v>
      </c>
      <c r="Y47" t="b" cm="1">
        <f t="array" ref="Y47">_xlfn.IFS(H47=1,FALSE,OR(H47=2,H47&gt;2),TRUE)</f>
        <v>1</v>
      </c>
      <c r="AB47" t="s">
        <v>0</v>
      </c>
      <c r="AC47" t="s">
        <v>162</v>
      </c>
      <c r="AD47" t="b">
        <f t="shared" ca="1" si="7"/>
        <v>1</v>
      </c>
      <c r="AE47" s="1">
        <f t="shared" ca="1" si="8"/>
        <v>1</v>
      </c>
      <c r="AF47" t="str">
        <f t="shared" ca="1" si="6"/>
        <v>Plot 1</v>
      </c>
    </row>
    <row r="48" spans="1:32" x14ac:dyDescent="0.25">
      <c r="A48" t="s">
        <v>164</v>
      </c>
      <c r="B48" s="51">
        <v>67</v>
      </c>
      <c r="C48">
        <v>2</v>
      </c>
      <c r="D48">
        <v>3</v>
      </c>
      <c r="E48" t="b">
        <f t="shared" si="11"/>
        <v>1</v>
      </c>
      <c r="F48" t="b">
        <f t="shared" si="11"/>
        <v>1</v>
      </c>
      <c r="G48" t="b">
        <f t="shared" si="11"/>
        <v>1</v>
      </c>
      <c r="H48" t="b">
        <f t="shared" si="11"/>
        <v>0</v>
      </c>
      <c r="I48" t="b">
        <f t="shared" si="11"/>
        <v>0</v>
      </c>
      <c r="J48" t="b">
        <f t="shared" si="11"/>
        <v>0</v>
      </c>
      <c r="K48" t="b">
        <f t="shared" si="11"/>
        <v>1</v>
      </c>
      <c r="L48" t="b">
        <f t="shared" si="11"/>
        <v>1</v>
      </c>
      <c r="M48" t="b">
        <f t="shared" si="11"/>
        <v>1</v>
      </c>
      <c r="N48" t="b">
        <f t="shared" si="11"/>
        <v>0</v>
      </c>
      <c r="O48" t="b">
        <f t="shared" si="11"/>
        <v>0</v>
      </c>
      <c r="P48" t="b">
        <f t="shared" si="11"/>
        <v>0</v>
      </c>
      <c r="Q48" t="b">
        <v>1</v>
      </c>
      <c r="R48" t="b" cm="1">
        <f t="array" ref="R48">_xlfn.IFS(C48=1,FALSE,OR(C48=2,C48&gt;2),TRUE)</f>
        <v>1</v>
      </c>
      <c r="S48" t="b" cm="1">
        <f t="array" ref="S48">_xlfn.IFS(OR(C48=1,C48=2),FALSE,OR(C48=3,C48&gt;3),TRUE)</f>
        <v>0</v>
      </c>
      <c r="T48" t="str">
        <f t="shared" si="2"/>
        <v>TRUE</v>
      </c>
      <c r="U48" t="str">
        <f t="shared" si="3"/>
        <v>FALSE</v>
      </c>
      <c r="V48" t="str">
        <f t="shared" si="4"/>
        <v>FALSE</v>
      </c>
      <c r="W48" t="b" cm="1">
        <f t="array" ref="W48">_xlfn.IFS(H48=1,FALSE,OR(H48=2,H48&gt;2),TRUE)</f>
        <v>1</v>
      </c>
      <c r="X48" t="b" cm="1">
        <f t="array" ref="X48">_xlfn.IFS(H48=1,FALSE,OR(H48=2,H48&gt;2),TRUE)</f>
        <v>1</v>
      </c>
      <c r="Y48" t="b" cm="1">
        <f t="array" ref="Y48">_xlfn.IFS(H48=1,FALSE,OR(H48=2,H48&gt;2),TRUE)</f>
        <v>1</v>
      </c>
      <c r="AB48" t="s">
        <v>0</v>
      </c>
      <c r="AC48" t="s">
        <v>163</v>
      </c>
      <c r="AD48" t="b">
        <f t="shared" ca="1" si="7"/>
        <v>1</v>
      </c>
      <c r="AE48" s="1">
        <f t="shared" ca="1" si="8"/>
        <v>1</v>
      </c>
      <c r="AF48" t="str">
        <f t="shared" ca="1" si="6"/>
        <v>Plot 1</v>
      </c>
    </row>
    <row r="49" spans="1:32" x14ac:dyDescent="0.25">
      <c r="A49" t="s">
        <v>164</v>
      </c>
      <c r="B49" s="51">
        <v>68</v>
      </c>
      <c r="C49">
        <v>3</v>
      </c>
      <c r="D49">
        <v>4</v>
      </c>
      <c r="E49" t="b">
        <f t="shared" si="11"/>
        <v>1</v>
      </c>
      <c r="F49" t="b">
        <f t="shared" si="11"/>
        <v>1</v>
      </c>
      <c r="G49" t="b">
        <f t="shared" si="11"/>
        <v>1</v>
      </c>
      <c r="H49" t="b">
        <f t="shared" si="11"/>
        <v>1</v>
      </c>
      <c r="I49" t="b">
        <f t="shared" si="11"/>
        <v>0</v>
      </c>
      <c r="J49" t="b">
        <f t="shared" si="11"/>
        <v>0</v>
      </c>
      <c r="K49" t="b">
        <f t="shared" si="11"/>
        <v>1</v>
      </c>
      <c r="L49" t="b">
        <f t="shared" si="11"/>
        <v>1</v>
      </c>
      <c r="M49" t="b">
        <f t="shared" si="11"/>
        <v>1</v>
      </c>
      <c r="N49" t="b">
        <f t="shared" si="11"/>
        <v>1</v>
      </c>
      <c r="O49" t="b">
        <f t="shared" si="11"/>
        <v>0</v>
      </c>
      <c r="P49" t="b">
        <f t="shared" si="11"/>
        <v>0</v>
      </c>
      <c r="Q49" t="b">
        <v>1</v>
      </c>
      <c r="R49" t="b" cm="1">
        <f t="array" ref="R49">_xlfn.IFS(C49=1,FALSE,OR(C49=2,C49&gt;2),TRUE)</f>
        <v>1</v>
      </c>
      <c r="S49" t="b" cm="1">
        <f t="array" ref="S49">_xlfn.IFS(OR(C49=1,C49=2),FALSE,OR(C49=3,C49&gt;3),TRUE)</f>
        <v>1</v>
      </c>
      <c r="T49" t="str">
        <f t="shared" si="2"/>
        <v>TRUE</v>
      </c>
      <c r="U49" t="str">
        <f t="shared" si="3"/>
        <v>TRUE</v>
      </c>
      <c r="V49" t="str">
        <f t="shared" si="4"/>
        <v>FALSE</v>
      </c>
      <c r="W49" t="b" cm="1">
        <f t="array" ref="W49">_xlfn.IFS(H49=1,FALSE,OR(H49=2,H49&gt;2),TRUE)</f>
        <v>1</v>
      </c>
      <c r="X49" t="b" cm="1">
        <f t="array" ref="X49">_xlfn.IFS(H49=1,FALSE,OR(H49=2,H49&gt;2),TRUE)</f>
        <v>1</v>
      </c>
      <c r="Y49" t="b" cm="1">
        <f t="array" ref="Y49">_xlfn.IFS(H49=1,FALSE,OR(H49=2,H49&gt;2),TRUE)</f>
        <v>1</v>
      </c>
      <c r="AB49" t="str">
        <f>AB28</f>
        <v>External Scaffolding</v>
      </c>
      <c r="AC49" t="str">
        <f>AC28</f>
        <v>Lift 1</v>
      </c>
      <c r="AD49" t="b">
        <f t="shared" ca="1" si="7"/>
        <v>1</v>
      </c>
      <c r="AE49" s="1" t="str">
        <f t="shared" ca="1" si="8"/>
        <v>2-3</v>
      </c>
      <c r="AF49" t="str">
        <f t="shared" ca="1" si="6"/>
        <v>Plot 2-3</v>
      </c>
    </row>
    <row r="50" spans="1:32" x14ac:dyDescent="0.25">
      <c r="A50" t="s">
        <v>164</v>
      </c>
      <c r="B50" s="51">
        <v>69</v>
      </c>
      <c r="C50">
        <v>2</v>
      </c>
      <c r="D50">
        <v>3</v>
      </c>
      <c r="E50" t="b">
        <f t="shared" si="11"/>
        <v>1</v>
      </c>
      <c r="F50" t="b">
        <f t="shared" si="11"/>
        <v>1</v>
      </c>
      <c r="G50" t="b">
        <f t="shared" si="11"/>
        <v>1</v>
      </c>
      <c r="H50" t="b">
        <f t="shared" si="11"/>
        <v>0</v>
      </c>
      <c r="I50" t="b">
        <f t="shared" si="11"/>
        <v>0</v>
      </c>
      <c r="J50" t="b">
        <f t="shared" si="11"/>
        <v>0</v>
      </c>
      <c r="K50" t="b">
        <f t="shared" si="11"/>
        <v>1</v>
      </c>
      <c r="L50" t="b">
        <f t="shared" si="11"/>
        <v>1</v>
      </c>
      <c r="M50" t="b">
        <f t="shared" si="11"/>
        <v>1</v>
      </c>
      <c r="N50" t="b">
        <f t="shared" si="11"/>
        <v>0</v>
      </c>
      <c r="O50" t="b">
        <f t="shared" si="11"/>
        <v>0</v>
      </c>
      <c r="P50" t="b">
        <f t="shared" si="11"/>
        <v>0</v>
      </c>
      <c r="Q50" t="b">
        <v>1</v>
      </c>
      <c r="R50" t="b" cm="1">
        <f t="array" ref="R50">_xlfn.IFS(C50=1,FALSE,OR(C50=2,C50&gt;2),TRUE)</f>
        <v>1</v>
      </c>
      <c r="S50" t="b" cm="1">
        <f t="array" ref="S50">_xlfn.IFS(OR(C50=1,C50=2),FALSE,OR(C50=3,C50&gt;3),TRUE)</f>
        <v>0</v>
      </c>
      <c r="T50" t="str">
        <f t="shared" si="2"/>
        <v>TRUE</v>
      </c>
      <c r="U50" t="str">
        <f t="shared" si="3"/>
        <v>FALSE</v>
      </c>
      <c r="V50" t="str">
        <f t="shared" si="4"/>
        <v>FALSE</v>
      </c>
      <c r="W50" t="b" cm="1">
        <f t="array" ref="W50">_xlfn.IFS(H50=1,FALSE,OR(H50=2,H50&gt;2),TRUE)</f>
        <v>1</v>
      </c>
      <c r="X50" t="b" cm="1">
        <f t="array" ref="X50">_xlfn.IFS(H50=1,FALSE,OR(H50=2,H50&gt;2),TRUE)</f>
        <v>1</v>
      </c>
      <c r="Y50" t="b" cm="1">
        <f t="array" ref="Y50">_xlfn.IFS(H50=1,FALSE,OR(H50=2,H50&gt;2),TRUE)</f>
        <v>1</v>
      </c>
      <c r="AB50" t="str">
        <f t="shared" ref="AB50:AC50" si="12">AB29</f>
        <v>External Scaffolding</v>
      </c>
      <c r="AC50" t="str">
        <f t="shared" si="12"/>
        <v>Lift 2</v>
      </c>
      <c r="AD50" t="b">
        <f t="shared" ca="1" si="7"/>
        <v>1</v>
      </c>
      <c r="AE50" s="1" t="str">
        <f t="shared" ref="AE50:AE113" ca="1" si="13">OFFSET($AD$1,0,FLOOR(ROW(B22)/21,1))</f>
        <v>2-3</v>
      </c>
      <c r="AF50" t="str">
        <f t="shared" ca="1" si="6"/>
        <v>Plot 2-3</v>
      </c>
    </row>
    <row r="51" spans="1:32" x14ac:dyDescent="0.25">
      <c r="A51" t="s">
        <v>164</v>
      </c>
      <c r="B51" s="51">
        <v>70</v>
      </c>
      <c r="C51">
        <v>3</v>
      </c>
      <c r="D51">
        <v>4</v>
      </c>
      <c r="E51" t="b">
        <f t="shared" si="11"/>
        <v>1</v>
      </c>
      <c r="F51" t="b">
        <f t="shared" si="11"/>
        <v>1</v>
      </c>
      <c r="G51" t="b">
        <f t="shared" si="11"/>
        <v>1</v>
      </c>
      <c r="H51" t="b">
        <f t="shared" si="11"/>
        <v>1</v>
      </c>
      <c r="I51" t="b">
        <f t="shared" si="11"/>
        <v>0</v>
      </c>
      <c r="J51" t="b">
        <f t="shared" si="11"/>
        <v>0</v>
      </c>
      <c r="K51" t="b">
        <f t="shared" si="11"/>
        <v>1</v>
      </c>
      <c r="L51" t="b">
        <f t="shared" si="11"/>
        <v>1</v>
      </c>
      <c r="M51" t="b">
        <f t="shared" si="11"/>
        <v>1</v>
      </c>
      <c r="N51" t="b">
        <f t="shared" si="11"/>
        <v>1</v>
      </c>
      <c r="O51" t="b">
        <f t="shared" si="11"/>
        <v>0</v>
      </c>
      <c r="P51" t="b">
        <f t="shared" si="11"/>
        <v>0</v>
      </c>
      <c r="Q51" t="b">
        <v>1</v>
      </c>
      <c r="R51" t="b" cm="1">
        <f t="array" ref="R51">_xlfn.IFS(C51=1,FALSE,OR(C51=2,C51&gt;2),TRUE)</f>
        <v>1</v>
      </c>
      <c r="S51" t="b" cm="1">
        <f t="array" ref="S51">_xlfn.IFS(OR(C51=1,C51=2),FALSE,OR(C51=3,C51&gt;3),TRUE)</f>
        <v>1</v>
      </c>
      <c r="T51" t="str">
        <f t="shared" ref="T51:T92" si="14">IF(C51&gt;=2,"TRUE","FALSE")</f>
        <v>TRUE</v>
      </c>
      <c r="U51" t="str">
        <f t="shared" ref="U51:U92" si="15">IF(C51&gt;=3,"TRUE","FALSE")</f>
        <v>TRUE</v>
      </c>
      <c r="V51" t="str">
        <f t="shared" ref="V51:V92" si="16">IF(C51&gt;=4,"TRUE","FALSE")</f>
        <v>FALSE</v>
      </c>
      <c r="W51" t="b" cm="1">
        <f t="array" ref="W51">_xlfn.IFS(H51=1,FALSE,OR(H51=2,H51&gt;2),TRUE)</f>
        <v>1</v>
      </c>
      <c r="X51" t="b" cm="1">
        <f t="array" ref="X51">_xlfn.IFS(H51=1,FALSE,OR(H51=2,H51&gt;2),TRUE)</f>
        <v>1</v>
      </c>
      <c r="Y51" t="b" cm="1">
        <f t="array" ref="Y51">_xlfn.IFS(H51=1,FALSE,OR(H51=2,H51&gt;2),TRUE)</f>
        <v>1</v>
      </c>
      <c r="AB51" t="str">
        <f t="shared" ref="AB51:AC51" si="17">AB30</f>
        <v>External Scaffolding</v>
      </c>
      <c r="AC51" t="str">
        <f t="shared" si="17"/>
        <v>Lift 3</v>
      </c>
      <c r="AD51" t="b">
        <f t="shared" ca="1" si="7"/>
        <v>1</v>
      </c>
      <c r="AE51" s="1" t="str">
        <f t="shared" ca="1" si="13"/>
        <v>2-3</v>
      </c>
      <c r="AF51" t="str">
        <f t="shared" ca="1" si="6"/>
        <v>Plot 2-3</v>
      </c>
    </row>
    <row r="52" spans="1:32" x14ac:dyDescent="0.25">
      <c r="A52" t="s">
        <v>164</v>
      </c>
      <c r="B52" s="51">
        <v>71</v>
      </c>
      <c r="C52">
        <v>3</v>
      </c>
      <c r="D52">
        <v>4</v>
      </c>
      <c r="E52" t="b">
        <f t="shared" si="11"/>
        <v>1</v>
      </c>
      <c r="F52" t="b">
        <f t="shared" si="11"/>
        <v>1</v>
      </c>
      <c r="G52" t="b">
        <f t="shared" si="11"/>
        <v>1</v>
      </c>
      <c r="H52" t="b">
        <f t="shared" si="11"/>
        <v>1</v>
      </c>
      <c r="I52" t="b">
        <f t="shared" si="11"/>
        <v>0</v>
      </c>
      <c r="J52" t="b">
        <f t="shared" si="11"/>
        <v>0</v>
      </c>
      <c r="K52" t="b">
        <f t="shared" si="11"/>
        <v>1</v>
      </c>
      <c r="L52" t="b">
        <f t="shared" si="11"/>
        <v>1</v>
      </c>
      <c r="M52" t="b">
        <f t="shared" si="11"/>
        <v>1</v>
      </c>
      <c r="N52" t="b">
        <f t="shared" si="11"/>
        <v>1</v>
      </c>
      <c r="O52" t="b">
        <f t="shared" si="11"/>
        <v>0</v>
      </c>
      <c r="P52" t="b">
        <f t="shared" si="11"/>
        <v>0</v>
      </c>
      <c r="Q52" t="b">
        <v>1</v>
      </c>
      <c r="R52" t="b" cm="1">
        <f t="array" ref="R52">_xlfn.IFS(C52=1,FALSE,OR(C52=2,C52&gt;2),TRUE)</f>
        <v>1</v>
      </c>
      <c r="S52" t="b" cm="1">
        <f t="array" ref="S52">_xlfn.IFS(OR(C52=1,C52=2),FALSE,OR(C52=3,C52&gt;3),TRUE)</f>
        <v>1</v>
      </c>
      <c r="T52" t="str">
        <f t="shared" si="14"/>
        <v>TRUE</v>
      </c>
      <c r="U52" t="str">
        <f t="shared" si="15"/>
        <v>TRUE</v>
      </c>
      <c r="V52" t="str">
        <f t="shared" si="16"/>
        <v>FALSE</v>
      </c>
      <c r="W52" t="b" cm="1">
        <f t="array" ref="W52">_xlfn.IFS(H52=1,FALSE,OR(H52=2,H52&gt;2),TRUE)</f>
        <v>1</v>
      </c>
      <c r="X52" t="b" cm="1">
        <f t="array" ref="X52">_xlfn.IFS(H52=1,FALSE,OR(H52=2,H52&gt;2),TRUE)</f>
        <v>1</v>
      </c>
      <c r="Y52" t="b" cm="1">
        <f t="array" ref="Y52">_xlfn.IFS(H52=1,FALSE,OR(H52=2,H52&gt;2),TRUE)</f>
        <v>1</v>
      </c>
      <c r="AB52" t="str">
        <f t="shared" ref="AB52:AC52" si="18">AB31</f>
        <v>External Scaffolding</v>
      </c>
      <c r="AC52" t="str">
        <f t="shared" si="18"/>
        <v>Lift 4</v>
      </c>
      <c r="AD52" t="b">
        <f t="shared" ca="1" si="7"/>
        <v>0</v>
      </c>
      <c r="AE52" s="1" t="str">
        <f t="shared" ca="1" si="13"/>
        <v>2-3</v>
      </c>
      <c r="AF52" t="str">
        <f t="shared" ca="1" si="6"/>
        <v>Plot 2-3</v>
      </c>
    </row>
    <row r="53" spans="1:32" x14ac:dyDescent="0.25">
      <c r="A53" t="s">
        <v>164</v>
      </c>
      <c r="B53" s="51">
        <v>72</v>
      </c>
      <c r="C53">
        <v>2</v>
      </c>
      <c r="D53">
        <v>3</v>
      </c>
      <c r="E53" t="b">
        <f t="shared" si="11"/>
        <v>1</v>
      </c>
      <c r="F53" t="b">
        <f t="shared" si="11"/>
        <v>1</v>
      </c>
      <c r="G53" t="b">
        <f t="shared" si="11"/>
        <v>1</v>
      </c>
      <c r="H53" t="b">
        <f t="shared" si="11"/>
        <v>0</v>
      </c>
      <c r="I53" t="b">
        <f t="shared" si="11"/>
        <v>0</v>
      </c>
      <c r="J53" t="b">
        <f t="shared" si="11"/>
        <v>0</v>
      </c>
      <c r="K53" t="b">
        <f t="shared" si="11"/>
        <v>1</v>
      </c>
      <c r="L53" t="b">
        <f t="shared" si="11"/>
        <v>1</v>
      </c>
      <c r="M53" t="b">
        <f t="shared" si="11"/>
        <v>1</v>
      </c>
      <c r="N53" t="b">
        <f t="shared" si="11"/>
        <v>0</v>
      </c>
      <c r="O53" t="b">
        <f t="shared" si="11"/>
        <v>0</v>
      </c>
      <c r="P53" t="b">
        <f t="shared" si="11"/>
        <v>0</v>
      </c>
      <c r="Q53" t="b">
        <v>1</v>
      </c>
      <c r="R53" t="b" cm="1">
        <f t="array" ref="R53">_xlfn.IFS(C53=1,FALSE,OR(C53=2,C53&gt;2),TRUE)</f>
        <v>1</v>
      </c>
      <c r="S53" t="b" cm="1">
        <f t="array" ref="S53">_xlfn.IFS(OR(C53=1,C53=2),FALSE,OR(C53=3,C53&gt;3),TRUE)</f>
        <v>0</v>
      </c>
      <c r="T53" t="str">
        <f t="shared" si="14"/>
        <v>TRUE</v>
      </c>
      <c r="U53" t="str">
        <f t="shared" si="15"/>
        <v>FALSE</v>
      </c>
      <c r="V53" t="str">
        <f t="shared" si="16"/>
        <v>FALSE</v>
      </c>
      <c r="W53" t="b" cm="1">
        <f t="array" ref="W53">_xlfn.IFS(H53=1,FALSE,OR(H53=2,H53&gt;2),TRUE)</f>
        <v>1</v>
      </c>
      <c r="X53" t="b" cm="1">
        <f t="array" ref="X53">_xlfn.IFS(H53=1,FALSE,OR(H53=2,H53&gt;2),TRUE)</f>
        <v>1</v>
      </c>
      <c r="Y53" t="b" cm="1">
        <f t="array" ref="Y53">_xlfn.IFS(H53=1,FALSE,OR(H53=2,H53&gt;2),TRUE)</f>
        <v>1</v>
      </c>
      <c r="AB53" t="str">
        <f t="shared" ref="AB53:AC53" si="19">AB32</f>
        <v>External Scaffolding</v>
      </c>
      <c r="AC53" t="str">
        <f t="shared" si="19"/>
        <v>Lift 5</v>
      </c>
      <c r="AD53" t="b">
        <f t="shared" ca="1" si="7"/>
        <v>0</v>
      </c>
      <c r="AE53" s="1" t="str">
        <f t="shared" ca="1" si="13"/>
        <v>2-3</v>
      </c>
      <c r="AF53" t="str">
        <f t="shared" ca="1" si="6"/>
        <v>Plot 2-3</v>
      </c>
    </row>
    <row r="54" spans="1:32" x14ac:dyDescent="0.25">
      <c r="A54" t="s">
        <v>164</v>
      </c>
      <c r="B54" s="51">
        <v>73</v>
      </c>
      <c r="C54">
        <v>3</v>
      </c>
      <c r="D54">
        <v>4</v>
      </c>
      <c r="E54" t="b">
        <f t="shared" si="11"/>
        <v>1</v>
      </c>
      <c r="F54" t="b">
        <f t="shared" si="11"/>
        <v>1</v>
      </c>
      <c r="G54" t="b">
        <f t="shared" si="11"/>
        <v>1</v>
      </c>
      <c r="H54" t="b">
        <f t="shared" si="11"/>
        <v>1</v>
      </c>
      <c r="I54" t="b">
        <f t="shared" si="11"/>
        <v>0</v>
      </c>
      <c r="J54" t="b">
        <f t="shared" si="11"/>
        <v>0</v>
      </c>
      <c r="K54" t="b">
        <f t="shared" si="11"/>
        <v>1</v>
      </c>
      <c r="L54" t="b">
        <f t="shared" si="11"/>
        <v>1</v>
      </c>
      <c r="M54" t="b">
        <f t="shared" si="11"/>
        <v>1</v>
      </c>
      <c r="N54" t="b">
        <f t="shared" si="11"/>
        <v>1</v>
      </c>
      <c r="O54" t="b">
        <f t="shared" si="11"/>
        <v>0</v>
      </c>
      <c r="P54" t="b">
        <f t="shared" si="11"/>
        <v>0</v>
      </c>
      <c r="Q54" t="b">
        <v>1</v>
      </c>
      <c r="R54" t="b" cm="1">
        <f t="array" ref="R54">_xlfn.IFS(C54=1,FALSE,OR(C54=2,C54&gt;2),TRUE)</f>
        <v>1</v>
      </c>
      <c r="S54" t="b" cm="1">
        <f t="array" ref="S54">_xlfn.IFS(OR(C54=1,C54=2),FALSE,OR(C54=3,C54&gt;3),TRUE)</f>
        <v>1</v>
      </c>
      <c r="T54" t="str">
        <f t="shared" si="14"/>
        <v>TRUE</v>
      </c>
      <c r="U54" t="str">
        <f t="shared" si="15"/>
        <v>TRUE</v>
      </c>
      <c r="V54" t="str">
        <f t="shared" si="16"/>
        <v>FALSE</v>
      </c>
      <c r="W54" t="b" cm="1">
        <f t="array" ref="W54">_xlfn.IFS(H54=1,FALSE,OR(H54=2,H54&gt;2),TRUE)</f>
        <v>1</v>
      </c>
      <c r="X54" t="b" cm="1">
        <f t="array" ref="X54">_xlfn.IFS(H54=1,FALSE,OR(H54=2,H54&gt;2),TRUE)</f>
        <v>1</v>
      </c>
      <c r="Y54" t="b" cm="1">
        <f t="array" ref="Y54">_xlfn.IFS(H54=1,FALSE,OR(H54=2,H54&gt;2),TRUE)</f>
        <v>1</v>
      </c>
      <c r="AB54" t="str">
        <f t="shared" ref="AB54:AC54" si="20">AB33</f>
        <v>External Scaffolding</v>
      </c>
      <c r="AC54" t="str">
        <f t="shared" si="20"/>
        <v>Lift 6</v>
      </c>
      <c r="AD54" t="b">
        <f t="shared" ca="1" si="7"/>
        <v>0</v>
      </c>
      <c r="AE54" s="1" t="str">
        <f t="shared" ca="1" si="13"/>
        <v>2-3</v>
      </c>
      <c r="AF54" t="str">
        <f t="shared" ca="1" si="6"/>
        <v>Plot 2-3</v>
      </c>
    </row>
    <row r="55" spans="1:32" x14ac:dyDescent="0.25">
      <c r="A55" t="s">
        <v>164</v>
      </c>
      <c r="B55" s="51">
        <v>74</v>
      </c>
      <c r="C55">
        <v>2</v>
      </c>
      <c r="D55">
        <v>3</v>
      </c>
      <c r="E55" t="b">
        <f t="shared" si="11"/>
        <v>1</v>
      </c>
      <c r="F55" t="b">
        <f t="shared" si="11"/>
        <v>1</v>
      </c>
      <c r="G55" t="b">
        <f t="shared" si="11"/>
        <v>1</v>
      </c>
      <c r="H55" t="b">
        <f t="shared" si="11"/>
        <v>0</v>
      </c>
      <c r="I55" t="b">
        <f t="shared" si="11"/>
        <v>0</v>
      </c>
      <c r="J55" t="b">
        <f t="shared" si="11"/>
        <v>0</v>
      </c>
      <c r="K55" t="b">
        <f t="shared" si="11"/>
        <v>1</v>
      </c>
      <c r="L55" t="b">
        <f t="shared" si="11"/>
        <v>1</v>
      </c>
      <c r="M55" t="b">
        <f t="shared" si="11"/>
        <v>1</v>
      </c>
      <c r="N55" t="b">
        <f t="shared" si="11"/>
        <v>0</v>
      </c>
      <c r="O55" t="b">
        <f t="shared" si="11"/>
        <v>0</v>
      </c>
      <c r="P55" t="b">
        <f t="shared" si="11"/>
        <v>0</v>
      </c>
      <c r="Q55" t="b">
        <v>1</v>
      </c>
      <c r="R55" t="b" cm="1">
        <f t="array" ref="R55">_xlfn.IFS(C55=1,FALSE,OR(C55=2,C55&gt;2),TRUE)</f>
        <v>1</v>
      </c>
      <c r="S55" t="b" cm="1">
        <f t="array" ref="S55">_xlfn.IFS(OR(C55=1,C55=2),FALSE,OR(C55=3,C55&gt;3),TRUE)</f>
        <v>0</v>
      </c>
      <c r="T55" t="str">
        <f t="shared" si="14"/>
        <v>TRUE</v>
      </c>
      <c r="U55" t="str">
        <f t="shared" si="15"/>
        <v>FALSE</v>
      </c>
      <c r="V55" t="str">
        <f t="shared" si="16"/>
        <v>FALSE</v>
      </c>
      <c r="W55" t="b" cm="1">
        <f t="array" ref="W55">_xlfn.IFS(H55=1,FALSE,OR(H55=2,H55&gt;2),TRUE)</f>
        <v>1</v>
      </c>
      <c r="X55" t="b" cm="1">
        <f t="array" ref="X55">_xlfn.IFS(H55=1,FALSE,OR(H55=2,H55&gt;2),TRUE)</f>
        <v>1</v>
      </c>
      <c r="Y55" t="b" cm="1">
        <f t="array" ref="Y55">_xlfn.IFS(H55=1,FALSE,OR(H55=2,H55&gt;2),TRUE)</f>
        <v>1</v>
      </c>
      <c r="AB55" t="str">
        <f t="shared" ref="AB55:AC55" si="21">AB34</f>
        <v>Loading Bay</v>
      </c>
      <c r="AC55" t="str">
        <f t="shared" si="21"/>
        <v>Lift 1</v>
      </c>
      <c r="AD55" t="b">
        <f t="shared" ca="1" si="7"/>
        <v>1</v>
      </c>
      <c r="AE55" s="1" t="str">
        <f t="shared" ca="1" si="13"/>
        <v>2-3</v>
      </c>
      <c r="AF55" t="str">
        <f t="shared" ca="1" si="6"/>
        <v>Plot 2-3</v>
      </c>
    </row>
    <row r="56" spans="1:32" x14ac:dyDescent="0.25">
      <c r="A56" t="s">
        <v>164</v>
      </c>
      <c r="B56" s="51">
        <v>75</v>
      </c>
      <c r="C56">
        <v>2</v>
      </c>
      <c r="D56">
        <v>3</v>
      </c>
      <c r="E56" t="b">
        <f t="shared" si="11"/>
        <v>1</v>
      </c>
      <c r="F56" t="b">
        <f t="shared" si="11"/>
        <v>1</v>
      </c>
      <c r="G56" t="b">
        <f t="shared" si="11"/>
        <v>1</v>
      </c>
      <c r="H56" t="b">
        <f t="shared" si="11"/>
        <v>0</v>
      </c>
      <c r="I56" t="b">
        <f t="shared" si="11"/>
        <v>0</v>
      </c>
      <c r="J56" t="b">
        <f t="shared" si="11"/>
        <v>0</v>
      </c>
      <c r="K56" t="b">
        <f t="shared" si="11"/>
        <v>1</v>
      </c>
      <c r="L56" t="b">
        <f t="shared" si="11"/>
        <v>1</v>
      </c>
      <c r="M56" t="b">
        <f t="shared" si="11"/>
        <v>1</v>
      </c>
      <c r="N56" t="b">
        <f t="shared" si="11"/>
        <v>0</v>
      </c>
      <c r="O56" t="b">
        <f t="shared" si="11"/>
        <v>0</v>
      </c>
      <c r="P56" t="b">
        <f t="shared" si="11"/>
        <v>0</v>
      </c>
      <c r="Q56" t="b">
        <v>1</v>
      </c>
      <c r="R56" t="b" cm="1">
        <f t="array" ref="R56">_xlfn.IFS(C56=1,FALSE,OR(C56=2,C56&gt;2),TRUE)</f>
        <v>1</v>
      </c>
      <c r="S56" t="b" cm="1">
        <f t="array" ref="S56">_xlfn.IFS(OR(C56=1,C56=2),FALSE,OR(C56=3,C56&gt;3),TRUE)</f>
        <v>0</v>
      </c>
      <c r="T56" t="str">
        <f t="shared" si="14"/>
        <v>TRUE</v>
      </c>
      <c r="U56" t="str">
        <f t="shared" si="15"/>
        <v>FALSE</v>
      </c>
      <c r="V56" t="str">
        <f t="shared" si="16"/>
        <v>FALSE</v>
      </c>
      <c r="W56" t="b" cm="1">
        <f t="array" ref="W56">_xlfn.IFS(H56=1,FALSE,OR(H56=2,H56&gt;2),TRUE)</f>
        <v>1</v>
      </c>
      <c r="X56" t="b" cm="1">
        <f t="array" ref="X56">_xlfn.IFS(H56=1,FALSE,OR(H56=2,H56&gt;2),TRUE)</f>
        <v>1</v>
      </c>
      <c r="Y56" t="b" cm="1">
        <f t="array" ref="Y56">_xlfn.IFS(H56=1,FALSE,OR(H56=2,H56&gt;2),TRUE)</f>
        <v>1</v>
      </c>
      <c r="AB56" t="str">
        <f t="shared" ref="AB56:AC56" si="22">AB35</f>
        <v>Loading Bay</v>
      </c>
      <c r="AC56" t="str">
        <f t="shared" si="22"/>
        <v>Lift 2</v>
      </c>
      <c r="AD56" t="b">
        <f t="shared" ca="1" si="7"/>
        <v>1</v>
      </c>
      <c r="AE56" s="1" t="str">
        <f t="shared" ca="1" si="13"/>
        <v>2-3</v>
      </c>
      <c r="AF56" t="str">
        <f t="shared" ca="1" si="6"/>
        <v>Plot 2-3</v>
      </c>
    </row>
    <row r="57" spans="1:32" x14ac:dyDescent="0.25">
      <c r="A57" t="s">
        <v>164</v>
      </c>
      <c r="B57" s="51">
        <v>76</v>
      </c>
      <c r="C57">
        <v>2</v>
      </c>
      <c r="D57">
        <v>3</v>
      </c>
      <c r="E57" t="b">
        <f t="shared" si="11"/>
        <v>1</v>
      </c>
      <c r="F57" t="b">
        <f t="shared" si="11"/>
        <v>1</v>
      </c>
      <c r="G57" t="b">
        <f t="shared" si="11"/>
        <v>1</v>
      </c>
      <c r="H57" t="b">
        <f t="shared" si="11"/>
        <v>0</v>
      </c>
      <c r="I57" t="b">
        <f t="shared" si="11"/>
        <v>0</v>
      </c>
      <c r="J57" t="b">
        <f t="shared" si="11"/>
        <v>0</v>
      </c>
      <c r="K57" t="b">
        <f t="shared" si="11"/>
        <v>1</v>
      </c>
      <c r="L57" t="b">
        <f t="shared" si="11"/>
        <v>1</v>
      </c>
      <c r="M57" t="b">
        <f t="shared" si="11"/>
        <v>1</v>
      </c>
      <c r="N57" t="b">
        <f t="shared" si="11"/>
        <v>0</v>
      </c>
      <c r="O57" t="b">
        <f t="shared" si="11"/>
        <v>0</v>
      </c>
      <c r="P57" t="b">
        <f t="shared" si="11"/>
        <v>0</v>
      </c>
      <c r="Q57" t="b">
        <v>1</v>
      </c>
      <c r="R57" t="b" cm="1">
        <f t="array" ref="R57">_xlfn.IFS(C57=1,FALSE,OR(C57=2,C57&gt;2),TRUE)</f>
        <v>1</v>
      </c>
      <c r="S57" t="b" cm="1">
        <f t="array" ref="S57">_xlfn.IFS(OR(C57=1,C57=2),FALSE,OR(C57=3,C57&gt;3),TRUE)</f>
        <v>0</v>
      </c>
      <c r="T57" t="str">
        <f t="shared" si="14"/>
        <v>TRUE</v>
      </c>
      <c r="U57" t="str">
        <f t="shared" si="15"/>
        <v>FALSE</v>
      </c>
      <c r="V57" t="str">
        <f t="shared" si="16"/>
        <v>FALSE</v>
      </c>
      <c r="W57" t="b" cm="1">
        <f t="array" ref="W57">_xlfn.IFS(H57=1,FALSE,OR(H57=2,H57&gt;2),TRUE)</f>
        <v>1</v>
      </c>
      <c r="X57" t="b" cm="1">
        <f t="array" ref="X57">_xlfn.IFS(H57=1,FALSE,OR(H57=2,H57&gt;2),TRUE)</f>
        <v>1</v>
      </c>
      <c r="Y57" t="b" cm="1">
        <f t="array" ref="Y57">_xlfn.IFS(H57=1,FALSE,OR(H57=2,H57&gt;2),TRUE)</f>
        <v>1</v>
      </c>
      <c r="AB57" t="str">
        <f t="shared" ref="AB57:AC57" si="23">AB36</f>
        <v>Loading Bay</v>
      </c>
      <c r="AC57" t="str">
        <f t="shared" si="23"/>
        <v>Lift 3</v>
      </c>
      <c r="AD57" t="b">
        <f t="shared" ca="1" si="7"/>
        <v>1</v>
      </c>
      <c r="AE57" s="1" t="str">
        <f t="shared" ca="1" si="13"/>
        <v>2-3</v>
      </c>
      <c r="AF57" t="str">
        <f t="shared" ca="1" si="6"/>
        <v>Plot 2-3</v>
      </c>
    </row>
    <row r="58" spans="1:32" x14ac:dyDescent="0.25">
      <c r="A58" t="s">
        <v>164</v>
      </c>
      <c r="B58" s="51">
        <v>77</v>
      </c>
      <c r="C58">
        <v>3</v>
      </c>
      <c r="D58">
        <v>4</v>
      </c>
      <c r="E58" t="b">
        <f t="shared" si="11"/>
        <v>1</v>
      </c>
      <c r="F58" t="b">
        <f t="shared" si="11"/>
        <v>1</v>
      </c>
      <c r="G58" t="b">
        <f t="shared" si="11"/>
        <v>1</v>
      </c>
      <c r="H58" t="b">
        <f t="shared" si="11"/>
        <v>1</v>
      </c>
      <c r="I58" t="b">
        <f t="shared" si="11"/>
        <v>0</v>
      </c>
      <c r="J58" t="b">
        <f t="shared" si="11"/>
        <v>0</v>
      </c>
      <c r="K58" t="b">
        <f t="shared" si="11"/>
        <v>1</v>
      </c>
      <c r="L58" t="b">
        <f t="shared" si="11"/>
        <v>1</v>
      </c>
      <c r="M58" t="b">
        <f t="shared" si="11"/>
        <v>1</v>
      </c>
      <c r="N58" t="b">
        <f t="shared" si="11"/>
        <v>1</v>
      </c>
      <c r="O58" t="b">
        <f t="shared" si="11"/>
        <v>0</v>
      </c>
      <c r="P58" t="b">
        <f t="shared" si="11"/>
        <v>0</v>
      </c>
      <c r="Q58" t="b">
        <v>1</v>
      </c>
      <c r="R58" t="b" cm="1">
        <f t="array" ref="R58">_xlfn.IFS(C58=1,FALSE,OR(C58=2,C58&gt;2),TRUE)</f>
        <v>1</v>
      </c>
      <c r="S58" t="b" cm="1">
        <f t="array" ref="S58">_xlfn.IFS(OR(C58=1,C58=2),FALSE,OR(C58=3,C58&gt;3),TRUE)</f>
        <v>1</v>
      </c>
      <c r="T58" t="str">
        <f t="shared" si="14"/>
        <v>TRUE</v>
      </c>
      <c r="U58" t="str">
        <f t="shared" si="15"/>
        <v>TRUE</v>
      </c>
      <c r="V58" t="str">
        <f t="shared" si="16"/>
        <v>FALSE</v>
      </c>
      <c r="W58" t="b" cm="1">
        <f t="array" ref="W58">_xlfn.IFS(H58=1,FALSE,OR(H58=2,H58&gt;2),TRUE)</f>
        <v>1</v>
      </c>
      <c r="X58" t="b" cm="1">
        <f t="array" ref="X58">_xlfn.IFS(H58=1,FALSE,OR(H58=2,H58&gt;2),TRUE)</f>
        <v>1</v>
      </c>
      <c r="Y58" t="b" cm="1">
        <f t="array" ref="Y58">_xlfn.IFS(H58=1,FALSE,OR(H58=2,H58&gt;2),TRUE)</f>
        <v>1</v>
      </c>
      <c r="AB58" t="str">
        <f t="shared" ref="AB58:AC58" si="24">AB37</f>
        <v>Loading Bay</v>
      </c>
      <c r="AC58" t="str">
        <f t="shared" si="24"/>
        <v>Lift 4</v>
      </c>
      <c r="AD58" t="b">
        <f t="shared" ca="1" si="7"/>
        <v>0</v>
      </c>
      <c r="AE58" s="1" t="str">
        <f t="shared" ca="1" si="13"/>
        <v>2-3</v>
      </c>
      <c r="AF58" t="str">
        <f t="shared" ca="1" si="6"/>
        <v>Plot 2-3</v>
      </c>
    </row>
    <row r="59" spans="1:32" x14ac:dyDescent="0.25">
      <c r="A59" t="s">
        <v>164</v>
      </c>
      <c r="B59" s="51">
        <v>78</v>
      </c>
      <c r="C59">
        <v>2</v>
      </c>
      <c r="D59">
        <v>3</v>
      </c>
      <c r="E59" t="b">
        <f t="shared" si="11"/>
        <v>1</v>
      </c>
      <c r="F59" t="b">
        <f t="shared" si="11"/>
        <v>1</v>
      </c>
      <c r="G59" t="b">
        <f t="shared" si="11"/>
        <v>1</v>
      </c>
      <c r="H59" t="b">
        <f t="shared" si="11"/>
        <v>0</v>
      </c>
      <c r="I59" t="b">
        <f t="shared" si="11"/>
        <v>0</v>
      </c>
      <c r="J59" t="b">
        <f t="shared" si="11"/>
        <v>0</v>
      </c>
      <c r="K59" t="b">
        <f t="shared" si="11"/>
        <v>1</v>
      </c>
      <c r="L59" t="b">
        <f t="shared" si="11"/>
        <v>1</v>
      </c>
      <c r="M59" t="b">
        <f t="shared" si="11"/>
        <v>1</v>
      </c>
      <c r="N59" t="b">
        <f t="shared" si="11"/>
        <v>0</v>
      </c>
      <c r="O59" t="b">
        <f t="shared" si="11"/>
        <v>0</v>
      </c>
      <c r="P59" t="b">
        <f t="shared" si="11"/>
        <v>0</v>
      </c>
      <c r="Q59" t="b">
        <v>1</v>
      </c>
      <c r="R59" t="b" cm="1">
        <f t="array" ref="R59">_xlfn.IFS(C59=1,FALSE,OR(C59=2,C59&gt;2),TRUE)</f>
        <v>1</v>
      </c>
      <c r="S59" t="b" cm="1">
        <f t="array" ref="S59">_xlfn.IFS(OR(C59=1,C59=2),FALSE,OR(C59=3,C59&gt;3),TRUE)</f>
        <v>0</v>
      </c>
      <c r="T59" t="str">
        <f t="shared" si="14"/>
        <v>TRUE</v>
      </c>
      <c r="U59" t="str">
        <f t="shared" si="15"/>
        <v>FALSE</v>
      </c>
      <c r="V59" t="str">
        <f t="shared" si="16"/>
        <v>FALSE</v>
      </c>
      <c r="W59" t="b" cm="1">
        <f t="array" ref="W59">_xlfn.IFS(H59=1,FALSE,OR(H59=2,H59&gt;2),TRUE)</f>
        <v>1</v>
      </c>
      <c r="X59" t="b" cm="1">
        <f t="array" ref="X59">_xlfn.IFS(H59=1,FALSE,OR(H59=2,H59&gt;2),TRUE)</f>
        <v>1</v>
      </c>
      <c r="Y59" t="b" cm="1">
        <f t="array" ref="Y59">_xlfn.IFS(H59=1,FALSE,OR(H59=2,H59&gt;2),TRUE)</f>
        <v>1</v>
      </c>
      <c r="AB59" t="str">
        <f t="shared" ref="AB59:AC59" si="25">AB38</f>
        <v>Loading Bay</v>
      </c>
      <c r="AC59" t="str">
        <f t="shared" si="25"/>
        <v>Lift 5</v>
      </c>
      <c r="AD59" t="b">
        <f t="shared" ca="1" si="7"/>
        <v>0</v>
      </c>
      <c r="AE59" s="1" t="str">
        <f t="shared" ca="1" si="13"/>
        <v>2-3</v>
      </c>
      <c r="AF59" t="str">
        <f t="shared" ca="1" si="6"/>
        <v>Plot 2-3</v>
      </c>
    </row>
    <row r="60" spans="1:32" x14ac:dyDescent="0.25">
      <c r="A60" t="s">
        <v>165</v>
      </c>
      <c r="B60" s="51" t="s">
        <v>180</v>
      </c>
      <c r="C60">
        <v>2</v>
      </c>
      <c r="D60">
        <v>3</v>
      </c>
      <c r="E60" t="b">
        <f t="shared" si="11"/>
        <v>1</v>
      </c>
      <c r="F60" t="b">
        <f t="shared" si="11"/>
        <v>1</v>
      </c>
      <c r="G60" t="b">
        <f t="shared" si="11"/>
        <v>1</v>
      </c>
      <c r="H60" t="b">
        <f t="shared" si="11"/>
        <v>0</v>
      </c>
      <c r="I60" t="b">
        <f t="shared" si="11"/>
        <v>0</v>
      </c>
      <c r="J60" t="b">
        <f t="shared" si="11"/>
        <v>0</v>
      </c>
      <c r="K60" t="b">
        <f t="shared" si="11"/>
        <v>1</v>
      </c>
      <c r="L60" t="b">
        <f t="shared" si="11"/>
        <v>1</v>
      </c>
      <c r="M60" t="b">
        <f t="shared" si="11"/>
        <v>1</v>
      </c>
      <c r="N60" t="b">
        <f t="shared" si="11"/>
        <v>0</v>
      </c>
      <c r="O60" t="b">
        <f t="shared" si="11"/>
        <v>0</v>
      </c>
      <c r="P60" t="b">
        <f t="shared" si="11"/>
        <v>0</v>
      </c>
      <c r="Q60" t="b">
        <v>1</v>
      </c>
      <c r="R60" t="b" cm="1">
        <f t="array" ref="R60">_xlfn.IFS(C60=1,FALSE,OR(C60=2,C60&gt;2),TRUE)</f>
        <v>1</v>
      </c>
      <c r="S60" t="b" cm="1">
        <f t="array" ref="S60">_xlfn.IFS(OR(C60=1,C60=2),FALSE,OR(C60=3,C60&gt;3),TRUE)</f>
        <v>0</v>
      </c>
      <c r="T60" t="str">
        <f t="shared" si="14"/>
        <v>TRUE</v>
      </c>
      <c r="U60" t="str">
        <f t="shared" si="15"/>
        <v>FALSE</v>
      </c>
      <c r="V60" t="str">
        <f t="shared" si="16"/>
        <v>FALSE</v>
      </c>
      <c r="W60" t="b" cm="1">
        <f t="array" ref="W60">_xlfn.IFS(H60=1,FALSE,OR(H60=2,H60&gt;2),TRUE)</f>
        <v>1</v>
      </c>
      <c r="X60" t="b" cm="1">
        <f t="array" ref="X60">_xlfn.IFS(H60=1,FALSE,OR(H60=2,H60&gt;2),TRUE)</f>
        <v>1</v>
      </c>
      <c r="Y60" t="b" cm="1">
        <f t="array" ref="Y60">_xlfn.IFS(H60=1,FALSE,OR(H60=2,H60&gt;2),TRUE)</f>
        <v>1</v>
      </c>
      <c r="AB60" t="str">
        <f t="shared" ref="AB60:AC60" si="26">AB39</f>
        <v>Loading Bay</v>
      </c>
      <c r="AC60" t="str">
        <f t="shared" si="26"/>
        <v>Lift 6</v>
      </c>
      <c r="AD60" t="b">
        <f t="shared" ca="1" si="7"/>
        <v>0</v>
      </c>
      <c r="AE60" s="1" t="str">
        <f t="shared" ca="1" si="13"/>
        <v>2-3</v>
      </c>
      <c r="AF60" t="str">
        <f t="shared" ca="1" si="6"/>
        <v>Plot 2-3</v>
      </c>
    </row>
    <row r="61" spans="1:32" x14ac:dyDescent="0.25">
      <c r="A61" t="s">
        <v>165</v>
      </c>
      <c r="B61" s="51" t="s">
        <v>181</v>
      </c>
      <c r="C61">
        <v>2</v>
      </c>
      <c r="D61">
        <v>3</v>
      </c>
      <c r="E61" t="b">
        <f t="shared" si="11"/>
        <v>1</v>
      </c>
      <c r="F61" t="b">
        <f t="shared" si="11"/>
        <v>1</v>
      </c>
      <c r="G61" t="b">
        <f t="shared" si="11"/>
        <v>1</v>
      </c>
      <c r="H61" t="b">
        <f t="shared" si="11"/>
        <v>0</v>
      </c>
      <c r="I61" t="b">
        <f t="shared" si="11"/>
        <v>0</v>
      </c>
      <c r="J61" t="b">
        <f t="shared" si="11"/>
        <v>0</v>
      </c>
      <c r="K61" t="b">
        <f t="shared" si="11"/>
        <v>1</v>
      </c>
      <c r="L61" t="b">
        <f t="shared" si="11"/>
        <v>1</v>
      </c>
      <c r="M61" t="b">
        <f t="shared" si="11"/>
        <v>1</v>
      </c>
      <c r="N61" t="b">
        <f t="shared" si="11"/>
        <v>0</v>
      </c>
      <c r="O61" t="b">
        <f t="shared" si="11"/>
        <v>0</v>
      </c>
      <c r="P61" t="b">
        <f t="shared" si="11"/>
        <v>0</v>
      </c>
      <c r="Q61" t="b">
        <v>1</v>
      </c>
      <c r="R61" t="b" cm="1">
        <f t="array" ref="R61">_xlfn.IFS(C61=1,FALSE,OR(C61=2,C61&gt;2),TRUE)</f>
        <v>1</v>
      </c>
      <c r="S61" t="b" cm="1">
        <f t="array" ref="S61">_xlfn.IFS(OR(C61=1,C61=2),FALSE,OR(C61=3,C61&gt;3),TRUE)</f>
        <v>0</v>
      </c>
      <c r="T61" t="str">
        <f t="shared" si="14"/>
        <v>TRUE</v>
      </c>
      <c r="U61" t="str">
        <f t="shared" si="15"/>
        <v>FALSE</v>
      </c>
      <c r="V61" t="str">
        <f t="shared" si="16"/>
        <v>FALSE</v>
      </c>
      <c r="W61" t="b" cm="1">
        <f t="array" ref="W61">_xlfn.IFS(H61=1,FALSE,OR(H61=2,H61&gt;2),TRUE)</f>
        <v>1</v>
      </c>
      <c r="X61" t="b" cm="1">
        <f t="array" ref="X61">_xlfn.IFS(H61=1,FALSE,OR(H61=2,H61&gt;2),TRUE)</f>
        <v>1</v>
      </c>
      <c r="Y61" t="b" cm="1">
        <f t="array" ref="Y61">_xlfn.IFS(H61=1,FALSE,OR(H61=2,H61&gt;2),TRUE)</f>
        <v>1</v>
      </c>
      <c r="AB61" t="str">
        <f t="shared" ref="AB61:AC61" si="27">AB40</f>
        <v>Scaffolding Platform</v>
      </c>
      <c r="AC61" t="str">
        <f t="shared" si="27"/>
        <v>Ground Floor</v>
      </c>
      <c r="AD61" t="b">
        <f t="shared" ca="1" si="7"/>
        <v>1</v>
      </c>
      <c r="AE61" s="1" t="str">
        <f t="shared" ca="1" si="13"/>
        <v>2-3</v>
      </c>
      <c r="AF61" t="str">
        <f t="shared" ca="1" si="6"/>
        <v>Plot 2-3</v>
      </c>
    </row>
    <row r="62" spans="1:32" x14ac:dyDescent="0.25">
      <c r="A62" t="s">
        <v>164</v>
      </c>
      <c r="B62" s="51">
        <v>83</v>
      </c>
      <c r="C62">
        <v>2</v>
      </c>
      <c r="D62">
        <v>3</v>
      </c>
      <c r="E62" t="b">
        <f t="shared" si="11"/>
        <v>1</v>
      </c>
      <c r="F62" t="b">
        <f t="shared" si="11"/>
        <v>1</v>
      </c>
      <c r="G62" t="b">
        <f t="shared" si="11"/>
        <v>1</v>
      </c>
      <c r="H62" t="b">
        <f t="shared" si="11"/>
        <v>0</v>
      </c>
      <c r="I62" t="b">
        <f t="shared" si="11"/>
        <v>0</v>
      </c>
      <c r="J62" t="b">
        <f t="shared" si="11"/>
        <v>0</v>
      </c>
      <c r="K62" t="b">
        <f t="shared" si="11"/>
        <v>1</v>
      </c>
      <c r="L62" t="b">
        <f t="shared" si="11"/>
        <v>1</v>
      </c>
      <c r="M62" t="b">
        <f t="shared" si="11"/>
        <v>1</v>
      </c>
      <c r="N62" t="b">
        <f t="shared" si="11"/>
        <v>0</v>
      </c>
      <c r="O62" t="b">
        <f t="shared" si="11"/>
        <v>0</v>
      </c>
      <c r="P62" t="b">
        <f t="shared" si="11"/>
        <v>0</v>
      </c>
      <c r="Q62" t="b">
        <v>1</v>
      </c>
      <c r="R62" t="b" cm="1">
        <f t="array" ref="R62">_xlfn.IFS(C62=1,FALSE,OR(C62=2,C62&gt;2),TRUE)</f>
        <v>1</v>
      </c>
      <c r="S62" t="b" cm="1">
        <f t="array" ref="S62">_xlfn.IFS(OR(C62=1,C62=2),FALSE,OR(C62=3,C62&gt;3),TRUE)</f>
        <v>0</v>
      </c>
      <c r="T62" t="str">
        <f t="shared" si="14"/>
        <v>TRUE</v>
      </c>
      <c r="U62" t="str">
        <f t="shared" si="15"/>
        <v>FALSE</v>
      </c>
      <c r="V62" t="str">
        <f t="shared" si="16"/>
        <v>FALSE</v>
      </c>
      <c r="W62" t="b" cm="1">
        <f t="array" ref="W62">_xlfn.IFS(H62=1,FALSE,OR(H62=2,H62&gt;2),TRUE)</f>
        <v>1</v>
      </c>
      <c r="X62" t="b" cm="1">
        <f t="array" ref="X62">_xlfn.IFS(H62=1,FALSE,OR(H62=2,H62&gt;2),TRUE)</f>
        <v>1</v>
      </c>
      <c r="Y62" t="b" cm="1">
        <f t="array" ref="Y62">_xlfn.IFS(H62=1,FALSE,OR(H62=2,H62&gt;2),TRUE)</f>
        <v>1</v>
      </c>
      <c r="AB62" t="str">
        <f t="shared" ref="AB62:AC62" si="28">AB41</f>
        <v>Scaffolding Platform</v>
      </c>
      <c r="AC62" t="str">
        <f t="shared" si="28"/>
        <v>First Floor</v>
      </c>
      <c r="AD62" t="b">
        <f t="shared" ca="1" si="7"/>
        <v>1</v>
      </c>
      <c r="AE62" s="1" t="str">
        <f t="shared" ca="1" si="13"/>
        <v>2-3</v>
      </c>
      <c r="AF62" t="str">
        <f t="shared" ca="1" si="6"/>
        <v>Plot 2-3</v>
      </c>
    </row>
    <row r="63" spans="1:32" x14ac:dyDescent="0.25">
      <c r="A63" t="s">
        <v>164</v>
      </c>
      <c r="B63" s="51">
        <v>84</v>
      </c>
      <c r="C63">
        <v>2</v>
      </c>
      <c r="D63">
        <v>3</v>
      </c>
      <c r="E63" t="b">
        <f t="shared" si="11"/>
        <v>1</v>
      </c>
      <c r="F63" t="b">
        <f t="shared" si="11"/>
        <v>1</v>
      </c>
      <c r="G63" t="b">
        <f t="shared" si="11"/>
        <v>1</v>
      </c>
      <c r="H63" t="b">
        <f t="shared" si="11"/>
        <v>0</v>
      </c>
      <c r="I63" t="b">
        <f t="shared" si="11"/>
        <v>0</v>
      </c>
      <c r="J63" t="b">
        <f t="shared" si="11"/>
        <v>0</v>
      </c>
      <c r="K63" t="b">
        <f t="shared" si="11"/>
        <v>1</v>
      </c>
      <c r="L63" t="b">
        <f t="shared" si="11"/>
        <v>1</v>
      </c>
      <c r="M63" t="b">
        <f t="shared" si="11"/>
        <v>1</v>
      </c>
      <c r="N63" t="b">
        <f t="shared" si="11"/>
        <v>0</v>
      </c>
      <c r="O63" t="b">
        <f t="shared" si="11"/>
        <v>0</v>
      </c>
      <c r="P63" t="b">
        <f t="shared" si="11"/>
        <v>0</v>
      </c>
      <c r="Q63" t="b">
        <v>1</v>
      </c>
      <c r="R63" t="b" cm="1">
        <f t="array" ref="R63">_xlfn.IFS(C63=1,FALSE,OR(C63=2,C63&gt;2),TRUE)</f>
        <v>1</v>
      </c>
      <c r="S63" t="b" cm="1">
        <f t="array" ref="S63">_xlfn.IFS(OR(C63=1,C63=2),FALSE,OR(C63=3,C63&gt;3),TRUE)</f>
        <v>0</v>
      </c>
      <c r="T63" t="str">
        <f t="shared" si="14"/>
        <v>TRUE</v>
      </c>
      <c r="U63" t="str">
        <f t="shared" si="15"/>
        <v>FALSE</v>
      </c>
      <c r="V63" t="str">
        <f t="shared" si="16"/>
        <v>FALSE</v>
      </c>
      <c r="W63" t="b" cm="1">
        <f t="array" ref="W63">_xlfn.IFS(H63=1,FALSE,OR(H63=2,H63&gt;2),TRUE)</f>
        <v>1</v>
      </c>
      <c r="X63" t="b" cm="1">
        <f t="array" ref="X63">_xlfn.IFS(H63=1,FALSE,OR(H63=2,H63&gt;2),TRUE)</f>
        <v>1</v>
      </c>
      <c r="Y63" t="b" cm="1">
        <f t="array" ref="Y63">_xlfn.IFS(H63=1,FALSE,OR(H63=2,H63&gt;2),TRUE)</f>
        <v>1</v>
      </c>
      <c r="AB63" t="str">
        <f t="shared" ref="AB63:AC63" si="29">AB42</f>
        <v>Scaffolding Platform</v>
      </c>
      <c r="AC63" t="str">
        <f t="shared" si="29"/>
        <v>Second Floor</v>
      </c>
      <c r="AD63" t="b">
        <f t="shared" ca="1" si="7"/>
        <v>0</v>
      </c>
      <c r="AE63" s="1" t="str">
        <f t="shared" ca="1" si="13"/>
        <v>2-3</v>
      </c>
      <c r="AF63" t="str">
        <f t="shared" ca="1" si="6"/>
        <v>Plot 2-3</v>
      </c>
    </row>
    <row r="64" spans="1:32" x14ac:dyDescent="0.25">
      <c r="A64" t="s">
        <v>164</v>
      </c>
      <c r="B64" s="51">
        <v>85</v>
      </c>
      <c r="C64">
        <v>2</v>
      </c>
      <c r="D64">
        <v>3</v>
      </c>
      <c r="E64" t="b">
        <f t="shared" si="11"/>
        <v>1</v>
      </c>
      <c r="F64" t="b">
        <f t="shared" si="11"/>
        <v>1</v>
      </c>
      <c r="G64" t="b">
        <f t="shared" si="11"/>
        <v>1</v>
      </c>
      <c r="H64" t="b">
        <f t="shared" si="11"/>
        <v>0</v>
      </c>
      <c r="I64" t="b">
        <f t="shared" si="11"/>
        <v>0</v>
      </c>
      <c r="J64" t="b">
        <f t="shared" si="11"/>
        <v>0</v>
      </c>
      <c r="K64" t="b">
        <f t="shared" si="11"/>
        <v>1</v>
      </c>
      <c r="L64" t="b">
        <f t="shared" si="11"/>
        <v>1</v>
      </c>
      <c r="M64" t="b">
        <f t="shared" si="11"/>
        <v>1</v>
      </c>
      <c r="N64" t="b">
        <f t="shared" si="11"/>
        <v>0</v>
      </c>
      <c r="O64" t="b">
        <f t="shared" si="11"/>
        <v>0</v>
      </c>
      <c r="P64" t="b">
        <f t="shared" si="11"/>
        <v>0</v>
      </c>
      <c r="Q64" t="b">
        <v>1</v>
      </c>
      <c r="R64" t="b" cm="1">
        <f t="array" ref="R64">_xlfn.IFS(C64=1,FALSE,OR(C64=2,C64&gt;2),TRUE)</f>
        <v>1</v>
      </c>
      <c r="S64" t="b" cm="1">
        <f t="array" ref="S64">_xlfn.IFS(OR(C64=1,C64=2),FALSE,OR(C64=3,C64&gt;3),TRUE)</f>
        <v>0</v>
      </c>
      <c r="T64" t="str">
        <f t="shared" si="14"/>
        <v>TRUE</v>
      </c>
      <c r="U64" t="str">
        <f t="shared" si="15"/>
        <v>FALSE</v>
      </c>
      <c r="V64" t="str">
        <f t="shared" si="16"/>
        <v>FALSE</v>
      </c>
      <c r="W64" t="b" cm="1">
        <f t="array" ref="W64">_xlfn.IFS(H64=1,FALSE,OR(H64=2,H64&gt;2),TRUE)</f>
        <v>1</v>
      </c>
      <c r="X64" t="b" cm="1">
        <f t="array" ref="X64">_xlfn.IFS(H64=1,FALSE,OR(H64=2,H64&gt;2),TRUE)</f>
        <v>1</v>
      </c>
      <c r="Y64" t="b" cm="1">
        <f t="array" ref="Y64">_xlfn.IFS(H64=1,FALSE,OR(H64=2,H64&gt;2),TRUE)</f>
        <v>1</v>
      </c>
      <c r="AB64" t="str">
        <f t="shared" ref="AB64:AC64" si="30">AB43</f>
        <v>Supporting Scaffold</v>
      </c>
      <c r="AC64" t="str">
        <f t="shared" si="30"/>
        <v>Ground Floor Prop.</v>
      </c>
      <c r="AD64" t="str">
        <f t="shared" ca="1" si="7"/>
        <v>TRUE</v>
      </c>
      <c r="AE64" s="1" t="str">
        <f t="shared" ca="1" si="13"/>
        <v>2-3</v>
      </c>
      <c r="AF64" t="str">
        <f t="shared" ca="1" si="6"/>
        <v>Plot 2-3</v>
      </c>
    </row>
    <row r="65" spans="1:32" x14ac:dyDescent="0.25">
      <c r="A65" t="s">
        <v>165</v>
      </c>
      <c r="B65" s="51" t="s">
        <v>182</v>
      </c>
      <c r="C65">
        <v>2</v>
      </c>
      <c r="D65">
        <v>3</v>
      </c>
      <c r="E65" t="b">
        <f t="shared" si="11"/>
        <v>1</v>
      </c>
      <c r="F65" t="b">
        <f t="shared" si="11"/>
        <v>1</v>
      </c>
      <c r="G65" t="b">
        <f t="shared" si="11"/>
        <v>1</v>
      </c>
      <c r="H65" t="b">
        <f t="shared" ref="H65:P65" si="31">IF(OR(INT(RIGHT(H$2,1))&lt;$D65,INT(RIGHT(H$2,1))=$D65),TRUE,FALSE)</f>
        <v>0</v>
      </c>
      <c r="I65" t="b">
        <f t="shared" si="31"/>
        <v>0</v>
      </c>
      <c r="J65" t="b">
        <f t="shared" si="31"/>
        <v>0</v>
      </c>
      <c r="K65" t="b">
        <f t="shared" si="31"/>
        <v>1</v>
      </c>
      <c r="L65" t="b">
        <f t="shared" si="31"/>
        <v>1</v>
      </c>
      <c r="M65" t="b">
        <f t="shared" si="31"/>
        <v>1</v>
      </c>
      <c r="N65" t="b">
        <f t="shared" si="31"/>
        <v>0</v>
      </c>
      <c r="O65" t="b">
        <f t="shared" si="31"/>
        <v>0</v>
      </c>
      <c r="P65" t="b">
        <f t="shared" si="31"/>
        <v>0</v>
      </c>
      <c r="Q65" t="b">
        <v>1</v>
      </c>
      <c r="R65" t="b" cm="1">
        <f t="array" ref="R65">_xlfn.IFS(C65=1,FALSE,OR(C65=2,C65&gt;2),TRUE)</f>
        <v>1</v>
      </c>
      <c r="S65" t="b" cm="1">
        <f t="array" ref="S65">_xlfn.IFS(OR(C65=1,C65=2),FALSE,OR(C65=3,C65&gt;3),TRUE)</f>
        <v>0</v>
      </c>
      <c r="T65" t="str">
        <f t="shared" si="14"/>
        <v>TRUE</v>
      </c>
      <c r="U65" t="str">
        <f t="shared" si="15"/>
        <v>FALSE</v>
      </c>
      <c r="V65" t="str">
        <f t="shared" si="16"/>
        <v>FALSE</v>
      </c>
      <c r="W65" t="b" cm="1">
        <f t="array" ref="W65">_xlfn.IFS(H65=1,FALSE,OR(H65=2,H65&gt;2),TRUE)</f>
        <v>1</v>
      </c>
      <c r="X65" t="b" cm="1">
        <f t="array" ref="X65">_xlfn.IFS(H65=1,FALSE,OR(H65=2,H65&gt;2),TRUE)</f>
        <v>1</v>
      </c>
      <c r="Y65" t="b" cm="1">
        <f t="array" ref="Y65">_xlfn.IFS(H65=1,FALSE,OR(H65=2,H65&gt;2),TRUE)</f>
        <v>1</v>
      </c>
      <c r="AB65" t="str">
        <f t="shared" ref="AB65:AC65" si="32">AB44</f>
        <v>Supporting Scaffold</v>
      </c>
      <c r="AC65" t="str">
        <f t="shared" si="32"/>
        <v>First Floor Prop.</v>
      </c>
      <c r="AD65" t="str">
        <f t="shared" ca="1" si="7"/>
        <v>FALSE</v>
      </c>
      <c r="AE65" s="1" t="str">
        <f t="shared" ca="1" si="13"/>
        <v>2-3</v>
      </c>
      <c r="AF65" t="str">
        <f t="shared" ca="1" si="6"/>
        <v>Plot 2-3</v>
      </c>
    </row>
    <row r="66" spans="1:32" x14ac:dyDescent="0.25">
      <c r="A66" t="s">
        <v>164</v>
      </c>
      <c r="B66" s="51">
        <v>88</v>
      </c>
      <c r="C66">
        <v>3</v>
      </c>
      <c r="D66">
        <v>4</v>
      </c>
      <c r="E66" t="b">
        <f t="shared" ref="E66:P76" si="33">IF(OR(INT(RIGHT(E$2,1))&lt;$D66,INT(RIGHT(E$2,1))=$D66),TRUE,FALSE)</f>
        <v>1</v>
      </c>
      <c r="F66" t="b">
        <f t="shared" si="33"/>
        <v>1</v>
      </c>
      <c r="G66" t="b">
        <f t="shared" si="33"/>
        <v>1</v>
      </c>
      <c r="H66" t="b">
        <f t="shared" si="33"/>
        <v>1</v>
      </c>
      <c r="I66" t="b">
        <f t="shared" si="33"/>
        <v>0</v>
      </c>
      <c r="J66" t="b">
        <f t="shared" si="33"/>
        <v>0</v>
      </c>
      <c r="K66" t="b">
        <f t="shared" si="33"/>
        <v>1</v>
      </c>
      <c r="L66" t="b">
        <f t="shared" si="33"/>
        <v>1</v>
      </c>
      <c r="M66" t="b">
        <f t="shared" si="33"/>
        <v>1</v>
      </c>
      <c r="N66" t="b">
        <f t="shared" si="33"/>
        <v>1</v>
      </c>
      <c r="O66" t="b">
        <f t="shared" si="33"/>
        <v>0</v>
      </c>
      <c r="P66" t="b">
        <f t="shared" si="33"/>
        <v>0</v>
      </c>
      <c r="Q66" t="b">
        <v>1</v>
      </c>
      <c r="R66" t="b" cm="1">
        <f t="array" ref="R66">_xlfn.IFS(C66=1,FALSE,OR(C66=2,C66&gt;2),TRUE)</f>
        <v>1</v>
      </c>
      <c r="S66" t="b" cm="1">
        <f t="array" ref="S66">_xlfn.IFS(OR(C66=1,C66=2),FALSE,OR(C66=3,C66&gt;3),TRUE)</f>
        <v>1</v>
      </c>
      <c r="T66" t="str">
        <f t="shared" si="14"/>
        <v>TRUE</v>
      </c>
      <c r="U66" t="str">
        <f t="shared" si="15"/>
        <v>TRUE</v>
      </c>
      <c r="V66" t="str">
        <f t="shared" si="16"/>
        <v>FALSE</v>
      </c>
      <c r="W66" t="b" cm="1">
        <f t="array" ref="W66">_xlfn.IFS(H66=1,FALSE,OR(H66=2,H66&gt;2),TRUE)</f>
        <v>1</v>
      </c>
      <c r="X66" t="b" cm="1">
        <f t="array" ref="X66">_xlfn.IFS(H66=1,FALSE,OR(H66=2,H66&gt;2),TRUE)</f>
        <v>1</v>
      </c>
      <c r="Y66" t="b" cm="1">
        <f t="array" ref="Y66">_xlfn.IFS(H66=1,FALSE,OR(H66=2,H66&gt;2),TRUE)</f>
        <v>1</v>
      </c>
      <c r="AB66" t="str">
        <f t="shared" ref="AB66:AC66" si="34">AB45</f>
        <v>Supporting Scaffold</v>
      </c>
      <c r="AC66" t="str">
        <f t="shared" si="34"/>
        <v>Second Floor Prop.</v>
      </c>
      <c r="AD66" t="str">
        <f t="shared" ca="1" si="7"/>
        <v>FALSE</v>
      </c>
      <c r="AE66" s="1" t="str">
        <f t="shared" ca="1" si="13"/>
        <v>2-3</v>
      </c>
      <c r="AF66" t="str">
        <f t="shared" ca="1" si="6"/>
        <v>Plot 2-3</v>
      </c>
    </row>
    <row r="67" spans="1:32" x14ac:dyDescent="0.25">
      <c r="A67" t="s">
        <v>164</v>
      </c>
      <c r="B67" s="51">
        <v>89</v>
      </c>
      <c r="C67">
        <v>2</v>
      </c>
      <c r="D67">
        <v>3</v>
      </c>
      <c r="E67" t="b">
        <f t="shared" si="33"/>
        <v>1</v>
      </c>
      <c r="F67" t="b">
        <f t="shared" si="33"/>
        <v>1</v>
      </c>
      <c r="G67" t="b">
        <f t="shared" si="33"/>
        <v>1</v>
      </c>
      <c r="H67" t="b">
        <f t="shared" si="33"/>
        <v>0</v>
      </c>
      <c r="I67" t="b">
        <f t="shared" si="33"/>
        <v>0</v>
      </c>
      <c r="J67" t="b">
        <f t="shared" si="33"/>
        <v>0</v>
      </c>
      <c r="K67" t="b">
        <f t="shared" si="33"/>
        <v>1</v>
      </c>
      <c r="L67" t="b">
        <f t="shared" si="33"/>
        <v>1</v>
      </c>
      <c r="M67" t="b">
        <f t="shared" si="33"/>
        <v>1</v>
      </c>
      <c r="N67" t="b">
        <f t="shared" si="33"/>
        <v>0</v>
      </c>
      <c r="O67" t="b">
        <f t="shared" si="33"/>
        <v>0</v>
      </c>
      <c r="P67" t="b">
        <f t="shared" si="33"/>
        <v>0</v>
      </c>
      <c r="Q67" t="b">
        <v>1</v>
      </c>
      <c r="R67" t="b" cm="1">
        <f t="array" ref="R67">_xlfn.IFS(C67=1,FALSE,OR(C67=2,C67&gt;2),TRUE)</f>
        <v>1</v>
      </c>
      <c r="S67" t="b" cm="1">
        <f t="array" ref="S67">_xlfn.IFS(OR(C67=1,C67=2),FALSE,OR(C67=3,C67&gt;3),TRUE)</f>
        <v>0</v>
      </c>
      <c r="T67" t="str">
        <f t="shared" si="14"/>
        <v>TRUE</v>
      </c>
      <c r="U67" t="str">
        <f t="shared" si="15"/>
        <v>FALSE</v>
      </c>
      <c r="V67" t="str">
        <f t="shared" si="16"/>
        <v>FALSE</v>
      </c>
      <c r="W67" t="b" cm="1">
        <f t="array" ref="W67">_xlfn.IFS(H67=1,FALSE,OR(H67=2,H67&gt;2),TRUE)</f>
        <v>1</v>
      </c>
      <c r="X67" t="b" cm="1">
        <f t="array" ref="X67">_xlfn.IFS(H67=1,FALSE,OR(H67=2,H67&gt;2),TRUE)</f>
        <v>1</v>
      </c>
      <c r="Y67" t="b" cm="1">
        <f t="array" ref="Y67">_xlfn.IFS(H67=1,FALSE,OR(H67=2,H67&gt;2),TRUE)</f>
        <v>1</v>
      </c>
      <c r="AB67" t="str">
        <f t="shared" ref="AB67:AC67" si="35">AB46</f>
        <v>External Scaffolding</v>
      </c>
      <c r="AC67" t="str">
        <f t="shared" si="35"/>
        <v>Hop-ups</v>
      </c>
      <c r="AD67" t="b">
        <f t="shared" ca="1" si="7"/>
        <v>1</v>
      </c>
      <c r="AE67" s="1" t="str">
        <f t="shared" ca="1" si="13"/>
        <v>2-3</v>
      </c>
      <c r="AF67" t="str">
        <f t="shared" ca="1" si="6"/>
        <v>Plot 2-3</v>
      </c>
    </row>
    <row r="68" spans="1:32" x14ac:dyDescent="0.25">
      <c r="A68" t="s">
        <v>164</v>
      </c>
      <c r="B68" s="51">
        <v>90</v>
      </c>
      <c r="C68">
        <v>2</v>
      </c>
      <c r="D68">
        <v>3</v>
      </c>
      <c r="E68" t="b">
        <f t="shared" si="33"/>
        <v>1</v>
      </c>
      <c r="F68" t="b">
        <f t="shared" si="33"/>
        <v>1</v>
      </c>
      <c r="G68" t="b">
        <f t="shared" si="33"/>
        <v>1</v>
      </c>
      <c r="H68" t="b">
        <f t="shared" si="33"/>
        <v>0</v>
      </c>
      <c r="I68" t="b">
        <f t="shared" si="33"/>
        <v>0</v>
      </c>
      <c r="J68" t="b">
        <f t="shared" si="33"/>
        <v>0</v>
      </c>
      <c r="K68" t="b">
        <f t="shared" si="33"/>
        <v>1</v>
      </c>
      <c r="L68" t="b">
        <f t="shared" si="33"/>
        <v>1</v>
      </c>
      <c r="M68" t="b">
        <f t="shared" si="33"/>
        <v>1</v>
      </c>
      <c r="N68" t="b">
        <f t="shared" si="33"/>
        <v>0</v>
      </c>
      <c r="O68" t="b">
        <f t="shared" si="33"/>
        <v>0</v>
      </c>
      <c r="P68" t="b">
        <f t="shared" si="33"/>
        <v>0</v>
      </c>
      <c r="Q68" t="b">
        <v>1</v>
      </c>
      <c r="R68" t="b" cm="1">
        <f t="array" ref="R68">_xlfn.IFS(C68=1,FALSE,OR(C68=2,C68&gt;2),TRUE)</f>
        <v>1</v>
      </c>
      <c r="S68" t="b" cm="1">
        <f t="array" ref="S68">_xlfn.IFS(OR(C68=1,C68=2),FALSE,OR(C68=3,C68&gt;3),TRUE)</f>
        <v>0</v>
      </c>
      <c r="T68" t="str">
        <f t="shared" si="14"/>
        <v>TRUE</v>
      </c>
      <c r="U68" t="str">
        <f t="shared" si="15"/>
        <v>FALSE</v>
      </c>
      <c r="V68" t="str">
        <f t="shared" si="16"/>
        <v>FALSE</v>
      </c>
      <c r="W68" t="b" cm="1">
        <f t="array" ref="W68">_xlfn.IFS(H68=1,FALSE,OR(H68=2,H68&gt;2),TRUE)</f>
        <v>1</v>
      </c>
      <c r="X68" t="b" cm="1">
        <f t="array" ref="X68">_xlfn.IFS(H68=1,FALSE,OR(H68=2,H68&gt;2),TRUE)</f>
        <v>1</v>
      </c>
      <c r="Y68" t="b" cm="1">
        <f t="array" ref="Y68">_xlfn.IFS(H68=1,FALSE,OR(H68=2,H68&gt;2),TRUE)</f>
        <v>1</v>
      </c>
      <c r="AB68" t="str">
        <f t="shared" ref="AB68:AC68" si="36">AB47</f>
        <v>External Scaffolding</v>
      </c>
      <c r="AC68" t="str">
        <f t="shared" si="36"/>
        <v>Adaptions</v>
      </c>
      <c r="AD68" t="b">
        <f t="shared" ca="1" si="7"/>
        <v>1</v>
      </c>
      <c r="AE68" s="1" t="str">
        <f t="shared" ca="1" si="13"/>
        <v>2-3</v>
      </c>
      <c r="AF68" t="str">
        <f t="shared" ca="1" si="6"/>
        <v>Plot 2-3</v>
      </c>
    </row>
    <row r="69" spans="1:32" x14ac:dyDescent="0.25">
      <c r="A69" t="s">
        <v>165</v>
      </c>
      <c r="B69" s="51" t="s">
        <v>183</v>
      </c>
      <c r="C69">
        <v>2</v>
      </c>
      <c r="D69">
        <v>3</v>
      </c>
      <c r="E69" t="b">
        <f t="shared" si="33"/>
        <v>1</v>
      </c>
      <c r="F69" t="b">
        <f t="shared" si="33"/>
        <v>1</v>
      </c>
      <c r="G69" t="b">
        <f t="shared" si="33"/>
        <v>1</v>
      </c>
      <c r="H69" t="b">
        <f t="shared" si="33"/>
        <v>0</v>
      </c>
      <c r="I69" t="b">
        <f t="shared" si="33"/>
        <v>0</v>
      </c>
      <c r="J69" t="b">
        <f t="shared" si="33"/>
        <v>0</v>
      </c>
      <c r="K69" t="b">
        <f t="shared" si="33"/>
        <v>1</v>
      </c>
      <c r="L69" t="b">
        <f t="shared" si="33"/>
        <v>1</v>
      </c>
      <c r="M69" t="b">
        <f t="shared" si="33"/>
        <v>1</v>
      </c>
      <c r="N69" t="b">
        <f t="shared" si="33"/>
        <v>0</v>
      </c>
      <c r="O69" t="b">
        <f t="shared" si="33"/>
        <v>0</v>
      </c>
      <c r="P69" t="b">
        <f t="shared" si="33"/>
        <v>0</v>
      </c>
      <c r="Q69" t="b">
        <v>1</v>
      </c>
      <c r="R69" t="b" cm="1">
        <f t="array" ref="R69">_xlfn.IFS(C69=1,FALSE,OR(C69=2,C69&gt;2),TRUE)</f>
        <v>1</v>
      </c>
      <c r="S69" t="b" cm="1">
        <f t="array" ref="S69">_xlfn.IFS(OR(C69=1,C69=2),FALSE,OR(C69=3,C69&gt;3),TRUE)</f>
        <v>0</v>
      </c>
      <c r="T69" t="str">
        <f t="shared" si="14"/>
        <v>TRUE</v>
      </c>
      <c r="U69" t="str">
        <f t="shared" si="15"/>
        <v>FALSE</v>
      </c>
      <c r="V69" t="str">
        <f t="shared" si="16"/>
        <v>FALSE</v>
      </c>
      <c r="W69" t="b" cm="1">
        <f t="array" ref="W69">_xlfn.IFS(H69=1,FALSE,OR(H69=2,H69&gt;2),TRUE)</f>
        <v>1</v>
      </c>
      <c r="X69" t="b" cm="1">
        <f t="array" ref="X69">_xlfn.IFS(H69=1,FALSE,OR(H69=2,H69&gt;2),TRUE)</f>
        <v>1</v>
      </c>
      <c r="Y69" t="b" cm="1">
        <f t="array" ref="Y69">_xlfn.IFS(H69=1,FALSE,OR(H69=2,H69&gt;2),TRUE)</f>
        <v>1</v>
      </c>
      <c r="AB69" t="str">
        <f t="shared" ref="AB69:AC69" si="37">AB48</f>
        <v>External Scaffolding</v>
      </c>
      <c r="AC69" t="str">
        <f t="shared" si="37"/>
        <v>Adaption Tower</v>
      </c>
      <c r="AD69" t="b">
        <f t="shared" ca="1" si="7"/>
        <v>1</v>
      </c>
      <c r="AE69" s="1" t="str">
        <f t="shared" ca="1" si="13"/>
        <v>2-3</v>
      </c>
      <c r="AF69" t="str">
        <f t="shared" ca="1" si="6"/>
        <v>Plot 2-3</v>
      </c>
    </row>
    <row r="70" spans="1:32" x14ac:dyDescent="0.25">
      <c r="A70" t="s">
        <v>165</v>
      </c>
      <c r="B70" s="51" t="s">
        <v>184</v>
      </c>
      <c r="C70">
        <v>2</v>
      </c>
      <c r="D70">
        <v>3</v>
      </c>
      <c r="E70" t="b">
        <f t="shared" si="33"/>
        <v>1</v>
      </c>
      <c r="F70" t="b">
        <f t="shared" si="33"/>
        <v>1</v>
      </c>
      <c r="G70" t="b">
        <f t="shared" si="33"/>
        <v>1</v>
      </c>
      <c r="H70" t="b">
        <f t="shared" si="33"/>
        <v>0</v>
      </c>
      <c r="I70" t="b">
        <f t="shared" si="33"/>
        <v>0</v>
      </c>
      <c r="J70" t="b">
        <f t="shared" si="33"/>
        <v>0</v>
      </c>
      <c r="K70" t="b">
        <f t="shared" si="33"/>
        <v>1</v>
      </c>
      <c r="L70" t="b">
        <f t="shared" si="33"/>
        <v>1</v>
      </c>
      <c r="M70" t="b">
        <f t="shared" si="33"/>
        <v>1</v>
      </c>
      <c r="N70" t="b">
        <f t="shared" si="33"/>
        <v>0</v>
      </c>
      <c r="O70" t="b">
        <f t="shared" si="33"/>
        <v>0</v>
      </c>
      <c r="P70" t="b">
        <f t="shared" si="33"/>
        <v>0</v>
      </c>
      <c r="Q70" t="b">
        <v>1</v>
      </c>
      <c r="R70" t="b" cm="1">
        <f t="array" ref="R70">_xlfn.IFS(C70=1,FALSE,OR(C70=2,C70&gt;2),TRUE)</f>
        <v>1</v>
      </c>
      <c r="S70" t="b" cm="1">
        <f t="array" ref="S70">_xlfn.IFS(OR(C70=1,C70=2),FALSE,OR(C70=3,C70&gt;3),TRUE)</f>
        <v>0</v>
      </c>
      <c r="T70" t="str">
        <f t="shared" si="14"/>
        <v>TRUE</v>
      </c>
      <c r="U70" t="str">
        <f t="shared" si="15"/>
        <v>FALSE</v>
      </c>
      <c r="V70" t="str">
        <f t="shared" si="16"/>
        <v>FALSE</v>
      </c>
      <c r="W70" t="b" cm="1">
        <f t="array" ref="W70">_xlfn.IFS(H70=1,FALSE,OR(H70=2,H70&gt;2),TRUE)</f>
        <v>1</v>
      </c>
      <c r="X70" t="b" cm="1">
        <f t="array" ref="X70">_xlfn.IFS(H70=1,FALSE,OR(H70=2,H70&gt;2),TRUE)</f>
        <v>1</v>
      </c>
      <c r="Y70" t="b" cm="1">
        <f t="array" ref="Y70">_xlfn.IFS(H70=1,FALSE,OR(H70=2,H70&gt;2),TRUE)</f>
        <v>1</v>
      </c>
      <c r="AB70" t="str">
        <f t="shared" ref="AB70:AC70" si="38">AB49</f>
        <v>External Scaffolding</v>
      </c>
      <c r="AC70" t="str">
        <f t="shared" si="38"/>
        <v>Lift 1</v>
      </c>
      <c r="AD70" t="b">
        <f t="shared" ca="1" si="7"/>
        <v>1</v>
      </c>
      <c r="AE70" s="1" t="str">
        <f t="shared" ca="1" si="13"/>
        <v>4-5</v>
      </c>
      <c r="AF70" t="str">
        <f t="shared" ca="1" si="6"/>
        <v>Plot 4-5</v>
      </c>
    </row>
    <row r="71" spans="1:32" x14ac:dyDescent="0.25">
      <c r="A71" t="s">
        <v>165</v>
      </c>
      <c r="B71" s="51" t="s">
        <v>185</v>
      </c>
      <c r="C71">
        <v>2</v>
      </c>
      <c r="D71">
        <v>3</v>
      </c>
      <c r="E71" t="b">
        <f t="shared" si="33"/>
        <v>1</v>
      </c>
      <c r="F71" t="b">
        <f t="shared" si="33"/>
        <v>1</v>
      </c>
      <c r="G71" t="b">
        <f t="shared" si="33"/>
        <v>1</v>
      </c>
      <c r="H71" t="b">
        <f t="shared" si="33"/>
        <v>0</v>
      </c>
      <c r="I71" t="b">
        <f t="shared" si="33"/>
        <v>0</v>
      </c>
      <c r="J71" t="b">
        <f t="shared" si="33"/>
        <v>0</v>
      </c>
      <c r="K71" t="b">
        <f t="shared" si="33"/>
        <v>1</v>
      </c>
      <c r="L71" t="b">
        <f t="shared" si="33"/>
        <v>1</v>
      </c>
      <c r="M71" t="b">
        <f t="shared" si="33"/>
        <v>1</v>
      </c>
      <c r="N71" t="b">
        <f t="shared" si="33"/>
        <v>0</v>
      </c>
      <c r="O71" t="b">
        <f t="shared" si="33"/>
        <v>0</v>
      </c>
      <c r="P71" t="b">
        <f t="shared" si="33"/>
        <v>0</v>
      </c>
      <c r="Q71" t="b">
        <v>1</v>
      </c>
      <c r="R71" t="b" cm="1">
        <f t="array" ref="R71">_xlfn.IFS(C71=1,FALSE,OR(C71=2,C71&gt;2),TRUE)</f>
        <v>1</v>
      </c>
      <c r="S71" t="b" cm="1">
        <f t="array" ref="S71">_xlfn.IFS(OR(C71=1,C71=2),FALSE,OR(C71=3,C71&gt;3),TRUE)</f>
        <v>0</v>
      </c>
      <c r="T71" t="str">
        <f t="shared" si="14"/>
        <v>TRUE</v>
      </c>
      <c r="U71" t="str">
        <f t="shared" si="15"/>
        <v>FALSE</v>
      </c>
      <c r="V71" t="str">
        <f t="shared" si="16"/>
        <v>FALSE</v>
      </c>
      <c r="W71" t="b" cm="1">
        <f t="array" ref="W71">_xlfn.IFS(H71=1,FALSE,OR(H71=2,H71&gt;2),TRUE)</f>
        <v>1</v>
      </c>
      <c r="X71" t="b" cm="1">
        <f t="array" ref="X71">_xlfn.IFS(H71=1,FALSE,OR(H71=2,H71&gt;2),TRUE)</f>
        <v>1</v>
      </c>
      <c r="Y71" t="b" cm="1">
        <f t="array" ref="Y71">_xlfn.IFS(H71=1,FALSE,OR(H71=2,H71&gt;2),TRUE)</f>
        <v>1</v>
      </c>
      <c r="AB71" t="str">
        <f t="shared" ref="AB71:AC71" si="39">AB50</f>
        <v>External Scaffolding</v>
      </c>
      <c r="AC71" t="str">
        <f t="shared" si="39"/>
        <v>Lift 2</v>
      </c>
      <c r="AD71" t="b">
        <f t="shared" ca="1" si="7"/>
        <v>1</v>
      </c>
      <c r="AE71" s="1" t="str">
        <f t="shared" ca="1" si="13"/>
        <v>4-5</v>
      </c>
      <c r="AF71" t="str">
        <f t="shared" ca="1" si="6"/>
        <v>Plot 4-5</v>
      </c>
    </row>
    <row r="72" spans="1:32" x14ac:dyDescent="0.25">
      <c r="A72" t="s">
        <v>165</v>
      </c>
      <c r="B72" s="51" t="s">
        <v>186</v>
      </c>
      <c r="C72">
        <v>2</v>
      </c>
      <c r="D72">
        <v>3</v>
      </c>
      <c r="E72" t="b">
        <f t="shared" si="33"/>
        <v>1</v>
      </c>
      <c r="F72" t="b">
        <f t="shared" si="33"/>
        <v>1</v>
      </c>
      <c r="G72" t="b">
        <f t="shared" si="33"/>
        <v>1</v>
      </c>
      <c r="H72" t="b">
        <f t="shared" si="33"/>
        <v>0</v>
      </c>
      <c r="I72" t="b">
        <f t="shared" si="33"/>
        <v>0</v>
      </c>
      <c r="J72" t="b">
        <f t="shared" si="33"/>
        <v>0</v>
      </c>
      <c r="K72" t="b">
        <f t="shared" si="33"/>
        <v>1</v>
      </c>
      <c r="L72" t="b">
        <f t="shared" si="33"/>
        <v>1</v>
      </c>
      <c r="M72" t="b">
        <f t="shared" si="33"/>
        <v>1</v>
      </c>
      <c r="N72" t="b">
        <f t="shared" si="33"/>
        <v>0</v>
      </c>
      <c r="O72" t="b">
        <f t="shared" si="33"/>
        <v>0</v>
      </c>
      <c r="P72" t="b">
        <f t="shared" si="33"/>
        <v>0</v>
      </c>
      <c r="Q72" t="b">
        <v>1</v>
      </c>
      <c r="R72" t="b" cm="1">
        <f t="array" ref="R72">_xlfn.IFS(C72=1,FALSE,OR(C72=2,C72&gt;2),TRUE)</f>
        <v>1</v>
      </c>
      <c r="S72" t="b" cm="1">
        <f t="array" ref="S72">_xlfn.IFS(OR(C72=1,C72=2),FALSE,OR(C72=3,C72&gt;3),TRUE)</f>
        <v>0</v>
      </c>
      <c r="T72" t="str">
        <f t="shared" si="14"/>
        <v>TRUE</v>
      </c>
      <c r="U72" t="str">
        <f t="shared" si="15"/>
        <v>FALSE</v>
      </c>
      <c r="V72" t="str">
        <f t="shared" si="16"/>
        <v>FALSE</v>
      </c>
      <c r="W72" t="b" cm="1">
        <f t="array" ref="W72">_xlfn.IFS(H72=1,FALSE,OR(H72=2,H72&gt;2),TRUE)</f>
        <v>1</v>
      </c>
      <c r="X72" t="b" cm="1">
        <f t="array" ref="X72">_xlfn.IFS(H72=1,FALSE,OR(H72=2,H72&gt;2),TRUE)</f>
        <v>1</v>
      </c>
      <c r="Y72" t="b" cm="1">
        <f t="array" ref="Y72">_xlfn.IFS(H72=1,FALSE,OR(H72=2,H72&gt;2),TRUE)</f>
        <v>1</v>
      </c>
      <c r="AB72" t="str">
        <f t="shared" ref="AB72:AC72" si="40">AB51</f>
        <v>External Scaffolding</v>
      </c>
      <c r="AC72" t="str">
        <f t="shared" si="40"/>
        <v>Lift 3</v>
      </c>
      <c r="AD72" t="b">
        <f t="shared" ca="1" si="7"/>
        <v>1</v>
      </c>
      <c r="AE72" s="1" t="str">
        <f t="shared" ca="1" si="13"/>
        <v>4-5</v>
      </c>
      <c r="AF72" t="str">
        <f t="shared" ca="1" si="6"/>
        <v>Plot 4-5</v>
      </c>
    </row>
    <row r="73" spans="1:32" x14ac:dyDescent="0.25">
      <c r="A73" t="s">
        <v>165</v>
      </c>
      <c r="B73" s="51" t="s">
        <v>187</v>
      </c>
      <c r="C73">
        <v>2</v>
      </c>
      <c r="D73">
        <v>3</v>
      </c>
      <c r="E73" t="b">
        <f t="shared" si="33"/>
        <v>1</v>
      </c>
      <c r="F73" t="b">
        <f t="shared" si="33"/>
        <v>1</v>
      </c>
      <c r="G73" t="b">
        <f t="shared" si="33"/>
        <v>1</v>
      </c>
      <c r="H73" t="b">
        <f t="shared" si="33"/>
        <v>0</v>
      </c>
      <c r="I73" t="b">
        <f t="shared" si="33"/>
        <v>0</v>
      </c>
      <c r="J73" t="b">
        <f t="shared" si="33"/>
        <v>0</v>
      </c>
      <c r="K73" t="b">
        <f t="shared" si="33"/>
        <v>1</v>
      </c>
      <c r="L73" t="b">
        <f t="shared" si="33"/>
        <v>1</v>
      </c>
      <c r="M73" t="b">
        <f t="shared" si="33"/>
        <v>1</v>
      </c>
      <c r="N73" t="b">
        <f t="shared" si="33"/>
        <v>0</v>
      </c>
      <c r="O73" t="b">
        <f t="shared" si="33"/>
        <v>0</v>
      </c>
      <c r="P73" t="b">
        <f t="shared" si="33"/>
        <v>0</v>
      </c>
      <c r="Q73" t="b">
        <v>1</v>
      </c>
      <c r="R73" t="b" cm="1">
        <f t="array" ref="R73">_xlfn.IFS(C73=1,FALSE,OR(C73=2,C73&gt;2),TRUE)</f>
        <v>1</v>
      </c>
      <c r="S73" t="b" cm="1">
        <f t="array" ref="S73">_xlfn.IFS(OR(C73=1,C73=2),FALSE,OR(C73=3,C73&gt;3),TRUE)</f>
        <v>0</v>
      </c>
      <c r="T73" t="str">
        <f t="shared" si="14"/>
        <v>TRUE</v>
      </c>
      <c r="U73" t="str">
        <f t="shared" si="15"/>
        <v>FALSE</v>
      </c>
      <c r="V73" t="str">
        <f t="shared" si="16"/>
        <v>FALSE</v>
      </c>
      <c r="W73" t="b" cm="1">
        <f t="array" ref="W73">_xlfn.IFS(H73=1,FALSE,OR(H73=2,H73&gt;2),TRUE)</f>
        <v>1</v>
      </c>
      <c r="X73" t="b" cm="1">
        <f t="array" ref="X73">_xlfn.IFS(H73=1,FALSE,OR(H73=2,H73&gt;2),TRUE)</f>
        <v>1</v>
      </c>
      <c r="Y73" t="b" cm="1">
        <f t="array" ref="Y73">_xlfn.IFS(H73=1,FALSE,OR(H73=2,H73&gt;2),TRUE)</f>
        <v>1</v>
      </c>
      <c r="AB73" t="str">
        <f t="shared" ref="AB73:AC73" si="41">AB52</f>
        <v>External Scaffolding</v>
      </c>
      <c r="AC73" t="str">
        <f t="shared" si="41"/>
        <v>Lift 4</v>
      </c>
      <c r="AD73" t="b">
        <f t="shared" ca="1" si="7"/>
        <v>0</v>
      </c>
      <c r="AE73" s="1" t="str">
        <f t="shared" ca="1" si="13"/>
        <v>4-5</v>
      </c>
      <c r="AF73" t="str">
        <f t="shared" ca="1" si="6"/>
        <v>Plot 4-5</v>
      </c>
    </row>
    <row r="74" spans="1:32" x14ac:dyDescent="0.25">
      <c r="A74" t="s">
        <v>165</v>
      </c>
      <c r="B74" s="51" t="s">
        <v>188</v>
      </c>
      <c r="C74">
        <v>2</v>
      </c>
      <c r="D74">
        <v>3</v>
      </c>
      <c r="E74" t="b">
        <f t="shared" si="33"/>
        <v>1</v>
      </c>
      <c r="F74" t="b">
        <f t="shared" si="33"/>
        <v>1</v>
      </c>
      <c r="G74" t="b">
        <f t="shared" si="33"/>
        <v>1</v>
      </c>
      <c r="H74" t="b">
        <f t="shared" si="33"/>
        <v>0</v>
      </c>
      <c r="I74" t="b">
        <f t="shared" si="33"/>
        <v>0</v>
      </c>
      <c r="J74" t="b">
        <f t="shared" si="33"/>
        <v>0</v>
      </c>
      <c r="K74" t="b">
        <f t="shared" si="33"/>
        <v>1</v>
      </c>
      <c r="L74" t="b">
        <f t="shared" si="33"/>
        <v>1</v>
      </c>
      <c r="M74" t="b">
        <f t="shared" si="33"/>
        <v>1</v>
      </c>
      <c r="N74" t="b">
        <f t="shared" si="33"/>
        <v>0</v>
      </c>
      <c r="O74" t="b">
        <f t="shared" si="33"/>
        <v>0</v>
      </c>
      <c r="P74" t="b">
        <f t="shared" si="33"/>
        <v>0</v>
      </c>
      <c r="Q74" t="b">
        <v>1</v>
      </c>
      <c r="R74" t="b" cm="1">
        <f t="array" ref="R74">_xlfn.IFS(C74=1,FALSE,OR(C74=2,C74&gt;2),TRUE)</f>
        <v>1</v>
      </c>
      <c r="S74" t="b" cm="1">
        <f t="array" ref="S74">_xlfn.IFS(OR(C74=1,C74=2),FALSE,OR(C74=3,C74&gt;3),TRUE)</f>
        <v>0</v>
      </c>
      <c r="T74" t="str">
        <f t="shared" si="14"/>
        <v>TRUE</v>
      </c>
      <c r="U74" t="str">
        <f t="shared" si="15"/>
        <v>FALSE</v>
      </c>
      <c r="V74" t="str">
        <f t="shared" si="16"/>
        <v>FALSE</v>
      </c>
      <c r="W74" t="b" cm="1">
        <f t="array" ref="W74">_xlfn.IFS(H74=1,FALSE,OR(H74=2,H74&gt;2),TRUE)</f>
        <v>1</v>
      </c>
      <c r="X74" t="b" cm="1">
        <f t="array" ref="X74">_xlfn.IFS(H74=1,FALSE,OR(H74=2,H74&gt;2),TRUE)</f>
        <v>1</v>
      </c>
      <c r="Y74" t="b" cm="1">
        <f t="array" ref="Y74">_xlfn.IFS(H74=1,FALSE,OR(H74=2,H74&gt;2),TRUE)</f>
        <v>1</v>
      </c>
      <c r="AB74" t="str">
        <f t="shared" ref="AB74:AC74" si="42">AB53</f>
        <v>External Scaffolding</v>
      </c>
      <c r="AC74" t="str">
        <f t="shared" si="42"/>
        <v>Lift 5</v>
      </c>
      <c r="AD74" t="b">
        <f t="shared" ca="1" si="7"/>
        <v>0</v>
      </c>
      <c r="AE74" s="1" t="str">
        <f t="shared" ca="1" si="13"/>
        <v>4-5</v>
      </c>
      <c r="AF74" t="str">
        <f t="shared" ca="1" si="6"/>
        <v>Plot 4-5</v>
      </c>
    </row>
    <row r="75" spans="1:32" x14ac:dyDescent="0.25">
      <c r="A75" t="s">
        <v>165</v>
      </c>
      <c r="B75" s="51" t="s">
        <v>189</v>
      </c>
      <c r="C75">
        <v>2</v>
      </c>
      <c r="D75">
        <v>3</v>
      </c>
      <c r="E75" t="b">
        <f t="shared" si="33"/>
        <v>1</v>
      </c>
      <c r="F75" t="b">
        <f t="shared" si="33"/>
        <v>1</v>
      </c>
      <c r="G75" t="b">
        <f t="shared" si="33"/>
        <v>1</v>
      </c>
      <c r="H75" t="b">
        <f t="shared" si="33"/>
        <v>0</v>
      </c>
      <c r="I75" t="b">
        <f t="shared" si="33"/>
        <v>0</v>
      </c>
      <c r="J75" t="b">
        <f t="shared" si="33"/>
        <v>0</v>
      </c>
      <c r="K75" t="b">
        <f t="shared" si="33"/>
        <v>1</v>
      </c>
      <c r="L75" t="b">
        <f t="shared" si="33"/>
        <v>1</v>
      </c>
      <c r="M75" t="b">
        <f t="shared" si="33"/>
        <v>1</v>
      </c>
      <c r="N75" t="b">
        <f t="shared" si="33"/>
        <v>0</v>
      </c>
      <c r="O75" t="b">
        <f t="shared" si="33"/>
        <v>0</v>
      </c>
      <c r="P75" t="b">
        <f t="shared" si="33"/>
        <v>0</v>
      </c>
      <c r="Q75" t="b">
        <v>1</v>
      </c>
      <c r="R75" t="b" cm="1">
        <f t="array" ref="R75">_xlfn.IFS(C75=1,FALSE,OR(C75=2,C75&gt;2),TRUE)</f>
        <v>1</v>
      </c>
      <c r="S75" t="b" cm="1">
        <f t="array" ref="S75">_xlfn.IFS(OR(C75=1,C75=2),FALSE,OR(C75=3,C75&gt;3),TRUE)</f>
        <v>0</v>
      </c>
      <c r="T75" t="str">
        <f t="shared" si="14"/>
        <v>TRUE</v>
      </c>
      <c r="U75" t="str">
        <f t="shared" si="15"/>
        <v>FALSE</v>
      </c>
      <c r="V75" t="str">
        <f t="shared" si="16"/>
        <v>FALSE</v>
      </c>
      <c r="W75" t="b" cm="1">
        <f t="array" ref="W75">_xlfn.IFS(H75=1,FALSE,OR(H75=2,H75&gt;2),TRUE)</f>
        <v>1</v>
      </c>
      <c r="X75" t="b" cm="1">
        <f t="array" ref="X75">_xlfn.IFS(H75=1,FALSE,OR(H75=2,H75&gt;2),TRUE)</f>
        <v>1</v>
      </c>
      <c r="Y75" t="b" cm="1">
        <f t="array" ref="Y75">_xlfn.IFS(H75=1,FALSE,OR(H75=2,H75&gt;2),TRUE)</f>
        <v>1</v>
      </c>
      <c r="AB75" t="str">
        <f t="shared" ref="AB75:AC75" si="43">AB54</f>
        <v>External Scaffolding</v>
      </c>
      <c r="AC75" t="str">
        <f t="shared" si="43"/>
        <v>Lift 6</v>
      </c>
      <c r="AD75" t="b">
        <f t="shared" ca="1" si="7"/>
        <v>0</v>
      </c>
      <c r="AE75" s="1" t="str">
        <f t="shared" ca="1" si="13"/>
        <v>4-5</v>
      </c>
      <c r="AF75" t="str">
        <f t="shared" ca="1" si="6"/>
        <v>Plot 4-5</v>
      </c>
    </row>
    <row r="76" spans="1:32" x14ac:dyDescent="0.25">
      <c r="A76" t="s">
        <v>165</v>
      </c>
      <c r="B76" s="51" t="s">
        <v>190</v>
      </c>
      <c r="C76">
        <v>2</v>
      </c>
      <c r="D76">
        <v>3</v>
      </c>
      <c r="E76" t="b">
        <f t="shared" si="33"/>
        <v>1</v>
      </c>
      <c r="F76" t="b">
        <f t="shared" si="33"/>
        <v>1</v>
      </c>
      <c r="G76" t="b">
        <f t="shared" si="33"/>
        <v>1</v>
      </c>
      <c r="H76" t="b">
        <f t="shared" si="33"/>
        <v>0</v>
      </c>
      <c r="I76" t="b">
        <f t="shared" si="33"/>
        <v>0</v>
      </c>
      <c r="J76" t="b">
        <f t="shared" si="33"/>
        <v>0</v>
      </c>
      <c r="K76" t="b">
        <f t="shared" si="33"/>
        <v>1</v>
      </c>
      <c r="L76" t="b">
        <f t="shared" si="33"/>
        <v>1</v>
      </c>
      <c r="M76" t="b">
        <f t="shared" si="33"/>
        <v>1</v>
      </c>
      <c r="N76" t="b">
        <f t="shared" si="33"/>
        <v>0</v>
      </c>
      <c r="O76" t="b">
        <f t="shared" si="33"/>
        <v>0</v>
      </c>
      <c r="P76" t="b">
        <f t="shared" si="33"/>
        <v>0</v>
      </c>
      <c r="Q76" t="b">
        <v>1</v>
      </c>
      <c r="R76" t="b" cm="1">
        <f t="array" ref="R76">_xlfn.IFS(C76=1,FALSE,OR(C76=2,C76&gt;2),TRUE)</f>
        <v>1</v>
      </c>
      <c r="S76" t="b" cm="1">
        <f t="array" ref="S76">_xlfn.IFS(OR(C76=1,C76=2),FALSE,OR(C76=3,C76&gt;3),TRUE)</f>
        <v>0</v>
      </c>
      <c r="T76" t="str">
        <f t="shared" si="14"/>
        <v>TRUE</v>
      </c>
      <c r="U76" t="str">
        <f t="shared" si="15"/>
        <v>FALSE</v>
      </c>
      <c r="V76" t="str">
        <f t="shared" si="16"/>
        <v>FALSE</v>
      </c>
      <c r="W76" t="b" cm="1">
        <f t="array" ref="W76">_xlfn.IFS(H76=1,FALSE,OR(H76=2,H76&gt;2),TRUE)</f>
        <v>1</v>
      </c>
      <c r="X76" t="b" cm="1">
        <f t="array" ref="X76">_xlfn.IFS(H76=1,FALSE,OR(H76=2,H76&gt;2),TRUE)</f>
        <v>1</v>
      </c>
      <c r="Y76" t="b" cm="1">
        <f t="array" ref="Y76">_xlfn.IFS(H76=1,FALSE,OR(H76=2,H76&gt;2),TRUE)</f>
        <v>1</v>
      </c>
      <c r="AB76" t="str">
        <f t="shared" ref="AB76:AC76" si="44">AB55</f>
        <v>Loading Bay</v>
      </c>
      <c r="AC76" t="str">
        <f t="shared" si="44"/>
        <v>Lift 1</v>
      </c>
      <c r="AD76" t="b">
        <f t="shared" ca="1" si="7"/>
        <v>1</v>
      </c>
      <c r="AE76" s="1" t="str">
        <f t="shared" ca="1" si="13"/>
        <v>4-5</v>
      </c>
      <c r="AF76" t="str">
        <f t="shared" ca="1" si="6"/>
        <v>Plot 4-5</v>
      </c>
    </row>
    <row r="77" spans="1:32" x14ac:dyDescent="0.25">
      <c r="A77" t="s">
        <v>164</v>
      </c>
      <c r="B77" s="51">
        <v>109</v>
      </c>
      <c r="C77">
        <v>3</v>
      </c>
      <c r="D77">
        <v>4</v>
      </c>
      <c r="E77" t="b">
        <f t="shared" ref="E77:P90" si="45">IF(OR(INT(RIGHT(E$2,1))&lt;$D77,INT(RIGHT(E$2,1))=$D77),TRUE,FALSE)</f>
        <v>1</v>
      </c>
      <c r="F77" t="b">
        <f t="shared" si="45"/>
        <v>1</v>
      </c>
      <c r="G77" t="b">
        <f t="shared" si="45"/>
        <v>1</v>
      </c>
      <c r="H77" t="b">
        <f t="shared" si="45"/>
        <v>1</v>
      </c>
      <c r="I77" t="b">
        <f t="shared" si="45"/>
        <v>0</v>
      </c>
      <c r="J77" t="b">
        <f t="shared" si="45"/>
        <v>0</v>
      </c>
      <c r="K77" t="b">
        <f t="shared" si="45"/>
        <v>1</v>
      </c>
      <c r="L77" t="b">
        <f t="shared" si="45"/>
        <v>1</v>
      </c>
      <c r="M77" t="b">
        <f t="shared" si="45"/>
        <v>1</v>
      </c>
      <c r="N77" t="b">
        <f t="shared" si="45"/>
        <v>1</v>
      </c>
      <c r="O77" t="b">
        <f t="shared" si="45"/>
        <v>0</v>
      </c>
      <c r="P77" t="b">
        <f t="shared" si="45"/>
        <v>0</v>
      </c>
      <c r="Q77" t="b">
        <v>1</v>
      </c>
      <c r="R77" t="b" cm="1">
        <f t="array" ref="R77">_xlfn.IFS(C77=1,FALSE,OR(C77=2,C77&gt;2),TRUE)</f>
        <v>1</v>
      </c>
      <c r="S77" t="b" cm="1">
        <f t="array" ref="S77">_xlfn.IFS(OR(C77=1,C77=2),FALSE,OR(C77=3,C77&gt;3),TRUE)</f>
        <v>1</v>
      </c>
      <c r="T77" t="str">
        <f t="shared" si="14"/>
        <v>TRUE</v>
      </c>
      <c r="U77" t="str">
        <f t="shared" si="15"/>
        <v>TRUE</v>
      </c>
      <c r="V77" t="str">
        <f t="shared" si="16"/>
        <v>FALSE</v>
      </c>
      <c r="W77" t="b" cm="1">
        <f t="array" ref="W77">_xlfn.IFS(H77=1,FALSE,OR(H77=2,H77&gt;2),TRUE)</f>
        <v>1</v>
      </c>
      <c r="X77" t="b" cm="1">
        <f t="array" ref="X77">_xlfn.IFS(H77=1,FALSE,OR(H77=2,H77&gt;2),TRUE)</f>
        <v>1</v>
      </c>
      <c r="Y77" t="b" cm="1">
        <f t="array" ref="Y77">_xlfn.IFS(H77=1,FALSE,OR(H77=2,H77&gt;2),TRUE)</f>
        <v>1</v>
      </c>
      <c r="AB77" t="str">
        <f t="shared" ref="AB77:AC77" si="46">AB56</f>
        <v>Loading Bay</v>
      </c>
      <c r="AC77" t="str">
        <f t="shared" si="46"/>
        <v>Lift 2</v>
      </c>
      <c r="AD77" t="b">
        <f t="shared" ca="1" si="7"/>
        <v>1</v>
      </c>
      <c r="AE77" s="1" t="str">
        <f t="shared" ca="1" si="13"/>
        <v>4-5</v>
      </c>
      <c r="AF77" t="str">
        <f t="shared" ca="1" si="6"/>
        <v>Plot 4-5</v>
      </c>
    </row>
    <row r="78" spans="1:32" x14ac:dyDescent="0.25">
      <c r="A78" t="s">
        <v>165</v>
      </c>
      <c r="B78" s="51" t="s">
        <v>191</v>
      </c>
      <c r="C78">
        <v>2</v>
      </c>
      <c r="D78">
        <v>3</v>
      </c>
      <c r="E78" t="b">
        <f t="shared" si="45"/>
        <v>1</v>
      </c>
      <c r="F78" t="b">
        <f t="shared" si="45"/>
        <v>1</v>
      </c>
      <c r="G78" t="b">
        <f t="shared" si="45"/>
        <v>1</v>
      </c>
      <c r="H78" t="b">
        <f t="shared" si="45"/>
        <v>0</v>
      </c>
      <c r="I78" t="b">
        <f t="shared" si="45"/>
        <v>0</v>
      </c>
      <c r="J78" t="b">
        <f t="shared" si="45"/>
        <v>0</v>
      </c>
      <c r="K78" t="b">
        <f t="shared" si="45"/>
        <v>1</v>
      </c>
      <c r="L78" t="b">
        <f t="shared" si="45"/>
        <v>1</v>
      </c>
      <c r="M78" t="b">
        <f t="shared" si="45"/>
        <v>1</v>
      </c>
      <c r="N78" t="b">
        <f t="shared" si="45"/>
        <v>0</v>
      </c>
      <c r="O78" t="b">
        <f t="shared" si="45"/>
        <v>0</v>
      </c>
      <c r="P78" t="b">
        <f t="shared" si="45"/>
        <v>0</v>
      </c>
      <c r="Q78" t="b">
        <v>1</v>
      </c>
      <c r="R78" t="b" cm="1">
        <f t="array" ref="R78">_xlfn.IFS(C78=1,FALSE,OR(C78=2,C78&gt;2),TRUE)</f>
        <v>1</v>
      </c>
      <c r="S78" t="b" cm="1">
        <f t="array" ref="S78">_xlfn.IFS(OR(C78=1,C78=2),FALSE,OR(C78=3,C78&gt;3),TRUE)</f>
        <v>0</v>
      </c>
      <c r="T78" t="str">
        <f t="shared" si="14"/>
        <v>TRUE</v>
      </c>
      <c r="U78" t="str">
        <f t="shared" si="15"/>
        <v>FALSE</v>
      </c>
      <c r="V78" t="str">
        <f t="shared" si="16"/>
        <v>FALSE</v>
      </c>
      <c r="W78" t="b" cm="1">
        <f t="array" ref="W78">_xlfn.IFS(H78=1,FALSE,OR(H78=2,H78&gt;2),TRUE)</f>
        <v>1</v>
      </c>
      <c r="X78" t="b" cm="1">
        <f t="array" ref="X78">_xlfn.IFS(H78=1,FALSE,OR(H78=2,H78&gt;2),TRUE)</f>
        <v>1</v>
      </c>
      <c r="Y78" t="b" cm="1">
        <f t="array" ref="Y78">_xlfn.IFS(H78=1,FALSE,OR(H78=2,H78&gt;2),TRUE)</f>
        <v>1</v>
      </c>
      <c r="AB78" t="str">
        <f t="shared" ref="AB78:AC78" si="47">AB57</f>
        <v>Loading Bay</v>
      </c>
      <c r="AC78" t="str">
        <f t="shared" si="47"/>
        <v>Lift 3</v>
      </c>
      <c r="AD78" t="b">
        <f t="shared" ca="1" si="7"/>
        <v>1</v>
      </c>
      <c r="AE78" s="1" t="str">
        <f t="shared" ca="1" si="13"/>
        <v>4-5</v>
      </c>
      <c r="AF78" t="str">
        <f t="shared" ca="1" si="6"/>
        <v>Plot 4-5</v>
      </c>
    </row>
    <row r="79" spans="1:32" x14ac:dyDescent="0.25">
      <c r="A79" t="s">
        <v>165</v>
      </c>
      <c r="B79" s="51" t="s">
        <v>192</v>
      </c>
      <c r="C79">
        <v>2</v>
      </c>
      <c r="D79">
        <v>3</v>
      </c>
      <c r="E79" t="b">
        <f t="shared" si="45"/>
        <v>1</v>
      </c>
      <c r="F79" t="b">
        <f t="shared" si="45"/>
        <v>1</v>
      </c>
      <c r="G79" t="b">
        <f t="shared" si="45"/>
        <v>1</v>
      </c>
      <c r="H79" t="b">
        <f t="shared" si="45"/>
        <v>0</v>
      </c>
      <c r="I79" t="b">
        <f t="shared" si="45"/>
        <v>0</v>
      </c>
      <c r="J79" t="b">
        <f t="shared" si="45"/>
        <v>0</v>
      </c>
      <c r="K79" t="b">
        <f t="shared" si="45"/>
        <v>1</v>
      </c>
      <c r="L79" t="b">
        <f t="shared" si="45"/>
        <v>1</v>
      </c>
      <c r="M79" t="b">
        <f t="shared" si="45"/>
        <v>1</v>
      </c>
      <c r="N79" t="b">
        <f t="shared" si="45"/>
        <v>0</v>
      </c>
      <c r="O79" t="b">
        <f t="shared" si="45"/>
        <v>0</v>
      </c>
      <c r="P79" t="b">
        <f t="shared" si="45"/>
        <v>0</v>
      </c>
      <c r="Q79" t="b">
        <v>1</v>
      </c>
      <c r="R79" t="b" cm="1">
        <f t="array" ref="R79">_xlfn.IFS(C79=1,FALSE,OR(C79=2,C79&gt;2),TRUE)</f>
        <v>1</v>
      </c>
      <c r="S79" t="b" cm="1">
        <f t="array" ref="S79">_xlfn.IFS(OR(C79=1,C79=2),FALSE,OR(C79=3,C79&gt;3),TRUE)</f>
        <v>0</v>
      </c>
      <c r="T79" t="str">
        <f t="shared" si="14"/>
        <v>TRUE</v>
      </c>
      <c r="U79" t="str">
        <f t="shared" si="15"/>
        <v>FALSE</v>
      </c>
      <c r="V79" t="str">
        <f t="shared" si="16"/>
        <v>FALSE</v>
      </c>
      <c r="W79" t="b" cm="1">
        <f t="array" ref="W79">_xlfn.IFS(H79=1,FALSE,OR(H79=2,H79&gt;2),TRUE)</f>
        <v>1</v>
      </c>
      <c r="X79" t="b" cm="1">
        <f t="array" ref="X79">_xlfn.IFS(H79=1,FALSE,OR(H79=2,H79&gt;2),TRUE)</f>
        <v>1</v>
      </c>
      <c r="Y79" t="b" cm="1">
        <f t="array" ref="Y79">_xlfn.IFS(H79=1,FALSE,OR(H79=2,H79&gt;2),TRUE)</f>
        <v>1</v>
      </c>
      <c r="AB79" t="str">
        <f t="shared" ref="AB79:AC79" si="48">AB58</f>
        <v>Loading Bay</v>
      </c>
      <c r="AC79" t="str">
        <f t="shared" si="48"/>
        <v>Lift 4</v>
      </c>
      <c r="AD79" t="b">
        <f t="shared" ca="1" si="7"/>
        <v>0</v>
      </c>
      <c r="AE79" s="1" t="str">
        <f t="shared" ca="1" si="13"/>
        <v>4-5</v>
      </c>
      <c r="AF79" t="str">
        <f t="shared" ca="1" si="6"/>
        <v>Plot 4-5</v>
      </c>
    </row>
    <row r="80" spans="1:32" x14ac:dyDescent="0.25">
      <c r="A80" t="s">
        <v>165</v>
      </c>
      <c r="B80" s="51" t="s">
        <v>193</v>
      </c>
      <c r="C80">
        <v>2</v>
      </c>
      <c r="D80">
        <v>3</v>
      </c>
      <c r="E80" t="b">
        <f t="shared" si="45"/>
        <v>1</v>
      </c>
      <c r="F80" t="b">
        <f t="shared" si="45"/>
        <v>1</v>
      </c>
      <c r="G80" t="b">
        <f t="shared" si="45"/>
        <v>1</v>
      </c>
      <c r="H80" t="b">
        <f t="shared" si="45"/>
        <v>0</v>
      </c>
      <c r="I80" t="b">
        <f t="shared" si="45"/>
        <v>0</v>
      </c>
      <c r="J80" t="b">
        <f t="shared" si="45"/>
        <v>0</v>
      </c>
      <c r="K80" t="b">
        <f t="shared" si="45"/>
        <v>1</v>
      </c>
      <c r="L80" t="b">
        <f t="shared" si="45"/>
        <v>1</v>
      </c>
      <c r="M80" t="b">
        <f t="shared" si="45"/>
        <v>1</v>
      </c>
      <c r="N80" t="b">
        <f t="shared" si="45"/>
        <v>0</v>
      </c>
      <c r="O80" t="b">
        <f t="shared" si="45"/>
        <v>0</v>
      </c>
      <c r="P80" t="b">
        <f t="shared" si="45"/>
        <v>0</v>
      </c>
      <c r="Q80" t="b">
        <v>1</v>
      </c>
      <c r="R80" t="b" cm="1">
        <f t="array" ref="R80">_xlfn.IFS(C80=1,FALSE,OR(C80=2,C80&gt;2),TRUE)</f>
        <v>1</v>
      </c>
      <c r="S80" t="b" cm="1">
        <f t="array" ref="S80">_xlfn.IFS(OR(C80=1,C80=2),FALSE,OR(C80=3,C80&gt;3),TRUE)</f>
        <v>0</v>
      </c>
      <c r="T80" t="str">
        <f t="shared" si="14"/>
        <v>TRUE</v>
      </c>
      <c r="U80" t="str">
        <f t="shared" si="15"/>
        <v>FALSE</v>
      </c>
      <c r="V80" t="str">
        <f t="shared" si="16"/>
        <v>FALSE</v>
      </c>
      <c r="W80" t="b" cm="1">
        <f t="array" ref="W80">_xlfn.IFS(H80=1,FALSE,OR(H80=2,H80&gt;2),TRUE)</f>
        <v>1</v>
      </c>
      <c r="X80" t="b" cm="1">
        <f t="array" ref="X80">_xlfn.IFS(H80=1,FALSE,OR(H80=2,H80&gt;2),TRUE)</f>
        <v>1</v>
      </c>
      <c r="Y80" t="b" cm="1">
        <f t="array" ref="Y80">_xlfn.IFS(H80=1,FALSE,OR(H80=2,H80&gt;2),TRUE)</f>
        <v>1</v>
      </c>
      <c r="AB80" t="str">
        <f t="shared" ref="AB80:AC80" si="49">AB59</f>
        <v>Loading Bay</v>
      </c>
      <c r="AC80" t="str">
        <f t="shared" si="49"/>
        <v>Lift 5</v>
      </c>
      <c r="AD80" t="b">
        <f t="shared" ca="1" si="7"/>
        <v>0</v>
      </c>
      <c r="AE80" s="1" t="str">
        <f t="shared" ca="1" si="13"/>
        <v>4-5</v>
      </c>
      <c r="AF80" t="str">
        <f t="shared" ca="1" si="6"/>
        <v>Plot 4-5</v>
      </c>
    </row>
    <row r="81" spans="1:32" x14ac:dyDescent="0.25">
      <c r="A81" t="s">
        <v>165</v>
      </c>
      <c r="B81" s="51" t="s">
        <v>194</v>
      </c>
      <c r="C81">
        <v>2</v>
      </c>
      <c r="D81">
        <v>3</v>
      </c>
      <c r="E81" t="b">
        <f t="shared" si="45"/>
        <v>1</v>
      </c>
      <c r="F81" t="b">
        <f t="shared" si="45"/>
        <v>1</v>
      </c>
      <c r="G81" t="b">
        <f t="shared" si="45"/>
        <v>1</v>
      </c>
      <c r="H81" t="b">
        <f t="shared" si="45"/>
        <v>0</v>
      </c>
      <c r="I81" t="b">
        <f t="shared" si="45"/>
        <v>0</v>
      </c>
      <c r="J81" t="b">
        <f t="shared" si="45"/>
        <v>0</v>
      </c>
      <c r="K81" t="b">
        <f t="shared" si="45"/>
        <v>1</v>
      </c>
      <c r="L81" t="b">
        <f t="shared" si="45"/>
        <v>1</v>
      </c>
      <c r="M81" t="b">
        <f t="shared" si="45"/>
        <v>1</v>
      </c>
      <c r="N81" t="b">
        <f t="shared" si="45"/>
        <v>0</v>
      </c>
      <c r="O81" t="b">
        <f t="shared" si="45"/>
        <v>0</v>
      </c>
      <c r="P81" t="b">
        <f t="shared" si="45"/>
        <v>0</v>
      </c>
      <c r="Q81" t="b">
        <v>1</v>
      </c>
      <c r="R81" t="b" cm="1">
        <f t="array" ref="R81">_xlfn.IFS(C81=1,FALSE,OR(C81=2,C81&gt;2),TRUE)</f>
        <v>1</v>
      </c>
      <c r="S81" t="b" cm="1">
        <f t="array" ref="S81">_xlfn.IFS(OR(C81=1,C81=2),FALSE,OR(C81=3,C81&gt;3),TRUE)</f>
        <v>0</v>
      </c>
      <c r="T81" t="str">
        <f t="shared" si="14"/>
        <v>TRUE</v>
      </c>
      <c r="U81" t="str">
        <f t="shared" si="15"/>
        <v>FALSE</v>
      </c>
      <c r="V81" t="str">
        <f t="shared" si="16"/>
        <v>FALSE</v>
      </c>
      <c r="W81" t="b" cm="1">
        <f t="array" ref="W81">_xlfn.IFS(H81=1,FALSE,OR(H81=2,H81&gt;2),TRUE)</f>
        <v>1</v>
      </c>
      <c r="X81" t="b" cm="1">
        <f t="array" ref="X81">_xlfn.IFS(H81=1,FALSE,OR(H81=2,H81&gt;2),TRUE)</f>
        <v>1</v>
      </c>
      <c r="Y81" t="b" cm="1">
        <f t="array" ref="Y81">_xlfn.IFS(H81=1,FALSE,OR(H81=2,H81&gt;2),TRUE)</f>
        <v>1</v>
      </c>
      <c r="AB81" t="str">
        <f t="shared" ref="AB81:AC81" si="50">AB60</f>
        <v>Loading Bay</v>
      </c>
      <c r="AC81" t="str">
        <f t="shared" si="50"/>
        <v>Lift 6</v>
      </c>
      <c r="AD81" t="b">
        <f t="shared" ca="1" si="7"/>
        <v>0</v>
      </c>
      <c r="AE81" s="1" t="str">
        <f t="shared" ca="1" si="13"/>
        <v>4-5</v>
      </c>
      <c r="AF81" t="str">
        <f t="shared" ca="1" si="6"/>
        <v>Plot 4-5</v>
      </c>
    </row>
    <row r="82" spans="1:32" x14ac:dyDescent="0.25">
      <c r="A82" t="s">
        <v>164</v>
      </c>
      <c r="B82" s="51">
        <v>120</v>
      </c>
      <c r="C82">
        <v>3</v>
      </c>
      <c r="D82">
        <v>4</v>
      </c>
      <c r="E82" t="b">
        <f t="shared" si="45"/>
        <v>1</v>
      </c>
      <c r="F82" t="b">
        <f t="shared" si="45"/>
        <v>1</v>
      </c>
      <c r="G82" t="b">
        <f t="shared" si="45"/>
        <v>1</v>
      </c>
      <c r="H82" t="b">
        <f t="shared" si="45"/>
        <v>1</v>
      </c>
      <c r="I82" t="b">
        <f t="shared" si="45"/>
        <v>0</v>
      </c>
      <c r="J82" t="b">
        <f t="shared" si="45"/>
        <v>0</v>
      </c>
      <c r="K82" t="b">
        <f t="shared" si="45"/>
        <v>1</v>
      </c>
      <c r="L82" t="b">
        <f t="shared" si="45"/>
        <v>1</v>
      </c>
      <c r="M82" t="b">
        <f t="shared" si="45"/>
        <v>1</v>
      </c>
      <c r="N82" t="b">
        <f t="shared" si="45"/>
        <v>1</v>
      </c>
      <c r="O82" t="b">
        <f t="shared" si="45"/>
        <v>0</v>
      </c>
      <c r="P82" t="b">
        <f t="shared" si="45"/>
        <v>0</v>
      </c>
      <c r="Q82" t="b">
        <v>1</v>
      </c>
      <c r="R82" t="b" cm="1">
        <f t="array" ref="R82">_xlfn.IFS(C82=1,FALSE,OR(C82=2,C82&gt;2),TRUE)</f>
        <v>1</v>
      </c>
      <c r="S82" t="b" cm="1">
        <f t="array" ref="S82">_xlfn.IFS(OR(C82=1,C82=2),FALSE,OR(C82=3,C82&gt;3),TRUE)</f>
        <v>1</v>
      </c>
      <c r="T82" t="str">
        <f t="shared" si="14"/>
        <v>TRUE</v>
      </c>
      <c r="U82" t="str">
        <f t="shared" si="15"/>
        <v>TRUE</v>
      </c>
      <c r="V82" t="str">
        <f t="shared" si="16"/>
        <v>FALSE</v>
      </c>
      <c r="W82" t="b" cm="1">
        <f t="array" ref="W82">_xlfn.IFS(H82=1,FALSE,OR(H82=2,H82&gt;2),TRUE)</f>
        <v>1</v>
      </c>
      <c r="X82" t="b" cm="1">
        <f t="array" ref="X82">_xlfn.IFS(H82=1,FALSE,OR(H82=2,H82&gt;2),TRUE)</f>
        <v>1</v>
      </c>
      <c r="Y82" t="b" cm="1">
        <f t="array" ref="Y82">_xlfn.IFS(H82=1,FALSE,OR(H82=2,H82&gt;2),TRUE)</f>
        <v>1</v>
      </c>
      <c r="AB82" t="str">
        <f t="shared" ref="AB82:AC82" si="51">AB61</f>
        <v>Scaffolding Platform</v>
      </c>
      <c r="AC82" t="str">
        <f t="shared" si="51"/>
        <v>Ground Floor</v>
      </c>
      <c r="AD82" t="b">
        <f t="shared" ca="1" si="7"/>
        <v>1</v>
      </c>
      <c r="AE82" s="1" t="str">
        <f t="shared" ca="1" si="13"/>
        <v>4-5</v>
      </c>
      <c r="AF82" t="str">
        <f t="shared" ca="1" si="6"/>
        <v>Plot 4-5</v>
      </c>
    </row>
    <row r="83" spans="1:32" x14ac:dyDescent="0.25">
      <c r="A83" t="s">
        <v>164</v>
      </c>
      <c r="B83" s="51">
        <v>121</v>
      </c>
      <c r="C83">
        <v>3</v>
      </c>
      <c r="D83">
        <v>4</v>
      </c>
      <c r="E83" t="b">
        <f t="shared" si="45"/>
        <v>1</v>
      </c>
      <c r="F83" t="b">
        <f t="shared" si="45"/>
        <v>1</v>
      </c>
      <c r="G83" t="b">
        <f t="shared" si="45"/>
        <v>1</v>
      </c>
      <c r="H83" t="b">
        <f t="shared" si="45"/>
        <v>1</v>
      </c>
      <c r="I83" t="b">
        <f t="shared" si="45"/>
        <v>0</v>
      </c>
      <c r="J83" t="b">
        <f t="shared" si="45"/>
        <v>0</v>
      </c>
      <c r="K83" t="b">
        <f t="shared" si="45"/>
        <v>1</v>
      </c>
      <c r="L83" t="b">
        <f t="shared" si="45"/>
        <v>1</v>
      </c>
      <c r="M83" t="b">
        <f t="shared" si="45"/>
        <v>1</v>
      </c>
      <c r="N83" t="b">
        <f t="shared" si="45"/>
        <v>1</v>
      </c>
      <c r="O83" t="b">
        <f t="shared" si="45"/>
        <v>0</v>
      </c>
      <c r="P83" t="b">
        <f t="shared" si="45"/>
        <v>0</v>
      </c>
      <c r="Q83" t="b">
        <v>1</v>
      </c>
      <c r="R83" t="b" cm="1">
        <f t="array" ref="R83">_xlfn.IFS(C83=1,FALSE,OR(C83=2,C83&gt;2),TRUE)</f>
        <v>1</v>
      </c>
      <c r="S83" t="b" cm="1">
        <f t="array" ref="S83">_xlfn.IFS(OR(C83=1,C83=2),FALSE,OR(C83=3,C83&gt;3),TRUE)</f>
        <v>1</v>
      </c>
      <c r="T83" t="str">
        <f t="shared" si="14"/>
        <v>TRUE</v>
      </c>
      <c r="U83" t="str">
        <f t="shared" si="15"/>
        <v>TRUE</v>
      </c>
      <c r="V83" t="str">
        <f t="shared" si="16"/>
        <v>FALSE</v>
      </c>
      <c r="W83" t="b" cm="1">
        <f t="array" ref="W83">_xlfn.IFS(H83=1,FALSE,OR(H83=2,H83&gt;2),TRUE)</f>
        <v>1</v>
      </c>
      <c r="X83" t="b" cm="1">
        <f t="array" ref="X83">_xlfn.IFS(H83=1,FALSE,OR(H83=2,H83&gt;2),TRUE)</f>
        <v>1</v>
      </c>
      <c r="Y83" t="b" cm="1">
        <f t="array" ref="Y83">_xlfn.IFS(H83=1,FALSE,OR(H83=2,H83&gt;2),TRUE)</f>
        <v>1</v>
      </c>
      <c r="AB83" t="str">
        <f t="shared" ref="AB83:AC83" si="52">AB62</f>
        <v>Scaffolding Platform</v>
      </c>
      <c r="AC83" t="str">
        <f t="shared" si="52"/>
        <v>First Floor</v>
      </c>
      <c r="AD83" t="b">
        <f t="shared" ca="1" si="7"/>
        <v>1</v>
      </c>
      <c r="AE83" s="1" t="str">
        <f t="shared" ca="1" si="13"/>
        <v>4-5</v>
      </c>
      <c r="AF83" t="str">
        <f t="shared" ca="1" si="6"/>
        <v>Plot 4-5</v>
      </c>
    </row>
    <row r="84" spans="1:32" x14ac:dyDescent="0.25">
      <c r="A84" t="s">
        <v>164</v>
      </c>
      <c r="B84" s="51">
        <v>122</v>
      </c>
      <c r="C84">
        <v>2</v>
      </c>
      <c r="D84">
        <v>3</v>
      </c>
      <c r="E84" t="b">
        <f t="shared" si="45"/>
        <v>1</v>
      </c>
      <c r="F84" t="b">
        <f t="shared" si="45"/>
        <v>1</v>
      </c>
      <c r="G84" t="b">
        <f t="shared" si="45"/>
        <v>1</v>
      </c>
      <c r="H84" t="b">
        <f t="shared" si="45"/>
        <v>0</v>
      </c>
      <c r="I84" t="b">
        <f t="shared" si="45"/>
        <v>0</v>
      </c>
      <c r="J84" t="b">
        <f t="shared" si="45"/>
        <v>0</v>
      </c>
      <c r="K84" t="b">
        <f t="shared" si="45"/>
        <v>1</v>
      </c>
      <c r="L84" t="b">
        <f t="shared" si="45"/>
        <v>1</v>
      </c>
      <c r="M84" t="b">
        <f t="shared" si="45"/>
        <v>1</v>
      </c>
      <c r="N84" t="b">
        <f t="shared" si="45"/>
        <v>0</v>
      </c>
      <c r="O84" t="b">
        <f t="shared" si="45"/>
        <v>0</v>
      </c>
      <c r="P84" t="b">
        <f t="shared" si="45"/>
        <v>0</v>
      </c>
      <c r="Q84" t="b">
        <v>1</v>
      </c>
      <c r="R84" t="b" cm="1">
        <f t="array" ref="R84">_xlfn.IFS(C84=1,FALSE,OR(C84=2,C84&gt;2),TRUE)</f>
        <v>1</v>
      </c>
      <c r="S84" t="b" cm="1">
        <f t="array" ref="S84">_xlfn.IFS(OR(C84=1,C84=2),FALSE,OR(C84=3,C84&gt;3),TRUE)</f>
        <v>0</v>
      </c>
      <c r="T84" t="str">
        <f t="shared" si="14"/>
        <v>TRUE</v>
      </c>
      <c r="U84" t="str">
        <f t="shared" si="15"/>
        <v>FALSE</v>
      </c>
      <c r="V84" t="str">
        <f t="shared" si="16"/>
        <v>FALSE</v>
      </c>
      <c r="W84" t="b" cm="1">
        <f t="array" ref="W84">_xlfn.IFS(H84=1,FALSE,OR(H84=2,H84&gt;2),TRUE)</f>
        <v>1</v>
      </c>
      <c r="X84" t="b" cm="1">
        <f t="array" ref="X84">_xlfn.IFS(H84=1,FALSE,OR(H84=2,H84&gt;2),TRUE)</f>
        <v>1</v>
      </c>
      <c r="Y84" t="b" cm="1">
        <f t="array" ref="Y84">_xlfn.IFS(H84=1,FALSE,OR(H84=2,H84&gt;2),TRUE)</f>
        <v>1</v>
      </c>
      <c r="AB84" t="str">
        <f t="shared" ref="AB84:AC84" si="53">AB63</f>
        <v>Scaffolding Platform</v>
      </c>
      <c r="AC84" t="str">
        <f t="shared" si="53"/>
        <v>Second Floor</v>
      </c>
      <c r="AD84" t="b">
        <f t="shared" ca="1" si="7"/>
        <v>0</v>
      </c>
      <c r="AE84" s="1" t="str">
        <f t="shared" ca="1" si="13"/>
        <v>4-5</v>
      </c>
      <c r="AF84" t="str">
        <f t="shared" ca="1" si="6"/>
        <v>Plot 4-5</v>
      </c>
    </row>
    <row r="85" spans="1:32" x14ac:dyDescent="0.25">
      <c r="A85" t="s">
        <v>164</v>
      </c>
      <c r="B85" s="51">
        <v>123</v>
      </c>
      <c r="C85">
        <v>2</v>
      </c>
      <c r="D85">
        <v>3</v>
      </c>
      <c r="E85" t="b">
        <f t="shared" si="45"/>
        <v>1</v>
      </c>
      <c r="F85" t="b">
        <f t="shared" si="45"/>
        <v>1</v>
      </c>
      <c r="G85" t="b">
        <f t="shared" si="45"/>
        <v>1</v>
      </c>
      <c r="H85" t="b">
        <f t="shared" si="45"/>
        <v>0</v>
      </c>
      <c r="I85" t="b">
        <f t="shared" si="45"/>
        <v>0</v>
      </c>
      <c r="J85" t="b">
        <f t="shared" si="45"/>
        <v>0</v>
      </c>
      <c r="K85" t="b">
        <f t="shared" si="45"/>
        <v>1</v>
      </c>
      <c r="L85" t="b">
        <f t="shared" si="45"/>
        <v>1</v>
      </c>
      <c r="M85" t="b">
        <f t="shared" si="45"/>
        <v>1</v>
      </c>
      <c r="N85" t="b">
        <f t="shared" si="45"/>
        <v>0</v>
      </c>
      <c r="O85" t="b">
        <f t="shared" si="45"/>
        <v>0</v>
      </c>
      <c r="P85" t="b">
        <f t="shared" si="45"/>
        <v>0</v>
      </c>
      <c r="Q85" t="b">
        <v>1</v>
      </c>
      <c r="R85" t="b" cm="1">
        <f t="array" ref="R85">_xlfn.IFS(C85=1,FALSE,OR(C85=2,C85&gt;2),TRUE)</f>
        <v>1</v>
      </c>
      <c r="S85" t="b" cm="1">
        <f t="array" ref="S85">_xlfn.IFS(OR(C85=1,C85=2),FALSE,OR(C85=3,C85&gt;3),TRUE)</f>
        <v>0</v>
      </c>
      <c r="T85" t="str">
        <f t="shared" si="14"/>
        <v>TRUE</v>
      </c>
      <c r="U85" t="str">
        <f t="shared" si="15"/>
        <v>FALSE</v>
      </c>
      <c r="V85" t="str">
        <f t="shared" si="16"/>
        <v>FALSE</v>
      </c>
      <c r="W85" t="b" cm="1">
        <f t="array" ref="W85">_xlfn.IFS(H85=1,FALSE,OR(H85=2,H85&gt;2),TRUE)</f>
        <v>1</v>
      </c>
      <c r="X85" t="b" cm="1">
        <f t="array" ref="X85">_xlfn.IFS(H85=1,FALSE,OR(H85=2,H85&gt;2),TRUE)</f>
        <v>1</v>
      </c>
      <c r="Y85" t="b" cm="1">
        <f t="array" ref="Y85">_xlfn.IFS(H85=1,FALSE,OR(H85=2,H85&gt;2),TRUE)</f>
        <v>1</v>
      </c>
      <c r="AB85" t="str">
        <f t="shared" ref="AB85:AC85" si="54">AB64</f>
        <v>Supporting Scaffold</v>
      </c>
      <c r="AC85" t="str">
        <f t="shared" si="54"/>
        <v>Ground Floor Prop.</v>
      </c>
      <c r="AD85" t="str">
        <f t="shared" ca="1" si="7"/>
        <v>TRUE</v>
      </c>
      <c r="AE85" s="1" t="str">
        <f t="shared" ca="1" si="13"/>
        <v>4-5</v>
      </c>
      <c r="AF85" t="str">
        <f t="shared" ca="1" si="6"/>
        <v>Plot 4-5</v>
      </c>
    </row>
    <row r="86" spans="1:32" x14ac:dyDescent="0.25">
      <c r="A86" t="s">
        <v>164</v>
      </c>
      <c r="B86" s="51">
        <v>124</v>
      </c>
      <c r="C86">
        <v>3</v>
      </c>
      <c r="D86">
        <v>4</v>
      </c>
      <c r="E86" t="b">
        <f t="shared" si="45"/>
        <v>1</v>
      </c>
      <c r="F86" t="b">
        <f t="shared" si="45"/>
        <v>1</v>
      </c>
      <c r="G86" t="b">
        <f t="shared" si="45"/>
        <v>1</v>
      </c>
      <c r="H86" t="b">
        <f t="shared" si="45"/>
        <v>1</v>
      </c>
      <c r="I86" t="b">
        <f t="shared" si="45"/>
        <v>0</v>
      </c>
      <c r="J86" t="b">
        <f t="shared" si="45"/>
        <v>0</v>
      </c>
      <c r="K86" t="b">
        <f t="shared" si="45"/>
        <v>1</v>
      </c>
      <c r="L86" t="b">
        <f t="shared" si="45"/>
        <v>1</v>
      </c>
      <c r="M86" t="b">
        <f t="shared" si="45"/>
        <v>1</v>
      </c>
      <c r="N86" t="b">
        <f t="shared" si="45"/>
        <v>1</v>
      </c>
      <c r="O86" t="b">
        <f t="shared" si="45"/>
        <v>0</v>
      </c>
      <c r="P86" t="b">
        <f t="shared" si="45"/>
        <v>0</v>
      </c>
      <c r="Q86" t="b">
        <v>1</v>
      </c>
      <c r="R86" t="b" cm="1">
        <f t="array" ref="R86">_xlfn.IFS(C86=1,FALSE,OR(C86=2,C86&gt;2),TRUE)</f>
        <v>1</v>
      </c>
      <c r="S86" t="b" cm="1">
        <f t="array" ref="S86">_xlfn.IFS(OR(C86=1,C86=2),FALSE,OR(C86=3,C86&gt;3),TRUE)</f>
        <v>1</v>
      </c>
      <c r="T86" t="str">
        <f t="shared" si="14"/>
        <v>TRUE</v>
      </c>
      <c r="U86" t="str">
        <f t="shared" si="15"/>
        <v>TRUE</v>
      </c>
      <c r="V86" t="str">
        <f t="shared" si="16"/>
        <v>FALSE</v>
      </c>
      <c r="W86" t="b" cm="1">
        <f t="array" ref="W86">_xlfn.IFS(H86=1,FALSE,OR(H86=2,H86&gt;2),TRUE)</f>
        <v>1</v>
      </c>
      <c r="X86" t="b" cm="1">
        <f t="array" ref="X86">_xlfn.IFS(H86=1,FALSE,OR(H86=2,H86&gt;2),TRUE)</f>
        <v>1</v>
      </c>
      <c r="Y86" t="b" cm="1">
        <f t="array" ref="Y86">_xlfn.IFS(H86=1,FALSE,OR(H86=2,H86&gt;2),TRUE)</f>
        <v>1</v>
      </c>
      <c r="AB86" t="str">
        <f t="shared" ref="AB86:AC86" si="55">AB65</f>
        <v>Supporting Scaffold</v>
      </c>
      <c r="AC86" t="str">
        <f t="shared" si="55"/>
        <v>First Floor Prop.</v>
      </c>
      <c r="AD86" t="str">
        <f t="shared" ca="1" si="7"/>
        <v>FALSE</v>
      </c>
      <c r="AE86" s="1" t="str">
        <f t="shared" ca="1" si="13"/>
        <v>4-5</v>
      </c>
      <c r="AF86" t="str">
        <f t="shared" ca="1" si="6"/>
        <v>Plot 4-5</v>
      </c>
    </row>
    <row r="87" spans="1:32" x14ac:dyDescent="0.25">
      <c r="A87" t="s">
        <v>164</v>
      </c>
      <c r="B87" s="51">
        <v>125</v>
      </c>
      <c r="C87">
        <v>2</v>
      </c>
      <c r="D87">
        <v>3</v>
      </c>
      <c r="E87" t="b">
        <f t="shared" si="45"/>
        <v>1</v>
      </c>
      <c r="F87" t="b">
        <f t="shared" si="45"/>
        <v>1</v>
      </c>
      <c r="G87" t="b">
        <f t="shared" si="45"/>
        <v>1</v>
      </c>
      <c r="H87" t="b">
        <f t="shared" si="45"/>
        <v>0</v>
      </c>
      <c r="I87" t="b">
        <f t="shared" si="45"/>
        <v>0</v>
      </c>
      <c r="J87" t="b">
        <f t="shared" si="45"/>
        <v>0</v>
      </c>
      <c r="K87" t="b">
        <f t="shared" si="45"/>
        <v>1</v>
      </c>
      <c r="L87" t="b">
        <f t="shared" si="45"/>
        <v>1</v>
      </c>
      <c r="M87" t="b">
        <f t="shared" si="45"/>
        <v>1</v>
      </c>
      <c r="N87" t="b">
        <f t="shared" si="45"/>
        <v>0</v>
      </c>
      <c r="O87" t="b">
        <f t="shared" si="45"/>
        <v>0</v>
      </c>
      <c r="P87" t="b">
        <f t="shared" si="45"/>
        <v>0</v>
      </c>
      <c r="Q87" t="b">
        <v>1</v>
      </c>
      <c r="R87" t="b" cm="1">
        <f t="array" ref="R87">_xlfn.IFS(C87=1,FALSE,OR(C87=2,C87&gt;2),TRUE)</f>
        <v>1</v>
      </c>
      <c r="S87" t="b" cm="1">
        <f t="array" ref="S87">_xlfn.IFS(OR(C87=1,C87=2),FALSE,OR(C87=3,C87&gt;3),TRUE)</f>
        <v>0</v>
      </c>
      <c r="T87" t="str">
        <f t="shared" si="14"/>
        <v>TRUE</v>
      </c>
      <c r="U87" t="str">
        <f t="shared" si="15"/>
        <v>FALSE</v>
      </c>
      <c r="V87" t="str">
        <f t="shared" si="16"/>
        <v>FALSE</v>
      </c>
      <c r="W87" t="b" cm="1">
        <f t="array" ref="W87">_xlfn.IFS(H87=1,FALSE,OR(H87=2,H87&gt;2),TRUE)</f>
        <v>1</v>
      </c>
      <c r="X87" t="b" cm="1">
        <f t="array" ref="X87">_xlfn.IFS(H87=1,FALSE,OR(H87=2,H87&gt;2),TRUE)</f>
        <v>1</v>
      </c>
      <c r="Y87" t="b" cm="1">
        <f t="array" ref="Y87">_xlfn.IFS(H87=1,FALSE,OR(H87=2,H87&gt;2),TRUE)</f>
        <v>1</v>
      </c>
      <c r="AB87" t="str">
        <f t="shared" ref="AB87:AC87" si="56">AB66</f>
        <v>Supporting Scaffold</v>
      </c>
      <c r="AC87" t="str">
        <f t="shared" si="56"/>
        <v>Second Floor Prop.</v>
      </c>
      <c r="AD87" t="str">
        <f t="shared" ca="1" si="7"/>
        <v>FALSE</v>
      </c>
      <c r="AE87" s="1" t="str">
        <f t="shared" ca="1" si="13"/>
        <v>4-5</v>
      </c>
      <c r="AF87" t="str">
        <f t="shared" ca="1" si="6"/>
        <v>Plot 4-5</v>
      </c>
    </row>
    <row r="88" spans="1:32" x14ac:dyDescent="0.25">
      <c r="A88" t="s">
        <v>165</v>
      </c>
      <c r="B88" s="51" t="s">
        <v>195</v>
      </c>
      <c r="C88">
        <v>2</v>
      </c>
      <c r="D88">
        <v>3</v>
      </c>
      <c r="E88" t="b">
        <f t="shared" si="45"/>
        <v>1</v>
      </c>
      <c r="F88" t="b">
        <f t="shared" si="45"/>
        <v>1</v>
      </c>
      <c r="G88" t="b">
        <f t="shared" si="45"/>
        <v>1</v>
      </c>
      <c r="H88" t="b">
        <f t="shared" si="45"/>
        <v>0</v>
      </c>
      <c r="I88" t="b">
        <f t="shared" si="45"/>
        <v>0</v>
      </c>
      <c r="J88" t="b">
        <f t="shared" si="45"/>
        <v>0</v>
      </c>
      <c r="K88" t="b">
        <f t="shared" si="45"/>
        <v>1</v>
      </c>
      <c r="L88" t="b">
        <f t="shared" si="45"/>
        <v>1</v>
      </c>
      <c r="M88" t="b">
        <f t="shared" si="45"/>
        <v>1</v>
      </c>
      <c r="N88" t="b">
        <f t="shared" si="45"/>
        <v>0</v>
      </c>
      <c r="O88" t="b">
        <f t="shared" si="45"/>
        <v>0</v>
      </c>
      <c r="P88" t="b">
        <f t="shared" si="45"/>
        <v>0</v>
      </c>
      <c r="Q88" t="b">
        <v>1</v>
      </c>
      <c r="R88" t="b" cm="1">
        <f t="array" ref="R88">_xlfn.IFS(C88=1,FALSE,OR(C88=2,C88&gt;2),TRUE)</f>
        <v>1</v>
      </c>
      <c r="S88" t="b" cm="1">
        <f t="array" ref="S88">_xlfn.IFS(OR(C88=1,C88=2),FALSE,OR(C88=3,C88&gt;3),TRUE)</f>
        <v>0</v>
      </c>
      <c r="T88" t="str">
        <f t="shared" si="14"/>
        <v>TRUE</v>
      </c>
      <c r="U88" t="str">
        <f t="shared" si="15"/>
        <v>FALSE</v>
      </c>
      <c r="V88" t="str">
        <f t="shared" si="16"/>
        <v>FALSE</v>
      </c>
      <c r="W88" t="b" cm="1">
        <f t="array" ref="W88">_xlfn.IFS(H88=1,FALSE,OR(H88=2,H88&gt;2),TRUE)</f>
        <v>1</v>
      </c>
      <c r="X88" t="b" cm="1">
        <f t="array" ref="X88">_xlfn.IFS(H88=1,FALSE,OR(H88=2,H88&gt;2),TRUE)</f>
        <v>1</v>
      </c>
      <c r="Y88" t="b" cm="1">
        <f t="array" ref="Y88">_xlfn.IFS(H88=1,FALSE,OR(H88=2,H88&gt;2),TRUE)</f>
        <v>1</v>
      </c>
      <c r="AB88" t="str">
        <f t="shared" ref="AB88:AC88" si="57">AB67</f>
        <v>External Scaffolding</v>
      </c>
      <c r="AC88" t="str">
        <f t="shared" si="57"/>
        <v>Hop-ups</v>
      </c>
      <c r="AD88" t="b">
        <f t="shared" ca="1" si="7"/>
        <v>1</v>
      </c>
      <c r="AE88" s="1" t="str">
        <f t="shared" ca="1" si="13"/>
        <v>4-5</v>
      </c>
      <c r="AF88" t="str">
        <f t="shared" ca="1" si="6"/>
        <v>Plot 4-5</v>
      </c>
    </row>
    <row r="89" spans="1:32" x14ac:dyDescent="0.25">
      <c r="A89" t="s">
        <v>165</v>
      </c>
      <c r="B89" s="51" t="s">
        <v>196</v>
      </c>
      <c r="C89">
        <v>2</v>
      </c>
      <c r="D89">
        <v>3</v>
      </c>
      <c r="E89" t="b">
        <f t="shared" si="45"/>
        <v>1</v>
      </c>
      <c r="F89" t="b">
        <f t="shared" si="45"/>
        <v>1</v>
      </c>
      <c r="G89" t="b">
        <f t="shared" si="45"/>
        <v>1</v>
      </c>
      <c r="H89" t="b">
        <f t="shared" si="45"/>
        <v>0</v>
      </c>
      <c r="I89" t="b">
        <f t="shared" si="45"/>
        <v>0</v>
      </c>
      <c r="J89" t="b">
        <f t="shared" si="45"/>
        <v>0</v>
      </c>
      <c r="K89" t="b">
        <f t="shared" si="45"/>
        <v>1</v>
      </c>
      <c r="L89" t="b">
        <f t="shared" si="45"/>
        <v>1</v>
      </c>
      <c r="M89" t="b">
        <f t="shared" si="45"/>
        <v>1</v>
      </c>
      <c r="N89" t="b">
        <f t="shared" si="45"/>
        <v>0</v>
      </c>
      <c r="O89" t="b">
        <f t="shared" si="45"/>
        <v>0</v>
      </c>
      <c r="P89" t="b">
        <f t="shared" si="45"/>
        <v>0</v>
      </c>
      <c r="Q89" t="b">
        <v>1</v>
      </c>
      <c r="R89" t="b" cm="1">
        <f t="array" ref="R89">_xlfn.IFS(C89=1,FALSE,OR(C89=2,C89&gt;2),TRUE)</f>
        <v>1</v>
      </c>
      <c r="S89" t="b" cm="1">
        <f t="array" ref="S89">_xlfn.IFS(OR(C89=1,C89=2),FALSE,OR(C89=3,C89&gt;3),TRUE)</f>
        <v>0</v>
      </c>
      <c r="T89" t="str">
        <f t="shared" si="14"/>
        <v>TRUE</v>
      </c>
      <c r="U89" t="str">
        <f t="shared" si="15"/>
        <v>FALSE</v>
      </c>
      <c r="V89" t="str">
        <f t="shared" si="16"/>
        <v>FALSE</v>
      </c>
      <c r="W89" t="b" cm="1">
        <f t="array" ref="W89">_xlfn.IFS(H89=1,FALSE,OR(H89=2,H89&gt;2),TRUE)</f>
        <v>1</v>
      </c>
      <c r="X89" t="b" cm="1">
        <f t="array" ref="X89">_xlfn.IFS(H89=1,FALSE,OR(H89=2,H89&gt;2),TRUE)</f>
        <v>1</v>
      </c>
      <c r="Y89" t="b" cm="1">
        <f t="array" ref="Y89">_xlfn.IFS(H89=1,FALSE,OR(H89=2,H89&gt;2),TRUE)</f>
        <v>1</v>
      </c>
      <c r="AB89" t="str">
        <f t="shared" ref="AB89:AC89" si="58">AB68</f>
        <v>External Scaffolding</v>
      </c>
      <c r="AC89" t="str">
        <f t="shared" si="58"/>
        <v>Adaptions</v>
      </c>
      <c r="AD89" t="b">
        <f t="shared" ca="1" si="7"/>
        <v>1</v>
      </c>
      <c r="AE89" s="1" t="str">
        <f t="shared" ca="1" si="13"/>
        <v>4-5</v>
      </c>
      <c r="AF89" t="str">
        <f t="shared" ca="1" si="6"/>
        <v>Plot 4-5</v>
      </c>
    </row>
    <row r="90" spans="1:32" x14ac:dyDescent="0.25">
      <c r="A90" t="s">
        <v>165</v>
      </c>
      <c r="B90" s="51" t="s">
        <v>197</v>
      </c>
      <c r="C90">
        <v>2</v>
      </c>
      <c r="D90">
        <v>3</v>
      </c>
      <c r="E90" t="b">
        <f t="shared" si="45"/>
        <v>1</v>
      </c>
      <c r="F90" t="b">
        <f t="shared" si="45"/>
        <v>1</v>
      </c>
      <c r="G90" t="b">
        <f t="shared" si="45"/>
        <v>1</v>
      </c>
      <c r="H90" t="b">
        <f t="shared" si="45"/>
        <v>0</v>
      </c>
      <c r="I90" t="b">
        <f t="shared" si="45"/>
        <v>0</v>
      </c>
      <c r="J90" t="b">
        <f t="shared" si="45"/>
        <v>0</v>
      </c>
      <c r="K90" t="b">
        <f t="shared" si="45"/>
        <v>1</v>
      </c>
      <c r="L90" t="b">
        <f t="shared" si="45"/>
        <v>1</v>
      </c>
      <c r="M90" t="b">
        <f t="shared" si="45"/>
        <v>1</v>
      </c>
      <c r="N90" t="b">
        <f t="shared" si="45"/>
        <v>0</v>
      </c>
      <c r="O90" t="b">
        <f t="shared" si="45"/>
        <v>0</v>
      </c>
      <c r="P90" t="b">
        <f t="shared" si="45"/>
        <v>0</v>
      </c>
      <c r="Q90" t="b">
        <v>1</v>
      </c>
      <c r="R90" t="b" cm="1">
        <f t="array" ref="R90">_xlfn.IFS(C90=1,FALSE,OR(C90=2,C90&gt;2),TRUE)</f>
        <v>1</v>
      </c>
      <c r="S90" t="b" cm="1">
        <f t="array" ref="S90">_xlfn.IFS(OR(C90=1,C90=2),FALSE,OR(C90=3,C90&gt;3),TRUE)</f>
        <v>0</v>
      </c>
      <c r="T90" t="str">
        <f t="shared" si="14"/>
        <v>TRUE</v>
      </c>
      <c r="U90" t="str">
        <f t="shared" si="15"/>
        <v>FALSE</v>
      </c>
      <c r="V90" t="str">
        <f t="shared" si="16"/>
        <v>FALSE</v>
      </c>
      <c r="W90" t="b" cm="1">
        <f t="array" ref="W90">_xlfn.IFS(H90=1,FALSE,OR(H90=2,H90&gt;2),TRUE)</f>
        <v>1</v>
      </c>
      <c r="X90" t="b" cm="1">
        <f t="array" ref="X90">_xlfn.IFS(H90=1,FALSE,OR(H90=2,H90&gt;2),TRUE)</f>
        <v>1</v>
      </c>
      <c r="Y90" t="b" cm="1">
        <f t="array" ref="Y90">_xlfn.IFS(H90=1,FALSE,OR(H90=2,H90&gt;2),TRUE)</f>
        <v>1</v>
      </c>
      <c r="AB90" t="str">
        <f t="shared" ref="AB90:AC90" si="59">AB69</f>
        <v>External Scaffolding</v>
      </c>
      <c r="AC90" t="str">
        <f t="shared" si="59"/>
        <v>Adaption Tower</v>
      </c>
      <c r="AD90" t="b">
        <f t="shared" ca="1" si="7"/>
        <v>1</v>
      </c>
      <c r="AE90" s="1" t="str">
        <f t="shared" ca="1" si="13"/>
        <v>4-5</v>
      </c>
      <c r="AF90" t="str">
        <f t="shared" ca="1" si="6"/>
        <v>Plot 4-5</v>
      </c>
    </row>
    <row r="91" spans="1:32" x14ac:dyDescent="0.25">
      <c r="A91" t="s">
        <v>164</v>
      </c>
      <c r="B91" s="51">
        <v>132</v>
      </c>
      <c r="C91">
        <v>2</v>
      </c>
      <c r="D91">
        <v>3</v>
      </c>
      <c r="E91" t="b">
        <f t="shared" ref="E91:P109" si="60">IF(OR(INT(RIGHT(E$2,1))&lt;$D91,INT(RIGHT(E$2,1))=$D91),TRUE,FALSE)</f>
        <v>1</v>
      </c>
      <c r="F91" t="b">
        <f t="shared" si="60"/>
        <v>1</v>
      </c>
      <c r="G91" t="b">
        <f t="shared" si="60"/>
        <v>1</v>
      </c>
      <c r="H91" t="b">
        <f t="shared" si="60"/>
        <v>0</v>
      </c>
      <c r="I91" t="b">
        <f t="shared" si="60"/>
        <v>0</v>
      </c>
      <c r="J91" t="b">
        <f t="shared" si="60"/>
        <v>0</v>
      </c>
      <c r="K91" t="b">
        <f t="shared" si="60"/>
        <v>1</v>
      </c>
      <c r="L91" t="b">
        <f t="shared" si="60"/>
        <v>1</v>
      </c>
      <c r="M91" t="b">
        <f t="shared" si="60"/>
        <v>1</v>
      </c>
      <c r="N91" t="b">
        <f t="shared" si="60"/>
        <v>0</v>
      </c>
      <c r="O91" t="b">
        <f t="shared" si="60"/>
        <v>0</v>
      </c>
      <c r="P91" t="b">
        <f t="shared" si="60"/>
        <v>0</v>
      </c>
      <c r="Q91" t="b">
        <v>1</v>
      </c>
      <c r="R91" t="b" cm="1">
        <f t="array" ref="R91">_xlfn.IFS(C91=1,FALSE,OR(C91=2,C91&gt;2),TRUE)</f>
        <v>1</v>
      </c>
      <c r="S91" t="b" cm="1">
        <f t="array" ref="S91">_xlfn.IFS(OR(C91=1,C91=2),FALSE,OR(C91=3,C91&gt;3),TRUE)</f>
        <v>0</v>
      </c>
      <c r="T91" t="str">
        <f t="shared" si="14"/>
        <v>TRUE</v>
      </c>
      <c r="U91" t="str">
        <f t="shared" si="15"/>
        <v>FALSE</v>
      </c>
      <c r="V91" t="str">
        <f t="shared" si="16"/>
        <v>FALSE</v>
      </c>
      <c r="W91" t="b" cm="1">
        <f t="array" ref="W91">_xlfn.IFS(H91=1,FALSE,OR(H91=2,H91&gt;2),TRUE)</f>
        <v>1</v>
      </c>
      <c r="X91" t="b" cm="1">
        <f t="array" ref="X91">_xlfn.IFS(H91=1,FALSE,OR(H91=2,H91&gt;2),TRUE)</f>
        <v>1</v>
      </c>
      <c r="Y91" t="b" cm="1">
        <f t="array" ref="Y91">_xlfn.IFS(H91=1,FALSE,OR(H91=2,H91&gt;2),TRUE)</f>
        <v>1</v>
      </c>
      <c r="AB91" t="str">
        <f t="shared" ref="AB91:AC91" si="61">AB70</f>
        <v>External Scaffolding</v>
      </c>
      <c r="AC91" t="str">
        <f t="shared" si="61"/>
        <v>Lift 1</v>
      </c>
      <c r="AD91" t="b">
        <f t="shared" ca="1" si="7"/>
        <v>1</v>
      </c>
      <c r="AE91" s="1" t="str">
        <f t="shared" ca="1" si="13"/>
        <v>6-8</v>
      </c>
      <c r="AF91" t="str">
        <f t="shared" ca="1" si="6"/>
        <v>Plot 6-8</v>
      </c>
    </row>
    <row r="92" spans="1:32" x14ac:dyDescent="0.25">
      <c r="A92" t="s">
        <v>165</v>
      </c>
      <c r="B92" s="51" t="s">
        <v>198</v>
      </c>
      <c r="C92">
        <v>2</v>
      </c>
      <c r="D92">
        <v>3</v>
      </c>
      <c r="E92" t="b">
        <f t="shared" si="60"/>
        <v>1</v>
      </c>
      <c r="F92" t="b">
        <f t="shared" si="60"/>
        <v>1</v>
      </c>
      <c r="G92" t="b">
        <f t="shared" si="60"/>
        <v>1</v>
      </c>
      <c r="H92" t="b">
        <f t="shared" si="60"/>
        <v>0</v>
      </c>
      <c r="I92" t="b">
        <f t="shared" si="60"/>
        <v>0</v>
      </c>
      <c r="J92" t="b">
        <f t="shared" si="60"/>
        <v>0</v>
      </c>
      <c r="K92" t="b">
        <f t="shared" si="60"/>
        <v>1</v>
      </c>
      <c r="L92" t="b">
        <f t="shared" si="60"/>
        <v>1</v>
      </c>
      <c r="M92" t="b">
        <f t="shared" si="60"/>
        <v>1</v>
      </c>
      <c r="N92" t="b">
        <f t="shared" si="60"/>
        <v>0</v>
      </c>
      <c r="O92" t="b">
        <f t="shared" si="60"/>
        <v>0</v>
      </c>
      <c r="P92" t="b">
        <f t="shared" si="60"/>
        <v>0</v>
      </c>
      <c r="Q92" t="b">
        <v>1</v>
      </c>
      <c r="R92" t="b" cm="1">
        <f t="array" ref="R92">_xlfn.IFS(C92=1,FALSE,OR(C92=2,C92&gt;2),TRUE)</f>
        <v>1</v>
      </c>
      <c r="S92" t="b" cm="1">
        <f t="array" ref="S92">_xlfn.IFS(OR(C92=1,C92=2),FALSE,OR(C92=3,C92&gt;3),TRUE)</f>
        <v>0</v>
      </c>
      <c r="T92" t="str">
        <f t="shared" si="14"/>
        <v>TRUE</v>
      </c>
      <c r="U92" t="str">
        <f t="shared" si="15"/>
        <v>FALSE</v>
      </c>
      <c r="V92" t="str">
        <f t="shared" si="16"/>
        <v>FALSE</v>
      </c>
      <c r="W92" t="b" cm="1">
        <f t="array" ref="W92">_xlfn.IFS(H92=1,FALSE,OR(H92=2,H92&gt;2),TRUE)</f>
        <v>1</v>
      </c>
      <c r="X92" t="b" cm="1">
        <f t="array" ref="X92">_xlfn.IFS(H92=1,FALSE,OR(H92=2,H92&gt;2),TRUE)</f>
        <v>1</v>
      </c>
      <c r="Y92" t="b" cm="1">
        <f t="array" ref="Y92">_xlfn.IFS(H92=1,FALSE,OR(H92=2,H92&gt;2),TRUE)</f>
        <v>1</v>
      </c>
      <c r="AB92" t="str">
        <f t="shared" ref="AB92:AC92" si="62">AB71</f>
        <v>External Scaffolding</v>
      </c>
      <c r="AC92" t="str">
        <f t="shared" si="62"/>
        <v>Lift 2</v>
      </c>
      <c r="AD92" t="b">
        <f t="shared" ca="1" si="7"/>
        <v>1</v>
      </c>
      <c r="AE92" s="1" t="str">
        <f t="shared" ca="1" si="13"/>
        <v>6-8</v>
      </c>
      <c r="AF92" t="str">
        <f t="shared" ca="1" si="6"/>
        <v>Plot 6-8</v>
      </c>
    </row>
    <row r="93" spans="1:32" x14ac:dyDescent="0.25">
      <c r="A93" t="s">
        <v>164</v>
      </c>
      <c r="B93" s="51">
        <v>135</v>
      </c>
      <c r="C93">
        <v>3</v>
      </c>
      <c r="D93">
        <v>4</v>
      </c>
      <c r="E93" t="b">
        <f t="shared" si="60"/>
        <v>1</v>
      </c>
      <c r="F93" t="b">
        <f t="shared" si="60"/>
        <v>1</v>
      </c>
      <c r="G93" t="b">
        <f t="shared" si="60"/>
        <v>1</v>
      </c>
      <c r="H93" t="b">
        <f t="shared" si="60"/>
        <v>1</v>
      </c>
      <c r="I93" t="b">
        <f t="shared" si="60"/>
        <v>0</v>
      </c>
      <c r="J93" t="b">
        <f t="shared" si="60"/>
        <v>0</v>
      </c>
      <c r="K93" t="b">
        <f t="shared" si="60"/>
        <v>1</v>
      </c>
      <c r="L93" t="b">
        <f t="shared" si="60"/>
        <v>1</v>
      </c>
      <c r="M93" t="b">
        <f t="shared" si="60"/>
        <v>1</v>
      </c>
      <c r="N93" t="b">
        <f t="shared" si="60"/>
        <v>1</v>
      </c>
      <c r="O93" t="b">
        <f t="shared" si="60"/>
        <v>0</v>
      </c>
      <c r="P93" t="b">
        <f t="shared" si="60"/>
        <v>0</v>
      </c>
      <c r="Q93" t="b">
        <v>1</v>
      </c>
      <c r="R93" t="b" cm="1">
        <f t="array" ref="R93">_xlfn.IFS(C93=1,FALSE,OR(C93=2,C93&gt;2),TRUE)</f>
        <v>1</v>
      </c>
      <c r="S93" t="b" cm="1">
        <f t="array" ref="S93">_xlfn.IFS(OR(C93=1,C93=2),FALSE,OR(C93=3,C93&gt;3),TRUE)</f>
        <v>1</v>
      </c>
      <c r="T93" t="str">
        <f t="shared" ref="T93:T147" si="63">IF(C93&gt;=2,"TRUE","FALSE")</f>
        <v>TRUE</v>
      </c>
      <c r="U93" t="str">
        <f t="shared" ref="U93:U147" si="64">IF(C93&gt;=3,"TRUE","FALSE")</f>
        <v>TRUE</v>
      </c>
      <c r="V93" t="str">
        <f t="shared" ref="V93:V147" si="65">IF(C93&gt;=4,"TRUE","FALSE")</f>
        <v>FALSE</v>
      </c>
      <c r="W93" t="b" cm="1">
        <f t="array" ref="W93">_xlfn.IFS(H93=1,FALSE,OR(H93=2,H93&gt;2),TRUE)</f>
        <v>1</v>
      </c>
      <c r="X93" t="b" cm="1">
        <f t="array" ref="X93">_xlfn.IFS(H93=1,FALSE,OR(H93=2,H93&gt;2),TRUE)</f>
        <v>1</v>
      </c>
      <c r="Y93" t="b" cm="1">
        <f t="array" ref="Y93">_xlfn.IFS(H93=1,FALSE,OR(H93=2,H93&gt;2),TRUE)</f>
        <v>1</v>
      </c>
      <c r="AB93" t="str">
        <f t="shared" ref="AB93:AC93" si="66">AB72</f>
        <v>External Scaffolding</v>
      </c>
      <c r="AC93" t="str">
        <f t="shared" si="66"/>
        <v>Lift 3</v>
      </c>
      <c r="AD93" t="b">
        <f t="shared" ca="1" si="7"/>
        <v>1</v>
      </c>
      <c r="AE93" s="1" t="str">
        <f t="shared" ca="1" si="13"/>
        <v>6-8</v>
      </c>
      <c r="AF93" t="str">
        <f t="shared" ref="AF93:AF156" ca="1" si="67">IF(LEFT(AE93,1)="G",AE93,"Plot "&amp;AE93)</f>
        <v>Plot 6-8</v>
      </c>
    </row>
    <row r="94" spans="1:32" x14ac:dyDescent="0.25">
      <c r="A94" t="s">
        <v>164</v>
      </c>
      <c r="B94" s="51">
        <v>136</v>
      </c>
      <c r="C94">
        <v>2</v>
      </c>
      <c r="D94">
        <v>3</v>
      </c>
      <c r="E94" t="b">
        <f t="shared" si="60"/>
        <v>1</v>
      </c>
      <c r="F94" t="b">
        <f t="shared" si="60"/>
        <v>1</v>
      </c>
      <c r="G94" t="b">
        <f t="shared" si="60"/>
        <v>1</v>
      </c>
      <c r="H94" t="b">
        <f t="shared" si="60"/>
        <v>0</v>
      </c>
      <c r="I94" t="b">
        <f t="shared" si="60"/>
        <v>0</v>
      </c>
      <c r="J94" t="b">
        <f t="shared" si="60"/>
        <v>0</v>
      </c>
      <c r="K94" t="b">
        <f t="shared" si="60"/>
        <v>1</v>
      </c>
      <c r="L94" t="b">
        <f t="shared" si="60"/>
        <v>1</v>
      </c>
      <c r="M94" t="b">
        <f t="shared" si="60"/>
        <v>1</v>
      </c>
      <c r="N94" t="b">
        <f t="shared" si="60"/>
        <v>0</v>
      </c>
      <c r="O94" t="b">
        <f t="shared" si="60"/>
        <v>0</v>
      </c>
      <c r="P94" t="b">
        <f t="shared" si="60"/>
        <v>0</v>
      </c>
      <c r="Q94" t="b">
        <v>1</v>
      </c>
      <c r="R94" t="b" cm="1">
        <f t="array" ref="R94">_xlfn.IFS(C94=1,FALSE,OR(C94=2,C94&gt;2),TRUE)</f>
        <v>1</v>
      </c>
      <c r="S94" t="b" cm="1">
        <f t="array" ref="S94">_xlfn.IFS(OR(C94=1,C94=2),FALSE,OR(C94=3,C94&gt;3),TRUE)</f>
        <v>0</v>
      </c>
      <c r="T94" t="str">
        <f t="shared" si="63"/>
        <v>TRUE</v>
      </c>
      <c r="U94" t="str">
        <f t="shared" si="64"/>
        <v>FALSE</v>
      </c>
      <c r="V94" t="str">
        <f t="shared" si="65"/>
        <v>FALSE</v>
      </c>
      <c r="W94" t="b" cm="1">
        <f t="array" ref="W94">_xlfn.IFS(H94=1,FALSE,OR(H94=2,H94&gt;2),TRUE)</f>
        <v>1</v>
      </c>
      <c r="X94" t="b" cm="1">
        <f t="array" ref="X94">_xlfn.IFS(H94=1,FALSE,OR(H94=2,H94&gt;2),TRUE)</f>
        <v>1</v>
      </c>
      <c r="Y94" t="b" cm="1">
        <f t="array" ref="Y94">_xlfn.IFS(H94=1,FALSE,OR(H94=2,H94&gt;2),TRUE)</f>
        <v>1</v>
      </c>
      <c r="AB94" t="str">
        <f t="shared" ref="AB94:AC94" si="68">AB73</f>
        <v>External Scaffolding</v>
      </c>
      <c r="AC94" t="str">
        <f t="shared" si="68"/>
        <v>Lift 4</v>
      </c>
      <c r="AD94" t="b">
        <f t="shared" ref="AD94:AD157" ca="1" si="69">INDEX($AC$1:$JH$22,MATCH(AC94,$AC$1:$AC$22,0),MATCH(AE94,$AC$1:$JH$1,0))</f>
        <v>0</v>
      </c>
      <c r="AE94" s="1" t="str">
        <f t="shared" ca="1" si="13"/>
        <v>6-8</v>
      </c>
      <c r="AF94" t="str">
        <f t="shared" ca="1" si="67"/>
        <v>Plot 6-8</v>
      </c>
    </row>
    <row r="95" spans="1:32" x14ac:dyDescent="0.25">
      <c r="A95" t="s">
        <v>164</v>
      </c>
      <c r="B95" s="51">
        <v>137</v>
      </c>
      <c r="C95">
        <v>3</v>
      </c>
      <c r="D95">
        <v>4</v>
      </c>
      <c r="E95" t="b">
        <f t="shared" si="60"/>
        <v>1</v>
      </c>
      <c r="F95" t="b">
        <f t="shared" si="60"/>
        <v>1</v>
      </c>
      <c r="G95" t="b">
        <f t="shared" si="60"/>
        <v>1</v>
      </c>
      <c r="H95" t="b">
        <f t="shared" si="60"/>
        <v>1</v>
      </c>
      <c r="I95" t="b">
        <f t="shared" si="60"/>
        <v>0</v>
      </c>
      <c r="J95" t="b">
        <f t="shared" si="60"/>
        <v>0</v>
      </c>
      <c r="K95" t="b">
        <f t="shared" si="60"/>
        <v>1</v>
      </c>
      <c r="L95" t="b">
        <f t="shared" si="60"/>
        <v>1</v>
      </c>
      <c r="M95" t="b">
        <f t="shared" si="60"/>
        <v>1</v>
      </c>
      <c r="N95" t="b">
        <f t="shared" si="60"/>
        <v>1</v>
      </c>
      <c r="O95" t="b">
        <f t="shared" si="60"/>
        <v>0</v>
      </c>
      <c r="P95" t="b">
        <f t="shared" si="60"/>
        <v>0</v>
      </c>
      <c r="Q95" t="b">
        <v>1</v>
      </c>
      <c r="R95" t="b" cm="1">
        <f t="array" ref="R95">_xlfn.IFS(C95=1,FALSE,OR(C95=2,C95&gt;2),TRUE)</f>
        <v>1</v>
      </c>
      <c r="S95" t="b" cm="1">
        <f t="array" ref="S95">_xlfn.IFS(OR(C95=1,C95=2),FALSE,OR(C95=3,C95&gt;3),TRUE)</f>
        <v>1</v>
      </c>
      <c r="T95" t="str">
        <f t="shared" si="63"/>
        <v>TRUE</v>
      </c>
      <c r="U95" t="str">
        <f t="shared" si="64"/>
        <v>TRUE</v>
      </c>
      <c r="V95" t="str">
        <f t="shared" si="65"/>
        <v>FALSE</v>
      </c>
      <c r="W95" t="b" cm="1">
        <f t="array" ref="W95">_xlfn.IFS(H95=1,FALSE,OR(H95=2,H95&gt;2),TRUE)</f>
        <v>1</v>
      </c>
      <c r="X95" t="b" cm="1">
        <f t="array" ref="X95">_xlfn.IFS(H95=1,FALSE,OR(H95=2,H95&gt;2),TRUE)</f>
        <v>1</v>
      </c>
      <c r="Y95" t="b" cm="1">
        <f t="array" ref="Y95">_xlfn.IFS(H95=1,FALSE,OR(H95=2,H95&gt;2),TRUE)</f>
        <v>1</v>
      </c>
      <c r="AB95" t="str">
        <f t="shared" ref="AB95:AC95" si="70">AB74</f>
        <v>External Scaffolding</v>
      </c>
      <c r="AC95" t="str">
        <f t="shared" si="70"/>
        <v>Lift 5</v>
      </c>
      <c r="AD95" t="b">
        <f t="shared" ca="1" si="69"/>
        <v>0</v>
      </c>
      <c r="AE95" s="1" t="str">
        <f t="shared" ca="1" si="13"/>
        <v>6-8</v>
      </c>
      <c r="AF95" t="str">
        <f t="shared" ca="1" si="67"/>
        <v>Plot 6-8</v>
      </c>
    </row>
    <row r="96" spans="1:32" x14ac:dyDescent="0.25">
      <c r="A96" t="s">
        <v>164</v>
      </c>
      <c r="B96" s="51">
        <v>138</v>
      </c>
      <c r="C96">
        <v>2</v>
      </c>
      <c r="D96">
        <v>3</v>
      </c>
      <c r="E96" t="b">
        <f t="shared" si="60"/>
        <v>1</v>
      </c>
      <c r="F96" t="b">
        <f t="shared" si="60"/>
        <v>1</v>
      </c>
      <c r="G96" t="b">
        <f t="shared" si="60"/>
        <v>1</v>
      </c>
      <c r="H96" t="b">
        <f t="shared" si="60"/>
        <v>0</v>
      </c>
      <c r="I96" t="b">
        <f t="shared" si="60"/>
        <v>0</v>
      </c>
      <c r="J96" t="b">
        <f t="shared" si="60"/>
        <v>0</v>
      </c>
      <c r="K96" t="b">
        <f t="shared" si="60"/>
        <v>1</v>
      </c>
      <c r="L96" t="b">
        <f t="shared" si="60"/>
        <v>1</v>
      </c>
      <c r="M96" t="b">
        <f t="shared" si="60"/>
        <v>1</v>
      </c>
      <c r="N96" t="b">
        <f t="shared" si="60"/>
        <v>0</v>
      </c>
      <c r="O96" t="b">
        <f t="shared" si="60"/>
        <v>0</v>
      </c>
      <c r="P96" t="b">
        <f t="shared" si="60"/>
        <v>0</v>
      </c>
      <c r="Q96" t="b">
        <v>1</v>
      </c>
      <c r="R96" t="b" cm="1">
        <f t="array" ref="R96">_xlfn.IFS(C96=1,FALSE,OR(C96=2,C96&gt;2),TRUE)</f>
        <v>1</v>
      </c>
      <c r="S96" t="b" cm="1">
        <f t="array" ref="S96">_xlfn.IFS(OR(C96=1,C96=2),FALSE,OR(C96=3,C96&gt;3),TRUE)</f>
        <v>0</v>
      </c>
      <c r="T96" t="str">
        <f t="shared" si="63"/>
        <v>TRUE</v>
      </c>
      <c r="U96" t="str">
        <f t="shared" si="64"/>
        <v>FALSE</v>
      </c>
      <c r="V96" t="str">
        <f t="shared" si="65"/>
        <v>FALSE</v>
      </c>
      <c r="W96" t="b" cm="1">
        <f t="array" ref="W96">_xlfn.IFS(H96=1,FALSE,OR(H96=2,H96&gt;2),TRUE)</f>
        <v>1</v>
      </c>
      <c r="X96" t="b" cm="1">
        <f t="array" ref="X96">_xlfn.IFS(H96=1,FALSE,OR(H96=2,H96&gt;2),TRUE)</f>
        <v>1</v>
      </c>
      <c r="Y96" t="b" cm="1">
        <f t="array" ref="Y96">_xlfn.IFS(H96=1,FALSE,OR(H96=2,H96&gt;2),TRUE)</f>
        <v>1</v>
      </c>
      <c r="AB96" t="str">
        <f t="shared" ref="AB96:AC96" si="71">AB75</f>
        <v>External Scaffolding</v>
      </c>
      <c r="AC96" t="str">
        <f t="shared" si="71"/>
        <v>Lift 6</v>
      </c>
      <c r="AD96" t="b">
        <f t="shared" ca="1" si="69"/>
        <v>0</v>
      </c>
      <c r="AE96" s="1" t="str">
        <f t="shared" ca="1" si="13"/>
        <v>6-8</v>
      </c>
      <c r="AF96" t="str">
        <f t="shared" ca="1" si="67"/>
        <v>Plot 6-8</v>
      </c>
    </row>
    <row r="97" spans="1:32" x14ac:dyDescent="0.25">
      <c r="A97" t="s">
        <v>165</v>
      </c>
      <c r="B97" s="51" t="s">
        <v>199</v>
      </c>
      <c r="C97">
        <v>2</v>
      </c>
      <c r="D97">
        <v>3</v>
      </c>
      <c r="E97" t="b">
        <f t="shared" si="60"/>
        <v>1</v>
      </c>
      <c r="F97" t="b">
        <f t="shared" si="60"/>
        <v>1</v>
      </c>
      <c r="G97" t="b">
        <f t="shared" si="60"/>
        <v>1</v>
      </c>
      <c r="H97" t="b">
        <f t="shared" si="60"/>
        <v>0</v>
      </c>
      <c r="I97" t="b">
        <f t="shared" si="60"/>
        <v>0</v>
      </c>
      <c r="J97" t="b">
        <f t="shared" si="60"/>
        <v>0</v>
      </c>
      <c r="K97" t="b">
        <f t="shared" si="60"/>
        <v>1</v>
      </c>
      <c r="L97" t="b">
        <f t="shared" si="60"/>
        <v>1</v>
      </c>
      <c r="M97" t="b">
        <f t="shared" si="60"/>
        <v>1</v>
      </c>
      <c r="N97" t="b">
        <f t="shared" si="60"/>
        <v>0</v>
      </c>
      <c r="O97" t="b">
        <f t="shared" si="60"/>
        <v>0</v>
      </c>
      <c r="P97" t="b">
        <f t="shared" si="60"/>
        <v>0</v>
      </c>
      <c r="Q97" t="b">
        <v>1</v>
      </c>
      <c r="R97" t="b" cm="1">
        <f t="array" ref="R97">_xlfn.IFS(C97=1,FALSE,OR(C97=2,C97&gt;2),TRUE)</f>
        <v>1</v>
      </c>
      <c r="S97" t="b" cm="1">
        <f t="array" ref="S97">_xlfn.IFS(OR(C97=1,C97=2),FALSE,OR(C97=3,C97&gt;3),TRUE)</f>
        <v>0</v>
      </c>
      <c r="T97" t="str">
        <f t="shared" si="63"/>
        <v>TRUE</v>
      </c>
      <c r="U97" t="str">
        <f t="shared" si="64"/>
        <v>FALSE</v>
      </c>
      <c r="V97" t="str">
        <f t="shared" si="65"/>
        <v>FALSE</v>
      </c>
      <c r="W97" t="b" cm="1">
        <f t="array" ref="W97">_xlfn.IFS(H97=1,FALSE,OR(H97=2,H97&gt;2),TRUE)</f>
        <v>1</v>
      </c>
      <c r="X97" t="b" cm="1">
        <f t="array" ref="X97">_xlfn.IFS(H97=1,FALSE,OR(H97=2,H97&gt;2),TRUE)</f>
        <v>1</v>
      </c>
      <c r="Y97" t="b" cm="1">
        <f t="array" ref="Y97">_xlfn.IFS(H97=1,FALSE,OR(H97=2,H97&gt;2),TRUE)</f>
        <v>1</v>
      </c>
      <c r="AB97" t="str">
        <f t="shared" ref="AB97:AC97" si="72">AB76</f>
        <v>Loading Bay</v>
      </c>
      <c r="AC97" t="str">
        <f t="shared" si="72"/>
        <v>Lift 1</v>
      </c>
      <c r="AD97" t="b">
        <f t="shared" ca="1" si="69"/>
        <v>1</v>
      </c>
      <c r="AE97" s="1" t="str">
        <f t="shared" ca="1" si="13"/>
        <v>6-8</v>
      </c>
      <c r="AF97" t="str">
        <f t="shared" ca="1" si="67"/>
        <v>Plot 6-8</v>
      </c>
    </row>
    <row r="98" spans="1:32" x14ac:dyDescent="0.25">
      <c r="A98" t="s">
        <v>164</v>
      </c>
      <c r="B98" s="51">
        <v>141</v>
      </c>
      <c r="C98">
        <v>3</v>
      </c>
      <c r="D98">
        <v>4</v>
      </c>
      <c r="E98" t="b">
        <f t="shared" si="60"/>
        <v>1</v>
      </c>
      <c r="F98" t="b">
        <f t="shared" si="60"/>
        <v>1</v>
      </c>
      <c r="G98" t="b">
        <f t="shared" si="60"/>
        <v>1</v>
      </c>
      <c r="H98" t="b">
        <f t="shared" si="60"/>
        <v>1</v>
      </c>
      <c r="I98" t="b">
        <f t="shared" si="60"/>
        <v>0</v>
      </c>
      <c r="J98" t="b">
        <f t="shared" si="60"/>
        <v>0</v>
      </c>
      <c r="K98" t="b">
        <f t="shared" si="60"/>
        <v>1</v>
      </c>
      <c r="L98" t="b">
        <f t="shared" si="60"/>
        <v>1</v>
      </c>
      <c r="M98" t="b">
        <f t="shared" si="60"/>
        <v>1</v>
      </c>
      <c r="N98" t="b">
        <f t="shared" si="60"/>
        <v>1</v>
      </c>
      <c r="O98" t="b">
        <f t="shared" si="60"/>
        <v>0</v>
      </c>
      <c r="P98" t="b">
        <f t="shared" si="60"/>
        <v>0</v>
      </c>
      <c r="Q98" t="b">
        <v>1</v>
      </c>
      <c r="R98" t="b" cm="1">
        <f t="array" ref="R98">_xlfn.IFS(C98=1,FALSE,OR(C98=2,C98&gt;2),TRUE)</f>
        <v>1</v>
      </c>
      <c r="S98" t="b" cm="1">
        <f t="array" ref="S98">_xlfn.IFS(OR(C98=1,C98=2),FALSE,OR(C98=3,C98&gt;3),TRUE)</f>
        <v>1</v>
      </c>
      <c r="T98" t="str">
        <f t="shared" si="63"/>
        <v>TRUE</v>
      </c>
      <c r="U98" t="str">
        <f t="shared" si="64"/>
        <v>TRUE</v>
      </c>
      <c r="V98" t="str">
        <f t="shared" si="65"/>
        <v>FALSE</v>
      </c>
      <c r="W98" t="b" cm="1">
        <f t="array" ref="W98">_xlfn.IFS(H98=1,FALSE,OR(H98=2,H98&gt;2),TRUE)</f>
        <v>1</v>
      </c>
      <c r="X98" t="b" cm="1">
        <f t="array" ref="X98">_xlfn.IFS(H98=1,FALSE,OR(H98=2,H98&gt;2),TRUE)</f>
        <v>1</v>
      </c>
      <c r="Y98" t="b" cm="1">
        <f t="array" ref="Y98">_xlfn.IFS(H98=1,FALSE,OR(H98=2,H98&gt;2),TRUE)</f>
        <v>1</v>
      </c>
      <c r="AB98" t="str">
        <f t="shared" ref="AB98:AC98" si="73">AB77</f>
        <v>Loading Bay</v>
      </c>
      <c r="AC98" t="str">
        <f t="shared" si="73"/>
        <v>Lift 2</v>
      </c>
      <c r="AD98" t="b">
        <f t="shared" ca="1" si="69"/>
        <v>1</v>
      </c>
      <c r="AE98" s="1" t="str">
        <f t="shared" ca="1" si="13"/>
        <v>6-8</v>
      </c>
      <c r="AF98" t="str">
        <f t="shared" ca="1" si="67"/>
        <v>Plot 6-8</v>
      </c>
    </row>
    <row r="99" spans="1:32" x14ac:dyDescent="0.25">
      <c r="A99" t="s">
        <v>164</v>
      </c>
      <c r="B99" s="51">
        <v>142</v>
      </c>
      <c r="C99">
        <v>2</v>
      </c>
      <c r="D99">
        <v>3</v>
      </c>
      <c r="E99" t="b">
        <f t="shared" si="60"/>
        <v>1</v>
      </c>
      <c r="F99" t="b">
        <f t="shared" si="60"/>
        <v>1</v>
      </c>
      <c r="G99" t="b">
        <f t="shared" si="60"/>
        <v>1</v>
      </c>
      <c r="H99" t="b">
        <f t="shared" si="60"/>
        <v>0</v>
      </c>
      <c r="I99" t="b">
        <f t="shared" si="60"/>
        <v>0</v>
      </c>
      <c r="J99" t="b">
        <f t="shared" si="60"/>
        <v>0</v>
      </c>
      <c r="K99" t="b">
        <f t="shared" si="60"/>
        <v>1</v>
      </c>
      <c r="L99" t="b">
        <f t="shared" si="60"/>
        <v>1</v>
      </c>
      <c r="M99" t="b">
        <f t="shared" si="60"/>
        <v>1</v>
      </c>
      <c r="N99" t="b">
        <f t="shared" si="60"/>
        <v>0</v>
      </c>
      <c r="O99" t="b">
        <f t="shared" si="60"/>
        <v>0</v>
      </c>
      <c r="P99" t="b">
        <f t="shared" si="60"/>
        <v>0</v>
      </c>
      <c r="Q99" t="b">
        <v>1</v>
      </c>
      <c r="R99" t="b" cm="1">
        <f t="array" ref="R99">_xlfn.IFS(C99=1,FALSE,OR(C99=2,C99&gt;2),TRUE)</f>
        <v>1</v>
      </c>
      <c r="S99" t="b" cm="1">
        <f t="array" ref="S99">_xlfn.IFS(OR(C99=1,C99=2),FALSE,OR(C99=3,C99&gt;3),TRUE)</f>
        <v>0</v>
      </c>
      <c r="T99" t="str">
        <f t="shared" si="63"/>
        <v>TRUE</v>
      </c>
      <c r="U99" t="str">
        <f t="shared" si="64"/>
        <v>FALSE</v>
      </c>
      <c r="V99" t="str">
        <f t="shared" si="65"/>
        <v>FALSE</v>
      </c>
      <c r="W99" t="b" cm="1">
        <f t="array" ref="W99">_xlfn.IFS(H99=1,FALSE,OR(H99=2,H99&gt;2),TRUE)</f>
        <v>1</v>
      </c>
      <c r="X99" t="b" cm="1">
        <f t="array" ref="X99">_xlfn.IFS(H99=1,FALSE,OR(H99=2,H99&gt;2),TRUE)</f>
        <v>1</v>
      </c>
      <c r="Y99" t="b" cm="1">
        <f t="array" ref="Y99">_xlfn.IFS(H99=1,FALSE,OR(H99=2,H99&gt;2),TRUE)</f>
        <v>1</v>
      </c>
      <c r="AB99" t="str">
        <f t="shared" ref="AB99:AC99" si="74">AB78</f>
        <v>Loading Bay</v>
      </c>
      <c r="AC99" t="str">
        <f t="shared" si="74"/>
        <v>Lift 3</v>
      </c>
      <c r="AD99" t="b">
        <f t="shared" ca="1" si="69"/>
        <v>1</v>
      </c>
      <c r="AE99" s="1" t="str">
        <f t="shared" ca="1" si="13"/>
        <v>6-8</v>
      </c>
      <c r="AF99" t="str">
        <f t="shared" ca="1" si="67"/>
        <v>Plot 6-8</v>
      </c>
    </row>
    <row r="100" spans="1:32" x14ac:dyDescent="0.25">
      <c r="A100" t="s">
        <v>164</v>
      </c>
      <c r="B100" s="51">
        <v>143</v>
      </c>
      <c r="C100">
        <v>2</v>
      </c>
      <c r="D100">
        <v>3</v>
      </c>
      <c r="E100" t="b">
        <f t="shared" si="60"/>
        <v>1</v>
      </c>
      <c r="F100" t="b">
        <f t="shared" si="60"/>
        <v>1</v>
      </c>
      <c r="G100" t="b">
        <f t="shared" si="60"/>
        <v>1</v>
      </c>
      <c r="H100" t="b">
        <f t="shared" si="60"/>
        <v>0</v>
      </c>
      <c r="I100" t="b">
        <f t="shared" si="60"/>
        <v>0</v>
      </c>
      <c r="J100" t="b">
        <f t="shared" si="60"/>
        <v>0</v>
      </c>
      <c r="K100" t="b">
        <f t="shared" si="60"/>
        <v>1</v>
      </c>
      <c r="L100" t="b">
        <f t="shared" si="60"/>
        <v>1</v>
      </c>
      <c r="M100" t="b">
        <f t="shared" si="60"/>
        <v>1</v>
      </c>
      <c r="N100" t="b">
        <f t="shared" si="60"/>
        <v>0</v>
      </c>
      <c r="O100" t="b">
        <f t="shared" si="60"/>
        <v>0</v>
      </c>
      <c r="P100" t="b">
        <f t="shared" si="60"/>
        <v>0</v>
      </c>
      <c r="Q100" t="b">
        <v>1</v>
      </c>
      <c r="R100" t="b" cm="1">
        <f t="array" ref="R100">_xlfn.IFS(C100=1,FALSE,OR(C100=2,C100&gt;2),TRUE)</f>
        <v>1</v>
      </c>
      <c r="S100" t="b" cm="1">
        <f t="array" ref="S100">_xlfn.IFS(OR(C100=1,C100=2),FALSE,OR(C100=3,C100&gt;3),TRUE)</f>
        <v>0</v>
      </c>
      <c r="T100" t="str">
        <f t="shared" si="63"/>
        <v>TRUE</v>
      </c>
      <c r="U100" t="str">
        <f t="shared" si="64"/>
        <v>FALSE</v>
      </c>
      <c r="V100" t="str">
        <f t="shared" si="65"/>
        <v>FALSE</v>
      </c>
      <c r="W100" t="b" cm="1">
        <f t="array" ref="W100">_xlfn.IFS(H100=1,FALSE,OR(H100=2,H100&gt;2),TRUE)</f>
        <v>1</v>
      </c>
      <c r="X100" t="b" cm="1">
        <f t="array" ref="X100">_xlfn.IFS(H100=1,FALSE,OR(H100=2,H100&gt;2),TRUE)</f>
        <v>1</v>
      </c>
      <c r="Y100" t="b" cm="1">
        <f t="array" ref="Y100">_xlfn.IFS(H100=1,FALSE,OR(H100=2,H100&gt;2),TRUE)</f>
        <v>1</v>
      </c>
      <c r="AB100" t="str">
        <f t="shared" ref="AB100:AC100" si="75">AB79</f>
        <v>Loading Bay</v>
      </c>
      <c r="AC100" t="str">
        <f t="shared" si="75"/>
        <v>Lift 4</v>
      </c>
      <c r="AD100" t="b">
        <f t="shared" ca="1" si="69"/>
        <v>0</v>
      </c>
      <c r="AE100" s="1" t="str">
        <f t="shared" ca="1" si="13"/>
        <v>6-8</v>
      </c>
      <c r="AF100" t="str">
        <f t="shared" ca="1" si="67"/>
        <v>Plot 6-8</v>
      </c>
    </row>
    <row r="101" spans="1:32" x14ac:dyDescent="0.25">
      <c r="A101" t="s">
        <v>164</v>
      </c>
      <c r="B101" s="51">
        <v>144</v>
      </c>
      <c r="C101">
        <v>2</v>
      </c>
      <c r="D101">
        <v>3</v>
      </c>
      <c r="E101" t="b">
        <f t="shared" si="60"/>
        <v>1</v>
      </c>
      <c r="F101" t="b">
        <f t="shared" si="60"/>
        <v>1</v>
      </c>
      <c r="G101" t="b">
        <f t="shared" si="60"/>
        <v>1</v>
      </c>
      <c r="H101" t="b">
        <f t="shared" si="60"/>
        <v>0</v>
      </c>
      <c r="I101" t="b">
        <f t="shared" si="60"/>
        <v>0</v>
      </c>
      <c r="J101" t="b">
        <f t="shared" si="60"/>
        <v>0</v>
      </c>
      <c r="K101" t="b">
        <f t="shared" si="60"/>
        <v>1</v>
      </c>
      <c r="L101" t="b">
        <f t="shared" si="60"/>
        <v>1</v>
      </c>
      <c r="M101" t="b">
        <f t="shared" si="60"/>
        <v>1</v>
      </c>
      <c r="N101" t="b">
        <f t="shared" si="60"/>
        <v>0</v>
      </c>
      <c r="O101" t="b">
        <f t="shared" si="60"/>
        <v>0</v>
      </c>
      <c r="P101" t="b">
        <f t="shared" si="60"/>
        <v>0</v>
      </c>
      <c r="Q101" t="b">
        <v>1</v>
      </c>
      <c r="R101" t="b" cm="1">
        <f t="array" ref="R101">_xlfn.IFS(C101=1,FALSE,OR(C101=2,C101&gt;2),TRUE)</f>
        <v>1</v>
      </c>
      <c r="S101" t="b" cm="1">
        <f t="array" ref="S101">_xlfn.IFS(OR(C101=1,C101=2),FALSE,OR(C101=3,C101&gt;3),TRUE)</f>
        <v>0</v>
      </c>
      <c r="T101" t="str">
        <f t="shared" si="63"/>
        <v>TRUE</v>
      </c>
      <c r="U101" t="str">
        <f t="shared" si="64"/>
        <v>FALSE</v>
      </c>
      <c r="V101" t="str">
        <f t="shared" si="65"/>
        <v>FALSE</v>
      </c>
      <c r="W101" t="b" cm="1">
        <f t="array" ref="W101">_xlfn.IFS(H101=1,FALSE,OR(H101=2,H101&gt;2),TRUE)</f>
        <v>1</v>
      </c>
      <c r="X101" t="b" cm="1">
        <f t="array" ref="X101">_xlfn.IFS(H101=1,FALSE,OR(H101=2,H101&gt;2),TRUE)</f>
        <v>1</v>
      </c>
      <c r="Y101" t="b" cm="1">
        <f t="array" ref="Y101">_xlfn.IFS(H101=1,FALSE,OR(H101=2,H101&gt;2),TRUE)</f>
        <v>1</v>
      </c>
      <c r="AB101" t="str">
        <f t="shared" ref="AB101:AC101" si="76">AB80</f>
        <v>Loading Bay</v>
      </c>
      <c r="AC101" t="str">
        <f t="shared" si="76"/>
        <v>Lift 5</v>
      </c>
      <c r="AD101" t="b">
        <f t="shared" ca="1" si="69"/>
        <v>0</v>
      </c>
      <c r="AE101" s="1" t="str">
        <f t="shared" ca="1" si="13"/>
        <v>6-8</v>
      </c>
      <c r="AF101" t="str">
        <f t="shared" ca="1" si="67"/>
        <v>Plot 6-8</v>
      </c>
    </row>
    <row r="102" spans="1:32" x14ac:dyDescent="0.25">
      <c r="A102" t="s">
        <v>164</v>
      </c>
      <c r="B102" s="51">
        <v>145</v>
      </c>
      <c r="C102">
        <v>2</v>
      </c>
      <c r="D102">
        <v>3</v>
      </c>
      <c r="E102" t="b">
        <f t="shared" si="60"/>
        <v>1</v>
      </c>
      <c r="F102" t="b">
        <f t="shared" si="60"/>
        <v>1</v>
      </c>
      <c r="G102" t="b">
        <f t="shared" si="60"/>
        <v>1</v>
      </c>
      <c r="H102" t="b">
        <f t="shared" si="60"/>
        <v>0</v>
      </c>
      <c r="I102" t="b">
        <f t="shared" si="60"/>
        <v>0</v>
      </c>
      <c r="J102" t="b">
        <f t="shared" si="60"/>
        <v>0</v>
      </c>
      <c r="K102" t="b">
        <f t="shared" si="60"/>
        <v>1</v>
      </c>
      <c r="L102" t="b">
        <f t="shared" si="60"/>
        <v>1</v>
      </c>
      <c r="M102" t="b">
        <f t="shared" si="60"/>
        <v>1</v>
      </c>
      <c r="N102" t="b">
        <f t="shared" si="60"/>
        <v>0</v>
      </c>
      <c r="O102" t="b">
        <f t="shared" si="60"/>
        <v>0</v>
      </c>
      <c r="P102" t="b">
        <f t="shared" si="60"/>
        <v>0</v>
      </c>
      <c r="Q102" t="b">
        <v>1</v>
      </c>
      <c r="R102" t="b" cm="1">
        <f t="array" ref="R102">_xlfn.IFS(C102=1,FALSE,OR(C102=2,C102&gt;2),TRUE)</f>
        <v>1</v>
      </c>
      <c r="S102" t="b" cm="1">
        <f t="array" ref="S102">_xlfn.IFS(OR(C102=1,C102=2),FALSE,OR(C102=3,C102&gt;3),TRUE)</f>
        <v>0</v>
      </c>
      <c r="T102" t="str">
        <f t="shared" si="63"/>
        <v>TRUE</v>
      </c>
      <c r="U102" t="str">
        <f t="shared" si="64"/>
        <v>FALSE</v>
      </c>
      <c r="V102" t="str">
        <f t="shared" si="65"/>
        <v>FALSE</v>
      </c>
      <c r="W102" t="b" cm="1">
        <f t="array" ref="W102">_xlfn.IFS(H102=1,FALSE,OR(H102=2,H102&gt;2),TRUE)</f>
        <v>1</v>
      </c>
      <c r="X102" t="b" cm="1">
        <f t="array" ref="X102">_xlfn.IFS(H102=1,FALSE,OR(H102=2,H102&gt;2),TRUE)</f>
        <v>1</v>
      </c>
      <c r="Y102" t="b" cm="1">
        <f t="array" ref="Y102">_xlfn.IFS(H102=1,FALSE,OR(H102=2,H102&gt;2),TRUE)</f>
        <v>1</v>
      </c>
      <c r="AB102" t="str">
        <f t="shared" ref="AB102:AC102" si="77">AB81</f>
        <v>Loading Bay</v>
      </c>
      <c r="AC102" t="str">
        <f t="shared" si="77"/>
        <v>Lift 6</v>
      </c>
      <c r="AD102" t="b">
        <f t="shared" ca="1" si="69"/>
        <v>0</v>
      </c>
      <c r="AE102" s="1" t="str">
        <f t="shared" ca="1" si="13"/>
        <v>6-8</v>
      </c>
      <c r="AF102" t="str">
        <f t="shared" ca="1" si="67"/>
        <v>Plot 6-8</v>
      </c>
    </row>
    <row r="103" spans="1:32" x14ac:dyDescent="0.25">
      <c r="A103" t="s">
        <v>164</v>
      </c>
      <c r="B103" s="51">
        <v>146</v>
      </c>
      <c r="C103">
        <v>2</v>
      </c>
      <c r="D103">
        <v>3</v>
      </c>
      <c r="E103" t="b">
        <f t="shared" si="60"/>
        <v>1</v>
      </c>
      <c r="F103" t="b">
        <f t="shared" si="60"/>
        <v>1</v>
      </c>
      <c r="G103" t="b">
        <f t="shared" si="60"/>
        <v>1</v>
      </c>
      <c r="H103" t="b">
        <f t="shared" si="60"/>
        <v>0</v>
      </c>
      <c r="I103" t="b">
        <f t="shared" si="60"/>
        <v>0</v>
      </c>
      <c r="J103" t="b">
        <f t="shared" si="60"/>
        <v>0</v>
      </c>
      <c r="K103" t="b">
        <f t="shared" si="60"/>
        <v>1</v>
      </c>
      <c r="L103" t="b">
        <f t="shared" si="60"/>
        <v>1</v>
      </c>
      <c r="M103" t="b">
        <f t="shared" si="60"/>
        <v>1</v>
      </c>
      <c r="N103" t="b">
        <f t="shared" si="60"/>
        <v>0</v>
      </c>
      <c r="O103" t="b">
        <f t="shared" si="60"/>
        <v>0</v>
      </c>
      <c r="P103" t="b">
        <f t="shared" si="60"/>
        <v>0</v>
      </c>
      <c r="Q103" t="b">
        <v>1</v>
      </c>
      <c r="R103" t="b" cm="1">
        <f t="array" ref="R103">_xlfn.IFS(C103=1,FALSE,OR(C103=2,C103&gt;2),TRUE)</f>
        <v>1</v>
      </c>
      <c r="S103" t="b" cm="1">
        <f t="array" ref="S103">_xlfn.IFS(OR(C103=1,C103=2),FALSE,OR(C103=3,C103&gt;3),TRUE)</f>
        <v>0</v>
      </c>
      <c r="T103" t="str">
        <f t="shared" si="63"/>
        <v>TRUE</v>
      </c>
      <c r="U103" t="str">
        <f t="shared" si="64"/>
        <v>FALSE</v>
      </c>
      <c r="V103" t="str">
        <f t="shared" si="65"/>
        <v>FALSE</v>
      </c>
      <c r="W103" t="b" cm="1">
        <f t="array" ref="W103">_xlfn.IFS(H103=1,FALSE,OR(H103=2,H103&gt;2),TRUE)</f>
        <v>1</v>
      </c>
      <c r="X103" t="b" cm="1">
        <f t="array" ref="X103">_xlfn.IFS(H103=1,FALSE,OR(H103=2,H103&gt;2),TRUE)</f>
        <v>1</v>
      </c>
      <c r="Y103" t="b" cm="1">
        <f t="array" ref="Y103">_xlfn.IFS(H103=1,FALSE,OR(H103=2,H103&gt;2),TRUE)</f>
        <v>1</v>
      </c>
      <c r="AB103" t="str">
        <f t="shared" ref="AB103:AC103" si="78">AB82</f>
        <v>Scaffolding Platform</v>
      </c>
      <c r="AC103" t="str">
        <f t="shared" si="78"/>
        <v>Ground Floor</v>
      </c>
      <c r="AD103" t="b">
        <f t="shared" ca="1" si="69"/>
        <v>1</v>
      </c>
      <c r="AE103" s="1" t="str">
        <f t="shared" ca="1" si="13"/>
        <v>6-8</v>
      </c>
      <c r="AF103" t="str">
        <f t="shared" ca="1" si="67"/>
        <v>Plot 6-8</v>
      </c>
    </row>
    <row r="104" spans="1:32" x14ac:dyDescent="0.25">
      <c r="A104" t="s">
        <v>164</v>
      </c>
      <c r="B104" s="51">
        <v>147</v>
      </c>
      <c r="C104">
        <v>2</v>
      </c>
      <c r="D104">
        <v>3</v>
      </c>
      <c r="E104" t="b">
        <f t="shared" si="60"/>
        <v>1</v>
      </c>
      <c r="F104" t="b">
        <f t="shared" si="60"/>
        <v>1</v>
      </c>
      <c r="G104" t="b">
        <f t="shared" si="60"/>
        <v>1</v>
      </c>
      <c r="H104" t="b">
        <f t="shared" si="60"/>
        <v>0</v>
      </c>
      <c r="I104" t="b">
        <f t="shared" si="60"/>
        <v>0</v>
      </c>
      <c r="J104" t="b">
        <f t="shared" si="60"/>
        <v>0</v>
      </c>
      <c r="K104" t="b">
        <f t="shared" si="60"/>
        <v>1</v>
      </c>
      <c r="L104" t="b">
        <f t="shared" si="60"/>
        <v>1</v>
      </c>
      <c r="M104" t="b">
        <f t="shared" si="60"/>
        <v>1</v>
      </c>
      <c r="N104" t="b">
        <f t="shared" si="60"/>
        <v>0</v>
      </c>
      <c r="O104" t="b">
        <f t="shared" si="60"/>
        <v>0</v>
      </c>
      <c r="P104" t="b">
        <f t="shared" si="60"/>
        <v>0</v>
      </c>
      <c r="Q104" t="b">
        <v>1</v>
      </c>
      <c r="R104" t="b" cm="1">
        <f t="array" ref="R104">_xlfn.IFS(C104=1,FALSE,OR(C104=2,C104&gt;2),TRUE)</f>
        <v>1</v>
      </c>
      <c r="S104" t="b" cm="1">
        <f t="array" ref="S104">_xlfn.IFS(OR(C104=1,C104=2),FALSE,OR(C104=3,C104&gt;3),TRUE)</f>
        <v>0</v>
      </c>
      <c r="T104" t="str">
        <f t="shared" si="63"/>
        <v>TRUE</v>
      </c>
      <c r="U104" t="str">
        <f t="shared" si="64"/>
        <v>FALSE</v>
      </c>
      <c r="V104" t="str">
        <f t="shared" si="65"/>
        <v>FALSE</v>
      </c>
      <c r="W104" t="b" cm="1">
        <f t="array" ref="W104">_xlfn.IFS(H104=1,FALSE,OR(H104=2,H104&gt;2),TRUE)</f>
        <v>1</v>
      </c>
      <c r="X104" t="b" cm="1">
        <f t="array" ref="X104">_xlfn.IFS(H104=1,FALSE,OR(H104=2,H104&gt;2),TRUE)</f>
        <v>1</v>
      </c>
      <c r="Y104" t="b" cm="1">
        <f t="array" ref="Y104">_xlfn.IFS(H104=1,FALSE,OR(H104=2,H104&gt;2),TRUE)</f>
        <v>1</v>
      </c>
      <c r="AB104" t="str">
        <f t="shared" ref="AB104:AC104" si="79">AB83</f>
        <v>Scaffolding Platform</v>
      </c>
      <c r="AC104" t="str">
        <f t="shared" si="79"/>
        <v>First Floor</v>
      </c>
      <c r="AD104" t="b">
        <f t="shared" ca="1" si="69"/>
        <v>1</v>
      </c>
      <c r="AE104" s="1" t="str">
        <f t="shared" ca="1" si="13"/>
        <v>6-8</v>
      </c>
      <c r="AF104" t="str">
        <f t="shared" ca="1" si="67"/>
        <v>Plot 6-8</v>
      </c>
    </row>
    <row r="105" spans="1:32" x14ac:dyDescent="0.25">
      <c r="A105" t="s">
        <v>165</v>
      </c>
      <c r="B105" s="51" t="s">
        <v>200</v>
      </c>
      <c r="C105">
        <v>2</v>
      </c>
      <c r="D105">
        <v>3</v>
      </c>
      <c r="E105" t="b">
        <f t="shared" si="60"/>
        <v>1</v>
      </c>
      <c r="F105" t="b">
        <f t="shared" si="60"/>
        <v>1</v>
      </c>
      <c r="G105" t="b">
        <f t="shared" si="60"/>
        <v>1</v>
      </c>
      <c r="H105" t="b">
        <f t="shared" si="60"/>
        <v>0</v>
      </c>
      <c r="I105" t="b">
        <f t="shared" si="60"/>
        <v>0</v>
      </c>
      <c r="J105" t="b">
        <f t="shared" si="60"/>
        <v>0</v>
      </c>
      <c r="K105" t="b">
        <f t="shared" si="60"/>
        <v>1</v>
      </c>
      <c r="L105" t="b">
        <f t="shared" si="60"/>
        <v>1</v>
      </c>
      <c r="M105" t="b">
        <f t="shared" si="60"/>
        <v>1</v>
      </c>
      <c r="N105" t="b">
        <f t="shared" si="60"/>
        <v>0</v>
      </c>
      <c r="O105" t="b">
        <f t="shared" si="60"/>
        <v>0</v>
      </c>
      <c r="P105" t="b">
        <f t="shared" si="60"/>
        <v>0</v>
      </c>
      <c r="Q105" t="b">
        <v>1</v>
      </c>
      <c r="R105" t="b" cm="1">
        <f t="array" ref="R105">_xlfn.IFS(C105=1,FALSE,OR(C105=2,C105&gt;2),TRUE)</f>
        <v>1</v>
      </c>
      <c r="S105" t="b" cm="1">
        <f t="array" ref="S105">_xlfn.IFS(OR(C105=1,C105=2),FALSE,OR(C105=3,C105&gt;3),TRUE)</f>
        <v>0</v>
      </c>
      <c r="T105" t="str">
        <f t="shared" si="63"/>
        <v>TRUE</v>
      </c>
      <c r="U105" t="str">
        <f t="shared" si="64"/>
        <v>FALSE</v>
      </c>
      <c r="V105" t="str">
        <f t="shared" si="65"/>
        <v>FALSE</v>
      </c>
      <c r="W105" t="b" cm="1">
        <f t="array" ref="W105">_xlfn.IFS(H105=1,FALSE,OR(H105=2,H105&gt;2),TRUE)</f>
        <v>1</v>
      </c>
      <c r="X105" t="b" cm="1">
        <f t="array" ref="X105">_xlfn.IFS(H105=1,FALSE,OR(H105=2,H105&gt;2),TRUE)</f>
        <v>1</v>
      </c>
      <c r="Y105" t="b" cm="1">
        <f t="array" ref="Y105">_xlfn.IFS(H105=1,FALSE,OR(H105=2,H105&gt;2),TRUE)</f>
        <v>1</v>
      </c>
      <c r="AB105" t="str">
        <f t="shared" ref="AB105:AC105" si="80">AB84</f>
        <v>Scaffolding Platform</v>
      </c>
      <c r="AC105" t="str">
        <f t="shared" si="80"/>
        <v>Second Floor</v>
      </c>
      <c r="AD105" t="b">
        <f t="shared" ca="1" si="69"/>
        <v>0</v>
      </c>
      <c r="AE105" s="1" t="str">
        <f t="shared" ca="1" si="13"/>
        <v>6-8</v>
      </c>
      <c r="AF105" t="str">
        <f t="shared" ca="1" si="67"/>
        <v>Plot 6-8</v>
      </c>
    </row>
    <row r="106" spans="1:32" x14ac:dyDescent="0.25">
      <c r="A106" t="s">
        <v>164</v>
      </c>
      <c r="B106" s="51">
        <v>150</v>
      </c>
      <c r="C106">
        <v>2</v>
      </c>
      <c r="D106">
        <v>3</v>
      </c>
      <c r="E106" t="b">
        <f t="shared" si="60"/>
        <v>1</v>
      </c>
      <c r="F106" t="b">
        <f t="shared" si="60"/>
        <v>1</v>
      </c>
      <c r="G106" t="b">
        <f t="shared" si="60"/>
        <v>1</v>
      </c>
      <c r="H106" t="b">
        <f t="shared" si="60"/>
        <v>0</v>
      </c>
      <c r="I106" t="b">
        <f t="shared" si="60"/>
        <v>0</v>
      </c>
      <c r="J106" t="b">
        <f t="shared" si="60"/>
        <v>0</v>
      </c>
      <c r="K106" t="b">
        <f t="shared" si="60"/>
        <v>1</v>
      </c>
      <c r="L106" t="b">
        <f t="shared" si="60"/>
        <v>1</v>
      </c>
      <c r="M106" t="b">
        <f t="shared" si="60"/>
        <v>1</v>
      </c>
      <c r="N106" t="b">
        <f t="shared" si="60"/>
        <v>0</v>
      </c>
      <c r="O106" t="b">
        <f t="shared" si="60"/>
        <v>0</v>
      </c>
      <c r="P106" t="b">
        <f t="shared" si="60"/>
        <v>0</v>
      </c>
      <c r="Q106" t="b">
        <v>1</v>
      </c>
      <c r="R106" t="b" cm="1">
        <f t="array" ref="R106">_xlfn.IFS(C106=1,FALSE,OR(C106=2,C106&gt;2),TRUE)</f>
        <v>1</v>
      </c>
      <c r="S106" t="b" cm="1">
        <f t="array" ref="S106">_xlfn.IFS(OR(C106=1,C106=2),FALSE,OR(C106=3,C106&gt;3),TRUE)</f>
        <v>0</v>
      </c>
      <c r="T106" t="str">
        <f t="shared" si="63"/>
        <v>TRUE</v>
      </c>
      <c r="U106" t="str">
        <f t="shared" si="64"/>
        <v>FALSE</v>
      </c>
      <c r="V106" t="str">
        <f t="shared" si="65"/>
        <v>FALSE</v>
      </c>
      <c r="W106" t="b" cm="1">
        <f t="array" ref="W106">_xlfn.IFS(H106=1,FALSE,OR(H106=2,H106&gt;2),TRUE)</f>
        <v>1</v>
      </c>
      <c r="X106" t="b" cm="1">
        <f t="array" ref="X106">_xlfn.IFS(H106=1,FALSE,OR(H106=2,H106&gt;2),TRUE)</f>
        <v>1</v>
      </c>
      <c r="Y106" t="b" cm="1">
        <f t="array" ref="Y106">_xlfn.IFS(H106=1,FALSE,OR(H106=2,H106&gt;2),TRUE)</f>
        <v>1</v>
      </c>
      <c r="AB106" t="str">
        <f t="shared" ref="AB106:AC106" si="81">AB85</f>
        <v>Supporting Scaffold</v>
      </c>
      <c r="AC106" t="str">
        <f t="shared" si="81"/>
        <v>Ground Floor Prop.</v>
      </c>
      <c r="AD106" t="str">
        <f t="shared" ca="1" si="69"/>
        <v>TRUE</v>
      </c>
      <c r="AE106" s="1" t="str">
        <f t="shared" ca="1" si="13"/>
        <v>6-8</v>
      </c>
      <c r="AF106" t="str">
        <f t="shared" ca="1" si="67"/>
        <v>Plot 6-8</v>
      </c>
    </row>
    <row r="107" spans="1:32" x14ac:dyDescent="0.25">
      <c r="A107" t="s">
        <v>164</v>
      </c>
      <c r="B107" s="51">
        <v>151</v>
      </c>
      <c r="C107">
        <v>3</v>
      </c>
      <c r="D107">
        <v>4</v>
      </c>
      <c r="E107" t="b">
        <f t="shared" si="60"/>
        <v>1</v>
      </c>
      <c r="F107" t="b">
        <f t="shared" si="60"/>
        <v>1</v>
      </c>
      <c r="G107" t="b">
        <f t="shared" si="60"/>
        <v>1</v>
      </c>
      <c r="H107" t="b">
        <f t="shared" si="60"/>
        <v>1</v>
      </c>
      <c r="I107" t="b">
        <f t="shared" si="60"/>
        <v>0</v>
      </c>
      <c r="J107" t="b">
        <f t="shared" si="60"/>
        <v>0</v>
      </c>
      <c r="K107" t="b">
        <f t="shared" si="60"/>
        <v>1</v>
      </c>
      <c r="L107" t="b">
        <f t="shared" si="60"/>
        <v>1</v>
      </c>
      <c r="M107" t="b">
        <f t="shared" si="60"/>
        <v>1</v>
      </c>
      <c r="N107" t="b">
        <f t="shared" si="60"/>
        <v>1</v>
      </c>
      <c r="O107" t="b">
        <f t="shared" si="60"/>
        <v>0</v>
      </c>
      <c r="P107" t="b">
        <f t="shared" si="60"/>
        <v>0</v>
      </c>
      <c r="Q107" t="b">
        <v>1</v>
      </c>
      <c r="R107" t="b" cm="1">
        <f t="array" ref="R107">_xlfn.IFS(C107=1,FALSE,OR(C107=2,C107&gt;2),TRUE)</f>
        <v>1</v>
      </c>
      <c r="S107" t="b" cm="1">
        <f t="array" ref="S107">_xlfn.IFS(OR(C107=1,C107=2),FALSE,OR(C107=3,C107&gt;3),TRUE)</f>
        <v>1</v>
      </c>
      <c r="T107" t="str">
        <f t="shared" si="63"/>
        <v>TRUE</v>
      </c>
      <c r="U107" t="str">
        <f t="shared" si="64"/>
        <v>TRUE</v>
      </c>
      <c r="V107" t="str">
        <f t="shared" si="65"/>
        <v>FALSE</v>
      </c>
      <c r="W107" t="b" cm="1">
        <f t="array" ref="W107">_xlfn.IFS(H107=1,FALSE,OR(H107=2,H107&gt;2),TRUE)</f>
        <v>1</v>
      </c>
      <c r="X107" t="b" cm="1">
        <f t="array" ref="X107">_xlfn.IFS(H107=1,FALSE,OR(H107=2,H107&gt;2),TRUE)</f>
        <v>1</v>
      </c>
      <c r="Y107" t="b" cm="1">
        <f t="array" ref="Y107">_xlfn.IFS(H107=1,FALSE,OR(H107=2,H107&gt;2),TRUE)</f>
        <v>1</v>
      </c>
      <c r="AB107" t="str">
        <f t="shared" ref="AB107:AC107" si="82">AB86</f>
        <v>Supporting Scaffold</v>
      </c>
      <c r="AC107" t="str">
        <f t="shared" si="82"/>
        <v>First Floor Prop.</v>
      </c>
      <c r="AD107" t="str">
        <f t="shared" ca="1" si="69"/>
        <v>FALSE</v>
      </c>
      <c r="AE107" s="1" t="str">
        <f t="shared" ca="1" si="13"/>
        <v>6-8</v>
      </c>
      <c r="AF107" t="str">
        <f t="shared" ca="1" si="67"/>
        <v>Plot 6-8</v>
      </c>
    </row>
    <row r="108" spans="1:32" x14ac:dyDescent="0.25">
      <c r="A108" t="s">
        <v>164</v>
      </c>
      <c r="B108" s="51">
        <v>152</v>
      </c>
      <c r="C108">
        <v>3</v>
      </c>
      <c r="D108">
        <v>4</v>
      </c>
      <c r="E108" t="b">
        <f t="shared" si="60"/>
        <v>1</v>
      </c>
      <c r="F108" t="b">
        <f t="shared" si="60"/>
        <v>1</v>
      </c>
      <c r="G108" t="b">
        <f t="shared" si="60"/>
        <v>1</v>
      </c>
      <c r="H108" t="b">
        <f t="shared" si="60"/>
        <v>1</v>
      </c>
      <c r="I108" t="b">
        <f t="shared" si="60"/>
        <v>0</v>
      </c>
      <c r="J108" t="b">
        <f t="shared" si="60"/>
        <v>0</v>
      </c>
      <c r="K108" t="b">
        <f t="shared" si="60"/>
        <v>1</v>
      </c>
      <c r="L108" t="b">
        <f t="shared" si="60"/>
        <v>1</v>
      </c>
      <c r="M108" t="b">
        <f t="shared" si="60"/>
        <v>1</v>
      </c>
      <c r="N108" t="b">
        <f t="shared" si="60"/>
        <v>1</v>
      </c>
      <c r="O108" t="b">
        <f t="shared" si="60"/>
        <v>0</v>
      </c>
      <c r="P108" t="b">
        <f t="shared" si="60"/>
        <v>0</v>
      </c>
      <c r="Q108" t="b">
        <v>1</v>
      </c>
      <c r="R108" t="b" cm="1">
        <f t="array" ref="R108">_xlfn.IFS(C108=1,FALSE,OR(C108=2,C108&gt;2),TRUE)</f>
        <v>1</v>
      </c>
      <c r="S108" t="b" cm="1">
        <f t="array" ref="S108">_xlfn.IFS(OR(C108=1,C108=2),FALSE,OR(C108=3,C108&gt;3),TRUE)</f>
        <v>1</v>
      </c>
      <c r="T108" t="str">
        <f t="shared" si="63"/>
        <v>TRUE</v>
      </c>
      <c r="U108" t="str">
        <f t="shared" si="64"/>
        <v>TRUE</v>
      </c>
      <c r="V108" t="str">
        <f t="shared" si="65"/>
        <v>FALSE</v>
      </c>
      <c r="W108" t="b" cm="1">
        <f t="array" ref="W108">_xlfn.IFS(H108=1,FALSE,OR(H108=2,H108&gt;2),TRUE)</f>
        <v>1</v>
      </c>
      <c r="X108" t="b" cm="1">
        <f t="array" ref="X108">_xlfn.IFS(H108=1,FALSE,OR(H108=2,H108&gt;2),TRUE)</f>
        <v>1</v>
      </c>
      <c r="Y108" t="b" cm="1">
        <f t="array" ref="Y108">_xlfn.IFS(H108=1,FALSE,OR(H108=2,H108&gt;2),TRUE)</f>
        <v>1</v>
      </c>
      <c r="AB108" t="str">
        <f t="shared" ref="AB108:AC108" si="83">AB87</f>
        <v>Supporting Scaffold</v>
      </c>
      <c r="AC108" t="str">
        <f t="shared" si="83"/>
        <v>Second Floor Prop.</v>
      </c>
      <c r="AD108" t="str">
        <f t="shared" ca="1" si="69"/>
        <v>FALSE</v>
      </c>
      <c r="AE108" s="1" t="str">
        <f t="shared" ca="1" si="13"/>
        <v>6-8</v>
      </c>
      <c r="AF108" t="str">
        <f t="shared" ca="1" si="67"/>
        <v>Plot 6-8</v>
      </c>
    </row>
    <row r="109" spans="1:32" x14ac:dyDescent="0.25">
      <c r="A109" t="s">
        <v>164</v>
      </c>
      <c r="B109" s="51">
        <v>153</v>
      </c>
      <c r="C109">
        <v>3</v>
      </c>
      <c r="D109">
        <v>4</v>
      </c>
      <c r="E109" t="b">
        <f t="shared" si="60"/>
        <v>1</v>
      </c>
      <c r="F109" t="b">
        <f t="shared" si="60"/>
        <v>1</v>
      </c>
      <c r="G109" t="b">
        <f t="shared" si="60"/>
        <v>1</v>
      </c>
      <c r="H109" t="b">
        <f t="shared" ref="H109:P109" si="84">IF(OR(INT(RIGHT(H$2,1))&lt;$D109,INT(RIGHT(H$2,1))=$D109),TRUE,FALSE)</f>
        <v>1</v>
      </c>
      <c r="I109" t="b">
        <f t="shared" si="84"/>
        <v>0</v>
      </c>
      <c r="J109" t="b">
        <f t="shared" si="84"/>
        <v>0</v>
      </c>
      <c r="K109" t="b">
        <f t="shared" si="84"/>
        <v>1</v>
      </c>
      <c r="L109" t="b">
        <f t="shared" si="84"/>
        <v>1</v>
      </c>
      <c r="M109" t="b">
        <f t="shared" si="84"/>
        <v>1</v>
      </c>
      <c r="N109" t="b">
        <f t="shared" si="84"/>
        <v>1</v>
      </c>
      <c r="O109" t="b">
        <f t="shared" si="84"/>
        <v>0</v>
      </c>
      <c r="P109" t="b">
        <f t="shared" si="84"/>
        <v>0</v>
      </c>
      <c r="Q109" t="b">
        <v>1</v>
      </c>
      <c r="R109" t="b" cm="1">
        <f t="array" ref="R109">_xlfn.IFS(C109=1,FALSE,OR(C109=2,C109&gt;2),TRUE)</f>
        <v>1</v>
      </c>
      <c r="S109" t="b" cm="1">
        <f t="array" ref="S109">_xlfn.IFS(OR(C109=1,C109=2),FALSE,OR(C109=3,C109&gt;3),TRUE)</f>
        <v>1</v>
      </c>
      <c r="T109" t="str">
        <f t="shared" si="63"/>
        <v>TRUE</v>
      </c>
      <c r="U109" t="str">
        <f t="shared" si="64"/>
        <v>TRUE</v>
      </c>
      <c r="V109" t="str">
        <f t="shared" si="65"/>
        <v>FALSE</v>
      </c>
      <c r="W109" t="b" cm="1">
        <f t="array" ref="W109">_xlfn.IFS(H109=1,FALSE,OR(H109=2,H109&gt;2),TRUE)</f>
        <v>1</v>
      </c>
      <c r="X109" t="b" cm="1">
        <f t="array" ref="X109">_xlfn.IFS(H109=1,FALSE,OR(H109=2,H109&gt;2),TRUE)</f>
        <v>1</v>
      </c>
      <c r="Y109" t="b" cm="1">
        <f t="array" ref="Y109">_xlfn.IFS(H109=1,FALSE,OR(H109=2,H109&gt;2),TRUE)</f>
        <v>1</v>
      </c>
      <c r="AB109" t="str">
        <f t="shared" ref="AB109:AC109" si="85">AB88</f>
        <v>External Scaffolding</v>
      </c>
      <c r="AC109" t="str">
        <f t="shared" si="85"/>
        <v>Hop-ups</v>
      </c>
      <c r="AD109" t="b">
        <f t="shared" ca="1" si="69"/>
        <v>1</v>
      </c>
      <c r="AE109" s="1" t="str">
        <f t="shared" ca="1" si="13"/>
        <v>6-8</v>
      </c>
      <c r="AF109" t="str">
        <f t="shared" ca="1" si="67"/>
        <v>Plot 6-8</v>
      </c>
    </row>
    <row r="110" spans="1:32" x14ac:dyDescent="0.25">
      <c r="A110" t="s">
        <v>164</v>
      </c>
      <c r="B110" s="51">
        <v>154</v>
      </c>
      <c r="C110">
        <v>2</v>
      </c>
      <c r="D110">
        <v>3</v>
      </c>
      <c r="E110" t="b">
        <f t="shared" ref="E110:P124" si="86">IF(OR(INT(RIGHT(E$2,1))&lt;$D110,INT(RIGHT(E$2,1))=$D110),TRUE,FALSE)</f>
        <v>1</v>
      </c>
      <c r="F110" t="b">
        <f t="shared" si="86"/>
        <v>1</v>
      </c>
      <c r="G110" t="b">
        <f t="shared" si="86"/>
        <v>1</v>
      </c>
      <c r="H110" t="b">
        <f t="shared" si="86"/>
        <v>0</v>
      </c>
      <c r="I110" t="b">
        <f t="shared" si="86"/>
        <v>0</v>
      </c>
      <c r="J110" t="b">
        <f t="shared" si="86"/>
        <v>0</v>
      </c>
      <c r="K110" t="b">
        <f t="shared" si="86"/>
        <v>1</v>
      </c>
      <c r="L110" t="b">
        <f t="shared" si="86"/>
        <v>1</v>
      </c>
      <c r="M110" t="b">
        <f t="shared" si="86"/>
        <v>1</v>
      </c>
      <c r="N110" t="b">
        <f t="shared" si="86"/>
        <v>0</v>
      </c>
      <c r="O110" t="b">
        <f t="shared" si="86"/>
        <v>0</v>
      </c>
      <c r="P110" t="b">
        <f t="shared" si="86"/>
        <v>0</v>
      </c>
      <c r="Q110" t="b">
        <v>1</v>
      </c>
      <c r="R110" t="b" cm="1">
        <f t="array" ref="R110">_xlfn.IFS(C110=1,FALSE,OR(C110=2,C110&gt;2),TRUE)</f>
        <v>1</v>
      </c>
      <c r="S110" t="b" cm="1">
        <f t="array" ref="S110">_xlfn.IFS(OR(C110=1,C110=2),FALSE,OR(C110=3,C110&gt;3),TRUE)</f>
        <v>0</v>
      </c>
      <c r="T110" t="str">
        <f t="shared" si="63"/>
        <v>TRUE</v>
      </c>
      <c r="U110" t="str">
        <f t="shared" si="64"/>
        <v>FALSE</v>
      </c>
      <c r="V110" t="str">
        <f t="shared" si="65"/>
        <v>FALSE</v>
      </c>
      <c r="W110" t="b" cm="1">
        <f t="array" ref="W110">_xlfn.IFS(H110=1,FALSE,OR(H110=2,H110&gt;2),TRUE)</f>
        <v>1</v>
      </c>
      <c r="X110" t="b" cm="1">
        <f t="array" ref="X110">_xlfn.IFS(H110=1,FALSE,OR(H110=2,H110&gt;2),TRUE)</f>
        <v>1</v>
      </c>
      <c r="Y110" t="b" cm="1">
        <f t="array" ref="Y110">_xlfn.IFS(H110=1,FALSE,OR(H110=2,H110&gt;2),TRUE)</f>
        <v>1</v>
      </c>
      <c r="AB110" t="str">
        <f t="shared" ref="AB110:AC110" si="87">AB89</f>
        <v>External Scaffolding</v>
      </c>
      <c r="AC110" t="str">
        <f t="shared" si="87"/>
        <v>Adaptions</v>
      </c>
      <c r="AD110" t="b">
        <f t="shared" ca="1" si="69"/>
        <v>1</v>
      </c>
      <c r="AE110" s="1" t="str">
        <f t="shared" ca="1" si="13"/>
        <v>6-8</v>
      </c>
      <c r="AF110" t="str">
        <f t="shared" ca="1" si="67"/>
        <v>Plot 6-8</v>
      </c>
    </row>
    <row r="111" spans="1:32" x14ac:dyDescent="0.25">
      <c r="A111" t="s">
        <v>165</v>
      </c>
      <c r="B111" s="51" t="s">
        <v>201</v>
      </c>
      <c r="C111">
        <v>2</v>
      </c>
      <c r="D111">
        <v>3</v>
      </c>
      <c r="E111" t="b">
        <f t="shared" si="86"/>
        <v>1</v>
      </c>
      <c r="F111" t="b">
        <f t="shared" si="86"/>
        <v>1</v>
      </c>
      <c r="G111" t="b">
        <f t="shared" si="86"/>
        <v>1</v>
      </c>
      <c r="H111" t="b">
        <f t="shared" si="86"/>
        <v>0</v>
      </c>
      <c r="I111" t="b">
        <f t="shared" si="86"/>
        <v>0</v>
      </c>
      <c r="J111" t="b">
        <f t="shared" si="86"/>
        <v>0</v>
      </c>
      <c r="K111" t="b">
        <f t="shared" si="86"/>
        <v>1</v>
      </c>
      <c r="L111" t="b">
        <f t="shared" si="86"/>
        <v>1</v>
      </c>
      <c r="M111" t="b">
        <f t="shared" si="86"/>
        <v>1</v>
      </c>
      <c r="N111" t="b">
        <f t="shared" si="86"/>
        <v>0</v>
      </c>
      <c r="O111" t="b">
        <f t="shared" si="86"/>
        <v>0</v>
      </c>
      <c r="P111" t="b">
        <f t="shared" si="86"/>
        <v>0</v>
      </c>
      <c r="Q111" t="b">
        <v>1</v>
      </c>
      <c r="R111" t="b" cm="1">
        <f t="array" ref="R111">_xlfn.IFS(C111=1,FALSE,OR(C111=2,C111&gt;2),TRUE)</f>
        <v>1</v>
      </c>
      <c r="S111" t="b" cm="1">
        <f t="array" ref="S111">_xlfn.IFS(OR(C111=1,C111=2),FALSE,OR(C111=3,C111&gt;3),TRUE)</f>
        <v>0</v>
      </c>
      <c r="T111" t="str">
        <f t="shared" si="63"/>
        <v>TRUE</v>
      </c>
      <c r="U111" t="str">
        <f t="shared" si="64"/>
        <v>FALSE</v>
      </c>
      <c r="V111" t="str">
        <f t="shared" si="65"/>
        <v>FALSE</v>
      </c>
      <c r="W111" t="b" cm="1">
        <f t="array" ref="W111">_xlfn.IFS(H111=1,FALSE,OR(H111=2,H111&gt;2),TRUE)</f>
        <v>1</v>
      </c>
      <c r="X111" t="b" cm="1">
        <f t="array" ref="X111">_xlfn.IFS(H111=1,FALSE,OR(H111=2,H111&gt;2),TRUE)</f>
        <v>1</v>
      </c>
      <c r="Y111" t="b" cm="1">
        <f t="array" ref="Y111">_xlfn.IFS(H111=1,FALSE,OR(H111=2,H111&gt;2),TRUE)</f>
        <v>1</v>
      </c>
      <c r="AB111" t="str">
        <f t="shared" ref="AB111:AC111" si="88">AB90</f>
        <v>External Scaffolding</v>
      </c>
      <c r="AC111" t="str">
        <f t="shared" si="88"/>
        <v>Adaption Tower</v>
      </c>
      <c r="AD111" t="b">
        <f t="shared" ca="1" si="69"/>
        <v>1</v>
      </c>
      <c r="AE111" s="1" t="str">
        <f t="shared" ca="1" si="13"/>
        <v>6-8</v>
      </c>
      <c r="AF111" t="str">
        <f t="shared" ca="1" si="67"/>
        <v>Plot 6-8</v>
      </c>
    </row>
    <row r="112" spans="1:32" x14ac:dyDescent="0.25">
      <c r="A112" t="s">
        <v>164</v>
      </c>
      <c r="B112" s="51">
        <v>157</v>
      </c>
      <c r="C112">
        <v>2</v>
      </c>
      <c r="D112">
        <v>3</v>
      </c>
      <c r="E112" t="b">
        <f t="shared" si="86"/>
        <v>1</v>
      </c>
      <c r="F112" t="b">
        <f t="shared" si="86"/>
        <v>1</v>
      </c>
      <c r="G112" t="b">
        <f t="shared" si="86"/>
        <v>1</v>
      </c>
      <c r="H112" t="b">
        <f t="shared" si="86"/>
        <v>0</v>
      </c>
      <c r="I112" t="b">
        <f t="shared" si="86"/>
        <v>0</v>
      </c>
      <c r="J112" t="b">
        <f t="shared" si="86"/>
        <v>0</v>
      </c>
      <c r="K112" t="b">
        <f t="shared" si="86"/>
        <v>1</v>
      </c>
      <c r="L112" t="b">
        <f t="shared" si="86"/>
        <v>1</v>
      </c>
      <c r="M112" t="b">
        <f t="shared" si="86"/>
        <v>1</v>
      </c>
      <c r="N112" t="b">
        <f t="shared" si="86"/>
        <v>0</v>
      </c>
      <c r="O112" t="b">
        <f t="shared" si="86"/>
        <v>0</v>
      </c>
      <c r="P112" t="b">
        <f t="shared" si="86"/>
        <v>0</v>
      </c>
      <c r="Q112" t="b">
        <v>1</v>
      </c>
      <c r="R112" t="b" cm="1">
        <f t="array" ref="R112">_xlfn.IFS(C112=1,FALSE,OR(C112=2,C112&gt;2),TRUE)</f>
        <v>1</v>
      </c>
      <c r="S112" t="b" cm="1">
        <f t="array" ref="S112">_xlfn.IFS(OR(C112=1,C112=2),FALSE,OR(C112=3,C112&gt;3),TRUE)</f>
        <v>0</v>
      </c>
      <c r="T112" t="str">
        <f t="shared" si="63"/>
        <v>TRUE</v>
      </c>
      <c r="U112" t="str">
        <f t="shared" si="64"/>
        <v>FALSE</v>
      </c>
      <c r="V112" t="str">
        <f t="shared" si="65"/>
        <v>FALSE</v>
      </c>
      <c r="W112" t="b" cm="1">
        <f t="array" ref="W112">_xlfn.IFS(H112=1,FALSE,OR(H112=2,H112&gt;2),TRUE)</f>
        <v>1</v>
      </c>
      <c r="X112" t="b" cm="1">
        <f t="array" ref="X112">_xlfn.IFS(H112=1,FALSE,OR(H112=2,H112&gt;2),TRUE)</f>
        <v>1</v>
      </c>
      <c r="Y112" t="b" cm="1">
        <f t="array" ref="Y112">_xlfn.IFS(H112=1,FALSE,OR(H112=2,H112&gt;2),TRUE)</f>
        <v>1</v>
      </c>
      <c r="AB112" t="str">
        <f t="shared" ref="AB112:AC112" si="89">AB91</f>
        <v>External Scaffolding</v>
      </c>
      <c r="AC112" t="str">
        <f t="shared" si="89"/>
        <v>Lift 1</v>
      </c>
      <c r="AD112" t="b">
        <f t="shared" ca="1" si="69"/>
        <v>1</v>
      </c>
      <c r="AE112" s="1" t="str">
        <f t="shared" ca="1" si="13"/>
        <v>9-11</v>
      </c>
      <c r="AF112" t="str">
        <f t="shared" ca="1" si="67"/>
        <v>Plot 9-11</v>
      </c>
    </row>
    <row r="113" spans="1:32" x14ac:dyDescent="0.25">
      <c r="A113" t="s">
        <v>164</v>
      </c>
      <c r="B113" s="51">
        <v>158</v>
      </c>
      <c r="C113">
        <v>2</v>
      </c>
      <c r="D113">
        <v>3</v>
      </c>
      <c r="E113" t="b">
        <f t="shared" si="86"/>
        <v>1</v>
      </c>
      <c r="F113" t="b">
        <f t="shared" si="86"/>
        <v>1</v>
      </c>
      <c r="G113" t="b">
        <f t="shared" si="86"/>
        <v>1</v>
      </c>
      <c r="H113" t="b">
        <f t="shared" si="86"/>
        <v>0</v>
      </c>
      <c r="I113" t="b">
        <f t="shared" si="86"/>
        <v>0</v>
      </c>
      <c r="J113" t="b">
        <f t="shared" si="86"/>
        <v>0</v>
      </c>
      <c r="K113" t="b">
        <f t="shared" si="86"/>
        <v>1</v>
      </c>
      <c r="L113" t="b">
        <f t="shared" si="86"/>
        <v>1</v>
      </c>
      <c r="M113" t="b">
        <f t="shared" si="86"/>
        <v>1</v>
      </c>
      <c r="N113" t="b">
        <f t="shared" si="86"/>
        <v>0</v>
      </c>
      <c r="O113" t="b">
        <f t="shared" si="86"/>
        <v>0</v>
      </c>
      <c r="P113" t="b">
        <f t="shared" si="86"/>
        <v>0</v>
      </c>
      <c r="Q113" t="b">
        <v>1</v>
      </c>
      <c r="R113" t="b" cm="1">
        <f t="array" ref="R113">_xlfn.IFS(C113=1,FALSE,OR(C113=2,C113&gt;2),TRUE)</f>
        <v>1</v>
      </c>
      <c r="S113" t="b" cm="1">
        <f t="array" ref="S113">_xlfn.IFS(OR(C113=1,C113=2),FALSE,OR(C113=3,C113&gt;3),TRUE)</f>
        <v>0</v>
      </c>
      <c r="T113" t="str">
        <f t="shared" si="63"/>
        <v>TRUE</v>
      </c>
      <c r="U113" t="str">
        <f t="shared" si="64"/>
        <v>FALSE</v>
      </c>
      <c r="V113" t="str">
        <f t="shared" si="65"/>
        <v>FALSE</v>
      </c>
      <c r="W113" t="b" cm="1">
        <f t="array" ref="W113">_xlfn.IFS(H113=1,FALSE,OR(H113=2,H113&gt;2),TRUE)</f>
        <v>1</v>
      </c>
      <c r="X113" t="b" cm="1">
        <f t="array" ref="X113">_xlfn.IFS(H113=1,FALSE,OR(H113=2,H113&gt;2),TRUE)</f>
        <v>1</v>
      </c>
      <c r="Y113" t="b" cm="1">
        <f t="array" ref="Y113">_xlfn.IFS(H113=1,FALSE,OR(H113=2,H113&gt;2),TRUE)</f>
        <v>1</v>
      </c>
      <c r="AB113" t="str">
        <f t="shared" ref="AB113:AC113" si="90">AB92</f>
        <v>External Scaffolding</v>
      </c>
      <c r="AC113" t="str">
        <f t="shared" si="90"/>
        <v>Lift 2</v>
      </c>
      <c r="AD113" t="b">
        <f t="shared" ca="1" si="69"/>
        <v>1</v>
      </c>
      <c r="AE113" s="1" t="str">
        <f t="shared" ca="1" si="13"/>
        <v>9-11</v>
      </c>
      <c r="AF113" t="str">
        <f t="shared" ca="1" si="67"/>
        <v>Plot 9-11</v>
      </c>
    </row>
    <row r="114" spans="1:32" x14ac:dyDescent="0.25">
      <c r="A114" t="s">
        <v>164</v>
      </c>
      <c r="B114" s="51">
        <v>159</v>
      </c>
      <c r="C114">
        <v>2</v>
      </c>
      <c r="D114">
        <v>3</v>
      </c>
      <c r="E114" t="b">
        <f t="shared" si="86"/>
        <v>1</v>
      </c>
      <c r="F114" t="b">
        <f t="shared" si="86"/>
        <v>1</v>
      </c>
      <c r="G114" t="b">
        <f t="shared" si="86"/>
        <v>1</v>
      </c>
      <c r="H114" t="b">
        <f t="shared" si="86"/>
        <v>0</v>
      </c>
      <c r="I114" t="b">
        <f t="shared" si="86"/>
        <v>0</v>
      </c>
      <c r="J114" t="b">
        <f t="shared" si="86"/>
        <v>0</v>
      </c>
      <c r="K114" t="b">
        <f t="shared" si="86"/>
        <v>1</v>
      </c>
      <c r="L114" t="b">
        <f t="shared" si="86"/>
        <v>1</v>
      </c>
      <c r="M114" t="b">
        <f t="shared" si="86"/>
        <v>1</v>
      </c>
      <c r="N114" t="b">
        <f t="shared" si="86"/>
        <v>0</v>
      </c>
      <c r="O114" t="b">
        <f t="shared" si="86"/>
        <v>0</v>
      </c>
      <c r="P114" t="b">
        <f t="shared" si="86"/>
        <v>0</v>
      </c>
      <c r="Q114" t="b">
        <v>1</v>
      </c>
      <c r="R114" t="b" cm="1">
        <f t="array" ref="R114">_xlfn.IFS(C114=1,FALSE,OR(C114=2,C114&gt;2),TRUE)</f>
        <v>1</v>
      </c>
      <c r="S114" t="b" cm="1">
        <f t="array" ref="S114">_xlfn.IFS(OR(C114=1,C114=2),FALSE,OR(C114=3,C114&gt;3),TRUE)</f>
        <v>0</v>
      </c>
      <c r="T114" t="str">
        <f t="shared" si="63"/>
        <v>TRUE</v>
      </c>
      <c r="U114" t="str">
        <f t="shared" si="64"/>
        <v>FALSE</v>
      </c>
      <c r="V114" t="str">
        <f t="shared" si="65"/>
        <v>FALSE</v>
      </c>
      <c r="W114" t="b" cm="1">
        <f t="array" ref="W114">_xlfn.IFS(H114=1,FALSE,OR(H114=2,H114&gt;2),TRUE)</f>
        <v>1</v>
      </c>
      <c r="X114" t="b" cm="1">
        <f t="array" ref="X114">_xlfn.IFS(H114=1,FALSE,OR(H114=2,H114&gt;2),TRUE)</f>
        <v>1</v>
      </c>
      <c r="Y114" t="b" cm="1">
        <f t="array" ref="Y114">_xlfn.IFS(H114=1,FALSE,OR(H114=2,H114&gt;2),TRUE)</f>
        <v>1</v>
      </c>
      <c r="AB114" t="str">
        <f t="shared" ref="AB114:AC114" si="91">AB93</f>
        <v>External Scaffolding</v>
      </c>
      <c r="AC114" t="str">
        <f t="shared" si="91"/>
        <v>Lift 3</v>
      </c>
      <c r="AD114" t="b">
        <f t="shared" ca="1" si="69"/>
        <v>1</v>
      </c>
      <c r="AE114" s="1" t="str">
        <f t="shared" ref="AE114:AE177" ca="1" si="92">OFFSET($AD$1,0,FLOOR(ROW(B86)/21,1))</f>
        <v>9-11</v>
      </c>
      <c r="AF114" t="str">
        <f t="shared" ca="1" si="67"/>
        <v>Plot 9-11</v>
      </c>
    </row>
    <row r="115" spans="1:32" x14ac:dyDescent="0.25">
      <c r="A115" t="s">
        <v>165</v>
      </c>
      <c r="B115" s="51" t="s">
        <v>202</v>
      </c>
      <c r="C115">
        <v>1</v>
      </c>
      <c r="D115">
        <v>2</v>
      </c>
      <c r="E115" t="b">
        <f t="shared" si="86"/>
        <v>1</v>
      </c>
      <c r="F115" t="b">
        <f t="shared" si="86"/>
        <v>1</v>
      </c>
      <c r="G115" t="b">
        <f t="shared" si="86"/>
        <v>0</v>
      </c>
      <c r="H115" t="b">
        <f t="shared" si="86"/>
        <v>0</v>
      </c>
      <c r="I115" t="b">
        <f t="shared" si="86"/>
        <v>0</v>
      </c>
      <c r="J115" t="b">
        <f t="shared" si="86"/>
        <v>0</v>
      </c>
      <c r="K115" t="b">
        <f t="shared" si="86"/>
        <v>1</v>
      </c>
      <c r="L115" t="b">
        <f t="shared" si="86"/>
        <v>1</v>
      </c>
      <c r="M115" t="b">
        <f t="shared" si="86"/>
        <v>0</v>
      </c>
      <c r="N115" t="b">
        <f t="shared" si="86"/>
        <v>0</v>
      </c>
      <c r="O115" t="b">
        <f t="shared" si="86"/>
        <v>0</v>
      </c>
      <c r="P115" t="b">
        <f t="shared" si="86"/>
        <v>0</v>
      </c>
      <c r="Q115" t="b">
        <v>1</v>
      </c>
      <c r="R115" t="b" cm="1">
        <f t="array" ref="R115">_xlfn.IFS(C115=1,FALSE,OR(C115=2,C115&gt;2),TRUE)</f>
        <v>0</v>
      </c>
      <c r="S115" t="b" cm="1">
        <f t="array" ref="S115">_xlfn.IFS(OR(C115=1,C115=2),FALSE,OR(C115=3,C115&gt;3),TRUE)</f>
        <v>0</v>
      </c>
      <c r="T115" t="str">
        <f t="shared" si="63"/>
        <v>FALSE</v>
      </c>
      <c r="U115" t="str">
        <f t="shared" si="64"/>
        <v>FALSE</v>
      </c>
      <c r="V115" t="str">
        <f t="shared" si="65"/>
        <v>FALSE</v>
      </c>
      <c r="W115" t="b" cm="1">
        <f t="array" ref="W115">_xlfn.IFS(H115=1,FALSE,OR(H115=2,H115&gt;2),TRUE)</f>
        <v>1</v>
      </c>
      <c r="X115" t="b" cm="1">
        <f t="array" ref="X115">_xlfn.IFS(H115=1,FALSE,OR(H115=2,H115&gt;2),TRUE)</f>
        <v>1</v>
      </c>
      <c r="Y115" t="b" cm="1">
        <f t="array" ref="Y115">_xlfn.IFS(H115=1,FALSE,OR(H115=2,H115&gt;2),TRUE)</f>
        <v>1</v>
      </c>
      <c r="AB115" t="str">
        <f t="shared" ref="AB115:AC115" si="93">AB94</f>
        <v>External Scaffolding</v>
      </c>
      <c r="AC115" t="str">
        <f t="shared" si="93"/>
        <v>Lift 4</v>
      </c>
      <c r="AD115" t="b">
        <f t="shared" ca="1" si="69"/>
        <v>0</v>
      </c>
      <c r="AE115" s="1" t="str">
        <f t="shared" ca="1" si="92"/>
        <v>9-11</v>
      </c>
      <c r="AF115" t="str">
        <f t="shared" ca="1" si="67"/>
        <v>Plot 9-11</v>
      </c>
    </row>
    <row r="116" spans="1:32" x14ac:dyDescent="0.25">
      <c r="A116" t="s">
        <v>165</v>
      </c>
      <c r="B116" s="51" t="s">
        <v>203</v>
      </c>
      <c r="C116">
        <v>1</v>
      </c>
      <c r="D116">
        <v>2</v>
      </c>
      <c r="E116" t="b">
        <f t="shared" si="86"/>
        <v>1</v>
      </c>
      <c r="F116" t="b">
        <f t="shared" si="86"/>
        <v>1</v>
      </c>
      <c r="G116" t="b">
        <f t="shared" si="86"/>
        <v>0</v>
      </c>
      <c r="H116" t="b">
        <f t="shared" si="86"/>
        <v>0</v>
      </c>
      <c r="I116" t="b">
        <f t="shared" si="86"/>
        <v>0</v>
      </c>
      <c r="J116" t="b">
        <f t="shared" si="86"/>
        <v>0</v>
      </c>
      <c r="K116" t="b">
        <f t="shared" si="86"/>
        <v>1</v>
      </c>
      <c r="L116" t="b">
        <f t="shared" si="86"/>
        <v>1</v>
      </c>
      <c r="M116" t="b">
        <f t="shared" si="86"/>
        <v>0</v>
      </c>
      <c r="N116" t="b">
        <f t="shared" si="86"/>
        <v>0</v>
      </c>
      <c r="O116" t="b">
        <f t="shared" si="86"/>
        <v>0</v>
      </c>
      <c r="P116" t="b">
        <f t="shared" si="86"/>
        <v>0</v>
      </c>
      <c r="Q116" t="b">
        <v>1</v>
      </c>
      <c r="R116" t="b" cm="1">
        <f t="array" ref="R116">_xlfn.IFS(C116=1,FALSE,OR(C116=2,C116&gt;2),TRUE)</f>
        <v>0</v>
      </c>
      <c r="S116" t="b" cm="1">
        <f t="array" ref="S116">_xlfn.IFS(OR(C116=1,C116=2),FALSE,OR(C116=3,C116&gt;3),TRUE)</f>
        <v>0</v>
      </c>
      <c r="T116" t="str">
        <f t="shared" si="63"/>
        <v>FALSE</v>
      </c>
      <c r="U116" t="str">
        <f t="shared" si="64"/>
        <v>FALSE</v>
      </c>
      <c r="V116" t="str">
        <f t="shared" si="65"/>
        <v>FALSE</v>
      </c>
      <c r="W116" t="b" cm="1">
        <f t="array" ref="W116">_xlfn.IFS(H116=1,FALSE,OR(H116=2,H116&gt;2),TRUE)</f>
        <v>1</v>
      </c>
      <c r="X116" t="b" cm="1">
        <f t="array" ref="X116">_xlfn.IFS(H116=1,FALSE,OR(H116=2,H116&gt;2),TRUE)</f>
        <v>1</v>
      </c>
      <c r="Y116" t="b" cm="1">
        <f t="array" ref="Y116">_xlfn.IFS(H116=1,FALSE,OR(H116=2,H116&gt;2),TRUE)</f>
        <v>1</v>
      </c>
      <c r="AB116" t="str">
        <f t="shared" ref="AB116:AC116" si="94">AB95</f>
        <v>External Scaffolding</v>
      </c>
      <c r="AC116" t="str">
        <f t="shared" si="94"/>
        <v>Lift 5</v>
      </c>
      <c r="AD116" t="b">
        <f t="shared" ca="1" si="69"/>
        <v>0</v>
      </c>
      <c r="AE116" s="1" t="str">
        <f t="shared" ca="1" si="92"/>
        <v>9-11</v>
      </c>
      <c r="AF116" t="str">
        <f t="shared" ca="1" si="67"/>
        <v>Plot 9-11</v>
      </c>
    </row>
    <row r="117" spans="1:32" x14ac:dyDescent="0.25">
      <c r="A117" t="s">
        <v>164</v>
      </c>
      <c r="B117" s="51">
        <v>164</v>
      </c>
      <c r="C117">
        <v>2</v>
      </c>
      <c r="D117">
        <v>3</v>
      </c>
      <c r="E117" t="b">
        <f t="shared" si="86"/>
        <v>1</v>
      </c>
      <c r="F117" t="b">
        <f t="shared" si="86"/>
        <v>1</v>
      </c>
      <c r="G117" t="b">
        <f t="shared" si="86"/>
        <v>1</v>
      </c>
      <c r="H117" t="b">
        <f t="shared" si="86"/>
        <v>0</v>
      </c>
      <c r="I117" t="b">
        <f t="shared" si="86"/>
        <v>0</v>
      </c>
      <c r="J117" t="b">
        <f t="shared" si="86"/>
        <v>0</v>
      </c>
      <c r="K117" t="b">
        <f t="shared" si="86"/>
        <v>1</v>
      </c>
      <c r="L117" t="b">
        <f t="shared" si="86"/>
        <v>1</v>
      </c>
      <c r="M117" t="b">
        <f t="shared" si="86"/>
        <v>1</v>
      </c>
      <c r="N117" t="b">
        <f t="shared" si="86"/>
        <v>0</v>
      </c>
      <c r="O117" t="b">
        <f t="shared" si="86"/>
        <v>0</v>
      </c>
      <c r="P117" t="b">
        <f t="shared" si="86"/>
        <v>0</v>
      </c>
      <c r="Q117" t="b">
        <v>1</v>
      </c>
      <c r="R117" t="b" cm="1">
        <f t="array" ref="R117">_xlfn.IFS(C117=1,FALSE,OR(C117=2,C117&gt;2),TRUE)</f>
        <v>1</v>
      </c>
      <c r="S117" t="b" cm="1">
        <f t="array" ref="S117">_xlfn.IFS(OR(C117=1,C117=2),FALSE,OR(C117=3,C117&gt;3),TRUE)</f>
        <v>0</v>
      </c>
      <c r="T117" t="str">
        <f t="shared" si="63"/>
        <v>TRUE</v>
      </c>
      <c r="U117" t="str">
        <f t="shared" si="64"/>
        <v>FALSE</v>
      </c>
      <c r="V117" t="str">
        <f t="shared" si="65"/>
        <v>FALSE</v>
      </c>
      <c r="W117" t="b" cm="1">
        <f t="array" ref="W117">_xlfn.IFS(H117=1,FALSE,OR(H117=2,H117&gt;2),TRUE)</f>
        <v>1</v>
      </c>
      <c r="X117" t="b" cm="1">
        <f t="array" ref="X117">_xlfn.IFS(H117=1,FALSE,OR(H117=2,H117&gt;2),TRUE)</f>
        <v>1</v>
      </c>
      <c r="Y117" t="b" cm="1">
        <f t="array" ref="Y117">_xlfn.IFS(H117=1,FALSE,OR(H117=2,H117&gt;2),TRUE)</f>
        <v>1</v>
      </c>
      <c r="AB117" t="str">
        <f t="shared" ref="AB117:AC117" si="95">AB96</f>
        <v>External Scaffolding</v>
      </c>
      <c r="AC117" t="str">
        <f t="shared" si="95"/>
        <v>Lift 6</v>
      </c>
      <c r="AD117" t="b">
        <f t="shared" ca="1" si="69"/>
        <v>0</v>
      </c>
      <c r="AE117" s="1" t="str">
        <f t="shared" ca="1" si="92"/>
        <v>9-11</v>
      </c>
      <c r="AF117" t="str">
        <f t="shared" ca="1" si="67"/>
        <v>Plot 9-11</v>
      </c>
    </row>
    <row r="118" spans="1:32" x14ac:dyDescent="0.25">
      <c r="A118" t="s">
        <v>164</v>
      </c>
      <c r="B118" s="51">
        <v>165</v>
      </c>
      <c r="C118">
        <v>2</v>
      </c>
      <c r="D118">
        <v>3</v>
      </c>
      <c r="E118" t="b">
        <f t="shared" si="86"/>
        <v>1</v>
      </c>
      <c r="F118" t="b">
        <f t="shared" si="86"/>
        <v>1</v>
      </c>
      <c r="G118" t="b">
        <f t="shared" si="86"/>
        <v>1</v>
      </c>
      <c r="H118" t="b">
        <f t="shared" si="86"/>
        <v>0</v>
      </c>
      <c r="I118" t="b">
        <f t="shared" si="86"/>
        <v>0</v>
      </c>
      <c r="J118" t="b">
        <f t="shared" si="86"/>
        <v>0</v>
      </c>
      <c r="K118" t="b">
        <f t="shared" si="86"/>
        <v>1</v>
      </c>
      <c r="L118" t="b">
        <f t="shared" si="86"/>
        <v>1</v>
      </c>
      <c r="M118" t="b">
        <f t="shared" si="86"/>
        <v>1</v>
      </c>
      <c r="N118" t="b">
        <f t="shared" si="86"/>
        <v>0</v>
      </c>
      <c r="O118" t="b">
        <f t="shared" si="86"/>
        <v>0</v>
      </c>
      <c r="P118" t="b">
        <f t="shared" si="86"/>
        <v>0</v>
      </c>
      <c r="Q118" t="b">
        <v>1</v>
      </c>
      <c r="R118" t="b" cm="1">
        <f t="array" ref="R118">_xlfn.IFS(C118=1,FALSE,OR(C118=2,C118&gt;2),TRUE)</f>
        <v>1</v>
      </c>
      <c r="S118" t="b" cm="1">
        <f t="array" ref="S118">_xlfn.IFS(OR(C118=1,C118=2),FALSE,OR(C118=3,C118&gt;3),TRUE)</f>
        <v>0</v>
      </c>
      <c r="T118" t="str">
        <f t="shared" si="63"/>
        <v>TRUE</v>
      </c>
      <c r="U118" t="str">
        <f t="shared" si="64"/>
        <v>FALSE</v>
      </c>
      <c r="V118" t="str">
        <f t="shared" si="65"/>
        <v>FALSE</v>
      </c>
      <c r="W118" t="b" cm="1">
        <f t="array" ref="W118">_xlfn.IFS(H118=1,FALSE,OR(H118=2,H118&gt;2),TRUE)</f>
        <v>1</v>
      </c>
      <c r="X118" t="b" cm="1">
        <f t="array" ref="X118">_xlfn.IFS(H118=1,FALSE,OR(H118=2,H118&gt;2),TRUE)</f>
        <v>1</v>
      </c>
      <c r="Y118" t="b" cm="1">
        <f t="array" ref="Y118">_xlfn.IFS(H118=1,FALSE,OR(H118=2,H118&gt;2),TRUE)</f>
        <v>1</v>
      </c>
      <c r="AB118" t="str">
        <f t="shared" ref="AB118:AC118" si="96">AB97</f>
        <v>Loading Bay</v>
      </c>
      <c r="AC118" t="str">
        <f t="shared" si="96"/>
        <v>Lift 1</v>
      </c>
      <c r="AD118" t="b">
        <f t="shared" ca="1" si="69"/>
        <v>1</v>
      </c>
      <c r="AE118" s="1" t="str">
        <f t="shared" ca="1" si="92"/>
        <v>9-11</v>
      </c>
      <c r="AF118" t="str">
        <f t="shared" ca="1" si="67"/>
        <v>Plot 9-11</v>
      </c>
    </row>
    <row r="119" spans="1:32" x14ac:dyDescent="0.25">
      <c r="A119" t="s">
        <v>165</v>
      </c>
      <c r="B119" s="51" t="s">
        <v>204</v>
      </c>
      <c r="C119">
        <v>2</v>
      </c>
      <c r="D119">
        <v>3</v>
      </c>
      <c r="E119" t="b">
        <f t="shared" si="86"/>
        <v>1</v>
      </c>
      <c r="F119" t="b">
        <f t="shared" si="86"/>
        <v>1</v>
      </c>
      <c r="G119" t="b">
        <f t="shared" si="86"/>
        <v>1</v>
      </c>
      <c r="H119" t="b">
        <f t="shared" si="86"/>
        <v>0</v>
      </c>
      <c r="I119" t="b">
        <f t="shared" si="86"/>
        <v>0</v>
      </c>
      <c r="J119" t="b">
        <f t="shared" si="86"/>
        <v>0</v>
      </c>
      <c r="K119" t="b">
        <f t="shared" si="86"/>
        <v>1</v>
      </c>
      <c r="L119" t="b">
        <f t="shared" si="86"/>
        <v>1</v>
      </c>
      <c r="M119" t="b">
        <f t="shared" si="86"/>
        <v>1</v>
      </c>
      <c r="N119" t="b">
        <f t="shared" si="86"/>
        <v>0</v>
      </c>
      <c r="O119" t="b">
        <f t="shared" si="86"/>
        <v>0</v>
      </c>
      <c r="P119" t="b">
        <f t="shared" si="86"/>
        <v>0</v>
      </c>
      <c r="Q119" t="b">
        <v>1</v>
      </c>
      <c r="R119" t="b" cm="1">
        <f t="array" ref="R119">_xlfn.IFS(C119=1,FALSE,OR(C119=2,C119&gt;2),TRUE)</f>
        <v>1</v>
      </c>
      <c r="S119" t="b" cm="1">
        <f t="array" ref="S119">_xlfn.IFS(OR(C119=1,C119=2),FALSE,OR(C119=3,C119&gt;3),TRUE)</f>
        <v>0</v>
      </c>
      <c r="T119" t="str">
        <f t="shared" si="63"/>
        <v>TRUE</v>
      </c>
      <c r="U119" t="str">
        <f t="shared" si="64"/>
        <v>FALSE</v>
      </c>
      <c r="V119" t="str">
        <f t="shared" si="65"/>
        <v>FALSE</v>
      </c>
      <c r="W119" t="b" cm="1">
        <f t="array" ref="W119">_xlfn.IFS(H119=1,FALSE,OR(H119=2,H119&gt;2),TRUE)</f>
        <v>1</v>
      </c>
      <c r="X119" t="b" cm="1">
        <f t="array" ref="X119">_xlfn.IFS(H119=1,FALSE,OR(H119=2,H119&gt;2),TRUE)</f>
        <v>1</v>
      </c>
      <c r="Y119" t="b" cm="1">
        <f t="array" ref="Y119">_xlfn.IFS(H119=1,FALSE,OR(H119=2,H119&gt;2),TRUE)</f>
        <v>1</v>
      </c>
      <c r="AB119" t="str">
        <f t="shared" ref="AB119:AC119" si="97">AB98</f>
        <v>Loading Bay</v>
      </c>
      <c r="AC119" t="str">
        <f t="shared" si="97"/>
        <v>Lift 2</v>
      </c>
      <c r="AD119" t="b">
        <f t="shared" ca="1" si="69"/>
        <v>1</v>
      </c>
      <c r="AE119" s="1" t="str">
        <f t="shared" ca="1" si="92"/>
        <v>9-11</v>
      </c>
      <c r="AF119" t="str">
        <f t="shared" ca="1" si="67"/>
        <v>Plot 9-11</v>
      </c>
    </row>
    <row r="120" spans="1:32" x14ac:dyDescent="0.25">
      <c r="A120" t="s">
        <v>165</v>
      </c>
      <c r="B120" s="51" t="s">
        <v>205</v>
      </c>
      <c r="C120">
        <v>3</v>
      </c>
      <c r="D120">
        <v>6</v>
      </c>
      <c r="E120" t="b">
        <f t="shared" si="86"/>
        <v>1</v>
      </c>
      <c r="F120" t="b">
        <f t="shared" si="86"/>
        <v>1</v>
      </c>
      <c r="G120" t="b">
        <f t="shared" si="86"/>
        <v>1</v>
      </c>
      <c r="H120" t="b">
        <f t="shared" si="86"/>
        <v>1</v>
      </c>
      <c r="I120" t="b">
        <f t="shared" si="86"/>
        <v>1</v>
      </c>
      <c r="J120" t="b">
        <f t="shared" si="86"/>
        <v>1</v>
      </c>
      <c r="K120" t="b">
        <f t="shared" si="86"/>
        <v>1</v>
      </c>
      <c r="L120" t="b">
        <f t="shared" si="86"/>
        <v>1</v>
      </c>
      <c r="M120" t="b">
        <f t="shared" si="86"/>
        <v>1</v>
      </c>
      <c r="N120" t="b">
        <f t="shared" si="86"/>
        <v>1</v>
      </c>
      <c r="O120" t="b">
        <f t="shared" si="86"/>
        <v>1</v>
      </c>
      <c r="P120" t="b">
        <f t="shared" si="86"/>
        <v>1</v>
      </c>
      <c r="Q120" t="b">
        <v>1</v>
      </c>
      <c r="R120" t="b" cm="1">
        <f t="array" ref="R120">_xlfn.IFS(C120=1,FALSE,OR(C120=2,C120&gt;2),TRUE)</f>
        <v>1</v>
      </c>
      <c r="S120" t="b" cm="1">
        <f t="array" ref="S120">_xlfn.IFS(OR(C120=1,C120=2),FALSE,OR(C120=3,C120&gt;3),TRUE)</f>
        <v>1</v>
      </c>
      <c r="T120" t="str">
        <f t="shared" si="63"/>
        <v>TRUE</v>
      </c>
      <c r="U120" t="str">
        <f t="shared" si="64"/>
        <v>TRUE</v>
      </c>
      <c r="V120" t="str">
        <f t="shared" si="65"/>
        <v>FALSE</v>
      </c>
      <c r="W120" t="b" cm="1">
        <f t="array" ref="W120">_xlfn.IFS(H120=1,FALSE,OR(H120=2,H120&gt;2),TRUE)</f>
        <v>1</v>
      </c>
      <c r="X120" t="b" cm="1">
        <f t="array" ref="X120">_xlfn.IFS(H120=1,FALSE,OR(H120=2,H120&gt;2),TRUE)</f>
        <v>1</v>
      </c>
      <c r="Y120" t="b" cm="1">
        <f t="array" ref="Y120">_xlfn.IFS(H120=1,FALSE,OR(H120=2,H120&gt;2),TRUE)</f>
        <v>1</v>
      </c>
      <c r="AB120" t="str">
        <f t="shared" ref="AB120:AC120" si="98">AB99</f>
        <v>Loading Bay</v>
      </c>
      <c r="AC120" t="str">
        <f t="shared" si="98"/>
        <v>Lift 3</v>
      </c>
      <c r="AD120" t="b">
        <f t="shared" ca="1" si="69"/>
        <v>1</v>
      </c>
      <c r="AE120" s="1" t="str">
        <f t="shared" ca="1" si="92"/>
        <v>9-11</v>
      </c>
      <c r="AF120" t="str">
        <f t="shared" ca="1" si="67"/>
        <v>Plot 9-11</v>
      </c>
    </row>
    <row r="121" spans="1:32" x14ac:dyDescent="0.25">
      <c r="A121" t="s">
        <v>164</v>
      </c>
      <c r="B121" s="51">
        <v>172</v>
      </c>
      <c r="C121">
        <v>2</v>
      </c>
      <c r="D121">
        <v>3</v>
      </c>
      <c r="E121" t="b">
        <f t="shared" si="86"/>
        <v>1</v>
      </c>
      <c r="F121" t="b">
        <f t="shared" si="86"/>
        <v>1</v>
      </c>
      <c r="G121" t="b">
        <f t="shared" si="86"/>
        <v>1</v>
      </c>
      <c r="H121" t="b">
        <f t="shared" si="86"/>
        <v>0</v>
      </c>
      <c r="I121" t="b">
        <f t="shared" si="86"/>
        <v>0</v>
      </c>
      <c r="J121" t="b">
        <f t="shared" si="86"/>
        <v>0</v>
      </c>
      <c r="K121" t="b">
        <f t="shared" si="86"/>
        <v>1</v>
      </c>
      <c r="L121" t="b">
        <f t="shared" si="86"/>
        <v>1</v>
      </c>
      <c r="M121" t="b">
        <f t="shared" si="86"/>
        <v>1</v>
      </c>
      <c r="N121" t="b">
        <f t="shared" si="86"/>
        <v>0</v>
      </c>
      <c r="O121" t="b">
        <f t="shared" si="86"/>
        <v>0</v>
      </c>
      <c r="P121" t="b">
        <f t="shared" si="86"/>
        <v>0</v>
      </c>
      <c r="Q121" t="b">
        <v>1</v>
      </c>
      <c r="R121" t="b" cm="1">
        <f t="array" ref="R121">_xlfn.IFS(C121=1,FALSE,OR(C121=2,C121&gt;2),TRUE)</f>
        <v>1</v>
      </c>
      <c r="S121" t="b" cm="1">
        <f t="array" ref="S121">_xlfn.IFS(OR(C121=1,C121=2),FALSE,OR(C121=3,C121&gt;3),TRUE)</f>
        <v>0</v>
      </c>
      <c r="T121" t="str">
        <f t="shared" si="63"/>
        <v>TRUE</v>
      </c>
      <c r="U121" t="str">
        <f t="shared" si="64"/>
        <v>FALSE</v>
      </c>
      <c r="V121" t="str">
        <f t="shared" si="65"/>
        <v>FALSE</v>
      </c>
      <c r="W121" t="b" cm="1">
        <f t="array" ref="W121">_xlfn.IFS(H121=1,FALSE,OR(H121=2,H121&gt;2),TRUE)</f>
        <v>1</v>
      </c>
      <c r="X121" t="b" cm="1">
        <f t="array" ref="X121">_xlfn.IFS(H121=1,FALSE,OR(H121=2,H121&gt;2),TRUE)</f>
        <v>1</v>
      </c>
      <c r="Y121" t="b" cm="1">
        <f t="array" ref="Y121">_xlfn.IFS(H121=1,FALSE,OR(H121=2,H121&gt;2),TRUE)</f>
        <v>1</v>
      </c>
      <c r="AB121" t="str">
        <f t="shared" ref="AB121:AC121" si="99">AB100</f>
        <v>Loading Bay</v>
      </c>
      <c r="AC121" t="str">
        <f t="shared" si="99"/>
        <v>Lift 4</v>
      </c>
      <c r="AD121" t="b">
        <f t="shared" ca="1" si="69"/>
        <v>0</v>
      </c>
      <c r="AE121" s="1" t="str">
        <f t="shared" ca="1" si="92"/>
        <v>9-11</v>
      </c>
      <c r="AF121" t="str">
        <f t="shared" ca="1" si="67"/>
        <v>Plot 9-11</v>
      </c>
    </row>
    <row r="122" spans="1:32" x14ac:dyDescent="0.25">
      <c r="A122" t="s">
        <v>164</v>
      </c>
      <c r="B122" s="51">
        <v>173</v>
      </c>
      <c r="C122">
        <v>2</v>
      </c>
      <c r="D122">
        <v>3</v>
      </c>
      <c r="E122" t="b">
        <f t="shared" si="86"/>
        <v>1</v>
      </c>
      <c r="F122" t="b">
        <f t="shared" si="86"/>
        <v>1</v>
      </c>
      <c r="G122" t="b">
        <f t="shared" si="86"/>
        <v>1</v>
      </c>
      <c r="H122" t="b">
        <f t="shared" si="86"/>
        <v>0</v>
      </c>
      <c r="I122" t="b">
        <f t="shared" si="86"/>
        <v>0</v>
      </c>
      <c r="J122" t="b">
        <f t="shared" si="86"/>
        <v>0</v>
      </c>
      <c r="K122" t="b">
        <f t="shared" si="86"/>
        <v>1</v>
      </c>
      <c r="L122" t="b">
        <f t="shared" si="86"/>
        <v>1</v>
      </c>
      <c r="M122" t="b">
        <f t="shared" si="86"/>
        <v>1</v>
      </c>
      <c r="N122" t="b">
        <f t="shared" si="86"/>
        <v>0</v>
      </c>
      <c r="O122" t="b">
        <f t="shared" si="86"/>
        <v>0</v>
      </c>
      <c r="P122" t="b">
        <f t="shared" si="86"/>
        <v>0</v>
      </c>
      <c r="Q122" t="b">
        <v>1</v>
      </c>
      <c r="R122" t="b" cm="1">
        <f t="array" ref="R122">_xlfn.IFS(C122=1,FALSE,OR(C122=2,C122&gt;2),TRUE)</f>
        <v>1</v>
      </c>
      <c r="S122" t="b" cm="1">
        <f t="array" ref="S122">_xlfn.IFS(OR(C122=1,C122=2),FALSE,OR(C122=3,C122&gt;3),TRUE)</f>
        <v>0</v>
      </c>
      <c r="T122" t="str">
        <f t="shared" si="63"/>
        <v>TRUE</v>
      </c>
      <c r="U122" t="str">
        <f t="shared" si="64"/>
        <v>FALSE</v>
      </c>
      <c r="V122" t="str">
        <f t="shared" si="65"/>
        <v>FALSE</v>
      </c>
      <c r="W122" t="b" cm="1">
        <f t="array" ref="W122">_xlfn.IFS(H122=1,FALSE,OR(H122=2,H122&gt;2),TRUE)</f>
        <v>1</v>
      </c>
      <c r="X122" t="b" cm="1">
        <f t="array" ref="X122">_xlfn.IFS(H122=1,FALSE,OR(H122=2,H122&gt;2),TRUE)</f>
        <v>1</v>
      </c>
      <c r="Y122" t="b" cm="1">
        <f t="array" ref="Y122">_xlfn.IFS(H122=1,FALSE,OR(H122=2,H122&gt;2),TRUE)</f>
        <v>1</v>
      </c>
      <c r="AB122" t="str">
        <f t="shared" ref="AB122:AC122" si="100">AB101</f>
        <v>Loading Bay</v>
      </c>
      <c r="AC122" t="str">
        <f t="shared" si="100"/>
        <v>Lift 5</v>
      </c>
      <c r="AD122" t="b">
        <f t="shared" ca="1" si="69"/>
        <v>0</v>
      </c>
      <c r="AE122" s="1" t="str">
        <f t="shared" ca="1" si="92"/>
        <v>9-11</v>
      </c>
      <c r="AF122" t="str">
        <f t="shared" ca="1" si="67"/>
        <v>Plot 9-11</v>
      </c>
    </row>
    <row r="123" spans="1:32" x14ac:dyDescent="0.25">
      <c r="A123" t="s">
        <v>164</v>
      </c>
      <c r="B123" s="51" t="s">
        <v>3</v>
      </c>
      <c r="C123">
        <v>1</v>
      </c>
      <c r="D123">
        <v>3</v>
      </c>
      <c r="E123" t="b">
        <f t="shared" si="86"/>
        <v>1</v>
      </c>
      <c r="F123" t="b">
        <f t="shared" si="86"/>
        <v>1</v>
      </c>
      <c r="G123" t="b">
        <f t="shared" si="86"/>
        <v>1</v>
      </c>
      <c r="H123" t="b">
        <f t="shared" si="86"/>
        <v>0</v>
      </c>
      <c r="I123" t="b">
        <f t="shared" si="86"/>
        <v>0</v>
      </c>
      <c r="J123" t="b">
        <f t="shared" si="86"/>
        <v>0</v>
      </c>
      <c r="K123" t="b">
        <f t="shared" si="86"/>
        <v>1</v>
      </c>
      <c r="L123" t="b">
        <f t="shared" si="86"/>
        <v>1</v>
      </c>
      <c r="M123" t="b">
        <f t="shared" si="86"/>
        <v>1</v>
      </c>
      <c r="N123" t="b">
        <f t="shared" si="86"/>
        <v>0</v>
      </c>
      <c r="O123" t="b">
        <f t="shared" si="86"/>
        <v>0</v>
      </c>
      <c r="P123" t="b">
        <f t="shared" si="86"/>
        <v>0</v>
      </c>
      <c r="Q123" t="b">
        <v>1</v>
      </c>
      <c r="R123" t="b" cm="1">
        <f t="array" ref="R123">_xlfn.IFS(C123=1,FALSE,OR(C123=2,C123&gt;2),TRUE)</f>
        <v>0</v>
      </c>
      <c r="S123" t="b" cm="1">
        <f t="array" ref="S123">_xlfn.IFS(OR(C123=1,C123=2),FALSE,OR(C123=3,C123&gt;3),TRUE)</f>
        <v>0</v>
      </c>
      <c r="T123" t="str">
        <f t="shared" si="63"/>
        <v>FALSE</v>
      </c>
      <c r="U123" t="str">
        <f t="shared" si="64"/>
        <v>FALSE</v>
      </c>
      <c r="V123" t="str">
        <f t="shared" si="65"/>
        <v>FALSE</v>
      </c>
      <c r="W123" t="b" cm="1">
        <f t="array" ref="W123">_xlfn.IFS(H123=1,FALSE,OR(H123=2,H123&gt;2),TRUE)</f>
        <v>1</v>
      </c>
      <c r="X123" t="b" cm="1">
        <f t="array" ref="X123">_xlfn.IFS(H123=1,FALSE,OR(H123=2,H123&gt;2),TRUE)</f>
        <v>1</v>
      </c>
      <c r="Y123" t="b" cm="1">
        <f t="array" ref="Y123">_xlfn.IFS(H123=1,FALSE,OR(H123=2,H123&gt;2),TRUE)</f>
        <v>1</v>
      </c>
      <c r="AB123" t="str">
        <f t="shared" ref="AB123:AC123" si="101">AB102</f>
        <v>Loading Bay</v>
      </c>
      <c r="AC123" t="str">
        <f t="shared" si="101"/>
        <v>Lift 6</v>
      </c>
      <c r="AD123" t="b">
        <f t="shared" ca="1" si="69"/>
        <v>0</v>
      </c>
      <c r="AE123" s="1" t="str">
        <f t="shared" ca="1" si="92"/>
        <v>9-11</v>
      </c>
      <c r="AF123" t="str">
        <f t="shared" ca="1" si="67"/>
        <v>Plot 9-11</v>
      </c>
    </row>
    <row r="124" spans="1:32" x14ac:dyDescent="0.25">
      <c r="A124" t="s">
        <v>164</v>
      </c>
      <c r="B124" s="51" t="s">
        <v>4</v>
      </c>
      <c r="C124">
        <v>1</v>
      </c>
      <c r="D124">
        <v>3</v>
      </c>
      <c r="E124" t="b">
        <f t="shared" si="86"/>
        <v>1</v>
      </c>
      <c r="F124" t="b">
        <f t="shared" si="86"/>
        <v>1</v>
      </c>
      <c r="G124" t="b">
        <f t="shared" si="86"/>
        <v>1</v>
      </c>
      <c r="H124" t="b">
        <f t="shared" ref="H124:P125" si="102">IF(OR(INT(RIGHT(H$2,1))&lt;$D124,INT(RIGHT(H$2,1))=$D124),TRUE,FALSE)</f>
        <v>0</v>
      </c>
      <c r="I124" t="b">
        <f t="shared" si="102"/>
        <v>0</v>
      </c>
      <c r="J124" t="b">
        <f t="shared" si="102"/>
        <v>0</v>
      </c>
      <c r="K124" t="b">
        <f t="shared" si="102"/>
        <v>1</v>
      </c>
      <c r="L124" t="b">
        <f t="shared" si="102"/>
        <v>1</v>
      </c>
      <c r="M124" t="b">
        <f t="shared" si="102"/>
        <v>1</v>
      </c>
      <c r="N124" t="b">
        <f t="shared" si="102"/>
        <v>0</v>
      </c>
      <c r="O124" t="b">
        <f t="shared" si="102"/>
        <v>0</v>
      </c>
      <c r="P124" t="b">
        <f t="shared" si="102"/>
        <v>0</v>
      </c>
      <c r="Q124" t="b">
        <v>1</v>
      </c>
      <c r="R124" t="b" cm="1">
        <f t="array" ref="R124">_xlfn.IFS(C124=1,FALSE,OR(C124=2,C124&gt;2),TRUE)</f>
        <v>0</v>
      </c>
      <c r="S124" t="b" cm="1">
        <f t="array" ref="S124">_xlfn.IFS(OR(C124=1,C124=2),FALSE,OR(C124=3,C124&gt;3),TRUE)</f>
        <v>0</v>
      </c>
      <c r="T124" t="str">
        <f t="shared" si="63"/>
        <v>FALSE</v>
      </c>
      <c r="U124" t="str">
        <f t="shared" si="64"/>
        <v>FALSE</v>
      </c>
      <c r="V124" t="str">
        <f t="shared" si="65"/>
        <v>FALSE</v>
      </c>
      <c r="W124" t="b" cm="1">
        <f t="array" ref="W124">_xlfn.IFS(H124=1,FALSE,OR(H124=2,H124&gt;2),TRUE)</f>
        <v>1</v>
      </c>
      <c r="X124" t="b" cm="1">
        <f t="array" ref="X124">_xlfn.IFS(H124=1,FALSE,OR(H124=2,H124&gt;2),TRUE)</f>
        <v>1</v>
      </c>
      <c r="Y124" t="b" cm="1">
        <f t="array" ref="Y124">_xlfn.IFS(H124=1,FALSE,OR(H124=2,H124&gt;2),TRUE)</f>
        <v>1</v>
      </c>
      <c r="AB124" t="str">
        <f t="shared" ref="AB124:AC124" si="103">AB103</f>
        <v>Scaffolding Platform</v>
      </c>
      <c r="AC124" t="str">
        <f t="shared" si="103"/>
        <v>Ground Floor</v>
      </c>
      <c r="AD124" t="b">
        <f t="shared" ca="1" si="69"/>
        <v>1</v>
      </c>
      <c r="AE124" s="1" t="str">
        <f t="shared" ca="1" si="92"/>
        <v>9-11</v>
      </c>
      <c r="AF124" t="str">
        <f t="shared" ca="1" si="67"/>
        <v>Plot 9-11</v>
      </c>
    </row>
    <row r="125" spans="1:32" x14ac:dyDescent="0.25">
      <c r="A125" t="s">
        <v>164</v>
      </c>
      <c r="B125" s="51" t="s">
        <v>5</v>
      </c>
      <c r="C125">
        <v>1</v>
      </c>
      <c r="D125">
        <v>3</v>
      </c>
      <c r="E125" t="b">
        <f t="shared" ref="E125:P146" si="104">IF(OR(INT(RIGHT(E$2,1))&lt;$D125,INT(RIGHT(E$2,1))=$D125),TRUE,FALSE)</f>
        <v>1</v>
      </c>
      <c r="F125" t="b">
        <f t="shared" si="104"/>
        <v>1</v>
      </c>
      <c r="G125" t="b">
        <f t="shared" si="104"/>
        <v>1</v>
      </c>
      <c r="H125" t="b">
        <f t="shared" si="102"/>
        <v>0</v>
      </c>
      <c r="I125" t="b">
        <f t="shared" si="102"/>
        <v>0</v>
      </c>
      <c r="J125" t="b">
        <f t="shared" si="102"/>
        <v>0</v>
      </c>
      <c r="K125" t="b">
        <f t="shared" si="102"/>
        <v>1</v>
      </c>
      <c r="L125" t="b">
        <f t="shared" si="102"/>
        <v>1</v>
      </c>
      <c r="M125" t="b">
        <f t="shared" si="102"/>
        <v>1</v>
      </c>
      <c r="N125" t="b">
        <f t="shared" si="102"/>
        <v>0</v>
      </c>
      <c r="O125" t="b">
        <f t="shared" si="102"/>
        <v>0</v>
      </c>
      <c r="P125" t="b">
        <f t="shared" si="102"/>
        <v>0</v>
      </c>
      <c r="Q125" t="b">
        <v>1</v>
      </c>
      <c r="R125" t="b" cm="1">
        <f t="array" ref="R125">_xlfn.IFS(C125=1,FALSE,OR(C125=2,C125&gt;2),TRUE)</f>
        <v>0</v>
      </c>
      <c r="S125" t="b" cm="1">
        <f t="array" ref="S125">_xlfn.IFS(OR(C125=1,C125=2),FALSE,OR(C125=3,C125&gt;3),TRUE)</f>
        <v>0</v>
      </c>
      <c r="T125" t="str">
        <f t="shared" si="63"/>
        <v>FALSE</v>
      </c>
      <c r="U125" t="str">
        <f t="shared" si="64"/>
        <v>FALSE</v>
      </c>
      <c r="V125" t="str">
        <f t="shared" si="65"/>
        <v>FALSE</v>
      </c>
      <c r="W125" t="b" cm="1">
        <f t="array" ref="W125">_xlfn.IFS(H125=1,FALSE,OR(H125=2,H125&gt;2),TRUE)</f>
        <v>1</v>
      </c>
      <c r="X125" t="b" cm="1">
        <f t="array" ref="X125">_xlfn.IFS(H125=1,FALSE,OR(H125=2,H125&gt;2),TRUE)</f>
        <v>1</v>
      </c>
      <c r="Y125" t="b" cm="1">
        <f t="array" ref="Y125">_xlfn.IFS(H125=1,FALSE,OR(H125=2,H125&gt;2),TRUE)</f>
        <v>1</v>
      </c>
      <c r="AB125" t="str">
        <f t="shared" ref="AB125:AC125" si="105">AB104</f>
        <v>Scaffolding Platform</v>
      </c>
      <c r="AC125" t="str">
        <f t="shared" si="105"/>
        <v>First Floor</v>
      </c>
      <c r="AD125" t="b">
        <f t="shared" ca="1" si="69"/>
        <v>1</v>
      </c>
      <c r="AE125" s="1" t="str">
        <f t="shared" ca="1" si="92"/>
        <v>9-11</v>
      </c>
      <c r="AF125" t="str">
        <f t="shared" ca="1" si="67"/>
        <v>Plot 9-11</v>
      </c>
    </row>
    <row r="126" spans="1:32" x14ac:dyDescent="0.25">
      <c r="A126" t="s">
        <v>164</v>
      </c>
      <c r="B126" s="51" t="s">
        <v>6</v>
      </c>
      <c r="C126">
        <v>1</v>
      </c>
      <c r="D126">
        <v>3</v>
      </c>
      <c r="E126" t="b">
        <f t="shared" si="104"/>
        <v>1</v>
      </c>
      <c r="F126" t="b">
        <f t="shared" si="104"/>
        <v>1</v>
      </c>
      <c r="G126" t="b">
        <f t="shared" si="104"/>
        <v>1</v>
      </c>
      <c r="H126" t="b">
        <f t="shared" si="104"/>
        <v>0</v>
      </c>
      <c r="I126" t="b">
        <f t="shared" si="104"/>
        <v>0</v>
      </c>
      <c r="J126" t="b">
        <f t="shared" si="104"/>
        <v>0</v>
      </c>
      <c r="K126" t="b">
        <f t="shared" si="104"/>
        <v>1</v>
      </c>
      <c r="L126" t="b">
        <f t="shared" si="104"/>
        <v>1</v>
      </c>
      <c r="M126" t="b">
        <f t="shared" si="104"/>
        <v>1</v>
      </c>
      <c r="N126" t="b">
        <f t="shared" si="104"/>
        <v>0</v>
      </c>
      <c r="O126" t="b">
        <f t="shared" si="104"/>
        <v>0</v>
      </c>
      <c r="P126" t="b">
        <f t="shared" si="104"/>
        <v>0</v>
      </c>
      <c r="Q126" t="b">
        <v>1</v>
      </c>
      <c r="R126" t="b" cm="1">
        <f t="array" ref="R126">_xlfn.IFS(C126=1,FALSE,OR(C126=2,C126&gt;2),TRUE)</f>
        <v>0</v>
      </c>
      <c r="S126" t="b" cm="1">
        <f t="array" ref="S126">_xlfn.IFS(OR(C126=1,C126=2),FALSE,OR(C126=3,C126&gt;3),TRUE)</f>
        <v>0</v>
      </c>
      <c r="T126" t="str">
        <f t="shared" si="63"/>
        <v>FALSE</v>
      </c>
      <c r="U126" t="str">
        <f t="shared" si="64"/>
        <v>FALSE</v>
      </c>
      <c r="V126" t="str">
        <f t="shared" si="65"/>
        <v>FALSE</v>
      </c>
      <c r="W126" t="b" cm="1">
        <f t="array" ref="W126">_xlfn.IFS(H126=1,FALSE,OR(H126=2,H126&gt;2),TRUE)</f>
        <v>1</v>
      </c>
      <c r="X126" t="b" cm="1">
        <f t="array" ref="X126">_xlfn.IFS(H126=1,FALSE,OR(H126=2,H126&gt;2),TRUE)</f>
        <v>1</v>
      </c>
      <c r="Y126" t="b" cm="1">
        <f t="array" ref="Y126">_xlfn.IFS(H126=1,FALSE,OR(H126=2,H126&gt;2),TRUE)</f>
        <v>1</v>
      </c>
      <c r="AB126" t="str">
        <f t="shared" ref="AB126:AC126" si="106">AB105</f>
        <v>Scaffolding Platform</v>
      </c>
      <c r="AC126" t="str">
        <f t="shared" si="106"/>
        <v>Second Floor</v>
      </c>
      <c r="AD126" t="b">
        <f t="shared" ca="1" si="69"/>
        <v>0</v>
      </c>
      <c r="AE126" s="1" t="str">
        <f t="shared" ca="1" si="92"/>
        <v>9-11</v>
      </c>
      <c r="AF126" t="str">
        <f t="shared" ca="1" si="67"/>
        <v>Plot 9-11</v>
      </c>
    </row>
    <row r="127" spans="1:32" x14ac:dyDescent="0.25">
      <c r="A127" t="s">
        <v>164</v>
      </c>
      <c r="B127" s="51" t="s">
        <v>7</v>
      </c>
      <c r="C127">
        <v>1</v>
      </c>
      <c r="D127">
        <v>3</v>
      </c>
      <c r="E127" t="b">
        <f t="shared" si="104"/>
        <v>1</v>
      </c>
      <c r="F127" t="b">
        <f t="shared" si="104"/>
        <v>1</v>
      </c>
      <c r="G127" t="b">
        <f t="shared" si="104"/>
        <v>1</v>
      </c>
      <c r="H127" t="b">
        <f t="shared" si="104"/>
        <v>0</v>
      </c>
      <c r="I127" t="b">
        <f t="shared" si="104"/>
        <v>0</v>
      </c>
      <c r="J127" t="b">
        <f t="shared" si="104"/>
        <v>0</v>
      </c>
      <c r="K127" t="b">
        <f t="shared" si="104"/>
        <v>1</v>
      </c>
      <c r="L127" t="b">
        <f t="shared" si="104"/>
        <v>1</v>
      </c>
      <c r="M127" t="b">
        <f t="shared" si="104"/>
        <v>1</v>
      </c>
      <c r="N127" t="b">
        <f t="shared" si="104"/>
        <v>0</v>
      </c>
      <c r="O127" t="b">
        <f t="shared" si="104"/>
        <v>0</v>
      </c>
      <c r="P127" t="b">
        <f t="shared" si="104"/>
        <v>0</v>
      </c>
      <c r="Q127" t="b">
        <v>1</v>
      </c>
      <c r="R127" t="b" cm="1">
        <f t="array" ref="R127">_xlfn.IFS(C127=1,FALSE,OR(C127=2,C127&gt;2),TRUE)</f>
        <v>0</v>
      </c>
      <c r="S127" t="b" cm="1">
        <f t="array" ref="S127">_xlfn.IFS(OR(C127=1,C127=2),FALSE,OR(C127=3,C127&gt;3),TRUE)</f>
        <v>0</v>
      </c>
      <c r="T127" t="str">
        <f t="shared" si="63"/>
        <v>FALSE</v>
      </c>
      <c r="U127" t="str">
        <f t="shared" si="64"/>
        <v>FALSE</v>
      </c>
      <c r="V127" t="str">
        <f t="shared" si="65"/>
        <v>FALSE</v>
      </c>
      <c r="W127" t="b" cm="1">
        <f t="array" ref="W127">_xlfn.IFS(H127=1,FALSE,OR(H127=2,H127&gt;2),TRUE)</f>
        <v>1</v>
      </c>
      <c r="X127" t="b" cm="1">
        <f t="array" ref="X127">_xlfn.IFS(H127=1,FALSE,OR(H127=2,H127&gt;2),TRUE)</f>
        <v>1</v>
      </c>
      <c r="Y127" t="b" cm="1">
        <f t="array" ref="Y127">_xlfn.IFS(H127=1,FALSE,OR(H127=2,H127&gt;2),TRUE)</f>
        <v>1</v>
      </c>
      <c r="AB127" t="str">
        <f t="shared" ref="AB127:AC127" si="107">AB106</f>
        <v>Supporting Scaffold</v>
      </c>
      <c r="AC127" t="str">
        <f t="shared" si="107"/>
        <v>Ground Floor Prop.</v>
      </c>
      <c r="AD127" t="str">
        <f t="shared" ca="1" si="69"/>
        <v>TRUE</v>
      </c>
      <c r="AE127" s="1" t="str">
        <f t="shared" ca="1" si="92"/>
        <v>9-11</v>
      </c>
      <c r="AF127" t="str">
        <f t="shared" ca="1" si="67"/>
        <v>Plot 9-11</v>
      </c>
    </row>
    <row r="128" spans="1:32" x14ac:dyDescent="0.25">
      <c r="A128" t="s">
        <v>164</v>
      </c>
      <c r="B128" s="51" t="s">
        <v>8</v>
      </c>
      <c r="C128">
        <v>1</v>
      </c>
      <c r="D128">
        <v>3</v>
      </c>
      <c r="E128" t="b">
        <f t="shared" si="104"/>
        <v>1</v>
      </c>
      <c r="F128" t="b">
        <f t="shared" si="104"/>
        <v>1</v>
      </c>
      <c r="G128" t="b">
        <f t="shared" si="104"/>
        <v>1</v>
      </c>
      <c r="H128" t="b">
        <f t="shared" si="104"/>
        <v>0</v>
      </c>
      <c r="I128" t="b">
        <f t="shared" si="104"/>
        <v>0</v>
      </c>
      <c r="J128" t="b">
        <f t="shared" si="104"/>
        <v>0</v>
      </c>
      <c r="K128" t="b">
        <f t="shared" si="104"/>
        <v>1</v>
      </c>
      <c r="L128" t="b">
        <f t="shared" si="104"/>
        <v>1</v>
      </c>
      <c r="M128" t="b">
        <f t="shared" si="104"/>
        <v>1</v>
      </c>
      <c r="N128" t="b">
        <f t="shared" si="104"/>
        <v>0</v>
      </c>
      <c r="O128" t="b">
        <f t="shared" si="104"/>
        <v>0</v>
      </c>
      <c r="P128" t="b">
        <f t="shared" si="104"/>
        <v>0</v>
      </c>
      <c r="Q128" t="b">
        <v>1</v>
      </c>
      <c r="R128" t="b" cm="1">
        <f t="array" ref="R128">_xlfn.IFS(C128=1,FALSE,OR(C128=2,C128&gt;2),TRUE)</f>
        <v>0</v>
      </c>
      <c r="S128" t="b" cm="1">
        <f t="array" ref="S128">_xlfn.IFS(OR(C128=1,C128=2),FALSE,OR(C128=3,C128&gt;3),TRUE)</f>
        <v>0</v>
      </c>
      <c r="T128" t="str">
        <f t="shared" si="63"/>
        <v>FALSE</v>
      </c>
      <c r="U128" t="str">
        <f t="shared" si="64"/>
        <v>FALSE</v>
      </c>
      <c r="V128" t="str">
        <f t="shared" si="65"/>
        <v>FALSE</v>
      </c>
      <c r="W128" t="b" cm="1">
        <f t="array" ref="W128">_xlfn.IFS(H128=1,FALSE,OR(H128=2,H128&gt;2),TRUE)</f>
        <v>1</v>
      </c>
      <c r="X128" t="b" cm="1">
        <f t="array" ref="X128">_xlfn.IFS(H128=1,FALSE,OR(H128=2,H128&gt;2),TRUE)</f>
        <v>1</v>
      </c>
      <c r="Y128" t="b" cm="1">
        <f t="array" ref="Y128">_xlfn.IFS(H128=1,FALSE,OR(H128=2,H128&gt;2),TRUE)</f>
        <v>1</v>
      </c>
      <c r="AB128" t="str">
        <f t="shared" ref="AB128:AC128" si="108">AB107</f>
        <v>Supporting Scaffold</v>
      </c>
      <c r="AC128" t="str">
        <f t="shared" si="108"/>
        <v>First Floor Prop.</v>
      </c>
      <c r="AD128" t="str">
        <f t="shared" ca="1" si="69"/>
        <v>FALSE</v>
      </c>
      <c r="AE128" s="1" t="str">
        <f t="shared" ca="1" si="92"/>
        <v>9-11</v>
      </c>
      <c r="AF128" t="str">
        <f t="shared" ca="1" si="67"/>
        <v>Plot 9-11</v>
      </c>
    </row>
    <row r="129" spans="1:32" x14ac:dyDescent="0.25">
      <c r="A129" t="s">
        <v>164</v>
      </c>
      <c r="B129" s="51" t="s">
        <v>9</v>
      </c>
      <c r="C129">
        <v>1</v>
      </c>
      <c r="D129">
        <v>3</v>
      </c>
      <c r="E129" t="b">
        <f t="shared" si="104"/>
        <v>1</v>
      </c>
      <c r="F129" t="b">
        <f t="shared" si="104"/>
        <v>1</v>
      </c>
      <c r="G129" t="b">
        <f t="shared" si="104"/>
        <v>1</v>
      </c>
      <c r="H129" t="b">
        <f t="shared" si="104"/>
        <v>0</v>
      </c>
      <c r="I129" t="b">
        <f t="shared" si="104"/>
        <v>0</v>
      </c>
      <c r="J129" t="b">
        <f t="shared" si="104"/>
        <v>0</v>
      </c>
      <c r="K129" t="b">
        <f t="shared" si="104"/>
        <v>1</v>
      </c>
      <c r="L129" t="b">
        <f t="shared" si="104"/>
        <v>1</v>
      </c>
      <c r="M129" t="b">
        <f t="shared" si="104"/>
        <v>1</v>
      </c>
      <c r="N129" t="b">
        <f t="shared" si="104"/>
        <v>0</v>
      </c>
      <c r="O129" t="b">
        <f t="shared" si="104"/>
        <v>0</v>
      </c>
      <c r="P129" t="b">
        <f t="shared" si="104"/>
        <v>0</v>
      </c>
      <c r="Q129" t="b">
        <v>1</v>
      </c>
      <c r="R129" t="b" cm="1">
        <f t="array" ref="R129">_xlfn.IFS(C129=1,FALSE,OR(C129=2,C129&gt;2),TRUE)</f>
        <v>0</v>
      </c>
      <c r="S129" t="b" cm="1">
        <f t="array" ref="S129">_xlfn.IFS(OR(C129=1,C129=2),FALSE,OR(C129=3,C129&gt;3),TRUE)</f>
        <v>0</v>
      </c>
      <c r="T129" t="str">
        <f t="shared" si="63"/>
        <v>FALSE</v>
      </c>
      <c r="U129" t="str">
        <f t="shared" si="64"/>
        <v>FALSE</v>
      </c>
      <c r="V129" t="str">
        <f t="shared" si="65"/>
        <v>FALSE</v>
      </c>
      <c r="W129" t="b" cm="1">
        <f t="array" ref="W129">_xlfn.IFS(H129=1,FALSE,OR(H129=2,H129&gt;2),TRUE)</f>
        <v>1</v>
      </c>
      <c r="X129" t="b" cm="1">
        <f t="array" ref="X129">_xlfn.IFS(H129=1,FALSE,OR(H129=2,H129&gt;2),TRUE)</f>
        <v>1</v>
      </c>
      <c r="Y129" t="b" cm="1">
        <f t="array" ref="Y129">_xlfn.IFS(H129=1,FALSE,OR(H129=2,H129&gt;2),TRUE)</f>
        <v>1</v>
      </c>
      <c r="AB129" t="str">
        <f t="shared" ref="AB129:AC129" si="109">AB108</f>
        <v>Supporting Scaffold</v>
      </c>
      <c r="AC129" t="str">
        <f t="shared" si="109"/>
        <v>Second Floor Prop.</v>
      </c>
      <c r="AD129" t="str">
        <f t="shared" ca="1" si="69"/>
        <v>FALSE</v>
      </c>
      <c r="AE129" s="1" t="str">
        <f t="shared" ca="1" si="92"/>
        <v>9-11</v>
      </c>
      <c r="AF129" t="str">
        <f t="shared" ca="1" si="67"/>
        <v>Plot 9-11</v>
      </c>
    </row>
    <row r="130" spans="1:32" x14ac:dyDescent="0.25">
      <c r="A130" t="s">
        <v>164</v>
      </c>
      <c r="B130" s="51" t="s">
        <v>10</v>
      </c>
      <c r="C130">
        <v>1</v>
      </c>
      <c r="D130">
        <v>3</v>
      </c>
      <c r="E130" t="b">
        <f t="shared" si="104"/>
        <v>1</v>
      </c>
      <c r="F130" t="b">
        <f t="shared" si="104"/>
        <v>1</v>
      </c>
      <c r="G130" t="b">
        <f t="shared" si="104"/>
        <v>1</v>
      </c>
      <c r="H130" t="b">
        <f t="shared" si="104"/>
        <v>0</v>
      </c>
      <c r="I130" t="b">
        <f t="shared" si="104"/>
        <v>0</v>
      </c>
      <c r="J130" t="b">
        <f t="shared" si="104"/>
        <v>0</v>
      </c>
      <c r="K130" t="b">
        <f t="shared" si="104"/>
        <v>1</v>
      </c>
      <c r="L130" t="b">
        <f t="shared" si="104"/>
        <v>1</v>
      </c>
      <c r="M130" t="b">
        <f t="shared" si="104"/>
        <v>1</v>
      </c>
      <c r="N130" t="b">
        <f t="shared" si="104"/>
        <v>0</v>
      </c>
      <c r="O130" t="b">
        <f t="shared" si="104"/>
        <v>0</v>
      </c>
      <c r="P130" t="b">
        <f t="shared" si="104"/>
        <v>0</v>
      </c>
      <c r="Q130" t="b">
        <v>1</v>
      </c>
      <c r="R130" t="b" cm="1">
        <f t="array" ref="R130">_xlfn.IFS(C130=1,FALSE,OR(C130=2,C130&gt;2),TRUE)</f>
        <v>0</v>
      </c>
      <c r="S130" t="b" cm="1">
        <f t="array" ref="S130">_xlfn.IFS(OR(C130=1,C130=2),FALSE,OR(C130=3,C130&gt;3),TRUE)</f>
        <v>0</v>
      </c>
      <c r="T130" t="str">
        <f t="shared" si="63"/>
        <v>FALSE</v>
      </c>
      <c r="U130" t="str">
        <f t="shared" si="64"/>
        <v>FALSE</v>
      </c>
      <c r="V130" t="str">
        <f t="shared" si="65"/>
        <v>FALSE</v>
      </c>
      <c r="W130" t="b" cm="1">
        <f t="array" ref="W130">_xlfn.IFS(H130=1,FALSE,OR(H130=2,H130&gt;2),TRUE)</f>
        <v>1</v>
      </c>
      <c r="X130" t="b" cm="1">
        <f t="array" ref="X130">_xlfn.IFS(H130=1,FALSE,OR(H130=2,H130&gt;2),TRUE)</f>
        <v>1</v>
      </c>
      <c r="Y130" t="b" cm="1">
        <f t="array" ref="Y130">_xlfn.IFS(H130=1,FALSE,OR(H130=2,H130&gt;2),TRUE)</f>
        <v>1</v>
      </c>
      <c r="AB130" t="str">
        <f t="shared" ref="AB130:AC130" si="110">AB109</f>
        <v>External Scaffolding</v>
      </c>
      <c r="AC130" t="str">
        <f t="shared" si="110"/>
        <v>Hop-ups</v>
      </c>
      <c r="AD130" t="b">
        <f t="shared" ca="1" si="69"/>
        <v>1</v>
      </c>
      <c r="AE130" s="1" t="str">
        <f t="shared" ca="1" si="92"/>
        <v>9-11</v>
      </c>
      <c r="AF130" t="str">
        <f t="shared" ca="1" si="67"/>
        <v>Plot 9-11</v>
      </c>
    </row>
    <row r="131" spans="1:32" x14ac:dyDescent="0.25">
      <c r="A131" t="s">
        <v>164</v>
      </c>
      <c r="B131" s="51" t="s">
        <v>11</v>
      </c>
      <c r="C131">
        <v>1</v>
      </c>
      <c r="D131">
        <v>3</v>
      </c>
      <c r="E131" t="b">
        <f t="shared" si="104"/>
        <v>1</v>
      </c>
      <c r="F131" t="b">
        <f t="shared" si="104"/>
        <v>1</v>
      </c>
      <c r="G131" t="b">
        <f t="shared" si="104"/>
        <v>1</v>
      </c>
      <c r="H131" t="b">
        <f t="shared" si="104"/>
        <v>0</v>
      </c>
      <c r="I131" t="b">
        <f t="shared" si="104"/>
        <v>0</v>
      </c>
      <c r="J131" t="b">
        <f t="shared" si="104"/>
        <v>0</v>
      </c>
      <c r="K131" t="b">
        <f t="shared" si="104"/>
        <v>1</v>
      </c>
      <c r="L131" t="b">
        <f t="shared" si="104"/>
        <v>1</v>
      </c>
      <c r="M131" t="b">
        <f t="shared" si="104"/>
        <v>1</v>
      </c>
      <c r="N131" t="b">
        <f t="shared" si="104"/>
        <v>0</v>
      </c>
      <c r="O131" t="b">
        <f t="shared" si="104"/>
        <v>0</v>
      </c>
      <c r="P131" t="b">
        <f t="shared" si="104"/>
        <v>0</v>
      </c>
      <c r="Q131" t="b">
        <v>1</v>
      </c>
      <c r="R131" t="b" cm="1">
        <f t="array" ref="R131">_xlfn.IFS(C131=1,FALSE,OR(C131=2,C131&gt;2),TRUE)</f>
        <v>0</v>
      </c>
      <c r="S131" t="b" cm="1">
        <f t="array" ref="S131">_xlfn.IFS(OR(C131=1,C131=2),FALSE,OR(C131=3,C131&gt;3),TRUE)</f>
        <v>0</v>
      </c>
      <c r="T131" t="str">
        <f t="shared" si="63"/>
        <v>FALSE</v>
      </c>
      <c r="U131" t="str">
        <f t="shared" si="64"/>
        <v>FALSE</v>
      </c>
      <c r="V131" t="str">
        <f t="shared" si="65"/>
        <v>FALSE</v>
      </c>
      <c r="W131" t="b" cm="1">
        <f t="array" ref="W131">_xlfn.IFS(H131=1,FALSE,OR(H131=2,H131&gt;2),TRUE)</f>
        <v>1</v>
      </c>
      <c r="X131" t="b" cm="1">
        <f t="array" ref="X131">_xlfn.IFS(H131=1,FALSE,OR(H131=2,H131&gt;2),TRUE)</f>
        <v>1</v>
      </c>
      <c r="Y131" t="b" cm="1">
        <f t="array" ref="Y131">_xlfn.IFS(H131=1,FALSE,OR(H131=2,H131&gt;2),TRUE)</f>
        <v>1</v>
      </c>
      <c r="AB131" t="str">
        <f t="shared" ref="AB131:AC131" si="111">AB110</f>
        <v>External Scaffolding</v>
      </c>
      <c r="AC131" t="str">
        <f t="shared" si="111"/>
        <v>Adaptions</v>
      </c>
      <c r="AD131" t="b">
        <f t="shared" ca="1" si="69"/>
        <v>1</v>
      </c>
      <c r="AE131" s="1" t="str">
        <f t="shared" ca="1" si="92"/>
        <v>9-11</v>
      </c>
      <c r="AF131" t="str">
        <f t="shared" ca="1" si="67"/>
        <v>Plot 9-11</v>
      </c>
    </row>
    <row r="132" spans="1:32" x14ac:dyDescent="0.25">
      <c r="A132" t="s">
        <v>164</v>
      </c>
      <c r="B132" s="51" t="s">
        <v>12</v>
      </c>
      <c r="C132">
        <v>1</v>
      </c>
      <c r="D132">
        <v>3</v>
      </c>
      <c r="E132" t="b">
        <f t="shared" si="104"/>
        <v>1</v>
      </c>
      <c r="F132" t="b">
        <f t="shared" si="104"/>
        <v>1</v>
      </c>
      <c r="G132" t="b">
        <f t="shared" si="104"/>
        <v>1</v>
      </c>
      <c r="H132" t="b">
        <f t="shared" si="104"/>
        <v>0</v>
      </c>
      <c r="I132" t="b">
        <f t="shared" si="104"/>
        <v>0</v>
      </c>
      <c r="J132" t="b">
        <f t="shared" si="104"/>
        <v>0</v>
      </c>
      <c r="K132" t="b">
        <f t="shared" si="104"/>
        <v>1</v>
      </c>
      <c r="L132" t="b">
        <f t="shared" si="104"/>
        <v>1</v>
      </c>
      <c r="M132" t="b">
        <f t="shared" si="104"/>
        <v>1</v>
      </c>
      <c r="N132" t="b">
        <f t="shared" si="104"/>
        <v>0</v>
      </c>
      <c r="O132" t="b">
        <f t="shared" si="104"/>
        <v>0</v>
      </c>
      <c r="P132" t="b">
        <f t="shared" si="104"/>
        <v>0</v>
      </c>
      <c r="Q132" t="b">
        <v>1</v>
      </c>
      <c r="R132" t="b" cm="1">
        <f t="array" ref="R132">_xlfn.IFS(C132=1,FALSE,OR(C132=2,C132&gt;2),TRUE)</f>
        <v>0</v>
      </c>
      <c r="S132" t="b" cm="1">
        <f t="array" ref="S132">_xlfn.IFS(OR(C132=1,C132=2),FALSE,OR(C132=3,C132&gt;3),TRUE)</f>
        <v>0</v>
      </c>
      <c r="T132" t="str">
        <f t="shared" si="63"/>
        <v>FALSE</v>
      </c>
      <c r="U132" t="str">
        <f t="shared" si="64"/>
        <v>FALSE</v>
      </c>
      <c r="V132" t="str">
        <f t="shared" si="65"/>
        <v>FALSE</v>
      </c>
      <c r="W132" t="b" cm="1">
        <f t="array" ref="W132">_xlfn.IFS(H132=1,FALSE,OR(H132=2,H132&gt;2),TRUE)</f>
        <v>1</v>
      </c>
      <c r="X132" t="b" cm="1">
        <f t="array" ref="X132">_xlfn.IFS(H132=1,FALSE,OR(H132=2,H132&gt;2),TRUE)</f>
        <v>1</v>
      </c>
      <c r="Y132" t="b" cm="1">
        <f t="array" ref="Y132">_xlfn.IFS(H132=1,FALSE,OR(H132=2,H132&gt;2),TRUE)</f>
        <v>1</v>
      </c>
      <c r="AB132" t="str">
        <f t="shared" ref="AB132:AC132" si="112">AB111</f>
        <v>External Scaffolding</v>
      </c>
      <c r="AC132" t="str">
        <f t="shared" si="112"/>
        <v>Adaption Tower</v>
      </c>
      <c r="AD132" t="b">
        <f t="shared" ca="1" si="69"/>
        <v>1</v>
      </c>
      <c r="AE132" s="1" t="str">
        <f t="shared" ca="1" si="92"/>
        <v>9-11</v>
      </c>
      <c r="AF132" t="str">
        <f t="shared" ca="1" si="67"/>
        <v>Plot 9-11</v>
      </c>
    </row>
    <row r="133" spans="1:32" x14ac:dyDescent="0.25">
      <c r="A133" t="s">
        <v>164</v>
      </c>
      <c r="B133" s="51" t="s">
        <v>13</v>
      </c>
      <c r="C133">
        <v>1</v>
      </c>
      <c r="D133">
        <v>3</v>
      </c>
      <c r="E133" t="b">
        <f t="shared" si="104"/>
        <v>1</v>
      </c>
      <c r="F133" t="b">
        <f t="shared" si="104"/>
        <v>1</v>
      </c>
      <c r="G133" t="b">
        <f t="shared" si="104"/>
        <v>1</v>
      </c>
      <c r="H133" t="b">
        <f t="shared" si="104"/>
        <v>0</v>
      </c>
      <c r="I133" t="b">
        <f t="shared" si="104"/>
        <v>0</v>
      </c>
      <c r="J133" t="b">
        <f t="shared" si="104"/>
        <v>0</v>
      </c>
      <c r="K133" t="b">
        <f t="shared" si="104"/>
        <v>1</v>
      </c>
      <c r="L133" t="b">
        <f t="shared" si="104"/>
        <v>1</v>
      </c>
      <c r="M133" t="b">
        <f t="shared" si="104"/>
        <v>1</v>
      </c>
      <c r="N133" t="b">
        <f t="shared" si="104"/>
        <v>0</v>
      </c>
      <c r="O133" t="b">
        <f t="shared" si="104"/>
        <v>0</v>
      </c>
      <c r="P133" t="b">
        <f t="shared" si="104"/>
        <v>0</v>
      </c>
      <c r="Q133" t="b">
        <v>1</v>
      </c>
      <c r="R133" t="b" cm="1">
        <f t="array" ref="R133">_xlfn.IFS(C133=1,FALSE,OR(C133=2,C133&gt;2),TRUE)</f>
        <v>0</v>
      </c>
      <c r="S133" t="b" cm="1">
        <f t="array" ref="S133">_xlfn.IFS(OR(C133=1,C133=2),FALSE,OR(C133=3,C133&gt;3),TRUE)</f>
        <v>0</v>
      </c>
      <c r="T133" t="str">
        <f t="shared" si="63"/>
        <v>FALSE</v>
      </c>
      <c r="U133" t="str">
        <f t="shared" si="64"/>
        <v>FALSE</v>
      </c>
      <c r="V133" t="str">
        <f t="shared" si="65"/>
        <v>FALSE</v>
      </c>
      <c r="W133" t="b" cm="1">
        <f t="array" ref="W133">_xlfn.IFS(H133=1,FALSE,OR(H133=2,H133&gt;2),TRUE)</f>
        <v>1</v>
      </c>
      <c r="X133" t="b" cm="1">
        <f t="array" ref="X133">_xlfn.IFS(H133=1,FALSE,OR(H133=2,H133&gt;2),TRUE)</f>
        <v>1</v>
      </c>
      <c r="Y133" t="b" cm="1">
        <f t="array" ref="Y133">_xlfn.IFS(H133=1,FALSE,OR(H133=2,H133&gt;2),TRUE)</f>
        <v>1</v>
      </c>
      <c r="AB133" t="str">
        <f t="shared" ref="AB133:AC133" si="113">AB112</f>
        <v>External Scaffolding</v>
      </c>
      <c r="AC133" t="str">
        <f t="shared" si="113"/>
        <v>Lift 1</v>
      </c>
      <c r="AD133" t="b">
        <f t="shared" ca="1" si="69"/>
        <v>1</v>
      </c>
      <c r="AE133" s="1" t="str">
        <f t="shared" ca="1" si="92"/>
        <v>12-13</v>
      </c>
      <c r="AF133" t="str">
        <f t="shared" ca="1" si="67"/>
        <v>Plot 12-13</v>
      </c>
    </row>
    <row r="134" spans="1:32" x14ac:dyDescent="0.25">
      <c r="A134" t="s">
        <v>164</v>
      </c>
      <c r="B134" s="51" t="s">
        <v>14</v>
      </c>
      <c r="C134">
        <v>1</v>
      </c>
      <c r="D134">
        <v>3</v>
      </c>
      <c r="E134" t="b">
        <f t="shared" si="104"/>
        <v>1</v>
      </c>
      <c r="F134" t="b">
        <f t="shared" si="104"/>
        <v>1</v>
      </c>
      <c r="G134" t="b">
        <f t="shared" si="104"/>
        <v>1</v>
      </c>
      <c r="H134" t="b">
        <f t="shared" si="104"/>
        <v>0</v>
      </c>
      <c r="I134" t="b">
        <f t="shared" si="104"/>
        <v>0</v>
      </c>
      <c r="J134" t="b">
        <f t="shared" si="104"/>
        <v>0</v>
      </c>
      <c r="K134" t="b">
        <f t="shared" si="104"/>
        <v>1</v>
      </c>
      <c r="L134" t="b">
        <f t="shared" si="104"/>
        <v>1</v>
      </c>
      <c r="M134" t="b">
        <f t="shared" si="104"/>
        <v>1</v>
      </c>
      <c r="N134" t="b">
        <f t="shared" si="104"/>
        <v>0</v>
      </c>
      <c r="O134" t="b">
        <f t="shared" si="104"/>
        <v>0</v>
      </c>
      <c r="P134" t="b">
        <f t="shared" si="104"/>
        <v>0</v>
      </c>
      <c r="Q134" t="b">
        <v>1</v>
      </c>
      <c r="R134" t="b" cm="1">
        <f t="array" ref="R134">_xlfn.IFS(C134=1,FALSE,OR(C134=2,C134&gt;2),TRUE)</f>
        <v>0</v>
      </c>
      <c r="S134" t="b" cm="1">
        <f t="array" ref="S134">_xlfn.IFS(OR(C134=1,C134=2),FALSE,OR(C134=3,C134&gt;3),TRUE)</f>
        <v>0</v>
      </c>
      <c r="T134" t="str">
        <f t="shared" si="63"/>
        <v>FALSE</v>
      </c>
      <c r="U134" t="str">
        <f t="shared" si="64"/>
        <v>FALSE</v>
      </c>
      <c r="V134" t="str">
        <f t="shared" si="65"/>
        <v>FALSE</v>
      </c>
      <c r="W134" t="b" cm="1">
        <f t="array" ref="W134">_xlfn.IFS(H134=1,FALSE,OR(H134=2,H134&gt;2),TRUE)</f>
        <v>1</v>
      </c>
      <c r="X134" t="b" cm="1">
        <f t="array" ref="X134">_xlfn.IFS(H134=1,FALSE,OR(H134=2,H134&gt;2),TRUE)</f>
        <v>1</v>
      </c>
      <c r="Y134" t="b" cm="1">
        <f t="array" ref="Y134">_xlfn.IFS(H134=1,FALSE,OR(H134=2,H134&gt;2),TRUE)</f>
        <v>1</v>
      </c>
      <c r="AB134" t="str">
        <f t="shared" ref="AB134:AC134" si="114">AB113</f>
        <v>External Scaffolding</v>
      </c>
      <c r="AC134" t="str">
        <f t="shared" si="114"/>
        <v>Lift 2</v>
      </c>
      <c r="AD134" t="b">
        <f t="shared" ca="1" si="69"/>
        <v>1</v>
      </c>
      <c r="AE134" s="1" t="str">
        <f t="shared" ca="1" si="92"/>
        <v>12-13</v>
      </c>
      <c r="AF134" t="str">
        <f t="shared" ca="1" si="67"/>
        <v>Plot 12-13</v>
      </c>
    </row>
    <row r="135" spans="1:32" x14ac:dyDescent="0.25">
      <c r="A135" t="s">
        <v>164</v>
      </c>
      <c r="B135" s="51" t="s">
        <v>15</v>
      </c>
      <c r="C135">
        <v>1</v>
      </c>
      <c r="D135">
        <v>3</v>
      </c>
      <c r="E135" t="b">
        <f t="shared" si="104"/>
        <v>1</v>
      </c>
      <c r="F135" t="b">
        <f t="shared" si="104"/>
        <v>1</v>
      </c>
      <c r="G135" t="b">
        <f t="shared" si="104"/>
        <v>1</v>
      </c>
      <c r="H135" t="b">
        <f t="shared" si="104"/>
        <v>0</v>
      </c>
      <c r="I135" t="b">
        <f t="shared" si="104"/>
        <v>0</v>
      </c>
      <c r="J135" t="b">
        <f t="shared" si="104"/>
        <v>0</v>
      </c>
      <c r="K135" t="b">
        <f t="shared" si="104"/>
        <v>1</v>
      </c>
      <c r="L135" t="b">
        <f t="shared" si="104"/>
        <v>1</v>
      </c>
      <c r="M135" t="b">
        <f t="shared" si="104"/>
        <v>1</v>
      </c>
      <c r="N135" t="b">
        <f t="shared" si="104"/>
        <v>0</v>
      </c>
      <c r="O135" t="b">
        <f t="shared" si="104"/>
        <v>0</v>
      </c>
      <c r="P135" t="b">
        <f t="shared" si="104"/>
        <v>0</v>
      </c>
      <c r="Q135" t="b">
        <v>1</v>
      </c>
      <c r="R135" t="b" cm="1">
        <f t="array" ref="R135">_xlfn.IFS(C135=1,FALSE,OR(C135=2,C135&gt;2),TRUE)</f>
        <v>0</v>
      </c>
      <c r="S135" t="b" cm="1">
        <f t="array" ref="S135">_xlfn.IFS(OR(C135=1,C135=2),FALSE,OR(C135=3,C135&gt;3),TRUE)</f>
        <v>0</v>
      </c>
      <c r="T135" t="str">
        <f t="shared" si="63"/>
        <v>FALSE</v>
      </c>
      <c r="U135" t="str">
        <f t="shared" si="64"/>
        <v>FALSE</v>
      </c>
      <c r="V135" t="str">
        <f t="shared" si="65"/>
        <v>FALSE</v>
      </c>
      <c r="W135" t="b" cm="1">
        <f t="array" ref="W135">_xlfn.IFS(H135=1,FALSE,OR(H135=2,H135&gt;2),TRUE)</f>
        <v>1</v>
      </c>
      <c r="X135" t="b" cm="1">
        <f t="array" ref="X135">_xlfn.IFS(H135=1,FALSE,OR(H135=2,H135&gt;2),TRUE)</f>
        <v>1</v>
      </c>
      <c r="Y135" t="b" cm="1">
        <f t="array" ref="Y135">_xlfn.IFS(H135=1,FALSE,OR(H135=2,H135&gt;2),TRUE)</f>
        <v>1</v>
      </c>
      <c r="AB135" t="str">
        <f t="shared" ref="AB135:AC135" si="115">AB114</f>
        <v>External Scaffolding</v>
      </c>
      <c r="AC135" t="str">
        <f t="shared" si="115"/>
        <v>Lift 3</v>
      </c>
      <c r="AD135" t="b">
        <f t="shared" ca="1" si="69"/>
        <v>1</v>
      </c>
      <c r="AE135" s="1" t="str">
        <f t="shared" ca="1" si="92"/>
        <v>12-13</v>
      </c>
      <c r="AF135" t="str">
        <f t="shared" ca="1" si="67"/>
        <v>Plot 12-13</v>
      </c>
    </row>
    <row r="136" spans="1:32" x14ac:dyDescent="0.25">
      <c r="A136" t="s">
        <v>164</v>
      </c>
      <c r="B136" s="51" t="s">
        <v>16</v>
      </c>
      <c r="C136">
        <v>1</v>
      </c>
      <c r="D136">
        <v>3</v>
      </c>
      <c r="E136" t="b">
        <f t="shared" si="104"/>
        <v>1</v>
      </c>
      <c r="F136" t="b">
        <f t="shared" si="104"/>
        <v>1</v>
      </c>
      <c r="G136" t="b">
        <f t="shared" si="104"/>
        <v>1</v>
      </c>
      <c r="H136" t="b">
        <f t="shared" si="104"/>
        <v>0</v>
      </c>
      <c r="I136" t="b">
        <f t="shared" si="104"/>
        <v>0</v>
      </c>
      <c r="J136" t="b">
        <f t="shared" si="104"/>
        <v>0</v>
      </c>
      <c r="K136" t="b">
        <f t="shared" si="104"/>
        <v>1</v>
      </c>
      <c r="L136" t="b">
        <f t="shared" si="104"/>
        <v>1</v>
      </c>
      <c r="M136" t="b">
        <f t="shared" si="104"/>
        <v>1</v>
      </c>
      <c r="N136" t="b">
        <f t="shared" si="104"/>
        <v>0</v>
      </c>
      <c r="O136" t="b">
        <f t="shared" si="104"/>
        <v>0</v>
      </c>
      <c r="P136" t="b">
        <f t="shared" si="104"/>
        <v>0</v>
      </c>
      <c r="Q136" t="b">
        <v>1</v>
      </c>
      <c r="R136" t="b" cm="1">
        <f t="array" ref="R136">_xlfn.IFS(C136=1,FALSE,OR(C136=2,C136&gt;2),TRUE)</f>
        <v>0</v>
      </c>
      <c r="S136" t="b" cm="1">
        <f t="array" ref="S136">_xlfn.IFS(OR(C136=1,C136=2),FALSE,OR(C136=3,C136&gt;3),TRUE)</f>
        <v>0</v>
      </c>
      <c r="T136" t="str">
        <f t="shared" si="63"/>
        <v>FALSE</v>
      </c>
      <c r="U136" t="str">
        <f t="shared" si="64"/>
        <v>FALSE</v>
      </c>
      <c r="V136" t="str">
        <f t="shared" si="65"/>
        <v>FALSE</v>
      </c>
      <c r="W136" t="b" cm="1">
        <f t="array" ref="W136">_xlfn.IFS(H136=1,FALSE,OR(H136=2,H136&gt;2),TRUE)</f>
        <v>1</v>
      </c>
      <c r="X136" t="b" cm="1">
        <f t="array" ref="X136">_xlfn.IFS(H136=1,FALSE,OR(H136=2,H136&gt;2),TRUE)</f>
        <v>1</v>
      </c>
      <c r="Y136" t="b" cm="1">
        <f t="array" ref="Y136">_xlfn.IFS(H136=1,FALSE,OR(H136=2,H136&gt;2),TRUE)</f>
        <v>1</v>
      </c>
      <c r="AB136" t="str">
        <f t="shared" ref="AB136:AC136" si="116">AB115</f>
        <v>External Scaffolding</v>
      </c>
      <c r="AC136" t="str">
        <f t="shared" si="116"/>
        <v>Lift 4</v>
      </c>
      <c r="AD136" t="b">
        <f t="shared" ca="1" si="69"/>
        <v>0</v>
      </c>
      <c r="AE136" s="1" t="str">
        <f t="shared" ca="1" si="92"/>
        <v>12-13</v>
      </c>
      <c r="AF136" t="str">
        <f t="shared" ca="1" si="67"/>
        <v>Plot 12-13</v>
      </c>
    </row>
    <row r="137" spans="1:32" x14ac:dyDescent="0.25">
      <c r="A137" t="s">
        <v>164</v>
      </c>
      <c r="B137" s="51" t="s">
        <v>17</v>
      </c>
      <c r="C137">
        <v>1</v>
      </c>
      <c r="D137">
        <v>3</v>
      </c>
      <c r="E137" t="b">
        <f t="shared" si="104"/>
        <v>1</v>
      </c>
      <c r="F137" t="b">
        <f t="shared" si="104"/>
        <v>1</v>
      </c>
      <c r="G137" t="b">
        <f t="shared" si="104"/>
        <v>1</v>
      </c>
      <c r="H137" t="b">
        <f t="shared" si="104"/>
        <v>0</v>
      </c>
      <c r="I137" t="b">
        <f t="shared" si="104"/>
        <v>0</v>
      </c>
      <c r="J137" t="b">
        <f t="shared" si="104"/>
        <v>0</v>
      </c>
      <c r="K137" t="b">
        <f t="shared" si="104"/>
        <v>1</v>
      </c>
      <c r="L137" t="b">
        <f t="shared" si="104"/>
        <v>1</v>
      </c>
      <c r="M137" t="b">
        <f t="shared" si="104"/>
        <v>1</v>
      </c>
      <c r="N137" t="b">
        <f t="shared" si="104"/>
        <v>0</v>
      </c>
      <c r="O137" t="b">
        <f t="shared" si="104"/>
        <v>0</v>
      </c>
      <c r="P137" t="b">
        <f t="shared" si="104"/>
        <v>0</v>
      </c>
      <c r="Q137" t="b">
        <v>1</v>
      </c>
      <c r="R137" t="b" cm="1">
        <f t="array" ref="R137">_xlfn.IFS(C137=1,FALSE,OR(C137=2,C137&gt;2),TRUE)</f>
        <v>0</v>
      </c>
      <c r="S137" t="b" cm="1">
        <f t="array" ref="S137">_xlfn.IFS(OR(C137=1,C137=2),FALSE,OR(C137=3,C137&gt;3),TRUE)</f>
        <v>0</v>
      </c>
      <c r="T137" t="str">
        <f t="shared" si="63"/>
        <v>FALSE</v>
      </c>
      <c r="U137" t="str">
        <f t="shared" si="64"/>
        <v>FALSE</v>
      </c>
      <c r="V137" t="str">
        <f t="shared" si="65"/>
        <v>FALSE</v>
      </c>
      <c r="W137" t="b" cm="1">
        <f t="array" ref="W137">_xlfn.IFS(H137=1,FALSE,OR(H137=2,H137&gt;2),TRUE)</f>
        <v>1</v>
      </c>
      <c r="X137" t="b" cm="1">
        <f t="array" ref="X137">_xlfn.IFS(H137=1,FALSE,OR(H137=2,H137&gt;2),TRUE)</f>
        <v>1</v>
      </c>
      <c r="Y137" t="b" cm="1">
        <f t="array" ref="Y137">_xlfn.IFS(H137=1,FALSE,OR(H137=2,H137&gt;2),TRUE)</f>
        <v>1</v>
      </c>
      <c r="AB137" t="str">
        <f t="shared" ref="AB137:AC137" si="117">AB116</f>
        <v>External Scaffolding</v>
      </c>
      <c r="AC137" t="str">
        <f t="shared" si="117"/>
        <v>Lift 5</v>
      </c>
      <c r="AD137" t="b">
        <f t="shared" ca="1" si="69"/>
        <v>0</v>
      </c>
      <c r="AE137" s="1" t="str">
        <f t="shared" ca="1" si="92"/>
        <v>12-13</v>
      </c>
      <c r="AF137" t="str">
        <f t="shared" ca="1" si="67"/>
        <v>Plot 12-13</v>
      </c>
    </row>
    <row r="138" spans="1:32" x14ac:dyDescent="0.25">
      <c r="A138" t="s">
        <v>164</v>
      </c>
      <c r="B138" s="51" t="s">
        <v>18</v>
      </c>
      <c r="C138">
        <v>1</v>
      </c>
      <c r="D138">
        <v>3</v>
      </c>
      <c r="E138" t="b">
        <f t="shared" si="104"/>
        <v>1</v>
      </c>
      <c r="F138" t="b">
        <f t="shared" si="104"/>
        <v>1</v>
      </c>
      <c r="G138" t="b">
        <f t="shared" si="104"/>
        <v>1</v>
      </c>
      <c r="H138" t="b">
        <f t="shared" si="104"/>
        <v>0</v>
      </c>
      <c r="I138" t="b">
        <f t="shared" si="104"/>
        <v>0</v>
      </c>
      <c r="J138" t="b">
        <f t="shared" si="104"/>
        <v>0</v>
      </c>
      <c r="K138" t="b">
        <f t="shared" si="104"/>
        <v>1</v>
      </c>
      <c r="L138" t="b">
        <f t="shared" si="104"/>
        <v>1</v>
      </c>
      <c r="M138" t="b">
        <f t="shared" si="104"/>
        <v>1</v>
      </c>
      <c r="N138" t="b">
        <f t="shared" si="104"/>
        <v>0</v>
      </c>
      <c r="O138" t="b">
        <f t="shared" si="104"/>
        <v>0</v>
      </c>
      <c r="P138" t="b">
        <f t="shared" si="104"/>
        <v>0</v>
      </c>
      <c r="Q138" t="b">
        <v>1</v>
      </c>
      <c r="R138" t="b" cm="1">
        <f t="array" ref="R138">_xlfn.IFS(C138=1,FALSE,OR(C138=2,C138&gt;2),TRUE)</f>
        <v>0</v>
      </c>
      <c r="S138" t="b" cm="1">
        <f t="array" ref="S138">_xlfn.IFS(OR(C138=1,C138=2),FALSE,OR(C138=3,C138&gt;3),TRUE)</f>
        <v>0</v>
      </c>
      <c r="T138" t="str">
        <f t="shared" si="63"/>
        <v>FALSE</v>
      </c>
      <c r="U138" t="str">
        <f t="shared" si="64"/>
        <v>FALSE</v>
      </c>
      <c r="V138" t="str">
        <f t="shared" si="65"/>
        <v>FALSE</v>
      </c>
      <c r="W138" t="b" cm="1">
        <f t="array" ref="W138">_xlfn.IFS(H138=1,FALSE,OR(H138=2,H138&gt;2),TRUE)</f>
        <v>1</v>
      </c>
      <c r="X138" t="b" cm="1">
        <f t="array" ref="X138">_xlfn.IFS(H138=1,FALSE,OR(H138=2,H138&gt;2),TRUE)</f>
        <v>1</v>
      </c>
      <c r="Y138" t="b" cm="1">
        <f t="array" ref="Y138">_xlfn.IFS(H138=1,FALSE,OR(H138=2,H138&gt;2),TRUE)</f>
        <v>1</v>
      </c>
      <c r="AB138" t="str">
        <f t="shared" ref="AB138:AC138" si="118">AB117</f>
        <v>External Scaffolding</v>
      </c>
      <c r="AC138" t="str">
        <f t="shared" si="118"/>
        <v>Lift 6</v>
      </c>
      <c r="AD138" t="b">
        <f t="shared" ca="1" si="69"/>
        <v>0</v>
      </c>
      <c r="AE138" s="1" t="str">
        <f t="shared" ca="1" si="92"/>
        <v>12-13</v>
      </c>
      <c r="AF138" t="str">
        <f t="shared" ca="1" si="67"/>
        <v>Plot 12-13</v>
      </c>
    </row>
    <row r="139" spans="1:32" x14ac:dyDescent="0.25">
      <c r="A139" t="s">
        <v>164</v>
      </c>
      <c r="B139" s="51" t="s">
        <v>19</v>
      </c>
      <c r="C139">
        <v>1</v>
      </c>
      <c r="D139">
        <v>3</v>
      </c>
      <c r="E139" t="b">
        <f t="shared" si="104"/>
        <v>1</v>
      </c>
      <c r="F139" t="b">
        <f t="shared" si="104"/>
        <v>1</v>
      </c>
      <c r="G139" t="b">
        <f t="shared" si="104"/>
        <v>1</v>
      </c>
      <c r="H139" t="b">
        <f t="shared" si="104"/>
        <v>0</v>
      </c>
      <c r="I139" t="b">
        <f t="shared" si="104"/>
        <v>0</v>
      </c>
      <c r="J139" t="b">
        <f t="shared" si="104"/>
        <v>0</v>
      </c>
      <c r="K139" t="b">
        <f t="shared" si="104"/>
        <v>1</v>
      </c>
      <c r="L139" t="b">
        <f t="shared" si="104"/>
        <v>1</v>
      </c>
      <c r="M139" t="b">
        <f t="shared" si="104"/>
        <v>1</v>
      </c>
      <c r="N139" t="b">
        <f t="shared" si="104"/>
        <v>0</v>
      </c>
      <c r="O139" t="b">
        <f t="shared" si="104"/>
        <v>0</v>
      </c>
      <c r="P139" t="b">
        <f t="shared" si="104"/>
        <v>0</v>
      </c>
      <c r="Q139" t="b">
        <v>1</v>
      </c>
      <c r="R139" t="b" cm="1">
        <f t="array" ref="R139">_xlfn.IFS(C139=1,FALSE,OR(C139=2,C139&gt;2),TRUE)</f>
        <v>0</v>
      </c>
      <c r="S139" t="b" cm="1">
        <f t="array" ref="S139">_xlfn.IFS(OR(C139=1,C139=2),FALSE,OR(C139=3,C139&gt;3),TRUE)</f>
        <v>0</v>
      </c>
      <c r="T139" t="str">
        <f t="shared" si="63"/>
        <v>FALSE</v>
      </c>
      <c r="U139" t="str">
        <f t="shared" si="64"/>
        <v>FALSE</v>
      </c>
      <c r="V139" t="str">
        <f t="shared" si="65"/>
        <v>FALSE</v>
      </c>
      <c r="W139" t="b" cm="1">
        <f t="array" ref="W139">_xlfn.IFS(H139=1,FALSE,OR(H139=2,H139&gt;2),TRUE)</f>
        <v>1</v>
      </c>
      <c r="X139" t="b" cm="1">
        <f t="array" ref="X139">_xlfn.IFS(H139=1,FALSE,OR(H139=2,H139&gt;2),TRUE)</f>
        <v>1</v>
      </c>
      <c r="Y139" t="b" cm="1">
        <f t="array" ref="Y139">_xlfn.IFS(H139=1,FALSE,OR(H139=2,H139&gt;2),TRUE)</f>
        <v>1</v>
      </c>
      <c r="AB139" t="str">
        <f t="shared" ref="AB139:AC139" si="119">AB118</f>
        <v>Loading Bay</v>
      </c>
      <c r="AC139" t="str">
        <f t="shared" si="119"/>
        <v>Lift 1</v>
      </c>
      <c r="AD139" t="b">
        <f t="shared" ca="1" si="69"/>
        <v>1</v>
      </c>
      <c r="AE139" s="1" t="str">
        <f t="shared" ca="1" si="92"/>
        <v>12-13</v>
      </c>
      <c r="AF139" t="str">
        <f t="shared" ca="1" si="67"/>
        <v>Plot 12-13</v>
      </c>
    </row>
    <row r="140" spans="1:32" x14ac:dyDescent="0.25">
      <c r="A140" t="s">
        <v>164</v>
      </c>
      <c r="B140" s="51" t="s">
        <v>20</v>
      </c>
      <c r="C140">
        <v>1</v>
      </c>
      <c r="D140">
        <v>3</v>
      </c>
      <c r="E140" t="b">
        <f t="shared" si="104"/>
        <v>1</v>
      </c>
      <c r="F140" t="b">
        <f t="shared" si="104"/>
        <v>1</v>
      </c>
      <c r="G140" t="b">
        <f t="shared" si="104"/>
        <v>1</v>
      </c>
      <c r="H140" t="b">
        <f t="shared" si="104"/>
        <v>0</v>
      </c>
      <c r="I140" t="b">
        <f t="shared" si="104"/>
        <v>0</v>
      </c>
      <c r="J140" t="b">
        <f t="shared" si="104"/>
        <v>0</v>
      </c>
      <c r="K140" t="b">
        <f t="shared" si="104"/>
        <v>1</v>
      </c>
      <c r="L140" t="b">
        <f t="shared" si="104"/>
        <v>1</v>
      </c>
      <c r="M140" t="b">
        <f t="shared" si="104"/>
        <v>1</v>
      </c>
      <c r="N140" t="b">
        <f t="shared" si="104"/>
        <v>0</v>
      </c>
      <c r="O140" t="b">
        <f t="shared" si="104"/>
        <v>0</v>
      </c>
      <c r="P140" t="b">
        <f t="shared" si="104"/>
        <v>0</v>
      </c>
      <c r="Q140" t="b">
        <v>1</v>
      </c>
      <c r="R140" t="b" cm="1">
        <f t="array" ref="R140">_xlfn.IFS(C140=1,FALSE,OR(C140=2,C140&gt;2),TRUE)</f>
        <v>0</v>
      </c>
      <c r="S140" t="b" cm="1">
        <f t="array" ref="S140">_xlfn.IFS(OR(C140=1,C140=2),FALSE,OR(C140=3,C140&gt;3),TRUE)</f>
        <v>0</v>
      </c>
      <c r="T140" t="str">
        <f t="shared" si="63"/>
        <v>FALSE</v>
      </c>
      <c r="U140" t="str">
        <f t="shared" si="64"/>
        <v>FALSE</v>
      </c>
      <c r="V140" t="str">
        <f t="shared" si="65"/>
        <v>FALSE</v>
      </c>
      <c r="W140" t="b" cm="1">
        <f t="array" ref="W140">_xlfn.IFS(H140=1,FALSE,OR(H140=2,H140&gt;2),TRUE)</f>
        <v>1</v>
      </c>
      <c r="X140" t="b" cm="1">
        <f t="array" ref="X140">_xlfn.IFS(H140=1,FALSE,OR(H140=2,H140&gt;2),TRUE)</f>
        <v>1</v>
      </c>
      <c r="Y140" t="b" cm="1">
        <f t="array" ref="Y140">_xlfn.IFS(H140=1,FALSE,OR(H140=2,H140&gt;2),TRUE)</f>
        <v>1</v>
      </c>
      <c r="AB140" t="str">
        <f t="shared" ref="AB140:AC140" si="120">AB119</f>
        <v>Loading Bay</v>
      </c>
      <c r="AC140" t="str">
        <f t="shared" si="120"/>
        <v>Lift 2</v>
      </c>
      <c r="AD140" t="b">
        <f t="shared" ca="1" si="69"/>
        <v>1</v>
      </c>
      <c r="AE140" s="1" t="str">
        <f t="shared" ca="1" si="92"/>
        <v>12-13</v>
      </c>
      <c r="AF140" t="str">
        <f t="shared" ca="1" si="67"/>
        <v>Plot 12-13</v>
      </c>
    </row>
    <row r="141" spans="1:32" x14ac:dyDescent="0.25">
      <c r="A141" t="s">
        <v>164</v>
      </c>
      <c r="B141" s="51" t="s">
        <v>21</v>
      </c>
      <c r="C141">
        <v>1</v>
      </c>
      <c r="D141">
        <v>3</v>
      </c>
      <c r="E141" t="b">
        <f t="shared" si="104"/>
        <v>1</v>
      </c>
      <c r="F141" t="b">
        <f t="shared" si="104"/>
        <v>1</v>
      </c>
      <c r="G141" t="b">
        <f t="shared" si="104"/>
        <v>1</v>
      </c>
      <c r="H141" t="b">
        <f t="shared" si="104"/>
        <v>0</v>
      </c>
      <c r="I141" t="b">
        <f t="shared" si="104"/>
        <v>0</v>
      </c>
      <c r="J141" t="b">
        <f t="shared" si="104"/>
        <v>0</v>
      </c>
      <c r="K141" t="b">
        <f t="shared" si="104"/>
        <v>1</v>
      </c>
      <c r="L141" t="b">
        <f t="shared" si="104"/>
        <v>1</v>
      </c>
      <c r="M141" t="b">
        <f t="shared" si="104"/>
        <v>1</v>
      </c>
      <c r="N141" t="b">
        <f t="shared" si="104"/>
        <v>0</v>
      </c>
      <c r="O141" t="b">
        <f t="shared" si="104"/>
        <v>0</v>
      </c>
      <c r="P141" t="b">
        <f t="shared" si="104"/>
        <v>0</v>
      </c>
      <c r="Q141" t="b">
        <v>1</v>
      </c>
      <c r="R141" t="b" cm="1">
        <f t="array" ref="R141">_xlfn.IFS(C141=1,FALSE,OR(C141=2,C141&gt;2),TRUE)</f>
        <v>0</v>
      </c>
      <c r="S141" t="b" cm="1">
        <f t="array" ref="S141">_xlfn.IFS(OR(C141=1,C141=2),FALSE,OR(C141=3,C141&gt;3),TRUE)</f>
        <v>0</v>
      </c>
      <c r="T141" t="str">
        <f t="shared" si="63"/>
        <v>FALSE</v>
      </c>
      <c r="U141" t="str">
        <f t="shared" si="64"/>
        <v>FALSE</v>
      </c>
      <c r="V141" t="str">
        <f t="shared" si="65"/>
        <v>FALSE</v>
      </c>
      <c r="W141" t="b" cm="1">
        <f t="array" ref="W141">_xlfn.IFS(H141=1,FALSE,OR(H141=2,H141&gt;2),TRUE)</f>
        <v>1</v>
      </c>
      <c r="X141" t="b" cm="1">
        <f t="array" ref="X141">_xlfn.IFS(H141=1,FALSE,OR(H141=2,H141&gt;2),TRUE)</f>
        <v>1</v>
      </c>
      <c r="Y141" t="b" cm="1">
        <f t="array" ref="Y141">_xlfn.IFS(H141=1,FALSE,OR(H141=2,H141&gt;2),TRUE)</f>
        <v>1</v>
      </c>
      <c r="AB141" t="str">
        <f t="shared" ref="AB141:AC141" si="121">AB120</f>
        <v>Loading Bay</v>
      </c>
      <c r="AC141" t="str">
        <f t="shared" si="121"/>
        <v>Lift 3</v>
      </c>
      <c r="AD141" t="b">
        <f t="shared" ca="1" si="69"/>
        <v>1</v>
      </c>
      <c r="AE141" s="1" t="str">
        <f t="shared" ca="1" si="92"/>
        <v>12-13</v>
      </c>
      <c r="AF141" t="str">
        <f t="shared" ca="1" si="67"/>
        <v>Plot 12-13</v>
      </c>
    </row>
    <row r="142" spans="1:32" x14ac:dyDescent="0.25">
      <c r="A142" t="s">
        <v>164</v>
      </c>
      <c r="B142" s="51" t="s">
        <v>22</v>
      </c>
      <c r="C142">
        <v>1</v>
      </c>
      <c r="D142">
        <v>3</v>
      </c>
      <c r="E142" t="b">
        <f t="shared" si="104"/>
        <v>1</v>
      </c>
      <c r="F142" t="b">
        <f t="shared" si="104"/>
        <v>1</v>
      </c>
      <c r="G142" t="b">
        <f t="shared" si="104"/>
        <v>1</v>
      </c>
      <c r="H142" t="b">
        <f t="shared" si="104"/>
        <v>0</v>
      </c>
      <c r="I142" t="b">
        <f t="shared" si="104"/>
        <v>0</v>
      </c>
      <c r="J142" t="b">
        <f t="shared" si="104"/>
        <v>0</v>
      </c>
      <c r="K142" t="b">
        <f t="shared" si="104"/>
        <v>1</v>
      </c>
      <c r="L142" t="b">
        <f t="shared" si="104"/>
        <v>1</v>
      </c>
      <c r="M142" t="b">
        <f t="shared" si="104"/>
        <v>1</v>
      </c>
      <c r="N142" t="b">
        <f t="shared" si="104"/>
        <v>0</v>
      </c>
      <c r="O142" t="b">
        <f t="shared" si="104"/>
        <v>0</v>
      </c>
      <c r="P142" t="b">
        <f t="shared" si="104"/>
        <v>0</v>
      </c>
      <c r="Q142" t="b">
        <v>1</v>
      </c>
      <c r="R142" t="b" cm="1">
        <f t="array" ref="R142">_xlfn.IFS(C142=1,FALSE,OR(C142=2,C142&gt;2),TRUE)</f>
        <v>0</v>
      </c>
      <c r="S142" t="b" cm="1">
        <f t="array" ref="S142">_xlfn.IFS(OR(C142=1,C142=2),FALSE,OR(C142=3,C142&gt;3),TRUE)</f>
        <v>0</v>
      </c>
      <c r="T142" t="str">
        <f t="shared" si="63"/>
        <v>FALSE</v>
      </c>
      <c r="U142" t="str">
        <f t="shared" si="64"/>
        <v>FALSE</v>
      </c>
      <c r="V142" t="str">
        <f t="shared" si="65"/>
        <v>FALSE</v>
      </c>
      <c r="W142" t="b" cm="1">
        <f t="array" ref="W142">_xlfn.IFS(H142=1,FALSE,OR(H142=2,H142&gt;2),TRUE)</f>
        <v>1</v>
      </c>
      <c r="X142" t="b" cm="1">
        <f t="array" ref="X142">_xlfn.IFS(H142=1,FALSE,OR(H142=2,H142&gt;2),TRUE)</f>
        <v>1</v>
      </c>
      <c r="Y142" t="b" cm="1">
        <f t="array" ref="Y142">_xlfn.IFS(H142=1,FALSE,OR(H142=2,H142&gt;2),TRUE)</f>
        <v>1</v>
      </c>
      <c r="AB142" t="str">
        <f t="shared" ref="AB142:AC142" si="122">AB121</f>
        <v>Loading Bay</v>
      </c>
      <c r="AC142" t="str">
        <f t="shared" si="122"/>
        <v>Lift 4</v>
      </c>
      <c r="AD142" t="b">
        <f t="shared" ca="1" si="69"/>
        <v>0</v>
      </c>
      <c r="AE142" s="1" t="str">
        <f t="shared" ca="1" si="92"/>
        <v>12-13</v>
      </c>
      <c r="AF142" t="str">
        <f t="shared" ca="1" si="67"/>
        <v>Plot 12-13</v>
      </c>
    </row>
    <row r="143" spans="1:32" x14ac:dyDescent="0.25">
      <c r="A143" t="s">
        <v>164</v>
      </c>
      <c r="B143" s="51" t="s">
        <v>23</v>
      </c>
      <c r="C143">
        <v>1</v>
      </c>
      <c r="D143">
        <v>3</v>
      </c>
      <c r="E143" t="b">
        <f t="shared" si="104"/>
        <v>1</v>
      </c>
      <c r="F143" t="b">
        <f t="shared" si="104"/>
        <v>1</v>
      </c>
      <c r="G143" t="b">
        <f t="shared" si="104"/>
        <v>1</v>
      </c>
      <c r="H143" t="b">
        <f t="shared" si="104"/>
        <v>0</v>
      </c>
      <c r="I143" t="b">
        <f t="shared" si="104"/>
        <v>0</v>
      </c>
      <c r="J143" t="b">
        <f t="shared" si="104"/>
        <v>0</v>
      </c>
      <c r="K143" t="b">
        <f t="shared" si="104"/>
        <v>1</v>
      </c>
      <c r="L143" t="b">
        <f t="shared" si="104"/>
        <v>1</v>
      </c>
      <c r="M143" t="b">
        <f t="shared" si="104"/>
        <v>1</v>
      </c>
      <c r="N143" t="b">
        <f t="shared" si="104"/>
        <v>0</v>
      </c>
      <c r="O143" t="b">
        <f t="shared" si="104"/>
        <v>0</v>
      </c>
      <c r="P143" t="b">
        <f t="shared" si="104"/>
        <v>0</v>
      </c>
      <c r="Q143" t="b">
        <v>1</v>
      </c>
      <c r="R143" t="b" cm="1">
        <f t="array" ref="R143">_xlfn.IFS(C143=1,FALSE,OR(C143=2,C143&gt;2),TRUE)</f>
        <v>0</v>
      </c>
      <c r="S143" t="b" cm="1">
        <f t="array" ref="S143">_xlfn.IFS(OR(C143=1,C143=2),FALSE,OR(C143=3,C143&gt;3),TRUE)</f>
        <v>0</v>
      </c>
      <c r="T143" t="str">
        <f t="shared" si="63"/>
        <v>FALSE</v>
      </c>
      <c r="U143" t="str">
        <f t="shared" si="64"/>
        <v>FALSE</v>
      </c>
      <c r="V143" t="str">
        <f t="shared" si="65"/>
        <v>FALSE</v>
      </c>
      <c r="W143" t="b" cm="1">
        <f t="array" ref="W143">_xlfn.IFS(H143=1,FALSE,OR(H143=2,H143&gt;2),TRUE)</f>
        <v>1</v>
      </c>
      <c r="X143" t="b" cm="1">
        <f t="array" ref="X143">_xlfn.IFS(H143=1,FALSE,OR(H143=2,H143&gt;2),TRUE)</f>
        <v>1</v>
      </c>
      <c r="Y143" t="b" cm="1">
        <f t="array" ref="Y143">_xlfn.IFS(H143=1,FALSE,OR(H143=2,H143&gt;2),TRUE)</f>
        <v>1</v>
      </c>
      <c r="AB143" t="str">
        <f t="shared" ref="AB143:AC143" si="123">AB122</f>
        <v>Loading Bay</v>
      </c>
      <c r="AC143" t="str">
        <f t="shared" si="123"/>
        <v>Lift 5</v>
      </c>
      <c r="AD143" t="b">
        <f t="shared" ca="1" si="69"/>
        <v>0</v>
      </c>
      <c r="AE143" s="1" t="str">
        <f t="shared" ca="1" si="92"/>
        <v>12-13</v>
      </c>
      <c r="AF143" t="str">
        <f t="shared" ca="1" si="67"/>
        <v>Plot 12-13</v>
      </c>
    </row>
    <row r="144" spans="1:32" x14ac:dyDescent="0.25">
      <c r="A144" t="s">
        <v>164</v>
      </c>
      <c r="B144" s="51" t="s">
        <v>24</v>
      </c>
      <c r="C144">
        <v>1</v>
      </c>
      <c r="D144">
        <v>3</v>
      </c>
      <c r="E144" t="b">
        <f t="shared" si="104"/>
        <v>1</v>
      </c>
      <c r="F144" t="b">
        <f t="shared" si="104"/>
        <v>1</v>
      </c>
      <c r="G144" t="b">
        <f t="shared" si="104"/>
        <v>1</v>
      </c>
      <c r="H144" t="b">
        <f t="shared" si="104"/>
        <v>0</v>
      </c>
      <c r="I144" t="b">
        <f t="shared" si="104"/>
        <v>0</v>
      </c>
      <c r="J144" t="b">
        <f t="shared" si="104"/>
        <v>0</v>
      </c>
      <c r="K144" t="b">
        <f t="shared" si="104"/>
        <v>1</v>
      </c>
      <c r="L144" t="b">
        <f t="shared" si="104"/>
        <v>1</v>
      </c>
      <c r="M144" t="b">
        <f t="shared" si="104"/>
        <v>1</v>
      </c>
      <c r="N144" t="b">
        <f t="shared" si="104"/>
        <v>0</v>
      </c>
      <c r="O144" t="b">
        <f t="shared" si="104"/>
        <v>0</v>
      </c>
      <c r="P144" t="b">
        <f t="shared" si="104"/>
        <v>0</v>
      </c>
      <c r="Q144" t="b">
        <v>1</v>
      </c>
      <c r="R144" t="b" cm="1">
        <f t="array" ref="R144">_xlfn.IFS(C144=1,FALSE,OR(C144=2,C144&gt;2),TRUE)</f>
        <v>0</v>
      </c>
      <c r="S144" t="b" cm="1">
        <f t="array" ref="S144">_xlfn.IFS(OR(C144=1,C144=2),FALSE,OR(C144=3,C144&gt;3),TRUE)</f>
        <v>0</v>
      </c>
      <c r="T144" t="str">
        <f t="shared" si="63"/>
        <v>FALSE</v>
      </c>
      <c r="U144" t="str">
        <f t="shared" si="64"/>
        <v>FALSE</v>
      </c>
      <c r="V144" t="str">
        <f t="shared" si="65"/>
        <v>FALSE</v>
      </c>
      <c r="W144" t="b" cm="1">
        <f t="array" ref="W144">_xlfn.IFS(H144=1,FALSE,OR(H144=2,H144&gt;2),TRUE)</f>
        <v>1</v>
      </c>
      <c r="X144" t="b" cm="1">
        <f t="array" ref="X144">_xlfn.IFS(H144=1,FALSE,OR(H144=2,H144&gt;2),TRUE)</f>
        <v>1</v>
      </c>
      <c r="Y144" t="b" cm="1">
        <f t="array" ref="Y144">_xlfn.IFS(H144=1,FALSE,OR(H144=2,H144&gt;2),TRUE)</f>
        <v>1</v>
      </c>
      <c r="AB144" t="str">
        <f t="shared" ref="AB144:AC144" si="124">AB123</f>
        <v>Loading Bay</v>
      </c>
      <c r="AC144" t="str">
        <f t="shared" si="124"/>
        <v>Lift 6</v>
      </c>
      <c r="AD144" t="b">
        <f t="shared" ca="1" si="69"/>
        <v>0</v>
      </c>
      <c r="AE144" s="1" t="str">
        <f t="shared" ca="1" si="92"/>
        <v>12-13</v>
      </c>
      <c r="AF144" t="str">
        <f t="shared" ca="1" si="67"/>
        <v>Plot 12-13</v>
      </c>
    </row>
    <row r="145" spans="1:32" x14ac:dyDescent="0.25">
      <c r="A145" t="s">
        <v>164</v>
      </c>
      <c r="B145" s="51" t="s">
        <v>25</v>
      </c>
      <c r="C145">
        <v>1</v>
      </c>
      <c r="D145">
        <v>3</v>
      </c>
      <c r="E145" t="b">
        <f t="shared" si="104"/>
        <v>1</v>
      </c>
      <c r="F145" t="b">
        <f t="shared" si="104"/>
        <v>1</v>
      </c>
      <c r="G145" t="b">
        <f t="shared" si="104"/>
        <v>1</v>
      </c>
      <c r="H145" t="b">
        <f t="shared" si="104"/>
        <v>0</v>
      </c>
      <c r="I145" t="b">
        <f t="shared" si="104"/>
        <v>0</v>
      </c>
      <c r="J145" t="b">
        <f t="shared" si="104"/>
        <v>0</v>
      </c>
      <c r="K145" t="b">
        <f t="shared" si="104"/>
        <v>1</v>
      </c>
      <c r="L145" t="b">
        <f t="shared" si="104"/>
        <v>1</v>
      </c>
      <c r="M145" t="b">
        <f t="shared" si="104"/>
        <v>1</v>
      </c>
      <c r="N145" t="b">
        <f t="shared" si="104"/>
        <v>0</v>
      </c>
      <c r="O145" t="b">
        <f t="shared" si="104"/>
        <v>0</v>
      </c>
      <c r="P145" t="b">
        <f t="shared" si="104"/>
        <v>0</v>
      </c>
      <c r="Q145" t="b">
        <v>1</v>
      </c>
      <c r="R145" t="b" cm="1">
        <f t="array" ref="R145">_xlfn.IFS(C145=1,FALSE,OR(C145=2,C145&gt;2),TRUE)</f>
        <v>0</v>
      </c>
      <c r="S145" t="b" cm="1">
        <f t="array" ref="S145">_xlfn.IFS(OR(C145=1,C145=2),FALSE,OR(C145=3,C145&gt;3),TRUE)</f>
        <v>0</v>
      </c>
      <c r="T145" t="str">
        <f t="shared" si="63"/>
        <v>FALSE</v>
      </c>
      <c r="U145" t="str">
        <f t="shared" si="64"/>
        <v>FALSE</v>
      </c>
      <c r="V145" t="str">
        <f t="shared" si="65"/>
        <v>FALSE</v>
      </c>
      <c r="W145" t="b" cm="1">
        <f t="array" ref="W145">_xlfn.IFS(H145=1,FALSE,OR(H145=2,H145&gt;2),TRUE)</f>
        <v>1</v>
      </c>
      <c r="X145" t="b" cm="1">
        <f t="array" ref="X145">_xlfn.IFS(H145=1,FALSE,OR(H145=2,H145&gt;2),TRUE)</f>
        <v>1</v>
      </c>
      <c r="Y145" t="b" cm="1">
        <f t="array" ref="Y145">_xlfn.IFS(H145=1,FALSE,OR(H145=2,H145&gt;2),TRUE)</f>
        <v>1</v>
      </c>
      <c r="AB145" t="str">
        <f t="shared" ref="AB145:AC145" si="125">AB124</f>
        <v>Scaffolding Platform</v>
      </c>
      <c r="AC145" t="str">
        <f t="shared" si="125"/>
        <v>Ground Floor</v>
      </c>
      <c r="AD145" t="b">
        <f t="shared" ca="1" si="69"/>
        <v>1</v>
      </c>
      <c r="AE145" s="1" t="str">
        <f t="shared" ca="1" si="92"/>
        <v>12-13</v>
      </c>
      <c r="AF145" t="str">
        <f t="shared" ca="1" si="67"/>
        <v>Plot 12-13</v>
      </c>
    </row>
    <row r="146" spans="1:32" x14ac:dyDescent="0.25">
      <c r="A146" t="s">
        <v>164</v>
      </c>
      <c r="B146" s="51" t="s">
        <v>26</v>
      </c>
      <c r="C146">
        <v>1</v>
      </c>
      <c r="D146">
        <v>3</v>
      </c>
      <c r="E146" t="b">
        <f t="shared" si="104"/>
        <v>1</v>
      </c>
      <c r="F146" t="b">
        <f t="shared" si="104"/>
        <v>1</v>
      </c>
      <c r="G146" t="b">
        <f t="shared" si="104"/>
        <v>1</v>
      </c>
      <c r="H146" t="b">
        <f t="shared" si="104"/>
        <v>0</v>
      </c>
      <c r="I146" t="b">
        <f t="shared" si="104"/>
        <v>0</v>
      </c>
      <c r="J146" t="b">
        <f t="shared" si="104"/>
        <v>0</v>
      </c>
      <c r="K146" t="b">
        <f t="shared" si="104"/>
        <v>1</v>
      </c>
      <c r="L146" t="b">
        <f t="shared" si="104"/>
        <v>1</v>
      </c>
      <c r="M146" t="b">
        <f t="shared" si="104"/>
        <v>1</v>
      </c>
      <c r="N146" t="b">
        <f t="shared" si="104"/>
        <v>0</v>
      </c>
      <c r="O146" t="b">
        <f t="shared" si="104"/>
        <v>0</v>
      </c>
      <c r="P146" t="b">
        <f t="shared" si="104"/>
        <v>0</v>
      </c>
      <c r="Q146" t="b">
        <v>1</v>
      </c>
      <c r="R146" t="b" cm="1">
        <f t="array" ref="R146">_xlfn.IFS(C146=1,FALSE,OR(C146=2,C146&gt;2),TRUE)</f>
        <v>0</v>
      </c>
      <c r="S146" t="b" cm="1">
        <f t="array" ref="S146">_xlfn.IFS(OR(C146=1,C146=2),FALSE,OR(C146=3,C146&gt;3),TRUE)</f>
        <v>0</v>
      </c>
      <c r="T146" t="str">
        <f t="shared" si="63"/>
        <v>FALSE</v>
      </c>
      <c r="U146" t="str">
        <f t="shared" si="64"/>
        <v>FALSE</v>
      </c>
      <c r="V146" t="str">
        <f t="shared" si="65"/>
        <v>FALSE</v>
      </c>
      <c r="W146" t="b" cm="1">
        <f t="array" ref="W146">_xlfn.IFS(H146=1,FALSE,OR(H146=2,H146&gt;2),TRUE)</f>
        <v>1</v>
      </c>
      <c r="X146" t="b" cm="1">
        <f t="array" ref="X146">_xlfn.IFS(H146=1,FALSE,OR(H146=2,H146&gt;2),TRUE)</f>
        <v>1</v>
      </c>
      <c r="Y146" t="b" cm="1">
        <f t="array" ref="Y146">_xlfn.IFS(H146=1,FALSE,OR(H146=2,H146&gt;2),TRUE)</f>
        <v>1</v>
      </c>
      <c r="AB146" t="str">
        <f t="shared" ref="AB146:AC146" si="126">AB125</f>
        <v>Scaffolding Platform</v>
      </c>
      <c r="AC146" t="str">
        <f t="shared" si="126"/>
        <v>First Floor</v>
      </c>
      <c r="AD146" t="b">
        <f t="shared" ca="1" si="69"/>
        <v>1</v>
      </c>
      <c r="AE146" s="1" t="str">
        <f t="shared" ca="1" si="92"/>
        <v>12-13</v>
      </c>
      <c r="AF146" t="str">
        <f t="shared" ca="1" si="67"/>
        <v>Plot 12-13</v>
      </c>
    </row>
    <row r="147" spans="1:32" x14ac:dyDescent="0.25">
      <c r="A147" t="s">
        <v>164</v>
      </c>
      <c r="B147" s="51" t="s">
        <v>27</v>
      </c>
      <c r="C147">
        <v>1</v>
      </c>
      <c r="D147">
        <v>3</v>
      </c>
      <c r="E147" t="b">
        <f t="shared" ref="E147:P168" si="127">IF(OR(INT(RIGHT(E$2,1))&lt;$D147,INT(RIGHT(E$2,1))=$D147),TRUE,FALSE)</f>
        <v>1</v>
      </c>
      <c r="F147" t="b">
        <f t="shared" si="127"/>
        <v>1</v>
      </c>
      <c r="G147" t="b">
        <f t="shared" si="127"/>
        <v>1</v>
      </c>
      <c r="H147" t="b">
        <f t="shared" si="127"/>
        <v>0</v>
      </c>
      <c r="I147" t="b">
        <f t="shared" si="127"/>
        <v>0</v>
      </c>
      <c r="J147" t="b">
        <f t="shared" si="127"/>
        <v>0</v>
      </c>
      <c r="K147" t="b">
        <f t="shared" si="127"/>
        <v>1</v>
      </c>
      <c r="L147" t="b">
        <f t="shared" si="127"/>
        <v>1</v>
      </c>
      <c r="M147" t="b">
        <f t="shared" si="127"/>
        <v>1</v>
      </c>
      <c r="N147" t="b">
        <f t="shared" si="127"/>
        <v>0</v>
      </c>
      <c r="O147" t="b">
        <f t="shared" si="127"/>
        <v>0</v>
      </c>
      <c r="P147" t="b">
        <f t="shared" si="127"/>
        <v>0</v>
      </c>
      <c r="Q147" t="b">
        <v>1</v>
      </c>
      <c r="R147" t="b" cm="1">
        <f t="array" ref="R147">_xlfn.IFS(C147=1,FALSE,OR(C147=2,C147&gt;2),TRUE)</f>
        <v>0</v>
      </c>
      <c r="S147" t="b" cm="1">
        <f t="array" ref="S147">_xlfn.IFS(OR(C147=1,C147=2),FALSE,OR(C147=3,C147&gt;3),TRUE)</f>
        <v>0</v>
      </c>
      <c r="T147" t="str">
        <f t="shared" si="63"/>
        <v>FALSE</v>
      </c>
      <c r="U147" t="str">
        <f t="shared" si="64"/>
        <v>FALSE</v>
      </c>
      <c r="V147" t="str">
        <f t="shared" si="65"/>
        <v>FALSE</v>
      </c>
      <c r="W147" t="b" cm="1">
        <f t="array" ref="W147">_xlfn.IFS(H147=1,FALSE,OR(H147=2,H147&gt;2),TRUE)</f>
        <v>1</v>
      </c>
      <c r="X147" t="b" cm="1">
        <f t="array" ref="X147">_xlfn.IFS(H147=1,FALSE,OR(H147=2,H147&gt;2),TRUE)</f>
        <v>1</v>
      </c>
      <c r="Y147" t="b" cm="1">
        <f t="array" ref="Y147">_xlfn.IFS(H147=1,FALSE,OR(H147=2,H147&gt;2),TRUE)</f>
        <v>1</v>
      </c>
      <c r="AB147" t="str">
        <f t="shared" ref="AB147:AC147" si="128">AB126</f>
        <v>Scaffolding Platform</v>
      </c>
      <c r="AC147" t="str">
        <f t="shared" si="128"/>
        <v>Second Floor</v>
      </c>
      <c r="AD147" t="b">
        <f t="shared" ca="1" si="69"/>
        <v>0</v>
      </c>
      <c r="AE147" s="1" t="str">
        <f t="shared" ca="1" si="92"/>
        <v>12-13</v>
      </c>
      <c r="AF147" t="str">
        <f t="shared" ca="1" si="67"/>
        <v>Plot 12-13</v>
      </c>
    </row>
    <row r="148" spans="1:32" x14ac:dyDescent="0.25">
      <c r="A148" t="s">
        <v>164</v>
      </c>
      <c r="B148" s="51" t="s">
        <v>28</v>
      </c>
      <c r="C148">
        <v>1</v>
      </c>
      <c r="D148">
        <v>3</v>
      </c>
      <c r="E148" t="b">
        <f t="shared" si="127"/>
        <v>1</v>
      </c>
      <c r="F148" t="b">
        <f t="shared" si="127"/>
        <v>1</v>
      </c>
      <c r="G148" t="b">
        <f t="shared" si="127"/>
        <v>1</v>
      </c>
      <c r="H148" t="b">
        <f t="shared" si="127"/>
        <v>0</v>
      </c>
      <c r="I148" t="b">
        <f t="shared" si="127"/>
        <v>0</v>
      </c>
      <c r="J148" t="b">
        <f t="shared" si="127"/>
        <v>0</v>
      </c>
      <c r="K148" t="b">
        <f t="shared" si="127"/>
        <v>1</v>
      </c>
      <c r="L148" t="b">
        <f t="shared" si="127"/>
        <v>1</v>
      </c>
      <c r="M148" t="b">
        <f t="shared" si="127"/>
        <v>1</v>
      </c>
      <c r="N148" t="b">
        <f t="shared" si="127"/>
        <v>0</v>
      </c>
      <c r="O148" t="b">
        <f t="shared" si="127"/>
        <v>0</v>
      </c>
      <c r="P148" t="b">
        <f t="shared" si="127"/>
        <v>0</v>
      </c>
      <c r="Q148" t="b">
        <v>1</v>
      </c>
      <c r="R148" t="b" cm="1">
        <f t="array" ref="R148">_xlfn.IFS(C148=1,FALSE,OR(C148=2,C148&gt;2),TRUE)</f>
        <v>0</v>
      </c>
      <c r="S148" t="b" cm="1">
        <f t="array" ref="S148">_xlfn.IFS(OR(C148=1,C148=2),FALSE,OR(C148=3,C148&gt;3),TRUE)</f>
        <v>0</v>
      </c>
      <c r="T148" t="str">
        <f t="shared" ref="T148:T193" si="129">IF(C148&gt;=2,"TRUE","FALSE")</f>
        <v>FALSE</v>
      </c>
      <c r="U148" t="str">
        <f t="shared" ref="U148:U193" si="130">IF(C148&gt;=3,"TRUE","FALSE")</f>
        <v>FALSE</v>
      </c>
      <c r="V148" t="str">
        <f t="shared" ref="V148:V193" si="131">IF(C148&gt;=4,"TRUE","FALSE")</f>
        <v>FALSE</v>
      </c>
      <c r="W148" t="b" cm="1">
        <f t="array" ref="W148">_xlfn.IFS(H148=1,FALSE,OR(H148=2,H148&gt;2),TRUE)</f>
        <v>1</v>
      </c>
      <c r="X148" t="b" cm="1">
        <f t="array" ref="X148">_xlfn.IFS(H148=1,FALSE,OR(H148=2,H148&gt;2),TRUE)</f>
        <v>1</v>
      </c>
      <c r="Y148" t="b" cm="1">
        <f t="array" ref="Y148">_xlfn.IFS(H148=1,FALSE,OR(H148=2,H148&gt;2),TRUE)</f>
        <v>1</v>
      </c>
      <c r="AB148" t="str">
        <f t="shared" ref="AB148:AC148" si="132">AB127</f>
        <v>Supporting Scaffold</v>
      </c>
      <c r="AC148" t="str">
        <f t="shared" si="132"/>
        <v>Ground Floor Prop.</v>
      </c>
      <c r="AD148" t="str">
        <f t="shared" ca="1" si="69"/>
        <v>TRUE</v>
      </c>
      <c r="AE148" s="1" t="str">
        <f t="shared" ca="1" si="92"/>
        <v>12-13</v>
      </c>
      <c r="AF148" t="str">
        <f t="shared" ca="1" si="67"/>
        <v>Plot 12-13</v>
      </c>
    </row>
    <row r="149" spans="1:32" x14ac:dyDescent="0.25">
      <c r="A149" t="s">
        <v>164</v>
      </c>
      <c r="B149" s="51" t="s">
        <v>29</v>
      </c>
      <c r="C149">
        <v>1</v>
      </c>
      <c r="D149">
        <v>3</v>
      </c>
      <c r="E149" t="b">
        <f t="shared" si="127"/>
        <v>1</v>
      </c>
      <c r="F149" t="b">
        <f t="shared" si="127"/>
        <v>1</v>
      </c>
      <c r="G149" t="b">
        <f t="shared" si="127"/>
        <v>1</v>
      </c>
      <c r="H149" t="b">
        <f t="shared" si="127"/>
        <v>0</v>
      </c>
      <c r="I149" t="b">
        <f t="shared" si="127"/>
        <v>0</v>
      </c>
      <c r="J149" t="b">
        <f t="shared" si="127"/>
        <v>0</v>
      </c>
      <c r="K149" t="b">
        <f t="shared" si="127"/>
        <v>1</v>
      </c>
      <c r="L149" t="b">
        <f t="shared" si="127"/>
        <v>1</v>
      </c>
      <c r="M149" t="b">
        <f t="shared" si="127"/>
        <v>1</v>
      </c>
      <c r="N149" t="b">
        <f t="shared" si="127"/>
        <v>0</v>
      </c>
      <c r="O149" t="b">
        <f t="shared" si="127"/>
        <v>0</v>
      </c>
      <c r="P149" t="b">
        <f t="shared" si="127"/>
        <v>0</v>
      </c>
      <c r="Q149" t="b">
        <v>1</v>
      </c>
      <c r="R149" t="b" cm="1">
        <f t="array" ref="R149">_xlfn.IFS(C149=1,FALSE,OR(C149=2,C149&gt;2),TRUE)</f>
        <v>0</v>
      </c>
      <c r="S149" t="b" cm="1">
        <f t="array" ref="S149">_xlfn.IFS(OR(C149=1,C149=2),FALSE,OR(C149=3,C149&gt;3),TRUE)</f>
        <v>0</v>
      </c>
      <c r="T149" t="str">
        <f t="shared" si="129"/>
        <v>FALSE</v>
      </c>
      <c r="U149" t="str">
        <f t="shared" si="130"/>
        <v>FALSE</v>
      </c>
      <c r="V149" t="str">
        <f t="shared" si="131"/>
        <v>FALSE</v>
      </c>
      <c r="W149" t="b" cm="1">
        <f t="array" ref="W149">_xlfn.IFS(H149=1,FALSE,OR(H149=2,H149&gt;2),TRUE)</f>
        <v>1</v>
      </c>
      <c r="X149" t="b" cm="1">
        <f t="array" ref="X149">_xlfn.IFS(H149=1,FALSE,OR(H149=2,H149&gt;2),TRUE)</f>
        <v>1</v>
      </c>
      <c r="Y149" t="b" cm="1">
        <f t="array" ref="Y149">_xlfn.IFS(H149=1,FALSE,OR(H149=2,H149&gt;2),TRUE)</f>
        <v>1</v>
      </c>
      <c r="AB149" t="str">
        <f t="shared" ref="AB149:AC149" si="133">AB128</f>
        <v>Supporting Scaffold</v>
      </c>
      <c r="AC149" t="str">
        <f t="shared" si="133"/>
        <v>First Floor Prop.</v>
      </c>
      <c r="AD149" t="str">
        <f t="shared" ca="1" si="69"/>
        <v>FALSE</v>
      </c>
      <c r="AE149" s="1" t="str">
        <f t="shared" ca="1" si="92"/>
        <v>12-13</v>
      </c>
      <c r="AF149" t="str">
        <f t="shared" ca="1" si="67"/>
        <v>Plot 12-13</v>
      </c>
    </row>
    <row r="150" spans="1:32" x14ac:dyDescent="0.25">
      <c r="A150" t="s">
        <v>164</v>
      </c>
      <c r="B150" s="51" t="s">
        <v>30</v>
      </c>
      <c r="C150">
        <v>1</v>
      </c>
      <c r="D150">
        <v>3</v>
      </c>
      <c r="E150" t="b">
        <f t="shared" si="127"/>
        <v>1</v>
      </c>
      <c r="F150" t="b">
        <f t="shared" si="127"/>
        <v>1</v>
      </c>
      <c r="G150" t="b">
        <f t="shared" si="127"/>
        <v>1</v>
      </c>
      <c r="H150" t="b">
        <f t="shared" si="127"/>
        <v>0</v>
      </c>
      <c r="I150" t="b">
        <f t="shared" si="127"/>
        <v>0</v>
      </c>
      <c r="J150" t="b">
        <f t="shared" si="127"/>
        <v>0</v>
      </c>
      <c r="K150" t="b">
        <f t="shared" si="127"/>
        <v>1</v>
      </c>
      <c r="L150" t="b">
        <f t="shared" si="127"/>
        <v>1</v>
      </c>
      <c r="M150" t="b">
        <f t="shared" si="127"/>
        <v>1</v>
      </c>
      <c r="N150" t="b">
        <f t="shared" si="127"/>
        <v>0</v>
      </c>
      <c r="O150" t="b">
        <f t="shared" si="127"/>
        <v>0</v>
      </c>
      <c r="P150" t="b">
        <f t="shared" si="127"/>
        <v>0</v>
      </c>
      <c r="Q150" t="b">
        <v>1</v>
      </c>
      <c r="R150" t="b" cm="1">
        <f t="array" ref="R150">_xlfn.IFS(C150=1,FALSE,OR(C150=2,C150&gt;2),TRUE)</f>
        <v>0</v>
      </c>
      <c r="S150" t="b" cm="1">
        <f t="array" ref="S150">_xlfn.IFS(OR(C150=1,C150=2),FALSE,OR(C150=3,C150&gt;3),TRUE)</f>
        <v>0</v>
      </c>
      <c r="T150" t="str">
        <f t="shared" si="129"/>
        <v>FALSE</v>
      </c>
      <c r="U150" t="str">
        <f t="shared" si="130"/>
        <v>FALSE</v>
      </c>
      <c r="V150" t="str">
        <f t="shared" si="131"/>
        <v>FALSE</v>
      </c>
      <c r="W150" t="b" cm="1">
        <f t="array" ref="W150">_xlfn.IFS(H150=1,FALSE,OR(H150=2,H150&gt;2),TRUE)</f>
        <v>1</v>
      </c>
      <c r="X150" t="b" cm="1">
        <f t="array" ref="X150">_xlfn.IFS(H150=1,FALSE,OR(H150=2,H150&gt;2),TRUE)</f>
        <v>1</v>
      </c>
      <c r="Y150" t="b" cm="1">
        <f t="array" ref="Y150">_xlfn.IFS(H150=1,FALSE,OR(H150=2,H150&gt;2),TRUE)</f>
        <v>1</v>
      </c>
      <c r="AB150" t="str">
        <f t="shared" ref="AB150:AC150" si="134">AB129</f>
        <v>Supporting Scaffold</v>
      </c>
      <c r="AC150" t="str">
        <f t="shared" si="134"/>
        <v>Second Floor Prop.</v>
      </c>
      <c r="AD150" t="str">
        <f t="shared" ca="1" si="69"/>
        <v>FALSE</v>
      </c>
      <c r="AE150" s="1" t="str">
        <f t="shared" ca="1" si="92"/>
        <v>12-13</v>
      </c>
      <c r="AF150" t="str">
        <f t="shared" ca="1" si="67"/>
        <v>Plot 12-13</v>
      </c>
    </row>
    <row r="151" spans="1:32" x14ac:dyDescent="0.25">
      <c r="A151" t="s">
        <v>164</v>
      </c>
      <c r="B151" s="51" t="s">
        <v>31</v>
      </c>
      <c r="C151">
        <v>1</v>
      </c>
      <c r="D151">
        <v>3</v>
      </c>
      <c r="E151" t="b">
        <f t="shared" si="127"/>
        <v>1</v>
      </c>
      <c r="F151" t="b">
        <f t="shared" si="127"/>
        <v>1</v>
      </c>
      <c r="G151" t="b">
        <f t="shared" si="127"/>
        <v>1</v>
      </c>
      <c r="H151" t="b">
        <f t="shared" si="127"/>
        <v>0</v>
      </c>
      <c r="I151" t="b">
        <f t="shared" si="127"/>
        <v>0</v>
      </c>
      <c r="J151" t="b">
        <f t="shared" si="127"/>
        <v>0</v>
      </c>
      <c r="K151" t="b">
        <f t="shared" si="127"/>
        <v>1</v>
      </c>
      <c r="L151" t="b">
        <f t="shared" si="127"/>
        <v>1</v>
      </c>
      <c r="M151" t="b">
        <f t="shared" si="127"/>
        <v>1</v>
      </c>
      <c r="N151" t="b">
        <f t="shared" si="127"/>
        <v>0</v>
      </c>
      <c r="O151" t="b">
        <f t="shared" si="127"/>
        <v>0</v>
      </c>
      <c r="P151" t="b">
        <f t="shared" si="127"/>
        <v>0</v>
      </c>
      <c r="Q151" t="b">
        <v>1</v>
      </c>
      <c r="R151" t="b" cm="1">
        <f t="array" ref="R151">_xlfn.IFS(C151=1,FALSE,OR(C151=2,C151&gt;2),TRUE)</f>
        <v>0</v>
      </c>
      <c r="S151" t="b" cm="1">
        <f t="array" ref="S151">_xlfn.IFS(OR(C151=1,C151=2),FALSE,OR(C151=3,C151&gt;3),TRUE)</f>
        <v>0</v>
      </c>
      <c r="T151" t="str">
        <f t="shared" si="129"/>
        <v>FALSE</v>
      </c>
      <c r="U151" t="str">
        <f t="shared" si="130"/>
        <v>FALSE</v>
      </c>
      <c r="V151" t="str">
        <f t="shared" si="131"/>
        <v>FALSE</v>
      </c>
      <c r="W151" t="b" cm="1">
        <f t="array" ref="W151">_xlfn.IFS(H151=1,FALSE,OR(H151=2,H151&gt;2),TRUE)</f>
        <v>1</v>
      </c>
      <c r="X151" t="b" cm="1">
        <f t="array" ref="X151">_xlfn.IFS(H151=1,FALSE,OR(H151=2,H151&gt;2),TRUE)</f>
        <v>1</v>
      </c>
      <c r="Y151" t="b" cm="1">
        <f t="array" ref="Y151">_xlfn.IFS(H151=1,FALSE,OR(H151=2,H151&gt;2),TRUE)</f>
        <v>1</v>
      </c>
      <c r="AB151" t="str">
        <f t="shared" ref="AB151:AC151" si="135">AB130</f>
        <v>External Scaffolding</v>
      </c>
      <c r="AC151" t="str">
        <f t="shared" si="135"/>
        <v>Hop-ups</v>
      </c>
      <c r="AD151" t="b">
        <f t="shared" ca="1" si="69"/>
        <v>1</v>
      </c>
      <c r="AE151" s="1" t="str">
        <f t="shared" ca="1" si="92"/>
        <v>12-13</v>
      </c>
      <c r="AF151" t="str">
        <f t="shared" ca="1" si="67"/>
        <v>Plot 12-13</v>
      </c>
    </row>
    <row r="152" spans="1:32" x14ac:dyDescent="0.25">
      <c r="A152" t="s">
        <v>164</v>
      </c>
      <c r="B152" s="51" t="s">
        <v>32</v>
      </c>
      <c r="C152">
        <v>1</v>
      </c>
      <c r="D152">
        <v>3</v>
      </c>
      <c r="E152" t="b">
        <f t="shared" si="127"/>
        <v>1</v>
      </c>
      <c r="F152" t="b">
        <f t="shared" si="127"/>
        <v>1</v>
      </c>
      <c r="G152" t="b">
        <f t="shared" si="127"/>
        <v>1</v>
      </c>
      <c r="H152" t="b">
        <f t="shared" si="127"/>
        <v>0</v>
      </c>
      <c r="I152" t="b">
        <f t="shared" si="127"/>
        <v>0</v>
      </c>
      <c r="J152" t="b">
        <f t="shared" si="127"/>
        <v>0</v>
      </c>
      <c r="K152" t="b">
        <f t="shared" si="127"/>
        <v>1</v>
      </c>
      <c r="L152" t="b">
        <f t="shared" si="127"/>
        <v>1</v>
      </c>
      <c r="M152" t="b">
        <f t="shared" si="127"/>
        <v>1</v>
      </c>
      <c r="N152" t="b">
        <f t="shared" si="127"/>
        <v>0</v>
      </c>
      <c r="O152" t="b">
        <f t="shared" si="127"/>
        <v>0</v>
      </c>
      <c r="P152" t="b">
        <f t="shared" si="127"/>
        <v>0</v>
      </c>
      <c r="Q152" t="b">
        <v>1</v>
      </c>
      <c r="R152" t="b" cm="1">
        <f t="array" ref="R152">_xlfn.IFS(C152=1,FALSE,OR(C152=2,C152&gt;2),TRUE)</f>
        <v>0</v>
      </c>
      <c r="S152" t="b" cm="1">
        <f t="array" ref="S152">_xlfn.IFS(OR(C152=1,C152=2),FALSE,OR(C152=3,C152&gt;3),TRUE)</f>
        <v>0</v>
      </c>
      <c r="T152" t="str">
        <f t="shared" si="129"/>
        <v>FALSE</v>
      </c>
      <c r="U152" t="str">
        <f t="shared" si="130"/>
        <v>FALSE</v>
      </c>
      <c r="V152" t="str">
        <f t="shared" si="131"/>
        <v>FALSE</v>
      </c>
      <c r="W152" t="b" cm="1">
        <f t="array" ref="W152">_xlfn.IFS(H152=1,FALSE,OR(H152=2,H152&gt;2),TRUE)</f>
        <v>1</v>
      </c>
      <c r="X152" t="b" cm="1">
        <f t="array" ref="X152">_xlfn.IFS(H152=1,FALSE,OR(H152=2,H152&gt;2),TRUE)</f>
        <v>1</v>
      </c>
      <c r="Y152" t="b" cm="1">
        <f t="array" ref="Y152">_xlfn.IFS(H152=1,FALSE,OR(H152=2,H152&gt;2),TRUE)</f>
        <v>1</v>
      </c>
      <c r="AB152" t="str">
        <f t="shared" ref="AB152:AC152" si="136">AB131</f>
        <v>External Scaffolding</v>
      </c>
      <c r="AC152" t="str">
        <f t="shared" si="136"/>
        <v>Adaptions</v>
      </c>
      <c r="AD152" t="b">
        <f t="shared" ca="1" si="69"/>
        <v>1</v>
      </c>
      <c r="AE152" s="1" t="str">
        <f t="shared" ca="1" si="92"/>
        <v>12-13</v>
      </c>
      <c r="AF152" t="str">
        <f t="shared" ca="1" si="67"/>
        <v>Plot 12-13</v>
      </c>
    </row>
    <row r="153" spans="1:32" x14ac:dyDescent="0.25">
      <c r="A153" t="s">
        <v>164</v>
      </c>
      <c r="B153" s="51" t="s">
        <v>33</v>
      </c>
      <c r="C153">
        <v>1</v>
      </c>
      <c r="D153">
        <v>3</v>
      </c>
      <c r="E153" t="b">
        <f t="shared" si="127"/>
        <v>1</v>
      </c>
      <c r="F153" t="b">
        <f t="shared" si="127"/>
        <v>1</v>
      </c>
      <c r="G153" t="b">
        <f t="shared" si="127"/>
        <v>1</v>
      </c>
      <c r="H153" t="b">
        <f t="shared" si="127"/>
        <v>0</v>
      </c>
      <c r="I153" t="b">
        <f t="shared" si="127"/>
        <v>0</v>
      </c>
      <c r="J153" t="b">
        <f t="shared" si="127"/>
        <v>0</v>
      </c>
      <c r="K153" t="b">
        <f t="shared" si="127"/>
        <v>1</v>
      </c>
      <c r="L153" t="b">
        <f t="shared" si="127"/>
        <v>1</v>
      </c>
      <c r="M153" t="b">
        <f t="shared" si="127"/>
        <v>1</v>
      </c>
      <c r="N153" t="b">
        <f t="shared" si="127"/>
        <v>0</v>
      </c>
      <c r="O153" t="b">
        <f t="shared" si="127"/>
        <v>0</v>
      </c>
      <c r="P153" t="b">
        <f t="shared" si="127"/>
        <v>0</v>
      </c>
      <c r="Q153" t="b">
        <v>1</v>
      </c>
      <c r="R153" t="b" cm="1">
        <f t="array" ref="R153">_xlfn.IFS(C153=1,FALSE,OR(C153=2,C153&gt;2),TRUE)</f>
        <v>0</v>
      </c>
      <c r="S153" t="b" cm="1">
        <f t="array" ref="S153">_xlfn.IFS(OR(C153=1,C153=2),FALSE,OR(C153=3,C153&gt;3),TRUE)</f>
        <v>0</v>
      </c>
      <c r="T153" t="str">
        <f t="shared" si="129"/>
        <v>FALSE</v>
      </c>
      <c r="U153" t="str">
        <f t="shared" si="130"/>
        <v>FALSE</v>
      </c>
      <c r="V153" t="str">
        <f t="shared" si="131"/>
        <v>FALSE</v>
      </c>
      <c r="W153" t="b" cm="1">
        <f t="array" ref="W153">_xlfn.IFS(H153=1,FALSE,OR(H153=2,H153&gt;2),TRUE)</f>
        <v>1</v>
      </c>
      <c r="X153" t="b" cm="1">
        <f t="array" ref="X153">_xlfn.IFS(H153=1,FALSE,OR(H153=2,H153&gt;2),TRUE)</f>
        <v>1</v>
      </c>
      <c r="Y153" t="b" cm="1">
        <f t="array" ref="Y153">_xlfn.IFS(H153=1,FALSE,OR(H153=2,H153&gt;2),TRUE)</f>
        <v>1</v>
      </c>
      <c r="AB153" t="str">
        <f t="shared" ref="AB153:AC153" si="137">AB132</f>
        <v>External Scaffolding</v>
      </c>
      <c r="AC153" t="str">
        <f t="shared" si="137"/>
        <v>Adaption Tower</v>
      </c>
      <c r="AD153" t="b">
        <f t="shared" ca="1" si="69"/>
        <v>1</v>
      </c>
      <c r="AE153" s="1" t="str">
        <f t="shared" ca="1" si="92"/>
        <v>12-13</v>
      </c>
      <c r="AF153" t="str">
        <f t="shared" ca="1" si="67"/>
        <v>Plot 12-13</v>
      </c>
    </row>
    <row r="154" spans="1:32" x14ac:dyDescent="0.25">
      <c r="A154" t="s">
        <v>164</v>
      </c>
      <c r="B154" s="51" t="s">
        <v>34</v>
      </c>
      <c r="C154">
        <v>1</v>
      </c>
      <c r="D154">
        <v>3</v>
      </c>
      <c r="E154" t="b">
        <f t="shared" si="127"/>
        <v>1</v>
      </c>
      <c r="F154" t="b">
        <f t="shared" si="127"/>
        <v>1</v>
      </c>
      <c r="G154" t="b">
        <f t="shared" si="127"/>
        <v>1</v>
      </c>
      <c r="H154" t="b">
        <f t="shared" si="127"/>
        <v>0</v>
      </c>
      <c r="I154" t="b">
        <f t="shared" si="127"/>
        <v>0</v>
      </c>
      <c r="J154" t="b">
        <f t="shared" si="127"/>
        <v>0</v>
      </c>
      <c r="K154" t="b">
        <f t="shared" si="127"/>
        <v>1</v>
      </c>
      <c r="L154" t="b">
        <f t="shared" si="127"/>
        <v>1</v>
      </c>
      <c r="M154" t="b">
        <f t="shared" si="127"/>
        <v>1</v>
      </c>
      <c r="N154" t="b">
        <f t="shared" si="127"/>
        <v>0</v>
      </c>
      <c r="O154" t="b">
        <f t="shared" si="127"/>
        <v>0</v>
      </c>
      <c r="P154" t="b">
        <f t="shared" si="127"/>
        <v>0</v>
      </c>
      <c r="Q154" t="b">
        <v>1</v>
      </c>
      <c r="R154" t="b" cm="1">
        <f t="array" ref="R154">_xlfn.IFS(C154=1,FALSE,OR(C154=2,C154&gt;2),TRUE)</f>
        <v>0</v>
      </c>
      <c r="S154" t="b" cm="1">
        <f t="array" ref="S154">_xlfn.IFS(OR(C154=1,C154=2),FALSE,OR(C154=3,C154&gt;3),TRUE)</f>
        <v>0</v>
      </c>
      <c r="T154" t="str">
        <f t="shared" si="129"/>
        <v>FALSE</v>
      </c>
      <c r="U154" t="str">
        <f t="shared" si="130"/>
        <v>FALSE</v>
      </c>
      <c r="V154" t="str">
        <f t="shared" si="131"/>
        <v>FALSE</v>
      </c>
      <c r="W154" t="b" cm="1">
        <f t="array" ref="W154">_xlfn.IFS(H154=1,FALSE,OR(H154=2,H154&gt;2),TRUE)</f>
        <v>1</v>
      </c>
      <c r="X154" t="b" cm="1">
        <f t="array" ref="X154">_xlfn.IFS(H154=1,FALSE,OR(H154=2,H154&gt;2),TRUE)</f>
        <v>1</v>
      </c>
      <c r="Y154" t="b" cm="1">
        <f t="array" ref="Y154">_xlfn.IFS(H154=1,FALSE,OR(H154=2,H154&gt;2),TRUE)</f>
        <v>1</v>
      </c>
      <c r="AB154" t="str">
        <f t="shared" ref="AB154:AC154" si="138">AB133</f>
        <v>External Scaffolding</v>
      </c>
      <c r="AC154" t="str">
        <f t="shared" si="138"/>
        <v>Lift 1</v>
      </c>
      <c r="AD154" t="b">
        <f t="shared" ca="1" si="69"/>
        <v>1</v>
      </c>
      <c r="AE154" s="1">
        <f t="shared" ca="1" si="92"/>
        <v>14</v>
      </c>
      <c r="AF154" t="str">
        <f t="shared" ca="1" si="67"/>
        <v>Plot 14</v>
      </c>
    </row>
    <row r="155" spans="1:32" x14ac:dyDescent="0.25">
      <c r="A155" t="s">
        <v>164</v>
      </c>
      <c r="B155" s="51" t="s">
        <v>35</v>
      </c>
      <c r="C155">
        <v>1</v>
      </c>
      <c r="D155">
        <v>3</v>
      </c>
      <c r="E155" t="b">
        <f t="shared" si="127"/>
        <v>1</v>
      </c>
      <c r="F155" t="b">
        <f t="shared" si="127"/>
        <v>1</v>
      </c>
      <c r="G155" t="b">
        <f t="shared" si="127"/>
        <v>1</v>
      </c>
      <c r="H155" t="b">
        <f t="shared" si="127"/>
        <v>0</v>
      </c>
      <c r="I155" t="b">
        <f t="shared" si="127"/>
        <v>0</v>
      </c>
      <c r="J155" t="b">
        <f t="shared" si="127"/>
        <v>0</v>
      </c>
      <c r="K155" t="b">
        <f t="shared" si="127"/>
        <v>1</v>
      </c>
      <c r="L155" t="b">
        <f t="shared" si="127"/>
        <v>1</v>
      </c>
      <c r="M155" t="b">
        <f t="shared" si="127"/>
        <v>1</v>
      </c>
      <c r="N155" t="b">
        <f t="shared" si="127"/>
        <v>0</v>
      </c>
      <c r="O155" t="b">
        <f t="shared" si="127"/>
        <v>0</v>
      </c>
      <c r="P155" t="b">
        <f t="shared" si="127"/>
        <v>0</v>
      </c>
      <c r="Q155" t="b">
        <v>1</v>
      </c>
      <c r="R155" t="b" cm="1">
        <f t="array" ref="R155">_xlfn.IFS(C155=1,FALSE,OR(C155=2,C155&gt;2),TRUE)</f>
        <v>0</v>
      </c>
      <c r="S155" t="b" cm="1">
        <f t="array" ref="S155">_xlfn.IFS(OR(C155=1,C155=2),FALSE,OR(C155=3,C155&gt;3),TRUE)</f>
        <v>0</v>
      </c>
      <c r="T155" t="str">
        <f t="shared" si="129"/>
        <v>FALSE</v>
      </c>
      <c r="U155" t="str">
        <f t="shared" si="130"/>
        <v>FALSE</v>
      </c>
      <c r="V155" t="str">
        <f t="shared" si="131"/>
        <v>FALSE</v>
      </c>
      <c r="W155" t="b" cm="1">
        <f t="array" ref="W155">_xlfn.IFS(H155=1,FALSE,OR(H155=2,H155&gt;2),TRUE)</f>
        <v>1</v>
      </c>
      <c r="X155" t="b" cm="1">
        <f t="array" ref="X155">_xlfn.IFS(H155=1,FALSE,OR(H155=2,H155&gt;2),TRUE)</f>
        <v>1</v>
      </c>
      <c r="Y155" t="b" cm="1">
        <f t="array" ref="Y155">_xlfn.IFS(H155=1,FALSE,OR(H155=2,H155&gt;2),TRUE)</f>
        <v>1</v>
      </c>
      <c r="AB155" t="str">
        <f t="shared" ref="AB155:AC155" si="139">AB134</f>
        <v>External Scaffolding</v>
      </c>
      <c r="AC155" t="str">
        <f t="shared" si="139"/>
        <v>Lift 2</v>
      </c>
      <c r="AD155" t="b">
        <f t="shared" ca="1" si="69"/>
        <v>1</v>
      </c>
      <c r="AE155" s="1">
        <f t="shared" ca="1" si="92"/>
        <v>14</v>
      </c>
      <c r="AF155" t="str">
        <f t="shared" ca="1" si="67"/>
        <v>Plot 14</v>
      </c>
    </row>
    <row r="156" spans="1:32" x14ac:dyDescent="0.25">
      <c r="A156" t="s">
        <v>164</v>
      </c>
      <c r="B156" s="51" t="s">
        <v>36</v>
      </c>
      <c r="C156">
        <v>1</v>
      </c>
      <c r="D156">
        <v>3</v>
      </c>
      <c r="E156" t="b">
        <f t="shared" si="127"/>
        <v>1</v>
      </c>
      <c r="F156" t="b">
        <f t="shared" si="127"/>
        <v>1</v>
      </c>
      <c r="G156" t="b">
        <f t="shared" si="127"/>
        <v>1</v>
      </c>
      <c r="H156" t="b">
        <f t="shared" si="127"/>
        <v>0</v>
      </c>
      <c r="I156" t="b">
        <f t="shared" si="127"/>
        <v>0</v>
      </c>
      <c r="J156" t="b">
        <f t="shared" si="127"/>
        <v>0</v>
      </c>
      <c r="K156" t="b">
        <f t="shared" si="127"/>
        <v>1</v>
      </c>
      <c r="L156" t="b">
        <f t="shared" si="127"/>
        <v>1</v>
      </c>
      <c r="M156" t="b">
        <f t="shared" si="127"/>
        <v>1</v>
      </c>
      <c r="N156" t="b">
        <f t="shared" si="127"/>
        <v>0</v>
      </c>
      <c r="O156" t="b">
        <f t="shared" si="127"/>
        <v>0</v>
      </c>
      <c r="P156" t="b">
        <f t="shared" si="127"/>
        <v>0</v>
      </c>
      <c r="Q156" t="b">
        <v>1</v>
      </c>
      <c r="R156" t="b" cm="1">
        <f t="array" ref="R156">_xlfn.IFS(C156=1,FALSE,OR(C156=2,C156&gt;2),TRUE)</f>
        <v>0</v>
      </c>
      <c r="S156" t="b" cm="1">
        <f t="array" ref="S156">_xlfn.IFS(OR(C156=1,C156=2),FALSE,OR(C156=3,C156&gt;3),TRUE)</f>
        <v>0</v>
      </c>
      <c r="T156" t="str">
        <f t="shared" si="129"/>
        <v>FALSE</v>
      </c>
      <c r="U156" t="str">
        <f t="shared" si="130"/>
        <v>FALSE</v>
      </c>
      <c r="V156" t="str">
        <f t="shared" si="131"/>
        <v>FALSE</v>
      </c>
      <c r="W156" t="b" cm="1">
        <f t="array" ref="W156">_xlfn.IFS(H156=1,FALSE,OR(H156=2,H156&gt;2),TRUE)</f>
        <v>1</v>
      </c>
      <c r="X156" t="b" cm="1">
        <f t="array" ref="X156">_xlfn.IFS(H156=1,FALSE,OR(H156=2,H156&gt;2),TRUE)</f>
        <v>1</v>
      </c>
      <c r="Y156" t="b" cm="1">
        <f t="array" ref="Y156">_xlfn.IFS(H156=1,FALSE,OR(H156=2,H156&gt;2),TRUE)</f>
        <v>1</v>
      </c>
      <c r="AB156" t="str">
        <f t="shared" ref="AB156:AC156" si="140">AB135</f>
        <v>External Scaffolding</v>
      </c>
      <c r="AC156" t="str">
        <f t="shared" si="140"/>
        <v>Lift 3</v>
      </c>
      <c r="AD156" t="b">
        <f t="shared" ca="1" si="69"/>
        <v>1</v>
      </c>
      <c r="AE156" s="1">
        <f t="shared" ca="1" si="92"/>
        <v>14</v>
      </c>
      <c r="AF156" t="str">
        <f t="shared" ca="1" si="67"/>
        <v>Plot 14</v>
      </c>
    </row>
    <row r="157" spans="1:32" x14ac:dyDescent="0.25">
      <c r="A157" t="s">
        <v>164</v>
      </c>
      <c r="B157" s="51" t="s">
        <v>37</v>
      </c>
      <c r="C157">
        <v>1</v>
      </c>
      <c r="D157">
        <v>3</v>
      </c>
      <c r="E157" t="b">
        <f t="shared" si="127"/>
        <v>1</v>
      </c>
      <c r="F157" t="b">
        <f t="shared" si="127"/>
        <v>1</v>
      </c>
      <c r="G157" t="b">
        <f t="shared" si="127"/>
        <v>1</v>
      </c>
      <c r="H157" t="b">
        <f t="shared" si="127"/>
        <v>0</v>
      </c>
      <c r="I157" t="b">
        <f t="shared" si="127"/>
        <v>0</v>
      </c>
      <c r="J157" t="b">
        <f t="shared" si="127"/>
        <v>0</v>
      </c>
      <c r="K157" t="b">
        <f t="shared" si="127"/>
        <v>1</v>
      </c>
      <c r="L157" t="b">
        <f t="shared" si="127"/>
        <v>1</v>
      </c>
      <c r="M157" t="b">
        <f t="shared" si="127"/>
        <v>1</v>
      </c>
      <c r="N157" t="b">
        <f t="shared" si="127"/>
        <v>0</v>
      </c>
      <c r="O157" t="b">
        <f t="shared" si="127"/>
        <v>0</v>
      </c>
      <c r="P157" t="b">
        <f t="shared" si="127"/>
        <v>0</v>
      </c>
      <c r="Q157" t="b">
        <v>1</v>
      </c>
      <c r="R157" t="b" cm="1">
        <f t="array" ref="R157">_xlfn.IFS(C157=1,FALSE,OR(C157=2,C157&gt;2),TRUE)</f>
        <v>0</v>
      </c>
      <c r="S157" t="b" cm="1">
        <f t="array" ref="S157">_xlfn.IFS(OR(C157=1,C157=2),FALSE,OR(C157=3,C157&gt;3),TRUE)</f>
        <v>0</v>
      </c>
      <c r="T157" t="str">
        <f t="shared" si="129"/>
        <v>FALSE</v>
      </c>
      <c r="U157" t="str">
        <f t="shared" si="130"/>
        <v>FALSE</v>
      </c>
      <c r="V157" t="str">
        <f t="shared" si="131"/>
        <v>FALSE</v>
      </c>
      <c r="W157" t="b" cm="1">
        <f t="array" ref="W157">_xlfn.IFS(H157=1,FALSE,OR(H157=2,H157&gt;2),TRUE)</f>
        <v>1</v>
      </c>
      <c r="X157" t="b" cm="1">
        <f t="array" ref="X157">_xlfn.IFS(H157=1,FALSE,OR(H157=2,H157&gt;2),TRUE)</f>
        <v>1</v>
      </c>
      <c r="Y157" t="b" cm="1">
        <f t="array" ref="Y157">_xlfn.IFS(H157=1,FALSE,OR(H157=2,H157&gt;2),TRUE)</f>
        <v>1</v>
      </c>
      <c r="AB157" t="str">
        <f t="shared" ref="AB157:AC157" si="141">AB136</f>
        <v>External Scaffolding</v>
      </c>
      <c r="AC157" t="str">
        <f t="shared" si="141"/>
        <v>Lift 4</v>
      </c>
      <c r="AD157" t="b">
        <f t="shared" ca="1" si="69"/>
        <v>0</v>
      </c>
      <c r="AE157" s="1">
        <f t="shared" ca="1" si="92"/>
        <v>14</v>
      </c>
      <c r="AF157" t="str">
        <f t="shared" ref="AF157:AF220" ca="1" si="142">IF(LEFT(AE157,1)="G",AE157,"Plot "&amp;AE157)</f>
        <v>Plot 14</v>
      </c>
    </row>
    <row r="158" spans="1:32" x14ac:dyDescent="0.25">
      <c r="A158" t="s">
        <v>164</v>
      </c>
      <c r="B158" s="51" t="s">
        <v>38</v>
      </c>
      <c r="C158">
        <v>1</v>
      </c>
      <c r="D158">
        <v>3</v>
      </c>
      <c r="E158" t="b">
        <f t="shared" si="127"/>
        <v>1</v>
      </c>
      <c r="F158" t="b">
        <f t="shared" si="127"/>
        <v>1</v>
      </c>
      <c r="G158" t="b">
        <f t="shared" si="127"/>
        <v>1</v>
      </c>
      <c r="H158" t="b">
        <f t="shared" si="127"/>
        <v>0</v>
      </c>
      <c r="I158" t="b">
        <f t="shared" si="127"/>
        <v>0</v>
      </c>
      <c r="J158" t="b">
        <f t="shared" si="127"/>
        <v>0</v>
      </c>
      <c r="K158" t="b">
        <f t="shared" si="127"/>
        <v>1</v>
      </c>
      <c r="L158" t="b">
        <f t="shared" si="127"/>
        <v>1</v>
      </c>
      <c r="M158" t="b">
        <f t="shared" si="127"/>
        <v>1</v>
      </c>
      <c r="N158" t="b">
        <f t="shared" si="127"/>
        <v>0</v>
      </c>
      <c r="O158" t="b">
        <f t="shared" si="127"/>
        <v>0</v>
      </c>
      <c r="P158" t="b">
        <f t="shared" si="127"/>
        <v>0</v>
      </c>
      <c r="Q158" t="b">
        <v>1</v>
      </c>
      <c r="R158" t="b" cm="1">
        <f t="array" ref="R158">_xlfn.IFS(C158=1,FALSE,OR(C158=2,C158&gt;2),TRUE)</f>
        <v>0</v>
      </c>
      <c r="S158" t="b" cm="1">
        <f t="array" ref="S158">_xlfn.IFS(OR(C158=1,C158=2),FALSE,OR(C158=3,C158&gt;3),TRUE)</f>
        <v>0</v>
      </c>
      <c r="T158" t="str">
        <f t="shared" si="129"/>
        <v>FALSE</v>
      </c>
      <c r="U158" t="str">
        <f t="shared" si="130"/>
        <v>FALSE</v>
      </c>
      <c r="V158" t="str">
        <f t="shared" si="131"/>
        <v>FALSE</v>
      </c>
      <c r="W158" t="b" cm="1">
        <f t="array" ref="W158">_xlfn.IFS(H158=1,FALSE,OR(H158=2,H158&gt;2),TRUE)</f>
        <v>1</v>
      </c>
      <c r="X158" t="b" cm="1">
        <f t="array" ref="X158">_xlfn.IFS(H158=1,FALSE,OR(H158=2,H158&gt;2),TRUE)</f>
        <v>1</v>
      </c>
      <c r="Y158" t="b" cm="1">
        <f t="array" ref="Y158">_xlfn.IFS(H158=1,FALSE,OR(H158=2,H158&gt;2),TRUE)</f>
        <v>1</v>
      </c>
      <c r="AB158" t="str">
        <f t="shared" ref="AB158:AC158" si="143">AB137</f>
        <v>External Scaffolding</v>
      </c>
      <c r="AC158" t="str">
        <f t="shared" si="143"/>
        <v>Lift 5</v>
      </c>
      <c r="AD158" t="b">
        <f t="shared" ref="AD158:AD221" ca="1" si="144">INDEX($AC$1:$JH$22,MATCH(AC158,$AC$1:$AC$22,0),MATCH(AE158,$AC$1:$JH$1,0))</f>
        <v>0</v>
      </c>
      <c r="AE158" s="1">
        <f t="shared" ca="1" si="92"/>
        <v>14</v>
      </c>
      <c r="AF158" t="str">
        <f t="shared" ca="1" si="142"/>
        <v>Plot 14</v>
      </c>
    </row>
    <row r="159" spans="1:32" x14ac:dyDescent="0.25">
      <c r="A159" t="s">
        <v>164</v>
      </c>
      <c r="B159" s="51" t="s">
        <v>39</v>
      </c>
      <c r="C159">
        <v>1</v>
      </c>
      <c r="D159">
        <v>3</v>
      </c>
      <c r="E159" t="b">
        <f t="shared" si="127"/>
        <v>1</v>
      </c>
      <c r="F159" t="b">
        <f t="shared" si="127"/>
        <v>1</v>
      </c>
      <c r="G159" t="b">
        <f t="shared" si="127"/>
        <v>1</v>
      </c>
      <c r="H159" t="b">
        <f t="shared" si="127"/>
        <v>0</v>
      </c>
      <c r="I159" t="b">
        <f t="shared" si="127"/>
        <v>0</v>
      </c>
      <c r="J159" t="b">
        <f t="shared" si="127"/>
        <v>0</v>
      </c>
      <c r="K159" t="b">
        <f t="shared" si="127"/>
        <v>1</v>
      </c>
      <c r="L159" t="b">
        <f t="shared" si="127"/>
        <v>1</v>
      </c>
      <c r="M159" t="b">
        <f t="shared" si="127"/>
        <v>1</v>
      </c>
      <c r="N159" t="b">
        <f t="shared" si="127"/>
        <v>0</v>
      </c>
      <c r="O159" t="b">
        <f t="shared" si="127"/>
        <v>0</v>
      </c>
      <c r="P159" t="b">
        <f t="shared" si="127"/>
        <v>0</v>
      </c>
      <c r="Q159" t="b">
        <v>1</v>
      </c>
      <c r="R159" t="b" cm="1">
        <f t="array" ref="R159">_xlfn.IFS(C159=1,FALSE,OR(C159=2,C159&gt;2),TRUE)</f>
        <v>0</v>
      </c>
      <c r="S159" t="b" cm="1">
        <f t="array" ref="S159">_xlfn.IFS(OR(C159=1,C159=2),FALSE,OR(C159=3,C159&gt;3),TRUE)</f>
        <v>0</v>
      </c>
      <c r="T159" t="str">
        <f t="shared" si="129"/>
        <v>FALSE</v>
      </c>
      <c r="U159" t="str">
        <f t="shared" si="130"/>
        <v>FALSE</v>
      </c>
      <c r="V159" t="str">
        <f t="shared" si="131"/>
        <v>FALSE</v>
      </c>
      <c r="W159" t="b" cm="1">
        <f t="array" ref="W159">_xlfn.IFS(H159=1,FALSE,OR(H159=2,H159&gt;2),TRUE)</f>
        <v>1</v>
      </c>
      <c r="X159" t="b" cm="1">
        <f t="array" ref="X159">_xlfn.IFS(H159=1,FALSE,OR(H159=2,H159&gt;2),TRUE)</f>
        <v>1</v>
      </c>
      <c r="Y159" t="b" cm="1">
        <f t="array" ref="Y159">_xlfn.IFS(H159=1,FALSE,OR(H159=2,H159&gt;2),TRUE)</f>
        <v>1</v>
      </c>
      <c r="AB159" t="str">
        <f t="shared" ref="AB159:AC159" si="145">AB138</f>
        <v>External Scaffolding</v>
      </c>
      <c r="AC159" t="str">
        <f t="shared" si="145"/>
        <v>Lift 6</v>
      </c>
      <c r="AD159" t="b">
        <f t="shared" ca="1" si="144"/>
        <v>0</v>
      </c>
      <c r="AE159" s="1">
        <f t="shared" ca="1" si="92"/>
        <v>14</v>
      </c>
      <c r="AF159" t="str">
        <f t="shared" ca="1" si="142"/>
        <v>Plot 14</v>
      </c>
    </row>
    <row r="160" spans="1:32" x14ac:dyDescent="0.25">
      <c r="A160" t="s">
        <v>164</v>
      </c>
      <c r="B160" s="51" t="s">
        <v>40</v>
      </c>
      <c r="C160">
        <v>1</v>
      </c>
      <c r="D160">
        <v>3</v>
      </c>
      <c r="E160" t="b">
        <f t="shared" si="127"/>
        <v>1</v>
      </c>
      <c r="F160" t="b">
        <f t="shared" si="127"/>
        <v>1</v>
      </c>
      <c r="G160" t="b">
        <f t="shared" si="127"/>
        <v>1</v>
      </c>
      <c r="H160" t="b">
        <f t="shared" si="127"/>
        <v>0</v>
      </c>
      <c r="I160" t="b">
        <f t="shared" si="127"/>
        <v>0</v>
      </c>
      <c r="J160" t="b">
        <f t="shared" si="127"/>
        <v>0</v>
      </c>
      <c r="K160" t="b">
        <f t="shared" si="127"/>
        <v>1</v>
      </c>
      <c r="L160" t="b">
        <f t="shared" si="127"/>
        <v>1</v>
      </c>
      <c r="M160" t="b">
        <f t="shared" si="127"/>
        <v>1</v>
      </c>
      <c r="N160" t="b">
        <f t="shared" si="127"/>
        <v>0</v>
      </c>
      <c r="O160" t="b">
        <f t="shared" si="127"/>
        <v>0</v>
      </c>
      <c r="P160" t="b">
        <f t="shared" si="127"/>
        <v>0</v>
      </c>
      <c r="Q160" t="b">
        <v>1</v>
      </c>
      <c r="R160" t="b" cm="1">
        <f t="array" ref="R160">_xlfn.IFS(C160=1,FALSE,OR(C160=2,C160&gt;2),TRUE)</f>
        <v>0</v>
      </c>
      <c r="S160" t="b" cm="1">
        <f t="array" ref="S160">_xlfn.IFS(OR(C160=1,C160=2),FALSE,OR(C160=3,C160&gt;3),TRUE)</f>
        <v>0</v>
      </c>
      <c r="T160" t="str">
        <f t="shared" si="129"/>
        <v>FALSE</v>
      </c>
      <c r="U160" t="str">
        <f t="shared" si="130"/>
        <v>FALSE</v>
      </c>
      <c r="V160" t="str">
        <f t="shared" si="131"/>
        <v>FALSE</v>
      </c>
      <c r="W160" t="b" cm="1">
        <f t="array" ref="W160">_xlfn.IFS(H160=1,FALSE,OR(H160=2,H160&gt;2),TRUE)</f>
        <v>1</v>
      </c>
      <c r="X160" t="b" cm="1">
        <f t="array" ref="X160">_xlfn.IFS(H160=1,FALSE,OR(H160=2,H160&gt;2),TRUE)</f>
        <v>1</v>
      </c>
      <c r="Y160" t="b" cm="1">
        <f t="array" ref="Y160">_xlfn.IFS(H160=1,FALSE,OR(H160=2,H160&gt;2),TRUE)</f>
        <v>1</v>
      </c>
      <c r="AB160" t="str">
        <f t="shared" ref="AB160:AC160" si="146">AB139</f>
        <v>Loading Bay</v>
      </c>
      <c r="AC160" t="str">
        <f t="shared" si="146"/>
        <v>Lift 1</v>
      </c>
      <c r="AD160" t="b">
        <f t="shared" ca="1" si="144"/>
        <v>1</v>
      </c>
      <c r="AE160" s="1">
        <f t="shared" ca="1" si="92"/>
        <v>14</v>
      </c>
      <c r="AF160" t="str">
        <f t="shared" ca="1" si="142"/>
        <v>Plot 14</v>
      </c>
    </row>
    <row r="161" spans="1:32" x14ac:dyDescent="0.25">
      <c r="A161" t="s">
        <v>164</v>
      </c>
      <c r="B161" s="51" t="s">
        <v>41</v>
      </c>
      <c r="C161">
        <v>1</v>
      </c>
      <c r="D161">
        <v>3</v>
      </c>
      <c r="E161" t="b">
        <f t="shared" si="127"/>
        <v>1</v>
      </c>
      <c r="F161" t="b">
        <f t="shared" si="127"/>
        <v>1</v>
      </c>
      <c r="G161" t="b">
        <f t="shared" si="127"/>
        <v>1</v>
      </c>
      <c r="H161" t="b">
        <f t="shared" si="127"/>
        <v>0</v>
      </c>
      <c r="I161" t="b">
        <f t="shared" si="127"/>
        <v>0</v>
      </c>
      <c r="J161" t="b">
        <f t="shared" si="127"/>
        <v>0</v>
      </c>
      <c r="K161" t="b">
        <f t="shared" si="127"/>
        <v>1</v>
      </c>
      <c r="L161" t="b">
        <f t="shared" si="127"/>
        <v>1</v>
      </c>
      <c r="M161" t="b">
        <f t="shared" si="127"/>
        <v>1</v>
      </c>
      <c r="N161" t="b">
        <f t="shared" si="127"/>
        <v>0</v>
      </c>
      <c r="O161" t="b">
        <f t="shared" si="127"/>
        <v>0</v>
      </c>
      <c r="P161" t="b">
        <f t="shared" si="127"/>
        <v>0</v>
      </c>
      <c r="Q161" t="b">
        <v>1</v>
      </c>
      <c r="R161" t="b" cm="1">
        <f t="array" ref="R161">_xlfn.IFS(C161=1,FALSE,OR(C161=2,C161&gt;2),TRUE)</f>
        <v>0</v>
      </c>
      <c r="S161" t="b" cm="1">
        <f t="array" ref="S161">_xlfn.IFS(OR(C161=1,C161=2),FALSE,OR(C161=3,C161&gt;3),TRUE)</f>
        <v>0</v>
      </c>
      <c r="T161" t="str">
        <f t="shared" si="129"/>
        <v>FALSE</v>
      </c>
      <c r="U161" t="str">
        <f t="shared" si="130"/>
        <v>FALSE</v>
      </c>
      <c r="V161" t="str">
        <f t="shared" si="131"/>
        <v>FALSE</v>
      </c>
      <c r="W161" t="b" cm="1">
        <f t="array" ref="W161">_xlfn.IFS(H161=1,FALSE,OR(H161=2,H161&gt;2),TRUE)</f>
        <v>1</v>
      </c>
      <c r="X161" t="b" cm="1">
        <f t="array" ref="X161">_xlfn.IFS(H161=1,FALSE,OR(H161=2,H161&gt;2),TRUE)</f>
        <v>1</v>
      </c>
      <c r="Y161" t="b" cm="1">
        <f t="array" ref="Y161">_xlfn.IFS(H161=1,FALSE,OR(H161=2,H161&gt;2),TRUE)</f>
        <v>1</v>
      </c>
      <c r="AB161" t="str">
        <f t="shared" ref="AB161:AC161" si="147">AB140</f>
        <v>Loading Bay</v>
      </c>
      <c r="AC161" t="str">
        <f t="shared" si="147"/>
        <v>Lift 2</v>
      </c>
      <c r="AD161" t="b">
        <f t="shared" ca="1" si="144"/>
        <v>1</v>
      </c>
      <c r="AE161" s="1">
        <f t="shared" ca="1" si="92"/>
        <v>14</v>
      </c>
      <c r="AF161" t="str">
        <f t="shared" ca="1" si="142"/>
        <v>Plot 14</v>
      </c>
    </row>
    <row r="162" spans="1:32" x14ac:dyDescent="0.25">
      <c r="A162" t="s">
        <v>164</v>
      </c>
      <c r="B162" s="51" t="s">
        <v>42</v>
      </c>
      <c r="C162">
        <v>1</v>
      </c>
      <c r="D162">
        <v>3</v>
      </c>
      <c r="E162" t="b">
        <f t="shared" si="127"/>
        <v>1</v>
      </c>
      <c r="F162" t="b">
        <f t="shared" si="127"/>
        <v>1</v>
      </c>
      <c r="G162" t="b">
        <f t="shared" si="127"/>
        <v>1</v>
      </c>
      <c r="H162" t="b">
        <f t="shared" si="127"/>
        <v>0</v>
      </c>
      <c r="I162" t="b">
        <f t="shared" si="127"/>
        <v>0</v>
      </c>
      <c r="J162" t="b">
        <f t="shared" si="127"/>
        <v>0</v>
      </c>
      <c r="K162" t="b">
        <f t="shared" si="127"/>
        <v>1</v>
      </c>
      <c r="L162" t="b">
        <f t="shared" si="127"/>
        <v>1</v>
      </c>
      <c r="M162" t="b">
        <f t="shared" si="127"/>
        <v>1</v>
      </c>
      <c r="N162" t="b">
        <f t="shared" si="127"/>
        <v>0</v>
      </c>
      <c r="O162" t="b">
        <f t="shared" si="127"/>
        <v>0</v>
      </c>
      <c r="P162" t="b">
        <f t="shared" si="127"/>
        <v>0</v>
      </c>
      <c r="Q162" t="b">
        <v>1</v>
      </c>
      <c r="R162" t="b" cm="1">
        <f t="array" ref="R162">_xlfn.IFS(C162=1,FALSE,OR(C162=2,C162&gt;2),TRUE)</f>
        <v>0</v>
      </c>
      <c r="S162" t="b" cm="1">
        <f t="array" ref="S162">_xlfn.IFS(OR(C162=1,C162=2),FALSE,OR(C162=3,C162&gt;3),TRUE)</f>
        <v>0</v>
      </c>
      <c r="T162" t="str">
        <f t="shared" si="129"/>
        <v>FALSE</v>
      </c>
      <c r="U162" t="str">
        <f t="shared" si="130"/>
        <v>FALSE</v>
      </c>
      <c r="V162" t="str">
        <f t="shared" si="131"/>
        <v>FALSE</v>
      </c>
      <c r="W162" t="b" cm="1">
        <f t="array" ref="W162">_xlfn.IFS(H162=1,FALSE,OR(H162=2,H162&gt;2),TRUE)</f>
        <v>1</v>
      </c>
      <c r="X162" t="b" cm="1">
        <f t="array" ref="X162">_xlfn.IFS(H162=1,FALSE,OR(H162=2,H162&gt;2),TRUE)</f>
        <v>1</v>
      </c>
      <c r="Y162" t="b" cm="1">
        <f t="array" ref="Y162">_xlfn.IFS(H162=1,FALSE,OR(H162=2,H162&gt;2),TRUE)</f>
        <v>1</v>
      </c>
      <c r="AB162" t="str">
        <f t="shared" ref="AB162:AC162" si="148">AB141</f>
        <v>Loading Bay</v>
      </c>
      <c r="AC162" t="str">
        <f t="shared" si="148"/>
        <v>Lift 3</v>
      </c>
      <c r="AD162" t="b">
        <f t="shared" ca="1" si="144"/>
        <v>1</v>
      </c>
      <c r="AE162" s="1">
        <f t="shared" ca="1" si="92"/>
        <v>14</v>
      </c>
      <c r="AF162" t="str">
        <f t="shared" ca="1" si="142"/>
        <v>Plot 14</v>
      </c>
    </row>
    <row r="163" spans="1:32" x14ac:dyDescent="0.25">
      <c r="A163" t="s">
        <v>164</v>
      </c>
      <c r="B163" s="51" t="s">
        <v>43</v>
      </c>
      <c r="C163">
        <v>1</v>
      </c>
      <c r="D163">
        <v>3</v>
      </c>
      <c r="E163" t="b">
        <f t="shared" si="127"/>
        <v>1</v>
      </c>
      <c r="F163" t="b">
        <f t="shared" si="127"/>
        <v>1</v>
      </c>
      <c r="G163" t="b">
        <f t="shared" si="127"/>
        <v>1</v>
      </c>
      <c r="H163" t="b">
        <f t="shared" si="127"/>
        <v>0</v>
      </c>
      <c r="I163" t="b">
        <f t="shared" si="127"/>
        <v>0</v>
      </c>
      <c r="J163" t="b">
        <f t="shared" si="127"/>
        <v>0</v>
      </c>
      <c r="K163" t="b">
        <f t="shared" si="127"/>
        <v>1</v>
      </c>
      <c r="L163" t="b">
        <f t="shared" si="127"/>
        <v>1</v>
      </c>
      <c r="M163" t="b">
        <f t="shared" si="127"/>
        <v>1</v>
      </c>
      <c r="N163" t="b">
        <f t="shared" si="127"/>
        <v>0</v>
      </c>
      <c r="O163" t="b">
        <f t="shared" si="127"/>
        <v>0</v>
      </c>
      <c r="P163" t="b">
        <f t="shared" si="127"/>
        <v>0</v>
      </c>
      <c r="Q163" t="b">
        <v>1</v>
      </c>
      <c r="R163" t="b" cm="1">
        <f t="array" ref="R163">_xlfn.IFS(C163=1,FALSE,OR(C163=2,C163&gt;2),TRUE)</f>
        <v>0</v>
      </c>
      <c r="S163" t="b" cm="1">
        <f t="array" ref="S163">_xlfn.IFS(OR(C163=1,C163=2),FALSE,OR(C163=3,C163&gt;3),TRUE)</f>
        <v>0</v>
      </c>
      <c r="T163" t="str">
        <f t="shared" si="129"/>
        <v>FALSE</v>
      </c>
      <c r="U163" t="str">
        <f t="shared" si="130"/>
        <v>FALSE</v>
      </c>
      <c r="V163" t="str">
        <f t="shared" si="131"/>
        <v>FALSE</v>
      </c>
      <c r="W163" t="b" cm="1">
        <f t="array" ref="W163">_xlfn.IFS(H163=1,FALSE,OR(H163=2,H163&gt;2),TRUE)</f>
        <v>1</v>
      </c>
      <c r="X163" t="b" cm="1">
        <f t="array" ref="X163">_xlfn.IFS(H163=1,FALSE,OR(H163=2,H163&gt;2),TRUE)</f>
        <v>1</v>
      </c>
      <c r="Y163" t="b" cm="1">
        <f t="array" ref="Y163">_xlfn.IFS(H163=1,FALSE,OR(H163=2,H163&gt;2),TRUE)</f>
        <v>1</v>
      </c>
      <c r="AB163" t="str">
        <f t="shared" ref="AB163:AC163" si="149">AB142</f>
        <v>Loading Bay</v>
      </c>
      <c r="AC163" t="str">
        <f t="shared" si="149"/>
        <v>Lift 4</v>
      </c>
      <c r="AD163" t="b">
        <f t="shared" ca="1" si="144"/>
        <v>0</v>
      </c>
      <c r="AE163" s="1">
        <f t="shared" ca="1" si="92"/>
        <v>14</v>
      </c>
      <c r="AF163" t="str">
        <f t="shared" ca="1" si="142"/>
        <v>Plot 14</v>
      </c>
    </row>
    <row r="164" spans="1:32" x14ac:dyDescent="0.25">
      <c r="A164" t="s">
        <v>164</v>
      </c>
      <c r="B164" s="51" t="s">
        <v>44</v>
      </c>
      <c r="C164">
        <v>1</v>
      </c>
      <c r="D164">
        <v>3</v>
      </c>
      <c r="E164" t="b">
        <f t="shared" si="127"/>
        <v>1</v>
      </c>
      <c r="F164" t="b">
        <f t="shared" si="127"/>
        <v>1</v>
      </c>
      <c r="G164" t="b">
        <f t="shared" si="127"/>
        <v>1</v>
      </c>
      <c r="H164" t="b">
        <f t="shared" si="127"/>
        <v>0</v>
      </c>
      <c r="I164" t="b">
        <f t="shared" si="127"/>
        <v>0</v>
      </c>
      <c r="J164" t="b">
        <f t="shared" si="127"/>
        <v>0</v>
      </c>
      <c r="K164" t="b">
        <f t="shared" si="127"/>
        <v>1</v>
      </c>
      <c r="L164" t="b">
        <f t="shared" si="127"/>
        <v>1</v>
      </c>
      <c r="M164" t="b">
        <f t="shared" si="127"/>
        <v>1</v>
      </c>
      <c r="N164" t="b">
        <f t="shared" si="127"/>
        <v>0</v>
      </c>
      <c r="O164" t="b">
        <f t="shared" si="127"/>
        <v>0</v>
      </c>
      <c r="P164" t="b">
        <f t="shared" si="127"/>
        <v>0</v>
      </c>
      <c r="Q164" t="b">
        <v>1</v>
      </c>
      <c r="R164" t="b" cm="1">
        <f t="array" ref="R164">_xlfn.IFS(C164=1,FALSE,OR(C164=2,C164&gt;2),TRUE)</f>
        <v>0</v>
      </c>
      <c r="S164" t="b" cm="1">
        <f t="array" ref="S164">_xlfn.IFS(OR(C164=1,C164=2),FALSE,OR(C164=3,C164&gt;3),TRUE)</f>
        <v>0</v>
      </c>
      <c r="T164" t="str">
        <f t="shared" si="129"/>
        <v>FALSE</v>
      </c>
      <c r="U164" t="str">
        <f t="shared" si="130"/>
        <v>FALSE</v>
      </c>
      <c r="V164" t="str">
        <f t="shared" si="131"/>
        <v>FALSE</v>
      </c>
      <c r="W164" t="b" cm="1">
        <f t="array" ref="W164">_xlfn.IFS(H164=1,FALSE,OR(H164=2,H164&gt;2),TRUE)</f>
        <v>1</v>
      </c>
      <c r="X164" t="b" cm="1">
        <f t="array" ref="X164">_xlfn.IFS(H164=1,FALSE,OR(H164=2,H164&gt;2),TRUE)</f>
        <v>1</v>
      </c>
      <c r="Y164" t="b" cm="1">
        <f t="array" ref="Y164">_xlfn.IFS(H164=1,FALSE,OR(H164=2,H164&gt;2),TRUE)</f>
        <v>1</v>
      </c>
      <c r="AB164" t="str">
        <f t="shared" ref="AB164:AC164" si="150">AB143</f>
        <v>Loading Bay</v>
      </c>
      <c r="AC164" t="str">
        <f t="shared" si="150"/>
        <v>Lift 5</v>
      </c>
      <c r="AD164" t="b">
        <f t="shared" ca="1" si="144"/>
        <v>0</v>
      </c>
      <c r="AE164" s="1">
        <f t="shared" ca="1" si="92"/>
        <v>14</v>
      </c>
      <c r="AF164" t="str">
        <f t="shared" ca="1" si="142"/>
        <v>Plot 14</v>
      </c>
    </row>
    <row r="165" spans="1:32" x14ac:dyDescent="0.25">
      <c r="A165" t="s">
        <v>164</v>
      </c>
      <c r="B165" s="51" t="s">
        <v>45</v>
      </c>
      <c r="C165">
        <v>1</v>
      </c>
      <c r="D165">
        <v>3</v>
      </c>
      <c r="E165" t="b">
        <f t="shared" si="127"/>
        <v>1</v>
      </c>
      <c r="F165" t="b">
        <f t="shared" si="127"/>
        <v>1</v>
      </c>
      <c r="G165" t="b">
        <f t="shared" si="127"/>
        <v>1</v>
      </c>
      <c r="H165" t="b">
        <f t="shared" si="127"/>
        <v>0</v>
      </c>
      <c r="I165" t="b">
        <f t="shared" si="127"/>
        <v>0</v>
      </c>
      <c r="J165" t="b">
        <f t="shared" si="127"/>
        <v>0</v>
      </c>
      <c r="K165" t="b">
        <f t="shared" si="127"/>
        <v>1</v>
      </c>
      <c r="L165" t="b">
        <f t="shared" si="127"/>
        <v>1</v>
      </c>
      <c r="M165" t="b">
        <f t="shared" si="127"/>
        <v>1</v>
      </c>
      <c r="N165" t="b">
        <f t="shared" si="127"/>
        <v>0</v>
      </c>
      <c r="O165" t="b">
        <f t="shared" si="127"/>
        <v>0</v>
      </c>
      <c r="P165" t="b">
        <f t="shared" si="127"/>
        <v>0</v>
      </c>
      <c r="Q165" t="b">
        <v>1</v>
      </c>
      <c r="R165" t="b" cm="1">
        <f t="array" ref="R165">_xlfn.IFS(C165=1,FALSE,OR(C165=2,C165&gt;2),TRUE)</f>
        <v>0</v>
      </c>
      <c r="S165" t="b" cm="1">
        <f t="array" ref="S165">_xlfn.IFS(OR(C165=1,C165=2),FALSE,OR(C165=3,C165&gt;3),TRUE)</f>
        <v>0</v>
      </c>
      <c r="T165" t="str">
        <f t="shared" si="129"/>
        <v>FALSE</v>
      </c>
      <c r="U165" t="str">
        <f t="shared" si="130"/>
        <v>FALSE</v>
      </c>
      <c r="V165" t="str">
        <f t="shared" si="131"/>
        <v>FALSE</v>
      </c>
      <c r="W165" t="b" cm="1">
        <f t="array" ref="W165">_xlfn.IFS(H165=1,FALSE,OR(H165=2,H165&gt;2),TRUE)</f>
        <v>1</v>
      </c>
      <c r="X165" t="b" cm="1">
        <f t="array" ref="X165">_xlfn.IFS(H165=1,FALSE,OR(H165=2,H165&gt;2),TRUE)</f>
        <v>1</v>
      </c>
      <c r="Y165" t="b" cm="1">
        <f t="array" ref="Y165">_xlfn.IFS(H165=1,FALSE,OR(H165=2,H165&gt;2),TRUE)</f>
        <v>1</v>
      </c>
      <c r="AB165" t="str">
        <f t="shared" ref="AB165:AC165" si="151">AB144</f>
        <v>Loading Bay</v>
      </c>
      <c r="AC165" t="str">
        <f t="shared" si="151"/>
        <v>Lift 6</v>
      </c>
      <c r="AD165" t="b">
        <f t="shared" ca="1" si="144"/>
        <v>0</v>
      </c>
      <c r="AE165" s="1">
        <f t="shared" ca="1" si="92"/>
        <v>14</v>
      </c>
      <c r="AF165" t="str">
        <f t="shared" ca="1" si="142"/>
        <v>Plot 14</v>
      </c>
    </row>
    <row r="166" spans="1:32" x14ac:dyDescent="0.25">
      <c r="A166" t="s">
        <v>164</v>
      </c>
      <c r="B166" s="51" t="s">
        <v>46</v>
      </c>
      <c r="C166">
        <v>1</v>
      </c>
      <c r="D166">
        <v>3</v>
      </c>
      <c r="E166" t="b">
        <f t="shared" si="127"/>
        <v>1</v>
      </c>
      <c r="F166" t="b">
        <f t="shared" si="127"/>
        <v>1</v>
      </c>
      <c r="G166" t="b">
        <f t="shared" si="127"/>
        <v>1</v>
      </c>
      <c r="H166" t="b">
        <f t="shared" si="127"/>
        <v>0</v>
      </c>
      <c r="I166" t="b">
        <f t="shared" si="127"/>
        <v>0</v>
      </c>
      <c r="J166" t="b">
        <f t="shared" si="127"/>
        <v>0</v>
      </c>
      <c r="K166" t="b">
        <f t="shared" si="127"/>
        <v>1</v>
      </c>
      <c r="L166" t="b">
        <f t="shared" si="127"/>
        <v>1</v>
      </c>
      <c r="M166" t="b">
        <f t="shared" si="127"/>
        <v>1</v>
      </c>
      <c r="N166" t="b">
        <f t="shared" si="127"/>
        <v>0</v>
      </c>
      <c r="O166" t="b">
        <f t="shared" si="127"/>
        <v>0</v>
      </c>
      <c r="P166" t="b">
        <f t="shared" si="127"/>
        <v>0</v>
      </c>
      <c r="Q166" t="b">
        <v>1</v>
      </c>
      <c r="R166" t="b" cm="1">
        <f t="array" ref="R166">_xlfn.IFS(C166=1,FALSE,OR(C166=2,C166&gt;2),TRUE)</f>
        <v>0</v>
      </c>
      <c r="S166" t="b" cm="1">
        <f t="array" ref="S166">_xlfn.IFS(OR(C166=1,C166=2),FALSE,OR(C166=3,C166&gt;3),TRUE)</f>
        <v>0</v>
      </c>
      <c r="T166" t="str">
        <f t="shared" si="129"/>
        <v>FALSE</v>
      </c>
      <c r="U166" t="str">
        <f t="shared" si="130"/>
        <v>FALSE</v>
      </c>
      <c r="V166" t="str">
        <f t="shared" si="131"/>
        <v>FALSE</v>
      </c>
      <c r="W166" t="b" cm="1">
        <f t="array" ref="W166">_xlfn.IFS(H166=1,FALSE,OR(H166=2,H166&gt;2),TRUE)</f>
        <v>1</v>
      </c>
      <c r="X166" t="b" cm="1">
        <f t="array" ref="X166">_xlfn.IFS(H166=1,FALSE,OR(H166=2,H166&gt;2),TRUE)</f>
        <v>1</v>
      </c>
      <c r="Y166" t="b" cm="1">
        <f t="array" ref="Y166">_xlfn.IFS(H166=1,FALSE,OR(H166=2,H166&gt;2),TRUE)</f>
        <v>1</v>
      </c>
      <c r="AB166" t="str">
        <f t="shared" ref="AB166:AC166" si="152">AB145</f>
        <v>Scaffolding Platform</v>
      </c>
      <c r="AC166" t="str">
        <f t="shared" si="152"/>
        <v>Ground Floor</v>
      </c>
      <c r="AD166" t="b">
        <f t="shared" ca="1" si="144"/>
        <v>1</v>
      </c>
      <c r="AE166" s="1">
        <f t="shared" ca="1" si="92"/>
        <v>14</v>
      </c>
      <c r="AF166" t="str">
        <f t="shared" ca="1" si="142"/>
        <v>Plot 14</v>
      </c>
    </row>
    <row r="167" spans="1:32" x14ac:dyDescent="0.25">
      <c r="A167" t="s">
        <v>164</v>
      </c>
      <c r="B167" s="51" t="s">
        <v>47</v>
      </c>
      <c r="C167">
        <v>1</v>
      </c>
      <c r="D167">
        <v>3</v>
      </c>
      <c r="E167" t="b">
        <f t="shared" si="127"/>
        <v>1</v>
      </c>
      <c r="F167" t="b">
        <f t="shared" si="127"/>
        <v>1</v>
      </c>
      <c r="G167" t="b">
        <f t="shared" si="127"/>
        <v>1</v>
      </c>
      <c r="H167" t="b">
        <f t="shared" si="127"/>
        <v>0</v>
      </c>
      <c r="I167" t="b">
        <f t="shared" si="127"/>
        <v>0</v>
      </c>
      <c r="J167" t="b">
        <f t="shared" si="127"/>
        <v>0</v>
      </c>
      <c r="K167" t="b">
        <f t="shared" si="127"/>
        <v>1</v>
      </c>
      <c r="L167" t="b">
        <f t="shared" si="127"/>
        <v>1</v>
      </c>
      <c r="M167" t="b">
        <f t="shared" si="127"/>
        <v>1</v>
      </c>
      <c r="N167" t="b">
        <f t="shared" si="127"/>
        <v>0</v>
      </c>
      <c r="O167" t="b">
        <f t="shared" si="127"/>
        <v>0</v>
      </c>
      <c r="P167" t="b">
        <f t="shared" si="127"/>
        <v>0</v>
      </c>
      <c r="Q167" t="b">
        <v>1</v>
      </c>
      <c r="R167" t="b" cm="1">
        <f t="array" ref="R167">_xlfn.IFS(C167=1,FALSE,OR(C167=2,C167&gt;2),TRUE)</f>
        <v>0</v>
      </c>
      <c r="S167" t="b" cm="1">
        <f t="array" ref="S167">_xlfn.IFS(OR(C167=1,C167=2),FALSE,OR(C167=3,C167&gt;3),TRUE)</f>
        <v>0</v>
      </c>
      <c r="T167" t="str">
        <f t="shared" si="129"/>
        <v>FALSE</v>
      </c>
      <c r="U167" t="str">
        <f t="shared" si="130"/>
        <v>FALSE</v>
      </c>
      <c r="V167" t="str">
        <f t="shared" si="131"/>
        <v>FALSE</v>
      </c>
      <c r="W167" t="b" cm="1">
        <f t="array" ref="W167">_xlfn.IFS(H167=1,FALSE,OR(H167=2,H167&gt;2),TRUE)</f>
        <v>1</v>
      </c>
      <c r="X167" t="b" cm="1">
        <f t="array" ref="X167">_xlfn.IFS(H167=1,FALSE,OR(H167=2,H167&gt;2),TRUE)</f>
        <v>1</v>
      </c>
      <c r="Y167" t="b" cm="1">
        <f t="array" ref="Y167">_xlfn.IFS(H167=1,FALSE,OR(H167=2,H167&gt;2),TRUE)</f>
        <v>1</v>
      </c>
      <c r="AB167" t="str">
        <f t="shared" ref="AB167:AC167" si="153">AB146</f>
        <v>Scaffolding Platform</v>
      </c>
      <c r="AC167" t="str">
        <f t="shared" si="153"/>
        <v>First Floor</v>
      </c>
      <c r="AD167" t="b">
        <f t="shared" ca="1" si="144"/>
        <v>1</v>
      </c>
      <c r="AE167" s="1">
        <f t="shared" ca="1" si="92"/>
        <v>14</v>
      </c>
      <c r="AF167" t="str">
        <f t="shared" ca="1" si="142"/>
        <v>Plot 14</v>
      </c>
    </row>
    <row r="168" spans="1:32" x14ac:dyDescent="0.25">
      <c r="A168" t="s">
        <v>164</v>
      </c>
      <c r="B168" s="51" t="s">
        <v>48</v>
      </c>
      <c r="C168">
        <v>1</v>
      </c>
      <c r="D168">
        <v>3</v>
      </c>
      <c r="E168" t="b">
        <f t="shared" si="127"/>
        <v>1</v>
      </c>
      <c r="F168" t="b">
        <f t="shared" si="127"/>
        <v>1</v>
      </c>
      <c r="G168" t="b">
        <f t="shared" si="127"/>
        <v>1</v>
      </c>
      <c r="H168" t="b">
        <f t="shared" ref="H168:P168" si="154">IF(OR(INT(RIGHT(H$2,1))&lt;$D168,INT(RIGHT(H$2,1))=$D168),TRUE,FALSE)</f>
        <v>0</v>
      </c>
      <c r="I168" t="b">
        <f t="shared" si="154"/>
        <v>0</v>
      </c>
      <c r="J168" t="b">
        <f t="shared" si="154"/>
        <v>0</v>
      </c>
      <c r="K168" t="b">
        <f t="shared" si="154"/>
        <v>1</v>
      </c>
      <c r="L168" t="b">
        <f t="shared" si="154"/>
        <v>1</v>
      </c>
      <c r="M168" t="b">
        <f t="shared" si="154"/>
        <v>1</v>
      </c>
      <c r="N168" t="b">
        <f t="shared" si="154"/>
        <v>0</v>
      </c>
      <c r="O168" t="b">
        <f t="shared" si="154"/>
        <v>0</v>
      </c>
      <c r="P168" t="b">
        <f t="shared" si="154"/>
        <v>0</v>
      </c>
      <c r="Q168" t="b">
        <v>1</v>
      </c>
      <c r="R168" t="b" cm="1">
        <f t="array" ref="R168">_xlfn.IFS(C168=1,FALSE,OR(C168=2,C168&gt;2),TRUE)</f>
        <v>0</v>
      </c>
      <c r="S168" t="b" cm="1">
        <f t="array" ref="S168">_xlfn.IFS(OR(C168=1,C168=2),FALSE,OR(C168=3,C168&gt;3),TRUE)</f>
        <v>0</v>
      </c>
      <c r="T168" t="str">
        <f t="shared" si="129"/>
        <v>FALSE</v>
      </c>
      <c r="U168" t="str">
        <f t="shared" si="130"/>
        <v>FALSE</v>
      </c>
      <c r="V168" t="str">
        <f t="shared" si="131"/>
        <v>FALSE</v>
      </c>
      <c r="W168" t="b" cm="1">
        <f t="array" ref="W168">_xlfn.IFS(H168=1,FALSE,OR(H168=2,H168&gt;2),TRUE)</f>
        <v>1</v>
      </c>
      <c r="X168" t="b" cm="1">
        <f t="array" ref="X168">_xlfn.IFS(H168=1,FALSE,OR(H168=2,H168&gt;2),TRUE)</f>
        <v>1</v>
      </c>
      <c r="Y168" t="b" cm="1">
        <f t="array" ref="Y168">_xlfn.IFS(H168=1,FALSE,OR(H168=2,H168&gt;2),TRUE)</f>
        <v>1</v>
      </c>
      <c r="AB168" t="str">
        <f t="shared" ref="AB168:AC168" si="155">AB147</f>
        <v>Scaffolding Platform</v>
      </c>
      <c r="AC168" t="str">
        <f t="shared" si="155"/>
        <v>Second Floor</v>
      </c>
      <c r="AD168" t="b">
        <f t="shared" ca="1" si="144"/>
        <v>0</v>
      </c>
      <c r="AE168" s="1">
        <f t="shared" ca="1" si="92"/>
        <v>14</v>
      </c>
      <c r="AF168" t="str">
        <f t="shared" ca="1" si="142"/>
        <v>Plot 14</v>
      </c>
    </row>
    <row r="169" spans="1:32" x14ac:dyDescent="0.25">
      <c r="A169" t="s">
        <v>164</v>
      </c>
      <c r="B169" s="51" t="s">
        <v>49</v>
      </c>
      <c r="C169">
        <v>1</v>
      </c>
      <c r="D169">
        <v>3</v>
      </c>
      <c r="E169" t="b">
        <f t="shared" ref="E169:P190" si="156">IF(OR(INT(RIGHT(E$2,1))&lt;$D169,INT(RIGHT(E$2,1))=$D169),TRUE,FALSE)</f>
        <v>1</v>
      </c>
      <c r="F169" t="b">
        <f t="shared" si="156"/>
        <v>1</v>
      </c>
      <c r="G169" t="b">
        <f t="shared" si="156"/>
        <v>1</v>
      </c>
      <c r="H169" t="b">
        <f t="shared" si="156"/>
        <v>0</v>
      </c>
      <c r="I169" t="b">
        <f t="shared" si="156"/>
        <v>0</v>
      </c>
      <c r="J169" t="b">
        <f t="shared" si="156"/>
        <v>0</v>
      </c>
      <c r="K169" t="b">
        <f t="shared" si="156"/>
        <v>1</v>
      </c>
      <c r="L169" t="b">
        <f t="shared" si="156"/>
        <v>1</v>
      </c>
      <c r="M169" t="b">
        <f t="shared" si="156"/>
        <v>1</v>
      </c>
      <c r="N169" t="b">
        <f t="shared" si="156"/>
        <v>0</v>
      </c>
      <c r="O169" t="b">
        <f t="shared" si="156"/>
        <v>0</v>
      </c>
      <c r="P169" t="b">
        <f t="shared" si="156"/>
        <v>0</v>
      </c>
      <c r="Q169" t="b">
        <v>1</v>
      </c>
      <c r="R169" t="b" cm="1">
        <f t="array" ref="R169">_xlfn.IFS(C169=1,FALSE,OR(C169=2,C169&gt;2),TRUE)</f>
        <v>0</v>
      </c>
      <c r="S169" t="b" cm="1">
        <f t="array" ref="S169">_xlfn.IFS(OR(C169=1,C169=2),FALSE,OR(C169=3,C169&gt;3),TRUE)</f>
        <v>0</v>
      </c>
      <c r="T169" t="str">
        <f t="shared" si="129"/>
        <v>FALSE</v>
      </c>
      <c r="U169" t="str">
        <f t="shared" si="130"/>
        <v>FALSE</v>
      </c>
      <c r="V169" t="str">
        <f t="shared" si="131"/>
        <v>FALSE</v>
      </c>
      <c r="W169" t="b" cm="1">
        <f t="array" ref="W169">_xlfn.IFS(H169=1,FALSE,OR(H169=2,H169&gt;2),TRUE)</f>
        <v>1</v>
      </c>
      <c r="X169" t="b" cm="1">
        <f t="array" ref="X169">_xlfn.IFS(H169=1,FALSE,OR(H169=2,H169&gt;2),TRUE)</f>
        <v>1</v>
      </c>
      <c r="Y169" t="b" cm="1">
        <f t="array" ref="Y169">_xlfn.IFS(H169=1,FALSE,OR(H169=2,H169&gt;2),TRUE)</f>
        <v>1</v>
      </c>
      <c r="AB169" t="str">
        <f t="shared" ref="AB169:AC169" si="157">AB148</f>
        <v>Supporting Scaffold</v>
      </c>
      <c r="AC169" t="str">
        <f t="shared" si="157"/>
        <v>Ground Floor Prop.</v>
      </c>
      <c r="AD169" t="str">
        <f t="shared" ca="1" si="144"/>
        <v>TRUE</v>
      </c>
      <c r="AE169" s="1">
        <f t="shared" ca="1" si="92"/>
        <v>14</v>
      </c>
      <c r="AF169" t="str">
        <f t="shared" ca="1" si="142"/>
        <v>Plot 14</v>
      </c>
    </row>
    <row r="170" spans="1:32" x14ac:dyDescent="0.25">
      <c r="A170" t="s">
        <v>164</v>
      </c>
      <c r="B170" s="51" t="s">
        <v>50</v>
      </c>
      <c r="C170">
        <v>1</v>
      </c>
      <c r="D170">
        <v>3</v>
      </c>
      <c r="E170" t="b">
        <f t="shared" si="156"/>
        <v>1</v>
      </c>
      <c r="F170" t="b">
        <f t="shared" si="156"/>
        <v>1</v>
      </c>
      <c r="G170" t="b">
        <f t="shared" si="156"/>
        <v>1</v>
      </c>
      <c r="H170" t="b">
        <f t="shared" si="156"/>
        <v>0</v>
      </c>
      <c r="I170" t="b">
        <f t="shared" si="156"/>
        <v>0</v>
      </c>
      <c r="J170" t="b">
        <f t="shared" si="156"/>
        <v>0</v>
      </c>
      <c r="K170" t="b">
        <f t="shared" si="156"/>
        <v>1</v>
      </c>
      <c r="L170" t="b">
        <f t="shared" si="156"/>
        <v>1</v>
      </c>
      <c r="M170" t="b">
        <f t="shared" si="156"/>
        <v>1</v>
      </c>
      <c r="N170" t="b">
        <f t="shared" si="156"/>
        <v>0</v>
      </c>
      <c r="O170" t="b">
        <f t="shared" si="156"/>
        <v>0</v>
      </c>
      <c r="P170" t="b">
        <f t="shared" si="156"/>
        <v>0</v>
      </c>
      <c r="Q170" t="b">
        <v>1</v>
      </c>
      <c r="R170" t="b" cm="1">
        <f t="array" ref="R170">_xlfn.IFS(C170=1,FALSE,OR(C170=2,C170&gt;2),TRUE)</f>
        <v>0</v>
      </c>
      <c r="S170" t="b" cm="1">
        <f t="array" ref="S170">_xlfn.IFS(OR(C170=1,C170=2),FALSE,OR(C170=3,C170&gt;3),TRUE)</f>
        <v>0</v>
      </c>
      <c r="T170" t="str">
        <f t="shared" si="129"/>
        <v>FALSE</v>
      </c>
      <c r="U170" t="str">
        <f t="shared" si="130"/>
        <v>FALSE</v>
      </c>
      <c r="V170" t="str">
        <f t="shared" si="131"/>
        <v>FALSE</v>
      </c>
      <c r="W170" t="b" cm="1">
        <f t="array" ref="W170">_xlfn.IFS(H170=1,FALSE,OR(H170=2,H170&gt;2),TRUE)</f>
        <v>1</v>
      </c>
      <c r="X170" t="b" cm="1">
        <f t="array" ref="X170">_xlfn.IFS(H170=1,FALSE,OR(H170=2,H170&gt;2),TRUE)</f>
        <v>1</v>
      </c>
      <c r="Y170" t="b" cm="1">
        <f t="array" ref="Y170">_xlfn.IFS(H170=1,FALSE,OR(H170=2,H170&gt;2),TRUE)</f>
        <v>1</v>
      </c>
      <c r="AB170" t="str">
        <f t="shared" ref="AB170:AC170" si="158">AB149</f>
        <v>Supporting Scaffold</v>
      </c>
      <c r="AC170" t="str">
        <f t="shared" si="158"/>
        <v>First Floor Prop.</v>
      </c>
      <c r="AD170" t="str">
        <f t="shared" ca="1" si="144"/>
        <v>FALSE</v>
      </c>
      <c r="AE170" s="1">
        <f t="shared" ca="1" si="92"/>
        <v>14</v>
      </c>
      <c r="AF170" t="str">
        <f t="shared" ca="1" si="142"/>
        <v>Plot 14</v>
      </c>
    </row>
    <row r="171" spans="1:32" x14ac:dyDescent="0.25">
      <c r="A171" t="s">
        <v>164</v>
      </c>
      <c r="B171" s="51" t="s">
        <v>51</v>
      </c>
      <c r="C171">
        <v>1</v>
      </c>
      <c r="D171">
        <v>3</v>
      </c>
      <c r="E171" t="b">
        <f t="shared" si="156"/>
        <v>1</v>
      </c>
      <c r="F171" t="b">
        <f t="shared" si="156"/>
        <v>1</v>
      </c>
      <c r="G171" t="b">
        <f t="shared" si="156"/>
        <v>1</v>
      </c>
      <c r="H171" t="b">
        <f t="shared" si="156"/>
        <v>0</v>
      </c>
      <c r="I171" t="b">
        <f t="shared" si="156"/>
        <v>0</v>
      </c>
      <c r="J171" t="b">
        <f t="shared" si="156"/>
        <v>0</v>
      </c>
      <c r="K171" t="b">
        <f t="shared" si="156"/>
        <v>1</v>
      </c>
      <c r="L171" t="b">
        <f t="shared" si="156"/>
        <v>1</v>
      </c>
      <c r="M171" t="b">
        <f t="shared" si="156"/>
        <v>1</v>
      </c>
      <c r="N171" t="b">
        <f t="shared" si="156"/>
        <v>0</v>
      </c>
      <c r="O171" t="b">
        <f t="shared" si="156"/>
        <v>0</v>
      </c>
      <c r="P171" t="b">
        <f t="shared" si="156"/>
        <v>0</v>
      </c>
      <c r="Q171" t="b">
        <v>1</v>
      </c>
      <c r="R171" t="b" cm="1">
        <f t="array" ref="R171">_xlfn.IFS(C171=1,FALSE,OR(C171=2,C171&gt;2),TRUE)</f>
        <v>0</v>
      </c>
      <c r="S171" t="b" cm="1">
        <f t="array" ref="S171">_xlfn.IFS(OR(C171=1,C171=2),FALSE,OR(C171=3,C171&gt;3),TRUE)</f>
        <v>0</v>
      </c>
      <c r="T171" t="str">
        <f t="shared" si="129"/>
        <v>FALSE</v>
      </c>
      <c r="U171" t="str">
        <f t="shared" si="130"/>
        <v>FALSE</v>
      </c>
      <c r="V171" t="str">
        <f t="shared" si="131"/>
        <v>FALSE</v>
      </c>
      <c r="W171" t="b" cm="1">
        <f t="array" ref="W171">_xlfn.IFS(H171=1,FALSE,OR(H171=2,H171&gt;2),TRUE)</f>
        <v>1</v>
      </c>
      <c r="X171" t="b" cm="1">
        <f t="array" ref="X171">_xlfn.IFS(H171=1,FALSE,OR(H171=2,H171&gt;2),TRUE)</f>
        <v>1</v>
      </c>
      <c r="Y171" t="b" cm="1">
        <f t="array" ref="Y171">_xlfn.IFS(H171=1,FALSE,OR(H171=2,H171&gt;2),TRUE)</f>
        <v>1</v>
      </c>
      <c r="AB171" t="str">
        <f t="shared" ref="AB171:AC171" si="159">AB150</f>
        <v>Supporting Scaffold</v>
      </c>
      <c r="AC171" t="str">
        <f t="shared" si="159"/>
        <v>Second Floor Prop.</v>
      </c>
      <c r="AD171" t="str">
        <f t="shared" ca="1" si="144"/>
        <v>FALSE</v>
      </c>
      <c r="AE171" s="1">
        <f t="shared" ca="1" si="92"/>
        <v>14</v>
      </c>
      <c r="AF171" t="str">
        <f t="shared" ca="1" si="142"/>
        <v>Plot 14</v>
      </c>
    </row>
    <row r="172" spans="1:32" x14ac:dyDescent="0.25">
      <c r="A172" t="s">
        <v>164</v>
      </c>
      <c r="B172" s="51" t="s">
        <v>52</v>
      </c>
      <c r="C172">
        <v>1</v>
      </c>
      <c r="D172">
        <v>3</v>
      </c>
      <c r="E172" t="b">
        <f t="shared" si="156"/>
        <v>1</v>
      </c>
      <c r="F172" t="b">
        <f t="shared" si="156"/>
        <v>1</v>
      </c>
      <c r="G172" t="b">
        <f t="shared" si="156"/>
        <v>1</v>
      </c>
      <c r="H172" t="b">
        <f t="shared" si="156"/>
        <v>0</v>
      </c>
      <c r="I172" t="b">
        <f t="shared" si="156"/>
        <v>0</v>
      </c>
      <c r="J172" t="b">
        <f t="shared" si="156"/>
        <v>0</v>
      </c>
      <c r="K172" t="b">
        <f t="shared" si="156"/>
        <v>1</v>
      </c>
      <c r="L172" t="b">
        <f t="shared" si="156"/>
        <v>1</v>
      </c>
      <c r="M172" t="b">
        <f t="shared" si="156"/>
        <v>1</v>
      </c>
      <c r="N172" t="b">
        <f t="shared" si="156"/>
        <v>0</v>
      </c>
      <c r="O172" t="b">
        <f t="shared" si="156"/>
        <v>0</v>
      </c>
      <c r="P172" t="b">
        <f t="shared" si="156"/>
        <v>0</v>
      </c>
      <c r="Q172" t="b">
        <v>1</v>
      </c>
      <c r="R172" t="b" cm="1">
        <f t="array" ref="R172">_xlfn.IFS(C172=1,FALSE,OR(C172=2,C172&gt;2),TRUE)</f>
        <v>0</v>
      </c>
      <c r="S172" t="b" cm="1">
        <f t="array" ref="S172">_xlfn.IFS(OR(C172=1,C172=2),FALSE,OR(C172=3,C172&gt;3),TRUE)</f>
        <v>0</v>
      </c>
      <c r="T172" t="str">
        <f t="shared" si="129"/>
        <v>FALSE</v>
      </c>
      <c r="U172" t="str">
        <f t="shared" si="130"/>
        <v>FALSE</v>
      </c>
      <c r="V172" t="str">
        <f t="shared" si="131"/>
        <v>FALSE</v>
      </c>
      <c r="W172" t="b" cm="1">
        <f t="array" ref="W172">_xlfn.IFS(H172=1,FALSE,OR(H172=2,H172&gt;2),TRUE)</f>
        <v>1</v>
      </c>
      <c r="X172" t="b" cm="1">
        <f t="array" ref="X172">_xlfn.IFS(H172=1,FALSE,OR(H172=2,H172&gt;2),TRUE)</f>
        <v>1</v>
      </c>
      <c r="Y172" t="b" cm="1">
        <f t="array" ref="Y172">_xlfn.IFS(H172=1,FALSE,OR(H172=2,H172&gt;2),TRUE)</f>
        <v>1</v>
      </c>
      <c r="AB172" t="str">
        <f t="shared" ref="AB172:AC172" si="160">AB151</f>
        <v>External Scaffolding</v>
      </c>
      <c r="AC172" t="str">
        <f t="shared" si="160"/>
        <v>Hop-ups</v>
      </c>
      <c r="AD172" t="b">
        <f t="shared" ca="1" si="144"/>
        <v>1</v>
      </c>
      <c r="AE172" s="1">
        <f t="shared" ca="1" si="92"/>
        <v>14</v>
      </c>
      <c r="AF172" t="str">
        <f t="shared" ca="1" si="142"/>
        <v>Plot 14</v>
      </c>
    </row>
    <row r="173" spans="1:32" x14ac:dyDescent="0.25">
      <c r="A173" t="s">
        <v>164</v>
      </c>
      <c r="B173" s="51" t="s">
        <v>53</v>
      </c>
      <c r="C173">
        <v>1</v>
      </c>
      <c r="D173">
        <v>3</v>
      </c>
      <c r="E173" t="b">
        <f t="shared" si="156"/>
        <v>1</v>
      </c>
      <c r="F173" t="b">
        <f t="shared" si="156"/>
        <v>1</v>
      </c>
      <c r="G173" t="b">
        <f t="shared" si="156"/>
        <v>1</v>
      </c>
      <c r="H173" t="b">
        <f t="shared" si="156"/>
        <v>0</v>
      </c>
      <c r="I173" t="b">
        <f t="shared" si="156"/>
        <v>0</v>
      </c>
      <c r="J173" t="b">
        <f t="shared" si="156"/>
        <v>0</v>
      </c>
      <c r="K173" t="b">
        <f t="shared" si="156"/>
        <v>1</v>
      </c>
      <c r="L173" t="b">
        <f t="shared" si="156"/>
        <v>1</v>
      </c>
      <c r="M173" t="b">
        <f t="shared" si="156"/>
        <v>1</v>
      </c>
      <c r="N173" t="b">
        <f t="shared" si="156"/>
        <v>0</v>
      </c>
      <c r="O173" t="b">
        <f t="shared" si="156"/>
        <v>0</v>
      </c>
      <c r="P173" t="b">
        <f t="shared" si="156"/>
        <v>0</v>
      </c>
      <c r="Q173" t="b">
        <v>1</v>
      </c>
      <c r="R173" t="b" cm="1">
        <f t="array" ref="R173">_xlfn.IFS(C173=1,FALSE,OR(C173=2,C173&gt;2),TRUE)</f>
        <v>0</v>
      </c>
      <c r="S173" t="b" cm="1">
        <f t="array" ref="S173">_xlfn.IFS(OR(C173=1,C173=2),FALSE,OR(C173=3,C173&gt;3),TRUE)</f>
        <v>0</v>
      </c>
      <c r="T173" t="str">
        <f t="shared" si="129"/>
        <v>FALSE</v>
      </c>
      <c r="U173" t="str">
        <f t="shared" si="130"/>
        <v>FALSE</v>
      </c>
      <c r="V173" t="str">
        <f t="shared" si="131"/>
        <v>FALSE</v>
      </c>
      <c r="W173" t="b" cm="1">
        <f t="array" ref="W173">_xlfn.IFS(H173=1,FALSE,OR(H173=2,H173&gt;2),TRUE)</f>
        <v>1</v>
      </c>
      <c r="X173" t="b" cm="1">
        <f t="array" ref="X173">_xlfn.IFS(H173=1,FALSE,OR(H173=2,H173&gt;2),TRUE)</f>
        <v>1</v>
      </c>
      <c r="Y173" t="b" cm="1">
        <f t="array" ref="Y173">_xlfn.IFS(H173=1,FALSE,OR(H173=2,H173&gt;2),TRUE)</f>
        <v>1</v>
      </c>
      <c r="AB173" t="str">
        <f t="shared" ref="AB173:AC173" si="161">AB152</f>
        <v>External Scaffolding</v>
      </c>
      <c r="AC173" t="str">
        <f t="shared" si="161"/>
        <v>Adaptions</v>
      </c>
      <c r="AD173" t="b">
        <f t="shared" ca="1" si="144"/>
        <v>1</v>
      </c>
      <c r="AE173" s="1">
        <f t="shared" ca="1" si="92"/>
        <v>14</v>
      </c>
      <c r="AF173" t="str">
        <f t="shared" ca="1" si="142"/>
        <v>Plot 14</v>
      </c>
    </row>
    <row r="174" spans="1:32" x14ac:dyDescent="0.25">
      <c r="A174" t="s">
        <v>164</v>
      </c>
      <c r="B174" s="51" t="s">
        <v>54</v>
      </c>
      <c r="C174">
        <v>1</v>
      </c>
      <c r="D174">
        <v>3</v>
      </c>
      <c r="E174" t="b">
        <f t="shared" si="156"/>
        <v>1</v>
      </c>
      <c r="F174" t="b">
        <f t="shared" si="156"/>
        <v>1</v>
      </c>
      <c r="G174" t="b">
        <f t="shared" si="156"/>
        <v>1</v>
      </c>
      <c r="H174" t="b">
        <f t="shared" si="156"/>
        <v>0</v>
      </c>
      <c r="I174" t="b">
        <f t="shared" si="156"/>
        <v>0</v>
      </c>
      <c r="J174" t="b">
        <f t="shared" si="156"/>
        <v>0</v>
      </c>
      <c r="K174" t="b">
        <f t="shared" si="156"/>
        <v>1</v>
      </c>
      <c r="L174" t="b">
        <f t="shared" si="156"/>
        <v>1</v>
      </c>
      <c r="M174" t="b">
        <f t="shared" si="156"/>
        <v>1</v>
      </c>
      <c r="N174" t="b">
        <f t="shared" si="156"/>
        <v>0</v>
      </c>
      <c r="O174" t="b">
        <f t="shared" si="156"/>
        <v>0</v>
      </c>
      <c r="P174" t="b">
        <f t="shared" si="156"/>
        <v>0</v>
      </c>
      <c r="Q174" t="b">
        <v>1</v>
      </c>
      <c r="R174" t="b" cm="1">
        <f t="array" ref="R174">_xlfn.IFS(C174=1,FALSE,OR(C174=2,C174&gt;2),TRUE)</f>
        <v>0</v>
      </c>
      <c r="S174" t="b" cm="1">
        <f t="array" ref="S174">_xlfn.IFS(OR(C174=1,C174=2),FALSE,OR(C174=3,C174&gt;3),TRUE)</f>
        <v>0</v>
      </c>
      <c r="T174" t="str">
        <f t="shared" si="129"/>
        <v>FALSE</v>
      </c>
      <c r="U174" t="str">
        <f t="shared" si="130"/>
        <v>FALSE</v>
      </c>
      <c r="V174" t="str">
        <f t="shared" si="131"/>
        <v>FALSE</v>
      </c>
      <c r="W174" t="b" cm="1">
        <f t="array" ref="W174">_xlfn.IFS(H174=1,FALSE,OR(H174=2,H174&gt;2),TRUE)</f>
        <v>1</v>
      </c>
      <c r="X174" t="b" cm="1">
        <f t="array" ref="X174">_xlfn.IFS(H174=1,FALSE,OR(H174=2,H174&gt;2),TRUE)</f>
        <v>1</v>
      </c>
      <c r="Y174" t="b" cm="1">
        <f t="array" ref="Y174">_xlfn.IFS(H174=1,FALSE,OR(H174=2,H174&gt;2),TRUE)</f>
        <v>1</v>
      </c>
      <c r="AB174" t="str">
        <f t="shared" ref="AB174:AC174" si="162">AB153</f>
        <v>External Scaffolding</v>
      </c>
      <c r="AC174" t="str">
        <f t="shared" si="162"/>
        <v>Adaption Tower</v>
      </c>
      <c r="AD174" t="b">
        <f t="shared" ca="1" si="144"/>
        <v>1</v>
      </c>
      <c r="AE174" s="1">
        <f t="shared" ca="1" si="92"/>
        <v>14</v>
      </c>
      <c r="AF174" t="str">
        <f t="shared" ca="1" si="142"/>
        <v>Plot 14</v>
      </c>
    </row>
    <row r="175" spans="1:32" x14ac:dyDescent="0.25">
      <c r="A175" t="s">
        <v>164</v>
      </c>
      <c r="B175" s="51" t="s">
        <v>55</v>
      </c>
      <c r="C175">
        <v>1</v>
      </c>
      <c r="D175">
        <v>3</v>
      </c>
      <c r="E175" t="b">
        <f t="shared" si="156"/>
        <v>1</v>
      </c>
      <c r="F175" t="b">
        <f t="shared" si="156"/>
        <v>1</v>
      </c>
      <c r="G175" t="b">
        <f t="shared" si="156"/>
        <v>1</v>
      </c>
      <c r="H175" t="b">
        <f t="shared" si="156"/>
        <v>0</v>
      </c>
      <c r="I175" t="b">
        <f t="shared" si="156"/>
        <v>0</v>
      </c>
      <c r="J175" t="b">
        <f t="shared" si="156"/>
        <v>0</v>
      </c>
      <c r="K175" t="b">
        <f t="shared" si="156"/>
        <v>1</v>
      </c>
      <c r="L175" t="b">
        <f t="shared" si="156"/>
        <v>1</v>
      </c>
      <c r="M175" t="b">
        <f t="shared" si="156"/>
        <v>1</v>
      </c>
      <c r="N175" t="b">
        <f t="shared" si="156"/>
        <v>0</v>
      </c>
      <c r="O175" t="b">
        <f t="shared" si="156"/>
        <v>0</v>
      </c>
      <c r="P175" t="b">
        <f t="shared" si="156"/>
        <v>0</v>
      </c>
      <c r="Q175" t="b">
        <v>1</v>
      </c>
      <c r="R175" t="b" cm="1">
        <f t="array" ref="R175">_xlfn.IFS(C175=1,FALSE,OR(C175=2,C175&gt;2),TRUE)</f>
        <v>0</v>
      </c>
      <c r="S175" t="b" cm="1">
        <f t="array" ref="S175">_xlfn.IFS(OR(C175=1,C175=2),FALSE,OR(C175=3,C175&gt;3),TRUE)</f>
        <v>0</v>
      </c>
      <c r="T175" t="str">
        <f t="shared" si="129"/>
        <v>FALSE</v>
      </c>
      <c r="U175" t="str">
        <f t="shared" si="130"/>
        <v>FALSE</v>
      </c>
      <c r="V175" t="str">
        <f t="shared" si="131"/>
        <v>FALSE</v>
      </c>
      <c r="W175" t="b" cm="1">
        <f t="array" ref="W175">_xlfn.IFS(H175=1,FALSE,OR(H175=2,H175&gt;2),TRUE)</f>
        <v>1</v>
      </c>
      <c r="X175" t="b" cm="1">
        <f t="array" ref="X175">_xlfn.IFS(H175=1,FALSE,OR(H175=2,H175&gt;2),TRUE)</f>
        <v>1</v>
      </c>
      <c r="Y175" t="b" cm="1">
        <f t="array" ref="Y175">_xlfn.IFS(H175=1,FALSE,OR(H175=2,H175&gt;2),TRUE)</f>
        <v>1</v>
      </c>
      <c r="AB175" t="str">
        <f t="shared" ref="AB175:AC175" si="163">AB154</f>
        <v>External Scaffolding</v>
      </c>
      <c r="AC175" t="str">
        <f t="shared" si="163"/>
        <v>Lift 1</v>
      </c>
      <c r="AD175" t="b">
        <f t="shared" ca="1" si="144"/>
        <v>1</v>
      </c>
      <c r="AE175" s="1">
        <f t="shared" ca="1" si="92"/>
        <v>15</v>
      </c>
      <c r="AF175" t="str">
        <f t="shared" ca="1" si="142"/>
        <v>Plot 15</v>
      </c>
    </row>
    <row r="176" spans="1:32" x14ac:dyDescent="0.25">
      <c r="A176" t="s">
        <v>164</v>
      </c>
      <c r="B176" s="51" t="s">
        <v>56</v>
      </c>
      <c r="C176">
        <v>1</v>
      </c>
      <c r="D176">
        <v>3</v>
      </c>
      <c r="E176" t="b">
        <f t="shared" si="156"/>
        <v>1</v>
      </c>
      <c r="F176" t="b">
        <f t="shared" si="156"/>
        <v>1</v>
      </c>
      <c r="G176" t="b">
        <f t="shared" si="156"/>
        <v>1</v>
      </c>
      <c r="H176" t="b">
        <f t="shared" si="156"/>
        <v>0</v>
      </c>
      <c r="I176" t="b">
        <f t="shared" si="156"/>
        <v>0</v>
      </c>
      <c r="J176" t="b">
        <f t="shared" si="156"/>
        <v>0</v>
      </c>
      <c r="K176" t="b">
        <f t="shared" si="156"/>
        <v>1</v>
      </c>
      <c r="L176" t="b">
        <f t="shared" si="156"/>
        <v>1</v>
      </c>
      <c r="M176" t="b">
        <f t="shared" si="156"/>
        <v>1</v>
      </c>
      <c r="N176" t="b">
        <f t="shared" si="156"/>
        <v>0</v>
      </c>
      <c r="O176" t="b">
        <f t="shared" si="156"/>
        <v>0</v>
      </c>
      <c r="P176" t="b">
        <f t="shared" si="156"/>
        <v>0</v>
      </c>
      <c r="Q176" t="b">
        <v>1</v>
      </c>
      <c r="R176" t="b" cm="1">
        <f t="array" ref="R176">_xlfn.IFS(C176=1,FALSE,OR(C176=2,C176&gt;2),TRUE)</f>
        <v>0</v>
      </c>
      <c r="S176" t="b" cm="1">
        <f t="array" ref="S176">_xlfn.IFS(OR(C176=1,C176=2),FALSE,OR(C176=3,C176&gt;3),TRUE)</f>
        <v>0</v>
      </c>
      <c r="T176" t="str">
        <f t="shared" si="129"/>
        <v>FALSE</v>
      </c>
      <c r="U176" t="str">
        <f t="shared" si="130"/>
        <v>FALSE</v>
      </c>
      <c r="V176" t="str">
        <f t="shared" si="131"/>
        <v>FALSE</v>
      </c>
      <c r="W176" t="b" cm="1">
        <f t="array" ref="W176">_xlfn.IFS(H176=1,FALSE,OR(H176=2,H176&gt;2),TRUE)</f>
        <v>1</v>
      </c>
      <c r="X176" t="b" cm="1">
        <f t="array" ref="X176">_xlfn.IFS(H176=1,FALSE,OR(H176=2,H176&gt;2),TRUE)</f>
        <v>1</v>
      </c>
      <c r="Y176" t="b" cm="1">
        <f t="array" ref="Y176">_xlfn.IFS(H176=1,FALSE,OR(H176=2,H176&gt;2),TRUE)</f>
        <v>1</v>
      </c>
      <c r="AB176" t="str">
        <f t="shared" ref="AB176:AC176" si="164">AB155</f>
        <v>External Scaffolding</v>
      </c>
      <c r="AC176" t="str">
        <f t="shared" si="164"/>
        <v>Lift 2</v>
      </c>
      <c r="AD176" t="b">
        <f t="shared" ca="1" si="144"/>
        <v>1</v>
      </c>
      <c r="AE176" s="1">
        <f t="shared" ca="1" si="92"/>
        <v>15</v>
      </c>
      <c r="AF176" t="str">
        <f t="shared" ca="1" si="142"/>
        <v>Plot 15</v>
      </c>
    </row>
    <row r="177" spans="1:32" x14ac:dyDescent="0.25">
      <c r="A177" t="s">
        <v>164</v>
      </c>
      <c r="B177" s="51" t="s">
        <v>57</v>
      </c>
      <c r="C177">
        <v>1</v>
      </c>
      <c r="D177">
        <v>3</v>
      </c>
      <c r="E177" t="b">
        <f t="shared" si="156"/>
        <v>1</v>
      </c>
      <c r="F177" t="b">
        <f t="shared" si="156"/>
        <v>1</v>
      </c>
      <c r="G177" t="b">
        <f t="shared" si="156"/>
        <v>1</v>
      </c>
      <c r="H177" t="b">
        <f t="shared" si="156"/>
        <v>0</v>
      </c>
      <c r="I177" t="b">
        <f t="shared" si="156"/>
        <v>0</v>
      </c>
      <c r="J177" t="b">
        <f t="shared" si="156"/>
        <v>0</v>
      </c>
      <c r="K177" t="b">
        <f t="shared" si="156"/>
        <v>1</v>
      </c>
      <c r="L177" t="b">
        <f t="shared" si="156"/>
        <v>1</v>
      </c>
      <c r="M177" t="b">
        <f t="shared" si="156"/>
        <v>1</v>
      </c>
      <c r="N177" t="b">
        <f t="shared" si="156"/>
        <v>0</v>
      </c>
      <c r="O177" t="b">
        <f t="shared" si="156"/>
        <v>0</v>
      </c>
      <c r="P177" t="b">
        <f t="shared" si="156"/>
        <v>0</v>
      </c>
      <c r="Q177" t="b">
        <v>1</v>
      </c>
      <c r="R177" t="b" cm="1">
        <f t="array" ref="R177">_xlfn.IFS(C177=1,FALSE,OR(C177=2,C177&gt;2),TRUE)</f>
        <v>0</v>
      </c>
      <c r="S177" t="b" cm="1">
        <f t="array" ref="S177">_xlfn.IFS(OR(C177=1,C177=2),FALSE,OR(C177=3,C177&gt;3),TRUE)</f>
        <v>0</v>
      </c>
      <c r="T177" t="str">
        <f t="shared" si="129"/>
        <v>FALSE</v>
      </c>
      <c r="U177" t="str">
        <f t="shared" si="130"/>
        <v>FALSE</v>
      </c>
      <c r="V177" t="str">
        <f t="shared" si="131"/>
        <v>FALSE</v>
      </c>
      <c r="W177" t="b" cm="1">
        <f t="array" ref="W177">_xlfn.IFS(H177=1,FALSE,OR(H177=2,H177&gt;2),TRUE)</f>
        <v>1</v>
      </c>
      <c r="X177" t="b" cm="1">
        <f t="array" ref="X177">_xlfn.IFS(H177=1,FALSE,OR(H177=2,H177&gt;2),TRUE)</f>
        <v>1</v>
      </c>
      <c r="Y177" t="b" cm="1">
        <f t="array" ref="Y177">_xlfn.IFS(H177=1,FALSE,OR(H177=2,H177&gt;2),TRUE)</f>
        <v>1</v>
      </c>
      <c r="AB177" t="str">
        <f t="shared" ref="AB177:AC177" si="165">AB156</f>
        <v>External Scaffolding</v>
      </c>
      <c r="AC177" t="str">
        <f t="shared" si="165"/>
        <v>Lift 3</v>
      </c>
      <c r="AD177" t="b">
        <f t="shared" ca="1" si="144"/>
        <v>1</v>
      </c>
      <c r="AE177" s="1">
        <f t="shared" ca="1" si="92"/>
        <v>15</v>
      </c>
      <c r="AF177" t="str">
        <f t="shared" ca="1" si="142"/>
        <v>Plot 15</v>
      </c>
    </row>
    <row r="178" spans="1:32" x14ac:dyDescent="0.25">
      <c r="A178" t="s">
        <v>164</v>
      </c>
      <c r="B178" s="51" t="s">
        <v>58</v>
      </c>
      <c r="C178">
        <v>1</v>
      </c>
      <c r="D178">
        <v>3</v>
      </c>
      <c r="E178" t="b">
        <f t="shared" si="156"/>
        <v>1</v>
      </c>
      <c r="F178" t="b">
        <f t="shared" si="156"/>
        <v>1</v>
      </c>
      <c r="G178" t="b">
        <f t="shared" si="156"/>
        <v>1</v>
      </c>
      <c r="H178" t="b">
        <f t="shared" si="156"/>
        <v>0</v>
      </c>
      <c r="I178" t="b">
        <f t="shared" si="156"/>
        <v>0</v>
      </c>
      <c r="J178" t="b">
        <f t="shared" si="156"/>
        <v>0</v>
      </c>
      <c r="K178" t="b">
        <f t="shared" si="156"/>
        <v>1</v>
      </c>
      <c r="L178" t="b">
        <f t="shared" si="156"/>
        <v>1</v>
      </c>
      <c r="M178" t="b">
        <f t="shared" si="156"/>
        <v>1</v>
      </c>
      <c r="N178" t="b">
        <f t="shared" si="156"/>
        <v>0</v>
      </c>
      <c r="O178" t="b">
        <f t="shared" si="156"/>
        <v>0</v>
      </c>
      <c r="P178" t="b">
        <f t="shared" si="156"/>
        <v>0</v>
      </c>
      <c r="Q178" t="b">
        <v>1</v>
      </c>
      <c r="R178" t="b" cm="1">
        <f t="array" ref="R178">_xlfn.IFS(C178=1,FALSE,OR(C178=2,C178&gt;2),TRUE)</f>
        <v>0</v>
      </c>
      <c r="S178" t="b" cm="1">
        <f t="array" ref="S178">_xlfn.IFS(OR(C178=1,C178=2),FALSE,OR(C178=3,C178&gt;3),TRUE)</f>
        <v>0</v>
      </c>
      <c r="T178" t="str">
        <f t="shared" si="129"/>
        <v>FALSE</v>
      </c>
      <c r="U178" t="str">
        <f t="shared" si="130"/>
        <v>FALSE</v>
      </c>
      <c r="V178" t="str">
        <f t="shared" si="131"/>
        <v>FALSE</v>
      </c>
      <c r="W178" t="b" cm="1">
        <f t="array" ref="W178">_xlfn.IFS(H178=1,FALSE,OR(H178=2,H178&gt;2),TRUE)</f>
        <v>1</v>
      </c>
      <c r="X178" t="b" cm="1">
        <f t="array" ref="X178">_xlfn.IFS(H178=1,FALSE,OR(H178=2,H178&gt;2),TRUE)</f>
        <v>1</v>
      </c>
      <c r="Y178" t="b" cm="1">
        <f t="array" ref="Y178">_xlfn.IFS(H178=1,FALSE,OR(H178=2,H178&gt;2),TRUE)</f>
        <v>1</v>
      </c>
      <c r="AB178" t="str">
        <f t="shared" ref="AB178:AC178" si="166">AB157</f>
        <v>External Scaffolding</v>
      </c>
      <c r="AC178" t="str">
        <f t="shared" si="166"/>
        <v>Lift 4</v>
      </c>
      <c r="AD178" t="b">
        <f t="shared" ca="1" si="144"/>
        <v>0</v>
      </c>
      <c r="AE178" s="1">
        <f t="shared" ref="AE178:AE241" ca="1" si="167">OFFSET($AD$1,0,FLOOR(ROW(B150)/21,1))</f>
        <v>15</v>
      </c>
      <c r="AF178" t="str">
        <f t="shared" ca="1" si="142"/>
        <v>Plot 15</v>
      </c>
    </row>
    <row r="179" spans="1:32" x14ac:dyDescent="0.25">
      <c r="A179" t="s">
        <v>164</v>
      </c>
      <c r="B179" s="51" t="s">
        <v>59</v>
      </c>
      <c r="C179">
        <v>1</v>
      </c>
      <c r="D179">
        <v>3</v>
      </c>
      <c r="E179" t="b">
        <f t="shared" si="156"/>
        <v>1</v>
      </c>
      <c r="F179" t="b">
        <f t="shared" si="156"/>
        <v>1</v>
      </c>
      <c r="G179" t="b">
        <f t="shared" si="156"/>
        <v>1</v>
      </c>
      <c r="H179" t="b">
        <f t="shared" si="156"/>
        <v>0</v>
      </c>
      <c r="I179" t="b">
        <f t="shared" si="156"/>
        <v>0</v>
      </c>
      <c r="J179" t="b">
        <f t="shared" si="156"/>
        <v>0</v>
      </c>
      <c r="K179" t="b">
        <f t="shared" si="156"/>
        <v>1</v>
      </c>
      <c r="L179" t="b">
        <f t="shared" si="156"/>
        <v>1</v>
      </c>
      <c r="M179" t="b">
        <f t="shared" si="156"/>
        <v>1</v>
      </c>
      <c r="N179" t="b">
        <f t="shared" si="156"/>
        <v>0</v>
      </c>
      <c r="O179" t="b">
        <f t="shared" si="156"/>
        <v>0</v>
      </c>
      <c r="P179" t="b">
        <f t="shared" si="156"/>
        <v>0</v>
      </c>
      <c r="Q179" t="b">
        <v>1</v>
      </c>
      <c r="R179" t="b" cm="1">
        <f t="array" ref="R179">_xlfn.IFS(C179=1,FALSE,OR(C179=2,C179&gt;2),TRUE)</f>
        <v>0</v>
      </c>
      <c r="S179" t="b" cm="1">
        <f t="array" ref="S179">_xlfn.IFS(OR(C179=1,C179=2),FALSE,OR(C179=3,C179&gt;3),TRUE)</f>
        <v>0</v>
      </c>
      <c r="T179" t="str">
        <f t="shared" si="129"/>
        <v>FALSE</v>
      </c>
      <c r="U179" t="str">
        <f t="shared" si="130"/>
        <v>FALSE</v>
      </c>
      <c r="V179" t="str">
        <f t="shared" si="131"/>
        <v>FALSE</v>
      </c>
      <c r="W179" t="b" cm="1">
        <f t="array" ref="W179">_xlfn.IFS(H179=1,FALSE,OR(H179=2,H179&gt;2),TRUE)</f>
        <v>1</v>
      </c>
      <c r="X179" t="b" cm="1">
        <f t="array" ref="X179">_xlfn.IFS(H179=1,FALSE,OR(H179=2,H179&gt;2),TRUE)</f>
        <v>1</v>
      </c>
      <c r="Y179" t="b" cm="1">
        <f t="array" ref="Y179">_xlfn.IFS(H179=1,FALSE,OR(H179=2,H179&gt;2),TRUE)</f>
        <v>1</v>
      </c>
      <c r="AB179" t="str">
        <f t="shared" ref="AB179:AC179" si="168">AB158</f>
        <v>External Scaffolding</v>
      </c>
      <c r="AC179" t="str">
        <f t="shared" si="168"/>
        <v>Lift 5</v>
      </c>
      <c r="AD179" t="b">
        <f t="shared" ca="1" si="144"/>
        <v>0</v>
      </c>
      <c r="AE179" s="1">
        <f t="shared" ca="1" si="167"/>
        <v>15</v>
      </c>
      <c r="AF179" t="str">
        <f t="shared" ca="1" si="142"/>
        <v>Plot 15</v>
      </c>
    </row>
    <row r="180" spans="1:32" x14ac:dyDescent="0.25">
      <c r="A180" t="s">
        <v>164</v>
      </c>
      <c r="B180" s="51" t="s">
        <v>60</v>
      </c>
      <c r="C180">
        <v>1</v>
      </c>
      <c r="D180">
        <v>3</v>
      </c>
      <c r="E180" t="b">
        <f t="shared" si="156"/>
        <v>1</v>
      </c>
      <c r="F180" t="b">
        <f t="shared" si="156"/>
        <v>1</v>
      </c>
      <c r="G180" t="b">
        <f t="shared" si="156"/>
        <v>1</v>
      </c>
      <c r="H180" t="b">
        <f t="shared" si="156"/>
        <v>0</v>
      </c>
      <c r="I180" t="b">
        <f t="shared" si="156"/>
        <v>0</v>
      </c>
      <c r="J180" t="b">
        <f t="shared" si="156"/>
        <v>0</v>
      </c>
      <c r="K180" t="b">
        <f t="shared" si="156"/>
        <v>1</v>
      </c>
      <c r="L180" t="b">
        <f t="shared" si="156"/>
        <v>1</v>
      </c>
      <c r="M180" t="b">
        <f t="shared" si="156"/>
        <v>1</v>
      </c>
      <c r="N180" t="b">
        <f t="shared" si="156"/>
        <v>0</v>
      </c>
      <c r="O180" t="b">
        <f t="shared" si="156"/>
        <v>0</v>
      </c>
      <c r="P180" t="b">
        <f t="shared" si="156"/>
        <v>0</v>
      </c>
      <c r="Q180" t="b">
        <v>1</v>
      </c>
      <c r="R180" t="b" cm="1">
        <f t="array" ref="R180">_xlfn.IFS(C180=1,FALSE,OR(C180=2,C180&gt;2),TRUE)</f>
        <v>0</v>
      </c>
      <c r="S180" t="b" cm="1">
        <f t="array" ref="S180">_xlfn.IFS(OR(C180=1,C180=2),FALSE,OR(C180=3,C180&gt;3),TRUE)</f>
        <v>0</v>
      </c>
      <c r="T180" t="str">
        <f t="shared" si="129"/>
        <v>FALSE</v>
      </c>
      <c r="U180" t="str">
        <f t="shared" si="130"/>
        <v>FALSE</v>
      </c>
      <c r="V180" t="str">
        <f t="shared" si="131"/>
        <v>FALSE</v>
      </c>
      <c r="W180" t="b" cm="1">
        <f t="array" ref="W180">_xlfn.IFS(H180=1,FALSE,OR(H180=2,H180&gt;2),TRUE)</f>
        <v>1</v>
      </c>
      <c r="X180" t="b" cm="1">
        <f t="array" ref="X180">_xlfn.IFS(H180=1,FALSE,OR(H180=2,H180&gt;2),TRUE)</f>
        <v>1</v>
      </c>
      <c r="Y180" t="b" cm="1">
        <f t="array" ref="Y180">_xlfn.IFS(H180=1,FALSE,OR(H180=2,H180&gt;2),TRUE)</f>
        <v>1</v>
      </c>
      <c r="AB180" t="str">
        <f t="shared" ref="AB180:AC180" si="169">AB159</f>
        <v>External Scaffolding</v>
      </c>
      <c r="AC180" t="str">
        <f t="shared" si="169"/>
        <v>Lift 6</v>
      </c>
      <c r="AD180" t="b">
        <f t="shared" ca="1" si="144"/>
        <v>0</v>
      </c>
      <c r="AE180" s="1">
        <f t="shared" ca="1" si="167"/>
        <v>15</v>
      </c>
      <c r="AF180" t="str">
        <f t="shared" ca="1" si="142"/>
        <v>Plot 15</v>
      </c>
    </row>
    <row r="181" spans="1:32" x14ac:dyDescent="0.25">
      <c r="A181" t="s">
        <v>164</v>
      </c>
      <c r="B181" s="51" t="s">
        <v>61</v>
      </c>
      <c r="C181">
        <v>1</v>
      </c>
      <c r="D181">
        <v>3</v>
      </c>
      <c r="E181" t="b">
        <f t="shared" si="156"/>
        <v>1</v>
      </c>
      <c r="F181" t="b">
        <f t="shared" si="156"/>
        <v>1</v>
      </c>
      <c r="G181" t="b">
        <f t="shared" si="156"/>
        <v>1</v>
      </c>
      <c r="H181" t="b">
        <f t="shared" si="156"/>
        <v>0</v>
      </c>
      <c r="I181" t="b">
        <f t="shared" si="156"/>
        <v>0</v>
      </c>
      <c r="J181" t="b">
        <f t="shared" si="156"/>
        <v>0</v>
      </c>
      <c r="K181" t="b">
        <f t="shared" si="156"/>
        <v>1</v>
      </c>
      <c r="L181" t="b">
        <f t="shared" si="156"/>
        <v>1</v>
      </c>
      <c r="M181" t="b">
        <f t="shared" si="156"/>
        <v>1</v>
      </c>
      <c r="N181" t="b">
        <f t="shared" si="156"/>
        <v>0</v>
      </c>
      <c r="O181" t="b">
        <f t="shared" si="156"/>
        <v>0</v>
      </c>
      <c r="P181" t="b">
        <f t="shared" si="156"/>
        <v>0</v>
      </c>
      <c r="Q181" t="b">
        <v>1</v>
      </c>
      <c r="R181" t="b" cm="1">
        <f t="array" ref="R181">_xlfn.IFS(C181=1,FALSE,OR(C181=2,C181&gt;2),TRUE)</f>
        <v>0</v>
      </c>
      <c r="S181" t="b" cm="1">
        <f t="array" ref="S181">_xlfn.IFS(OR(C181=1,C181=2),FALSE,OR(C181=3,C181&gt;3),TRUE)</f>
        <v>0</v>
      </c>
      <c r="T181" t="str">
        <f t="shared" si="129"/>
        <v>FALSE</v>
      </c>
      <c r="U181" t="str">
        <f t="shared" si="130"/>
        <v>FALSE</v>
      </c>
      <c r="V181" t="str">
        <f t="shared" si="131"/>
        <v>FALSE</v>
      </c>
      <c r="W181" t="b" cm="1">
        <f t="array" ref="W181">_xlfn.IFS(H181=1,FALSE,OR(H181=2,H181&gt;2),TRUE)</f>
        <v>1</v>
      </c>
      <c r="X181" t="b" cm="1">
        <f t="array" ref="X181">_xlfn.IFS(H181=1,FALSE,OR(H181=2,H181&gt;2),TRUE)</f>
        <v>1</v>
      </c>
      <c r="Y181" t="b" cm="1">
        <f t="array" ref="Y181">_xlfn.IFS(H181=1,FALSE,OR(H181=2,H181&gt;2),TRUE)</f>
        <v>1</v>
      </c>
      <c r="AB181" t="str">
        <f t="shared" ref="AB181:AC181" si="170">AB160</f>
        <v>Loading Bay</v>
      </c>
      <c r="AC181" t="str">
        <f t="shared" si="170"/>
        <v>Lift 1</v>
      </c>
      <c r="AD181" t="b">
        <f t="shared" ca="1" si="144"/>
        <v>1</v>
      </c>
      <c r="AE181" s="1">
        <f t="shared" ca="1" si="167"/>
        <v>15</v>
      </c>
      <c r="AF181" t="str">
        <f t="shared" ca="1" si="142"/>
        <v>Plot 15</v>
      </c>
    </row>
    <row r="182" spans="1:32" x14ac:dyDescent="0.25">
      <c r="A182" t="s">
        <v>164</v>
      </c>
      <c r="B182" s="51" t="s">
        <v>62</v>
      </c>
      <c r="C182">
        <v>1</v>
      </c>
      <c r="D182">
        <v>3</v>
      </c>
      <c r="E182" t="b">
        <f t="shared" si="156"/>
        <v>1</v>
      </c>
      <c r="F182" t="b">
        <f t="shared" si="156"/>
        <v>1</v>
      </c>
      <c r="G182" t="b">
        <f t="shared" si="156"/>
        <v>1</v>
      </c>
      <c r="H182" t="b">
        <f t="shared" si="156"/>
        <v>0</v>
      </c>
      <c r="I182" t="b">
        <f t="shared" si="156"/>
        <v>0</v>
      </c>
      <c r="J182" t="b">
        <f t="shared" si="156"/>
        <v>0</v>
      </c>
      <c r="K182" t="b">
        <f t="shared" si="156"/>
        <v>1</v>
      </c>
      <c r="L182" t="b">
        <f t="shared" si="156"/>
        <v>1</v>
      </c>
      <c r="M182" t="b">
        <f t="shared" si="156"/>
        <v>1</v>
      </c>
      <c r="N182" t="b">
        <f t="shared" si="156"/>
        <v>0</v>
      </c>
      <c r="O182" t="b">
        <f t="shared" si="156"/>
        <v>0</v>
      </c>
      <c r="P182" t="b">
        <f t="shared" si="156"/>
        <v>0</v>
      </c>
      <c r="Q182" t="b">
        <v>1</v>
      </c>
      <c r="R182" t="b" cm="1">
        <f t="array" ref="R182">_xlfn.IFS(C182=1,FALSE,OR(C182=2,C182&gt;2),TRUE)</f>
        <v>0</v>
      </c>
      <c r="S182" t="b" cm="1">
        <f t="array" ref="S182">_xlfn.IFS(OR(C182=1,C182=2),FALSE,OR(C182=3,C182&gt;3),TRUE)</f>
        <v>0</v>
      </c>
      <c r="T182" t="str">
        <f t="shared" si="129"/>
        <v>FALSE</v>
      </c>
      <c r="U182" t="str">
        <f t="shared" si="130"/>
        <v>FALSE</v>
      </c>
      <c r="V182" t="str">
        <f t="shared" si="131"/>
        <v>FALSE</v>
      </c>
      <c r="W182" t="b" cm="1">
        <f t="array" ref="W182">_xlfn.IFS(H182=1,FALSE,OR(H182=2,H182&gt;2),TRUE)</f>
        <v>1</v>
      </c>
      <c r="X182" t="b" cm="1">
        <f t="array" ref="X182">_xlfn.IFS(H182=1,FALSE,OR(H182=2,H182&gt;2),TRUE)</f>
        <v>1</v>
      </c>
      <c r="Y182" t="b" cm="1">
        <f t="array" ref="Y182">_xlfn.IFS(H182=1,FALSE,OR(H182=2,H182&gt;2),TRUE)</f>
        <v>1</v>
      </c>
      <c r="AB182" t="str">
        <f t="shared" ref="AB182:AC182" si="171">AB161</f>
        <v>Loading Bay</v>
      </c>
      <c r="AC182" t="str">
        <f t="shared" si="171"/>
        <v>Lift 2</v>
      </c>
      <c r="AD182" t="b">
        <f t="shared" ca="1" si="144"/>
        <v>1</v>
      </c>
      <c r="AE182" s="1">
        <f t="shared" ca="1" si="167"/>
        <v>15</v>
      </c>
      <c r="AF182" t="str">
        <f t="shared" ca="1" si="142"/>
        <v>Plot 15</v>
      </c>
    </row>
    <row r="183" spans="1:32" x14ac:dyDescent="0.25">
      <c r="A183" t="s">
        <v>164</v>
      </c>
      <c r="B183" s="51" t="s">
        <v>63</v>
      </c>
      <c r="C183">
        <v>1</v>
      </c>
      <c r="D183">
        <v>3</v>
      </c>
      <c r="E183" t="b">
        <f t="shared" si="156"/>
        <v>1</v>
      </c>
      <c r="F183" t="b">
        <f t="shared" si="156"/>
        <v>1</v>
      </c>
      <c r="G183" t="b">
        <f t="shared" si="156"/>
        <v>1</v>
      </c>
      <c r="H183" t="b">
        <f t="shared" si="156"/>
        <v>0</v>
      </c>
      <c r="I183" t="b">
        <f t="shared" si="156"/>
        <v>0</v>
      </c>
      <c r="J183" t="b">
        <f t="shared" si="156"/>
        <v>0</v>
      </c>
      <c r="K183" t="b">
        <f t="shared" si="156"/>
        <v>1</v>
      </c>
      <c r="L183" t="b">
        <f t="shared" si="156"/>
        <v>1</v>
      </c>
      <c r="M183" t="b">
        <f t="shared" si="156"/>
        <v>1</v>
      </c>
      <c r="N183" t="b">
        <f t="shared" si="156"/>
        <v>0</v>
      </c>
      <c r="O183" t="b">
        <f t="shared" si="156"/>
        <v>0</v>
      </c>
      <c r="P183" t="b">
        <f t="shared" si="156"/>
        <v>0</v>
      </c>
      <c r="Q183" t="b">
        <v>1</v>
      </c>
      <c r="R183" t="b" cm="1">
        <f t="array" ref="R183">_xlfn.IFS(C183=1,FALSE,OR(C183=2,C183&gt;2),TRUE)</f>
        <v>0</v>
      </c>
      <c r="S183" t="b" cm="1">
        <f t="array" ref="S183">_xlfn.IFS(OR(C183=1,C183=2),FALSE,OR(C183=3,C183&gt;3),TRUE)</f>
        <v>0</v>
      </c>
      <c r="T183" t="str">
        <f t="shared" si="129"/>
        <v>FALSE</v>
      </c>
      <c r="U183" t="str">
        <f t="shared" si="130"/>
        <v>FALSE</v>
      </c>
      <c r="V183" t="str">
        <f t="shared" si="131"/>
        <v>FALSE</v>
      </c>
      <c r="W183" t="b" cm="1">
        <f t="array" ref="W183">_xlfn.IFS(H183=1,FALSE,OR(H183=2,H183&gt;2),TRUE)</f>
        <v>1</v>
      </c>
      <c r="X183" t="b" cm="1">
        <f t="array" ref="X183">_xlfn.IFS(H183=1,FALSE,OR(H183=2,H183&gt;2),TRUE)</f>
        <v>1</v>
      </c>
      <c r="Y183" t="b" cm="1">
        <f t="array" ref="Y183">_xlfn.IFS(H183=1,FALSE,OR(H183=2,H183&gt;2),TRUE)</f>
        <v>1</v>
      </c>
      <c r="AB183" t="str">
        <f t="shared" ref="AB183:AC183" si="172">AB162</f>
        <v>Loading Bay</v>
      </c>
      <c r="AC183" t="str">
        <f t="shared" si="172"/>
        <v>Lift 3</v>
      </c>
      <c r="AD183" t="b">
        <f t="shared" ca="1" si="144"/>
        <v>1</v>
      </c>
      <c r="AE183" s="1">
        <f t="shared" ca="1" si="167"/>
        <v>15</v>
      </c>
      <c r="AF183" t="str">
        <f t="shared" ca="1" si="142"/>
        <v>Plot 15</v>
      </c>
    </row>
    <row r="184" spans="1:32" x14ac:dyDescent="0.25">
      <c r="A184" t="s">
        <v>164</v>
      </c>
      <c r="B184" s="51" t="s">
        <v>64</v>
      </c>
      <c r="C184">
        <v>1</v>
      </c>
      <c r="D184">
        <v>3</v>
      </c>
      <c r="E184" t="b">
        <f t="shared" si="156"/>
        <v>1</v>
      </c>
      <c r="F184" t="b">
        <f t="shared" si="156"/>
        <v>1</v>
      </c>
      <c r="G184" t="b">
        <f t="shared" si="156"/>
        <v>1</v>
      </c>
      <c r="H184" t="b">
        <f t="shared" si="156"/>
        <v>0</v>
      </c>
      <c r="I184" t="b">
        <f t="shared" si="156"/>
        <v>0</v>
      </c>
      <c r="J184" t="b">
        <f t="shared" si="156"/>
        <v>0</v>
      </c>
      <c r="K184" t="b">
        <f t="shared" si="156"/>
        <v>1</v>
      </c>
      <c r="L184" t="b">
        <f t="shared" si="156"/>
        <v>1</v>
      </c>
      <c r="M184" t="b">
        <f t="shared" si="156"/>
        <v>1</v>
      </c>
      <c r="N184" t="b">
        <f t="shared" si="156"/>
        <v>0</v>
      </c>
      <c r="O184" t="b">
        <f t="shared" si="156"/>
        <v>0</v>
      </c>
      <c r="P184" t="b">
        <f t="shared" si="156"/>
        <v>0</v>
      </c>
      <c r="Q184" t="b">
        <v>1</v>
      </c>
      <c r="R184" t="b" cm="1">
        <f t="array" ref="R184">_xlfn.IFS(C184=1,FALSE,OR(C184=2,C184&gt;2),TRUE)</f>
        <v>0</v>
      </c>
      <c r="S184" t="b" cm="1">
        <f t="array" ref="S184">_xlfn.IFS(OR(C184=1,C184=2),FALSE,OR(C184=3,C184&gt;3),TRUE)</f>
        <v>0</v>
      </c>
      <c r="T184" t="str">
        <f t="shared" si="129"/>
        <v>FALSE</v>
      </c>
      <c r="U184" t="str">
        <f t="shared" si="130"/>
        <v>FALSE</v>
      </c>
      <c r="V184" t="str">
        <f t="shared" si="131"/>
        <v>FALSE</v>
      </c>
      <c r="W184" t="b" cm="1">
        <f t="array" ref="W184">_xlfn.IFS(H184=1,FALSE,OR(H184=2,H184&gt;2),TRUE)</f>
        <v>1</v>
      </c>
      <c r="X184" t="b" cm="1">
        <f t="array" ref="X184">_xlfn.IFS(H184=1,FALSE,OR(H184=2,H184&gt;2),TRUE)</f>
        <v>1</v>
      </c>
      <c r="Y184" t="b" cm="1">
        <f t="array" ref="Y184">_xlfn.IFS(H184=1,FALSE,OR(H184=2,H184&gt;2),TRUE)</f>
        <v>1</v>
      </c>
      <c r="AB184" t="str">
        <f t="shared" ref="AB184:AC184" si="173">AB163</f>
        <v>Loading Bay</v>
      </c>
      <c r="AC184" t="str">
        <f t="shared" si="173"/>
        <v>Lift 4</v>
      </c>
      <c r="AD184" t="b">
        <f t="shared" ca="1" si="144"/>
        <v>0</v>
      </c>
      <c r="AE184" s="1">
        <f t="shared" ca="1" si="167"/>
        <v>15</v>
      </c>
      <c r="AF184" t="str">
        <f t="shared" ca="1" si="142"/>
        <v>Plot 15</v>
      </c>
    </row>
    <row r="185" spans="1:32" x14ac:dyDescent="0.25">
      <c r="A185" t="s">
        <v>164</v>
      </c>
      <c r="B185" s="51" t="s">
        <v>65</v>
      </c>
      <c r="C185">
        <v>1</v>
      </c>
      <c r="D185">
        <v>3</v>
      </c>
      <c r="E185" t="b">
        <f t="shared" si="156"/>
        <v>1</v>
      </c>
      <c r="F185" t="b">
        <f t="shared" si="156"/>
        <v>1</v>
      </c>
      <c r="G185" t="b">
        <f t="shared" si="156"/>
        <v>1</v>
      </c>
      <c r="H185" t="b">
        <f t="shared" si="156"/>
        <v>0</v>
      </c>
      <c r="I185" t="b">
        <f t="shared" si="156"/>
        <v>0</v>
      </c>
      <c r="J185" t="b">
        <f t="shared" si="156"/>
        <v>0</v>
      </c>
      <c r="K185" t="b">
        <f t="shared" si="156"/>
        <v>1</v>
      </c>
      <c r="L185" t="b">
        <f t="shared" si="156"/>
        <v>1</v>
      </c>
      <c r="M185" t="b">
        <f t="shared" si="156"/>
        <v>1</v>
      </c>
      <c r="N185" t="b">
        <f t="shared" si="156"/>
        <v>0</v>
      </c>
      <c r="O185" t="b">
        <f t="shared" si="156"/>
        <v>0</v>
      </c>
      <c r="P185" t="b">
        <f t="shared" si="156"/>
        <v>0</v>
      </c>
      <c r="Q185" t="b">
        <v>1</v>
      </c>
      <c r="R185" t="b" cm="1">
        <f t="array" ref="R185">_xlfn.IFS(C185=1,FALSE,OR(C185=2,C185&gt;2),TRUE)</f>
        <v>0</v>
      </c>
      <c r="S185" t="b" cm="1">
        <f t="array" ref="S185">_xlfn.IFS(OR(C185=1,C185=2),FALSE,OR(C185=3,C185&gt;3),TRUE)</f>
        <v>0</v>
      </c>
      <c r="T185" t="str">
        <f t="shared" si="129"/>
        <v>FALSE</v>
      </c>
      <c r="U185" t="str">
        <f t="shared" si="130"/>
        <v>FALSE</v>
      </c>
      <c r="V185" t="str">
        <f t="shared" si="131"/>
        <v>FALSE</v>
      </c>
      <c r="W185" t="b" cm="1">
        <f t="array" ref="W185">_xlfn.IFS(H185=1,FALSE,OR(H185=2,H185&gt;2),TRUE)</f>
        <v>1</v>
      </c>
      <c r="X185" t="b" cm="1">
        <f t="array" ref="X185">_xlfn.IFS(H185=1,FALSE,OR(H185=2,H185&gt;2),TRUE)</f>
        <v>1</v>
      </c>
      <c r="Y185" t="b" cm="1">
        <f t="array" ref="Y185">_xlfn.IFS(H185=1,FALSE,OR(H185=2,H185&gt;2),TRUE)</f>
        <v>1</v>
      </c>
      <c r="AB185" t="str">
        <f t="shared" ref="AB185:AC185" si="174">AB164</f>
        <v>Loading Bay</v>
      </c>
      <c r="AC185" t="str">
        <f t="shared" si="174"/>
        <v>Lift 5</v>
      </c>
      <c r="AD185" t="b">
        <f t="shared" ca="1" si="144"/>
        <v>0</v>
      </c>
      <c r="AE185" s="1">
        <f t="shared" ca="1" si="167"/>
        <v>15</v>
      </c>
      <c r="AF185" t="str">
        <f t="shared" ca="1" si="142"/>
        <v>Plot 15</v>
      </c>
    </row>
    <row r="186" spans="1:32" x14ac:dyDescent="0.25">
      <c r="A186" t="s">
        <v>164</v>
      </c>
      <c r="B186" s="51" t="s">
        <v>66</v>
      </c>
      <c r="C186">
        <v>1</v>
      </c>
      <c r="D186">
        <v>3</v>
      </c>
      <c r="E186" t="b">
        <f t="shared" si="156"/>
        <v>1</v>
      </c>
      <c r="F186" t="b">
        <f t="shared" si="156"/>
        <v>1</v>
      </c>
      <c r="G186" t="b">
        <f t="shared" si="156"/>
        <v>1</v>
      </c>
      <c r="H186" t="b">
        <f t="shared" si="156"/>
        <v>0</v>
      </c>
      <c r="I186" t="b">
        <f t="shared" si="156"/>
        <v>0</v>
      </c>
      <c r="J186" t="b">
        <f t="shared" si="156"/>
        <v>0</v>
      </c>
      <c r="K186" t="b">
        <f t="shared" si="156"/>
        <v>1</v>
      </c>
      <c r="L186" t="b">
        <f t="shared" si="156"/>
        <v>1</v>
      </c>
      <c r="M186" t="b">
        <f t="shared" si="156"/>
        <v>1</v>
      </c>
      <c r="N186" t="b">
        <f t="shared" si="156"/>
        <v>0</v>
      </c>
      <c r="O186" t="b">
        <f t="shared" si="156"/>
        <v>0</v>
      </c>
      <c r="P186" t="b">
        <f t="shared" si="156"/>
        <v>0</v>
      </c>
      <c r="Q186" t="b">
        <v>1</v>
      </c>
      <c r="R186" t="b" cm="1">
        <f t="array" ref="R186">_xlfn.IFS(C186=1,FALSE,OR(C186=2,C186&gt;2),TRUE)</f>
        <v>0</v>
      </c>
      <c r="S186" t="b" cm="1">
        <f t="array" ref="S186">_xlfn.IFS(OR(C186=1,C186=2),FALSE,OR(C186=3,C186&gt;3),TRUE)</f>
        <v>0</v>
      </c>
      <c r="T186" t="str">
        <f t="shared" si="129"/>
        <v>FALSE</v>
      </c>
      <c r="U186" t="str">
        <f t="shared" si="130"/>
        <v>FALSE</v>
      </c>
      <c r="V186" t="str">
        <f t="shared" si="131"/>
        <v>FALSE</v>
      </c>
      <c r="W186" t="b" cm="1">
        <f t="array" ref="W186">_xlfn.IFS(H186=1,FALSE,OR(H186=2,H186&gt;2),TRUE)</f>
        <v>1</v>
      </c>
      <c r="X186" t="b" cm="1">
        <f t="array" ref="X186">_xlfn.IFS(H186=1,FALSE,OR(H186=2,H186&gt;2),TRUE)</f>
        <v>1</v>
      </c>
      <c r="Y186" t="b" cm="1">
        <f t="array" ref="Y186">_xlfn.IFS(H186=1,FALSE,OR(H186=2,H186&gt;2),TRUE)</f>
        <v>1</v>
      </c>
      <c r="AB186" t="str">
        <f t="shared" ref="AB186:AC186" si="175">AB165</f>
        <v>Loading Bay</v>
      </c>
      <c r="AC186" t="str">
        <f t="shared" si="175"/>
        <v>Lift 6</v>
      </c>
      <c r="AD186" t="b">
        <f t="shared" ca="1" si="144"/>
        <v>0</v>
      </c>
      <c r="AE186" s="1">
        <f t="shared" ca="1" si="167"/>
        <v>15</v>
      </c>
      <c r="AF186" t="str">
        <f t="shared" ca="1" si="142"/>
        <v>Plot 15</v>
      </c>
    </row>
    <row r="187" spans="1:32" x14ac:dyDescent="0.25">
      <c r="A187" t="s">
        <v>164</v>
      </c>
      <c r="B187" s="51" t="s">
        <v>67</v>
      </c>
      <c r="C187">
        <v>1</v>
      </c>
      <c r="D187">
        <v>3</v>
      </c>
      <c r="E187" t="b">
        <f t="shared" si="156"/>
        <v>1</v>
      </c>
      <c r="F187" t="b">
        <f t="shared" si="156"/>
        <v>1</v>
      </c>
      <c r="G187" t="b">
        <f t="shared" si="156"/>
        <v>1</v>
      </c>
      <c r="H187" t="b">
        <f t="shared" si="156"/>
        <v>0</v>
      </c>
      <c r="I187" t="b">
        <f t="shared" si="156"/>
        <v>0</v>
      </c>
      <c r="J187" t="b">
        <f t="shared" si="156"/>
        <v>0</v>
      </c>
      <c r="K187" t="b">
        <f t="shared" si="156"/>
        <v>1</v>
      </c>
      <c r="L187" t="b">
        <f t="shared" si="156"/>
        <v>1</v>
      </c>
      <c r="M187" t="b">
        <f t="shared" si="156"/>
        <v>1</v>
      </c>
      <c r="N187" t="b">
        <f t="shared" si="156"/>
        <v>0</v>
      </c>
      <c r="O187" t="b">
        <f t="shared" si="156"/>
        <v>0</v>
      </c>
      <c r="P187" t="b">
        <f t="shared" si="156"/>
        <v>0</v>
      </c>
      <c r="Q187" t="b">
        <v>1</v>
      </c>
      <c r="R187" t="b" cm="1">
        <f t="array" ref="R187">_xlfn.IFS(C187=1,FALSE,OR(C187=2,C187&gt;2),TRUE)</f>
        <v>0</v>
      </c>
      <c r="S187" t="b" cm="1">
        <f t="array" ref="S187">_xlfn.IFS(OR(C187=1,C187=2),FALSE,OR(C187=3,C187&gt;3),TRUE)</f>
        <v>0</v>
      </c>
      <c r="T187" t="str">
        <f t="shared" si="129"/>
        <v>FALSE</v>
      </c>
      <c r="U187" t="str">
        <f t="shared" si="130"/>
        <v>FALSE</v>
      </c>
      <c r="V187" t="str">
        <f t="shared" si="131"/>
        <v>FALSE</v>
      </c>
      <c r="W187" t="b" cm="1">
        <f t="array" ref="W187">_xlfn.IFS(H187=1,FALSE,OR(H187=2,H187&gt;2),TRUE)</f>
        <v>1</v>
      </c>
      <c r="X187" t="b" cm="1">
        <f t="array" ref="X187">_xlfn.IFS(H187=1,FALSE,OR(H187=2,H187&gt;2),TRUE)</f>
        <v>1</v>
      </c>
      <c r="Y187" t="b" cm="1">
        <f t="array" ref="Y187">_xlfn.IFS(H187=1,FALSE,OR(H187=2,H187&gt;2),TRUE)</f>
        <v>1</v>
      </c>
      <c r="AB187" t="str">
        <f t="shared" ref="AB187:AC187" si="176">AB166</f>
        <v>Scaffolding Platform</v>
      </c>
      <c r="AC187" t="str">
        <f t="shared" si="176"/>
        <v>Ground Floor</v>
      </c>
      <c r="AD187" t="b">
        <f t="shared" ca="1" si="144"/>
        <v>1</v>
      </c>
      <c r="AE187" s="1">
        <f t="shared" ca="1" si="167"/>
        <v>15</v>
      </c>
      <c r="AF187" t="str">
        <f t="shared" ca="1" si="142"/>
        <v>Plot 15</v>
      </c>
    </row>
    <row r="188" spans="1:32" x14ac:dyDescent="0.25">
      <c r="A188" t="s">
        <v>164</v>
      </c>
      <c r="B188" s="51" t="s">
        <v>68</v>
      </c>
      <c r="C188">
        <v>1</v>
      </c>
      <c r="D188">
        <v>3</v>
      </c>
      <c r="E188" t="b">
        <f t="shared" si="156"/>
        <v>1</v>
      </c>
      <c r="F188" t="b">
        <f t="shared" si="156"/>
        <v>1</v>
      </c>
      <c r="G188" t="b">
        <f t="shared" si="156"/>
        <v>1</v>
      </c>
      <c r="H188" t="b">
        <f t="shared" si="156"/>
        <v>0</v>
      </c>
      <c r="I188" t="b">
        <f t="shared" si="156"/>
        <v>0</v>
      </c>
      <c r="J188" t="b">
        <f t="shared" si="156"/>
        <v>0</v>
      </c>
      <c r="K188" t="b">
        <f t="shared" si="156"/>
        <v>1</v>
      </c>
      <c r="L188" t="b">
        <f t="shared" si="156"/>
        <v>1</v>
      </c>
      <c r="M188" t="b">
        <f t="shared" si="156"/>
        <v>1</v>
      </c>
      <c r="N188" t="b">
        <f t="shared" si="156"/>
        <v>0</v>
      </c>
      <c r="O188" t="b">
        <f t="shared" si="156"/>
        <v>0</v>
      </c>
      <c r="P188" t="b">
        <f t="shared" si="156"/>
        <v>0</v>
      </c>
      <c r="Q188" t="b">
        <v>1</v>
      </c>
      <c r="R188" t="b" cm="1">
        <f t="array" ref="R188">_xlfn.IFS(C188=1,FALSE,OR(C188=2,C188&gt;2),TRUE)</f>
        <v>0</v>
      </c>
      <c r="S188" t="b" cm="1">
        <f t="array" ref="S188">_xlfn.IFS(OR(C188=1,C188=2),FALSE,OR(C188=3,C188&gt;3),TRUE)</f>
        <v>0</v>
      </c>
      <c r="T188" t="str">
        <f t="shared" si="129"/>
        <v>FALSE</v>
      </c>
      <c r="U188" t="str">
        <f t="shared" si="130"/>
        <v>FALSE</v>
      </c>
      <c r="V188" t="str">
        <f t="shared" si="131"/>
        <v>FALSE</v>
      </c>
      <c r="W188" t="b" cm="1">
        <f t="array" ref="W188">_xlfn.IFS(H188=1,FALSE,OR(H188=2,H188&gt;2),TRUE)</f>
        <v>1</v>
      </c>
      <c r="X188" t="b" cm="1">
        <f t="array" ref="X188">_xlfn.IFS(H188=1,FALSE,OR(H188=2,H188&gt;2),TRUE)</f>
        <v>1</v>
      </c>
      <c r="Y188" t="b" cm="1">
        <f t="array" ref="Y188">_xlfn.IFS(H188=1,FALSE,OR(H188=2,H188&gt;2),TRUE)</f>
        <v>1</v>
      </c>
      <c r="AB188" t="str">
        <f t="shared" ref="AB188:AC188" si="177">AB167</f>
        <v>Scaffolding Platform</v>
      </c>
      <c r="AC188" t="str">
        <f t="shared" si="177"/>
        <v>First Floor</v>
      </c>
      <c r="AD188" t="b">
        <f t="shared" ca="1" si="144"/>
        <v>1</v>
      </c>
      <c r="AE188" s="1">
        <f t="shared" ca="1" si="167"/>
        <v>15</v>
      </c>
      <c r="AF188" t="str">
        <f t="shared" ca="1" si="142"/>
        <v>Plot 15</v>
      </c>
    </row>
    <row r="189" spans="1:32" x14ac:dyDescent="0.25">
      <c r="A189" t="s">
        <v>164</v>
      </c>
      <c r="B189" s="51" t="s">
        <v>69</v>
      </c>
      <c r="C189">
        <v>1</v>
      </c>
      <c r="D189">
        <v>3</v>
      </c>
      <c r="E189" t="b">
        <f t="shared" si="156"/>
        <v>1</v>
      </c>
      <c r="F189" t="b">
        <f t="shared" si="156"/>
        <v>1</v>
      </c>
      <c r="G189" t="b">
        <f t="shared" si="156"/>
        <v>1</v>
      </c>
      <c r="H189" t="b">
        <f t="shared" si="156"/>
        <v>0</v>
      </c>
      <c r="I189" t="b">
        <f t="shared" si="156"/>
        <v>0</v>
      </c>
      <c r="J189" t="b">
        <f t="shared" si="156"/>
        <v>0</v>
      </c>
      <c r="K189" t="b">
        <f t="shared" si="156"/>
        <v>1</v>
      </c>
      <c r="L189" t="b">
        <f t="shared" si="156"/>
        <v>1</v>
      </c>
      <c r="M189" t="b">
        <f t="shared" si="156"/>
        <v>1</v>
      </c>
      <c r="N189" t="b">
        <f t="shared" si="156"/>
        <v>0</v>
      </c>
      <c r="O189" t="b">
        <f t="shared" si="156"/>
        <v>0</v>
      </c>
      <c r="P189" t="b">
        <f t="shared" si="156"/>
        <v>0</v>
      </c>
      <c r="Q189" t="b">
        <v>1</v>
      </c>
      <c r="R189" t="b" cm="1">
        <f t="array" ref="R189">_xlfn.IFS(C189=1,FALSE,OR(C189=2,C189&gt;2),TRUE)</f>
        <v>0</v>
      </c>
      <c r="S189" t="b" cm="1">
        <f t="array" ref="S189">_xlfn.IFS(OR(C189=1,C189=2),FALSE,OR(C189=3,C189&gt;3),TRUE)</f>
        <v>0</v>
      </c>
      <c r="T189" t="str">
        <f t="shared" si="129"/>
        <v>FALSE</v>
      </c>
      <c r="U189" t="str">
        <f t="shared" si="130"/>
        <v>FALSE</v>
      </c>
      <c r="V189" t="str">
        <f t="shared" si="131"/>
        <v>FALSE</v>
      </c>
      <c r="W189" t="b" cm="1">
        <f t="array" ref="W189">_xlfn.IFS(H189=1,FALSE,OR(H189=2,H189&gt;2),TRUE)</f>
        <v>1</v>
      </c>
      <c r="X189" t="b" cm="1">
        <f t="array" ref="X189">_xlfn.IFS(H189=1,FALSE,OR(H189=2,H189&gt;2),TRUE)</f>
        <v>1</v>
      </c>
      <c r="Y189" t="b" cm="1">
        <f t="array" ref="Y189">_xlfn.IFS(H189=1,FALSE,OR(H189=2,H189&gt;2),TRUE)</f>
        <v>1</v>
      </c>
      <c r="AB189" t="str">
        <f t="shared" ref="AB189:AC189" si="178">AB168</f>
        <v>Scaffolding Platform</v>
      </c>
      <c r="AC189" t="str">
        <f t="shared" si="178"/>
        <v>Second Floor</v>
      </c>
      <c r="AD189" t="b">
        <f t="shared" ca="1" si="144"/>
        <v>0</v>
      </c>
      <c r="AE189" s="1">
        <f t="shared" ca="1" si="167"/>
        <v>15</v>
      </c>
      <c r="AF189" t="str">
        <f t="shared" ca="1" si="142"/>
        <v>Plot 15</v>
      </c>
    </row>
    <row r="190" spans="1:32" x14ac:dyDescent="0.25">
      <c r="A190" t="s">
        <v>164</v>
      </c>
      <c r="B190" s="51" t="s">
        <v>70</v>
      </c>
      <c r="C190">
        <v>1</v>
      </c>
      <c r="D190">
        <v>3</v>
      </c>
      <c r="E190" t="b">
        <f t="shared" si="156"/>
        <v>1</v>
      </c>
      <c r="F190" t="b">
        <f t="shared" si="156"/>
        <v>1</v>
      </c>
      <c r="G190" t="b">
        <f t="shared" si="156"/>
        <v>1</v>
      </c>
      <c r="H190" t="b">
        <f t="shared" ref="H190:P190" si="179">IF(OR(INT(RIGHT(H$2,1))&lt;$D190,INT(RIGHT(H$2,1))=$D190),TRUE,FALSE)</f>
        <v>0</v>
      </c>
      <c r="I190" t="b">
        <f t="shared" si="179"/>
        <v>0</v>
      </c>
      <c r="J190" t="b">
        <f t="shared" si="179"/>
        <v>0</v>
      </c>
      <c r="K190" t="b">
        <f t="shared" si="179"/>
        <v>1</v>
      </c>
      <c r="L190" t="b">
        <f t="shared" si="179"/>
        <v>1</v>
      </c>
      <c r="M190" t="b">
        <f t="shared" si="179"/>
        <v>1</v>
      </c>
      <c r="N190" t="b">
        <f t="shared" si="179"/>
        <v>0</v>
      </c>
      <c r="O190" t="b">
        <f t="shared" si="179"/>
        <v>0</v>
      </c>
      <c r="P190" t="b">
        <f t="shared" si="179"/>
        <v>0</v>
      </c>
      <c r="Q190" t="b">
        <v>1</v>
      </c>
      <c r="R190" t="b" cm="1">
        <f t="array" ref="R190">_xlfn.IFS(C190=1,FALSE,OR(C190=2,C190&gt;2),TRUE)</f>
        <v>0</v>
      </c>
      <c r="S190" t="b" cm="1">
        <f t="array" ref="S190">_xlfn.IFS(OR(C190=1,C190=2),FALSE,OR(C190=3,C190&gt;3),TRUE)</f>
        <v>0</v>
      </c>
      <c r="T190" t="str">
        <f t="shared" si="129"/>
        <v>FALSE</v>
      </c>
      <c r="U190" t="str">
        <f t="shared" si="130"/>
        <v>FALSE</v>
      </c>
      <c r="V190" t="str">
        <f t="shared" si="131"/>
        <v>FALSE</v>
      </c>
      <c r="W190" t="b" cm="1">
        <f t="array" ref="W190">_xlfn.IFS(H190=1,FALSE,OR(H190=2,H190&gt;2),TRUE)</f>
        <v>1</v>
      </c>
      <c r="X190" t="b" cm="1">
        <f t="array" ref="X190">_xlfn.IFS(H190=1,FALSE,OR(H190=2,H190&gt;2),TRUE)</f>
        <v>1</v>
      </c>
      <c r="Y190" t="b" cm="1">
        <f t="array" ref="Y190">_xlfn.IFS(H190=1,FALSE,OR(H190=2,H190&gt;2),TRUE)</f>
        <v>1</v>
      </c>
      <c r="AB190" t="str">
        <f t="shared" ref="AB190:AC190" si="180">AB169</f>
        <v>Supporting Scaffold</v>
      </c>
      <c r="AC190" t="str">
        <f t="shared" si="180"/>
        <v>Ground Floor Prop.</v>
      </c>
      <c r="AD190" t="str">
        <f t="shared" ca="1" si="144"/>
        <v>TRUE</v>
      </c>
      <c r="AE190" s="1">
        <f t="shared" ca="1" si="167"/>
        <v>15</v>
      </c>
      <c r="AF190" t="str">
        <f t="shared" ca="1" si="142"/>
        <v>Plot 15</v>
      </c>
    </row>
    <row r="191" spans="1:32" x14ac:dyDescent="0.25">
      <c r="A191" t="s">
        <v>164</v>
      </c>
      <c r="B191" s="51" t="s">
        <v>71</v>
      </c>
      <c r="C191">
        <v>1</v>
      </c>
      <c r="D191">
        <v>3</v>
      </c>
      <c r="E191" t="b">
        <f t="shared" ref="E191:P193" si="181">IF(OR(INT(RIGHT(E$2,1))&lt;$D191,INT(RIGHT(E$2,1))=$D191),TRUE,FALSE)</f>
        <v>1</v>
      </c>
      <c r="F191" t="b">
        <f t="shared" si="181"/>
        <v>1</v>
      </c>
      <c r="G191" t="b">
        <f t="shared" si="181"/>
        <v>1</v>
      </c>
      <c r="H191" t="b">
        <f t="shared" si="181"/>
        <v>0</v>
      </c>
      <c r="I191" t="b">
        <f t="shared" si="181"/>
        <v>0</v>
      </c>
      <c r="J191" t="b">
        <f t="shared" si="181"/>
        <v>0</v>
      </c>
      <c r="K191" t="b">
        <f t="shared" si="181"/>
        <v>1</v>
      </c>
      <c r="L191" t="b">
        <f t="shared" si="181"/>
        <v>1</v>
      </c>
      <c r="M191" t="b">
        <f t="shared" si="181"/>
        <v>1</v>
      </c>
      <c r="N191" t="b">
        <f t="shared" si="181"/>
        <v>0</v>
      </c>
      <c r="O191" t="b">
        <f t="shared" si="181"/>
        <v>0</v>
      </c>
      <c r="P191" t="b">
        <f t="shared" si="181"/>
        <v>0</v>
      </c>
      <c r="Q191" t="b">
        <v>1</v>
      </c>
      <c r="R191" t="b" cm="1">
        <f t="array" ref="R191">_xlfn.IFS(C191=1,FALSE,OR(C191=2,C191&gt;2),TRUE)</f>
        <v>0</v>
      </c>
      <c r="S191" t="b" cm="1">
        <f t="array" ref="S191">_xlfn.IFS(OR(C191=1,C191=2),FALSE,OR(C191=3,C191&gt;3),TRUE)</f>
        <v>0</v>
      </c>
      <c r="T191" t="str">
        <f t="shared" si="129"/>
        <v>FALSE</v>
      </c>
      <c r="U191" t="str">
        <f t="shared" si="130"/>
        <v>FALSE</v>
      </c>
      <c r="V191" t="str">
        <f t="shared" si="131"/>
        <v>FALSE</v>
      </c>
      <c r="W191" t="b" cm="1">
        <f t="array" ref="W191">_xlfn.IFS(H191=1,FALSE,OR(H191=2,H191&gt;2),TRUE)</f>
        <v>1</v>
      </c>
      <c r="X191" t="b" cm="1">
        <f t="array" ref="X191">_xlfn.IFS(H191=1,FALSE,OR(H191=2,H191&gt;2),TRUE)</f>
        <v>1</v>
      </c>
      <c r="Y191" t="b" cm="1">
        <f t="array" ref="Y191">_xlfn.IFS(H191=1,FALSE,OR(H191=2,H191&gt;2),TRUE)</f>
        <v>1</v>
      </c>
      <c r="AB191" t="str">
        <f t="shared" ref="AB191:AC191" si="182">AB170</f>
        <v>Supporting Scaffold</v>
      </c>
      <c r="AC191" t="str">
        <f t="shared" si="182"/>
        <v>First Floor Prop.</v>
      </c>
      <c r="AD191" t="str">
        <f t="shared" ca="1" si="144"/>
        <v>FALSE</v>
      </c>
      <c r="AE191" s="1">
        <f t="shared" ca="1" si="167"/>
        <v>15</v>
      </c>
      <c r="AF191" t="str">
        <f t="shared" ca="1" si="142"/>
        <v>Plot 15</v>
      </c>
    </row>
    <row r="192" spans="1:32" x14ac:dyDescent="0.25">
      <c r="A192" t="s">
        <v>164</v>
      </c>
      <c r="B192" s="51" t="s">
        <v>72</v>
      </c>
      <c r="C192">
        <v>1</v>
      </c>
      <c r="D192">
        <v>3</v>
      </c>
      <c r="E192" t="b">
        <f t="shared" si="181"/>
        <v>1</v>
      </c>
      <c r="F192" t="b">
        <f t="shared" si="181"/>
        <v>1</v>
      </c>
      <c r="G192" t="b">
        <f t="shared" si="181"/>
        <v>1</v>
      </c>
      <c r="H192" t="b">
        <f t="shared" si="181"/>
        <v>0</v>
      </c>
      <c r="I192" t="b">
        <f t="shared" si="181"/>
        <v>0</v>
      </c>
      <c r="J192" t="b">
        <f t="shared" si="181"/>
        <v>0</v>
      </c>
      <c r="K192" t="b">
        <f t="shared" si="181"/>
        <v>1</v>
      </c>
      <c r="L192" t="b">
        <f t="shared" si="181"/>
        <v>1</v>
      </c>
      <c r="M192" t="b">
        <f t="shared" si="181"/>
        <v>1</v>
      </c>
      <c r="N192" t="b">
        <f t="shared" si="181"/>
        <v>0</v>
      </c>
      <c r="O192" t="b">
        <f t="shared" si="181"/>
        <v>0</v>
      </c>
      <c r="P192" t="b">
        <f t="shared" si="181"/>
        <v>0</v>
      </c>
      <c r="Q192" t="b">
        <v>1</v>
      </c>
      <c r="R192" t="b" cm="1">
        <f t="array" ref="R192">_xlfn.IFS(C192=1,FALSE,OR(C192=2,C192&gt;2),TRUE)</f>
        <v>0</v>
      </c>
      <c r="S192" t="b" cm="1">
        <f t="array" ref="S192">_xlfn.IFS(OR(C192=1,C192=2),FALSE,OR(C192=3,C192&gt;3),TRUE)</f>
        <v>0</v>
      </c>
      <c r="T192" t="str">
        <f t="shared" si="129"/>
        <v>FALSE</v>
      </c>
      <c r="U192" t="str">
        <f t="shared" si="130"/>
        <v>FALSE</v>
      </c>
      <c r="V192" t="str">
        <f t="shared" si="131"/>
        <v>FALSE</v>
      </c>
      <c r="W192" t="b" cm="1">
        <f t="array" ref="W192">_xlfn.IFS(H192=1,FALSE,OR(H192=2,H192&gt;2),TRUE)</f>
        <v>1</v>
      </c>
      <c r="X192" t="b" cm="1">
        <f t="array" ref="X192">_xlfn.IFS(H192=1,FALSE,OR(H192=2,H192&gt;2),TRUE)</f>
        <v>1</v>
      </c>
      <c r="Y192" t="b" cm="1">
        <f t="array" ref="Y192">_xlfn.IFS(H192=1,FALSE,OR(H192=2,H192&gt;2),TRUE)</f>
        <v>1</v>
      </c>
      <c r="AB192" t="str">
        <f t="shared" ref="AB192:AC192" si="183">AB171</f>
        <v>Supporting Scaffold</v>
      </c>
      <c r="AC192" t="str">
        <f t="shared" si="183"/>
        <v>Second Floor Prop.</v>
      </c>
      <c r="AD192" t="str">
        <f t="shared" ca="1" si="144"/>
        <v>FALSE</v>
      </c>
      <c r="AE192" s="1">
        <f t="shared" ca="1" si="167"/>
        <v>15</v>
      </c>
      <c r="AF192" t="str">
        <f t="shared" ca="1" si="142"/>
        <v>Plot 15</v>
      </c>
    </row>
    <row r="193" spans="1:32" x14ac:dyDescent="0.25">
      <c r="A193" t="s">
        <v>164</v>
      </c>
      <c r="B193" s="51" t="s">
        <v>73</v>
      </c>
      <c r="C193">
        <v>1</v>
      </c>
      <c r="D193">
        <v>3</v>
      </c>
      <c r="E193" t="b">
        <f t="shared" si="181"/>
        <v>1</v>
      </c>
      <c r="F193" t="b">
        <f t="shared" si="181"/>
        <v>1</v>
      </c>
      <c r="G193" t="b">
        <f t="shared" si="181"/>
        <v>1</v>
      </c>
      <c r="H193" t="b">
        <f t="shared" si="181"/>
        <v>0</v>
      </c>
      <c r="I193" t="b">
        <f t="shared" si="181"/>
        <v>0</v>
      </c>
      <c r="J193" t="b">
        <f t="shared" si="181"/>
        <v>0</v>
      </c>
      <c r="K193" t="b">
        <f t="shared" si="181"/>
        <v>1</v>
      </c>
      <c r="L193" t="b">
        <f t="shared" si="181"/>
        <v>1</v>
      </c>
      <c r="M193" t="b">
        <f t="shared" si="181"/>
        <v>1</v>
      </c>
      <c r="N193" t="b">
        <f t="shared" si="181"/>
        <v>0</v>
      </c>
      <c r="O193" t="b">
        <f t="shared" si="181"/>
        <v>0</v>
      </c>
      <c r="P193" t="b">
        <f t="shared" si="181"/>
        <v>0</v>
      </c>
      <c r="Q193" t="b">
        <v>1</v>
      </c>
      <c r="R193" t="b" cm="1">
        <f t="array" ref="R193">_xlfn.IFS(C193=1,FALSE,OR(C193=2,C193&gt;2),TRUE)</f>
        <v>0</v>
      </c>
      <c r="S193" t="b" cm="1">
        <f t="array" ref="S193">_xlfn.IFS(OR(C193=1,C193=2),FALSE,OR(C193=3,C193&gt;3),TRUE)</f>
        <v>0</v>
      </c>
      <c r="T193" t="str">
        <f t="shared" si="129"/>
        <v>FALSE</v>
      </c>
      <c r="U193" t="str">
        <f t="shared" si="130"/>
        <v>FALSE</v>
      </c>
      <c r="V193" t="str">
        <f t="shared" si="131"/>
        <v>FALSE</v>
      </c>
      <c r="W193" t="b" cm="1">
        <f t="array" ref="W193">_xlfn.IFS(H193=1,FALSE,OR(H193=2,H193&gt;2),TRUE)</f>
        <v>1</v>
      </c>
      <c r="X193" t="b" cm="1">
        <f t="array" ref="X193">_xlfn.IFS(H193=1,FALSE,OR(H193=2,H193&gt;2),TRUE)</f>
        <v>1</v>
      </c>
      <c r="Y193" t="b" cm="1">
        <f t="array" ref="Y193">_xlfn.IFS(H193=1,FALSE,OR(H193=2,H193&gt;2),TRUE)</f>
        <v>1</v>
      </c>
      <c r="AB193" t="str">
        <f t="shared" ref="AB193:AC193" si="184">AB172</f>
        <v>External Scaffolding</v>
      </c>
      <c r="AC193" t="str">
        <f t="shared" si="184"/>
        <v>Hop-ups</v>
      </c>
      <c r="AD193" t="b">
        <f t="shared" ca="1" si="144"/>
        <v>1</v>
      </c>
      <c r="AE193" s="1">
        <f t="shared" ca="1" si="167"/>
        <v>15</v>
      </c>
      <c r="AF193" t="str">
        <f t="shared" ca="1" si="142"/>
        <v>Plot 15</v>
      </c>
    </row>
    <row r="194" spans="1:32" x14ac:dyDescent="0.25">
      <c r="AB194" t="str">
        <f t="shared" ref="AB194:AC194" si="185">AB173</f>
        <v>External Scaffolding</v>
      </c>
      <c r="AC194" t="str">
        <f t="shared" si="185"/>
        <v>Adaptions</v>
      </c>
      <c r="AD194" t="b">
        <f t="shared" ca="1" si="144"/>
        <v>1</v>
      </c>
      <c r="AE194" s="1">
        <f t="shared" ca="1" si="167"/>
        <v>15</v>
      </c>
      <c r="AF194" t="str">
        <f t="shared" ca="1" si="142"/>
        <v>Plot 15</v>
      </c>
    </row>
    <row r="195" spans="1:32" x14ac:dyDescent="0.25">
      <c r="AB195" t="str">
        <f t="shared" ref="AB195:AC195" si="186">AB174</f>
        <v>External Scaffolding</v>
      </c>
      <c r="AC195" t="str">
        <f t="shared" si="186"/>
        <v>Adaption Tower</v>
      </c>
      <c r="AD195" t="b">
        <f t="shared" ca="1" si="144"/>
        <v>1</v>
      </c>
      <c r="AE195" s="1">
        <f t="shared" ca="1" si="167"/>
        <v>15</v>
      </c>
      <c r="AF195" t="str">
        <f t="shared" ca="1" si="142"/>
        <v>Plot 15</v>
      </c>
    </row>
    <row r="196" spans="1:32" x14ac:dyDescent="0.25">
      <c r="AB196" t="str">
        <f t="shared" ref="AB196:AC196" si="187">AB175</f>
        <v>External Scaffolding</v>
      </c>
      <c r="AC196" t="str">
        <f t="shared" si="187"/>
        <v>Lift 1</v>
      </c>
      <c r="AD196" t="b">
        <f t="shared" ca="1" si="144"/>
        <v>1</v>
      </c>
      <c r="AE196" s="1">
        <f t="shared" ca="1" si="167"/>
        <v>16</v>
      </c>
      <c r="AF196" t="str">
        <f t="shared" ca="1" si="142"/>
        <v>Plot 16</v>
      </c>
    </row>
    <row r="197" spans="1:32" x14ac:dyDescent="0.25">
      <c r="AB197" t="str">
        <f t="shared" ref="AB197:AC197" si="188">AB176</f>
        <v>External Scaffolding</v>
      </c>
      <c r="AC197" t="str">
        <f t="shared" si="188"/>
        <v>Lift 2</v>
      </c>
      <c r="AD197" t="b">
        <f t="shared" ca="1" si="144"/>
        <v>1</v>
      </c>
      <c r="AE197" s="1">
        <f t="shared" ca="1" si="167"/>
        <v>16</v>
      </c>
      <c r="AF197" t="str">
        <f t="shared" ca="1" si="142"/>
        <v>Plot 16</v>
      </c>
    </row>
    <row r="198" spans="1:32" x14ac:dyDescent="0.25">
      <c r="AB198" t="str">
        <f t="shared" ref="AB198:AC198" si="189">AB177</f>
        <v>External Scaffolding</v>
      </c>
      <c r="AC198" t="str">
        <f t="shared" si="189"/>
        <v>Lift 3</v>
      </c>
      <c r="AD198" t="b">
        <f t="shared" ca="1" si="144"/>
        <v>1</v>
      </c>
      <c r="AE198" s="1">
        <f t="shared" ca="1" si="167"/>
        <v>16</v>
      </c>
      <c r="AF198" t="str">
        <f t="shared" ca="1" si="142"/>
        <v>Plot 16</v>
      </c>
    </row>
    <row r="199" spans="1:32" x14ac:dyDescent="0.25">
      <c r="AB199" t="str">
        <f t="shared" ref="AB199:AC199" si="190">AB178</f>
        <v>External Scaffolding</v>
      </c>
      <c r="AC199" t="str">
        <f t="shared" si="190"/>
        <v>Lift 4</v>
      </c>
      <c r="AD199" t="b">
        <f t="shared" ca="1" si="144"/>
        <v>0</v>
      </c>
      <c r="AE199" s="1">
        <f t="shared" ca="1" si="167"/>
        <v>16</v>
      </c>
      <c r="AF199" t="str">
        <f t="shared" ca="1" si="142"/>
        <v>Plot 16</v>
      </c>
    </row>
    <row r="200" spans="1:32" x14ac:dyDescent="0.25">
      <c r="AB200" t="str">
        <f t="shared" ref="AB200:AC200" si="191">AB179</f>
        <v>External Scaffolding</v>
      </c>
      <c r="AC200" t="str">
        <f t="shared" si="191"/>
        <v>Lift 5</v>
      </c>
      <c r="AD200" t="b">
        <f t="shared" ca="1" si="144"/>
        <v>0</v>
      </c>
      <c r="AE200" s="1">
        <f t="shared" ca="1" si="167"/>
        <v>16</v>
      </c>
      <c r="AF200" t="str">
        <f t="shared" ca="1" si="142"/>
        <v>Plot 16</v>
      </c>
    </row>
    <row r="201" spans="1:32" x14ac:dyDescent="0.25">
      <c r="AB201" t="str">
        <f t="shared" ref="AB201:AC201" si="192">AB180</f>
        <v>External Scaffolding</v>
      </c>
      <c r="AC201" t="str">
        <f t="shared" si="192"/>
        <v>Lift 6</v>
      </c>
      <c r="AD201" t="b">
        <f t="shared" ca="1" si="144"/>
        <v>0</v>
      </c>
      <c r="AE201" s="1">
        <f t="shared" ca="1" si="167"/>
        <v>16</v>
      </c>
      <c r="AF201" t="str">
        <f t="shared" ca="1" si="142"/>
        <v>Plot 16</v>
      </c>
    </row>
    <row r="202" spans="1:32" x14ac:dyDescent="0.25">
      <c r="AB202" t="str">
        <f t="shared" ref="AB202:AC202" si="193">AB181</f>
        <v>Loading Bay</v>
      </c>
      <c r="AC202" t="str">
        <f t="shared" si="193"/>
        <v>Lift 1</v>
      </c>
      <c r="AD202" t="b">
        <f t="shared" ca="1" si="144"/>
        <v>1</v>
      </c>
      <c r="AE202" s="1">
        <f t="shared" ca="1" si="167"/>
        <v>16</v>
      </c>
      <c r="AF202" t="str">
        <f t="shared" ca="1" si="142"/>
        <v>Plot 16</v>
      </c>
    </row>
    <row r="203" spans="1:32" x14ac:dyDescent="0.25">
      <c r="AB203" t="str">
        <f t="shared" ref="AB203:AC203" si="194">AB182</f>
        <v>Loading Bay</v>
      </c>
      <c r="AC203" t="str">
        <f t="shared" si="194"/>
        <v>Lift 2</v>
      </c>
      <c r="AD203" t="b">
        <f t="shared" ca="1" si="144"/>
        <v>1</v>
      </c>
      <c r="AE203" s="1">
        <f t="shared" ca="1" si="167"/>
        <v>16</v>
      </c>
      <c r="AF203" t="str">
        <f t="shared" ca="1" si="142"/>
        <v>Plot 16</v>
      </c>
    </row>
    <row r="204" spans="1:32" x14ac:dyDescent="0.25">
      <c r="AB204" t="str">
        <f t="shared" ref="AB204:AC204" si="195">AB183</f>
        <v>Loading Bay</v>
      </c>
      <c r="AC204" t="str">
        <f t="shared" si="195"/>
        <v>Lift 3</v>
      </c>
      <c r="AD204" t="b">
        <f t="shared" ca="1" si="144"/>
        <v>1</v>
      </c>
      <c r="AE204" s="1">
        <f t="shared" ca="1" si="167"/>
        <v>16</v>
      </c>
      <c r="AF204" t="str">
        <f t="shared" ca="1" si="142"/>
        <v>Plot 16</v>
      </c>
    </row>
    <row r="205" spans="1:32" x14ac:dyDescent="0.25">
      <c r="AB205" t="str">
        <f t="shared" ref="AB205:AC205" si="196">AB184</f>
        <v>Loading Bay</v>
      </c>
      <c r="AC205" t="str">
        <f t="shared" si="196"/>
        <v>Lift 4</v>
      </c>
      <c r="AD205" t="b">
        <f t="shared" ca="1" si="144"/>
        <v>0</v>
      </c>
      <c r="AE205" s="1">
        <f t="shared" ca="1" si="167"/>
        <v>16</v>
      </c>
      <c r="AF205" t="str">
        <f t="shared" ca="1" si="142"/>
        <v>Plot 16</v>
      </c>
    </row>
    <row r="206" spans="1:32" x14ac:dyDescent="0.25">
      <c r="AB206" t="str">
        <f t="shared" ref="AB206:AC206" si="197">AB185</f>
        <v>Loading Bay</v>
      </c>
      <c r="AC206" t="str">
        <f t="shared" si="197"/>
        <v>Lift 5</v>
      </c>
      <c r="AD206" t="b">
        <f t="shared" ca="1" si="144"/>
        <v>0</v>
      </c>
      <c r="AE206" s="1">
        <f t="shared" ca="1" si="167"/>
        <v>16</v>
      </c>
      <c r="AF206" t="str">
        <f t="shared" ca="1" si="142"/>
        <v>Plot 16</v>
      </c>
    </row>
    <row r="207" spans="1:32" x14ac:dyDescent="0.25">
      <c r="AB207" t="str">
        <f t="shared" ref="AB207:AC207" si="198">AB186</f>
        <v>Loading Bay</v>
      </c>
      <c r="AC207" t="str">
        <f t="shared" si="198"/>
        <v>Lift 6</v>
      </c>
      <c r="AD207" t="b">
        <f t="shared" ca="1" si="144"/>
        <v>0</v>
      </c>
      <c r="AE207" s="1">
        <f t="shared" ca="1" si="167"/>
        <v>16</v>
      </c>
      <c r="AF207" t="str">
        <f t="shared" ca="1" si="142"/>
        <v>Plot 16</v>
      </c>
    </row>
    <row r="208" spans="1:32" x14ac:dyDescent="0.25">
      <c r="AB208" t="str">
        <f t="shared" ref="AB208:AC208" si="199">AB187</f>
        <v>Scaffolding Platform</v>
      </c>
      <c r="AC208" t="str">
        <f t="shared" si="199"/>
        <v>Ground Floor</v>
      </c>
      <c r="AD208" t="b">
        <f t="shared" ca="1" si="144"/>
        <v>1</v>
      </c>
      <c r="AE208" s="1">
        <f t="shared" ca="1" si="167"/>
        <v>16</v>
      </c>
      <c r="AF208" t="str">
        <f t="shared" ca="1" si="142"/>
        <v>Plot 16</v>
      </c>
    </row>
    <row r="209" spans="28:32" x14ac:dyDescent="0.25">
      <c r="AB209" t="str">
        <f t="shared" ref="AB209:AC209" si="200">AB188</f>
        <v>Scaffolding Platform</v>
      </c>
      <c r="AC209" t="str">
        <f t="shared" si="200"/>
        <v>First Floor</v>
      </c>
      <c r="AD209" t="b">
        <f t="shared" ca="1" si="144"/>
        <v>1</v>
      </c>
      <c r="AE209" s="1">
        <f t="shared" ca="1" si="167"/>
        <v>16</v>
      </c>
      <c r="AF209" t="str">
        <f t="shared" ca="1" si="142"/>
        <v>Plot 16</v>
      </c>
    </row>
    <row r="210" spans="28:32" x14ac:dyDescent="0.25">
      <c r="AB210" t="str">
        <f t="shared" ref="AB210:AC210" si="201">AB189</f>
        <v>Scaffolding Platform</v>
      </c>
      <c r="AC210" t="str">
        <f t="shared" si="201"/>
        <v>Second Floor</v>
      </c>
      <c r="AD210" t="b">
        <f t="shared" ca="1" si="144"/>
        <v>0</v>
      </c>
      <c r="AE210" s="1">
        <f t="shared" ca="1" si="167"/>
        <v>16</v>
      </c>
      <c r="AF210" t="str">
        <f t="shared" ca="1" si="142"/>
        <v>Plot 16</v>
      </c>
    </row>
    <row r="211" spans="28:32" x14ac:dyDescent="0.25">
      <c r="AB211" t="str">
        <f t="shared" ref="AB211:AC211" si="202">AB190</f>
        <v>Supporting Scaffold</v>
      </c>
      <c r="AC211" t="str">
        <f t="shared" si="202"/>
        <v>Ground Floor Prop.</v>
      </c>
      <c r="AD211" t="str">
        <f t="shared" ca="1" si="144"/>
        <v>TRUE</v>
      </c>
      <c r="AE211" s="1">
        <f t="shared" ca="1" si="167"/>
        <v>16</v>
      </c>
      <c r="AF211" t="str">
        <f t="shared" ca="1" si="142"/>
        <v>Plot 16</v>
      </c>
    </row>
    <row r="212" spans="28:32" x14ac:dyDescent="0.25">
      <c r="AB212" t="str">
        <f t="shared" ref="AB212:AC212" si="203">AB191</f>
        <v>Supporting Scaffold</v>
      </c>
      <c r="AC212" t="str">
        <f t="shared" si="203"/>
        <v>First Floor Prop.</v>
      </c>
      <c r="AD212" t="str">
        <f t="shared" ca="1" si="144"/>
        <v>FALSE</v>
      </c>
      <c r="AE212" s="1">
        <f t="shared" ca="1" si="167"/>
        <v>16</v>
      </c>
      <c r="AF212" t="str">
        <f t="shared" ca="1" si="142"/>
        <v>Plot 16</v>
      </c>
    </row>
    <row r="213" spans="28:32" x14ac:dyDescent="0.25">
      <c r="AB213" t="str">
        <f t="shared" ref="AB213:AC213" si="204">AB192</f>
        <v>Supporting Scaffold</v>
      </c>
      <c r="AC213" t="str">
        <f t="shared" si="204"/>
        <v>Second Floor Prop.</v>
      </c>
      <c r="AD213" t="str">
        <f t="shared" ca="1" si="144"/>
        <v>FALSE</v>
      </c>
      <c r="AE213" s="1">
        <f t="shared" ca="1" si="167"/>
        <v>16</v>
      </c>
      <c r="AF213" t="str">
        <f t="shared" ca="1" si="142"/>
        <v>Plot 16</v>
      </c>
    </row>
    <row r="214" spans="28:32" x14ac:dyDescent="0.25">
      <c r="AB214" t="str">
        <f t="shared" ref="AB214:AC214" si="205">AB193</f>
        <v>External Scaffolding</v>
      </c>
      <c r="AC214" t="str">
        <f t="shared" si="205"/>
        <v>Hop-ups</v>
      </c>
      <c r="AD214" t="b">
        <f t="shared" ca="1" si="144"/>
        <v>1</v>
      </c>
      <c r="AE214" s="1">
        <f t="shared" ca="1" si="167"/>
        <v>16</v>
      </c>
      <c r="AF214" t="str">
        <f t="shared" ca="1" si="142"/>
        <v>Plot 16</v>
      </c>
    </row>
    <row r="215" spans="28:32" x14ac:dyDescent="0.25">
      <c r="AB215" t="str">
        <f t="shared" ref="AB215:AC215" si="206">AB194</f>
        <v>External Scaffolding</v>
      </c>
      <c r="AC215" t="str">
        <f t="shared" si="206"/>
        <v>Adaptions</v>
      </c>
      <c r="AD215" t="b">
        <f t="shared" ca="1" si="144"/>
        <v>1</v>
      </c>
      <c r="AE215" s="1">
        <f t="shared" ca="1" si="167"/>
        <v>16</v>
      </c>
      <c r="AF215" t="str">
        <f t="shared" ca="1" si="142"/>
        <v>Plot 16</v>
      </c>
    </row>
    <row r="216" spans="28:32" x14ac:dyDescent="0.25">
      <c r="AB216" t="str">
        <f t="shared" ref="AB216:AC216" si="207">AB195</f>
        <v>External Scaffolding</v>
      </c>
      <c r="AC216" t="str">
        <f t="shared" si="207"/>
        <v>Adaption Tower</v>
      </c>
      <c r="AD216" t="b">
        <f t="shared" ca="1" si="144"/>
        <v>1</v>
      </c>
      <c r="AE216" s="1">
        <f t="shared" ca="1" si="167"/>
        <v>16</v>
      </c>
      <c r="AF216" t="str">
        <f t="shared" ca="1" si="142"/>
        <v>Plot 16</v>
      </c>
    </row>
    <row r="217" spans="28:32" x14ac:dyDescent="0.25">
      <c r="AB217" t="str">
        <f t="shared" ref="AB217:AC217" si="208">AB196</f>
        <v>External Scaffolding</v>
      </c>
      <c r="AC217" t="str">
        <f t="shared" si="208"/>
        <v>Lift 1</v>
      </c>
      <c r="AD217" t="b">
        <f t="shared" ca="1" si="144"/>
        <v>1</v>
      </c>
      <c r="AE217" s="1" t="str">
        <f t="shared" ca="1" si="167"/>
        <v>17-18</v>
      </c>
      <c r="AF217" t="str">
        <f t="shared" ca="1" si="142"/>
        <v>Plot 17-18</v>
      </c>
    </row>
    <row r="218" spans="28:32" x14ac:dyDescent="0.25">
      <c r="AB218" t="str">
        <f t="shared" ref="AB218:AC218" si="209">AB197</f>
        <v>External Scaffolding</v>
      </c>
      <c r="AC218" t="str">
        <f t="shared" si="209"/>
        <v>Lift 2</v>
      </c>
      <c r="AD218" t="b">
        <f t="shared" ca="1" si="144"/>
        <v>1</v>
      </c>
      <c r="AE218" s="1" t="str">
        <f t="shared" ca="1" si="167"/>
        <v>17-18</v>
      </c>
      <c r="AF218" t="str">
        <f t="shared" ca="1" si="142"/>
        <v>Plot 17-18</v>
      </c>
    </row>
    <row r="219" spans="28:32" x14ac:dyDescent="0.25">
      <c r="AB219" t="str">
        <f t="shared" ref="AB219:AC219" si="210">AB198</f>
        <v>External Scaffolding</v>
      </c>
      <c r="AC219" t="str">
        <f t="shared" si="210"/>
        <v>Lift 3</v>
      </c>
      <c r="AD219" t="b">
        <f t="shared" ca="1" si="144"/>
        <v>1</v>
      </c>
      <c r="AE219" s="1" t="str">
        <f t="shared" ca="1" si="167"/>
        <v>17-18</v>
      </c>
      <c r="AF219" t="str">
        <f t="shared" ca="1" si="142"/>
        <v>Plot 17-18</v>
      </c>
    </row>
    <row r="220" spans="28:32" x14ac:dyDescent="0.25">
      <c r="AB220" t="str">
        <f t="shared" ref="AB220:AC220" si="211">AB199</f>
        <v>External Scaffolding</v>
      </c>
      <c r="AC220" t="str">
        <f t="shared" si="211"/>
        <v>Lift 4</v>
      </c>
      <c r="AD220" t="b">
        <f t="shared" ca="1" si="144"/>
        <v>0</v>
      </c>
      <c r="AE220" s="1" t="str">
        <f t="shared" ca="1" si="167"/>
        <v>17-18</v>
      </c>
      <c r="AF220" t="str">
        <f t="shared" ca="1" si="142"/>
        <v>Plot 17-18</v>
      </c>
    </row>
    <row r="221" spans="28:32" x14ac:dyDescent="0.25">
      <c r="AB221" t="str">
        <f t="shared" ref="AB221:AC221" si="212">AB200</f>
        <v>External Scaffolding</v>
      </c>
      <c r="AC221" t="str">
        <f t="shared" si="212"/>
        <v>Lift 5</v>
      </c>
      <c r="AD221" t="b">
        <f t="shared" ca="1" si="144"/>
        <v>0</v>
      </c>
      <c r="AE221" s="1" t="str">
        <f t="shared" ca="1" si="167"/>
        <v>17-18</v>
      </c>
      <c r="AF221" t="str">
        <f t="shared" ref="AF221:AF284" ca="1" si="213">IF(LEFT(AE221,1)="G",AE221,"Plot "&amp;AE221)</f>
        <v>Plot 17-18</v>
      </c>
    </row>
    <row r="222" spans="28:32" x14ac:dyDescent="0.25">
      <c r="AB222" t="str">
        <f t="shared" ref="AB222:AC222" si="214">AB201</f>
        <v>External Scaffolding</v>
      </c>
      <c r="AC222" t="str">
        <f t="shared" si="214"/>
        <v>Lift 6</v>
      </c>
      <c r="AD222" t="b">
        <f t="shared" ref="AD222:AD285" ca="1" si="215">INDEX($AC$1:$JH$22,MATCH(AC222,$AC$1:$AC$22,0),MATCH(AE222,$AC$1:$JH$1,0))</f>
        <v>0</v>
      </c>
      <c r="AE222" s="1" t="str">
        <f t="shared" ca="1" si="167"/>
        <v>17-18</v>
      </c>
      <c r="AF222" t="str">
        <f t="shared" ca="1" si="213"/>
        <v>Plot 17-18</v>
      </c>
    </row>
    <row r="223" spans="28:32" x14ac:dyDescent="0.25">
      <c r="AB223" t="str">
        <f t="shared" ref="AB223:AC223" si="216">AB202</f>
        <v>Loading Bay</v>
      </c>
      <c r="AC223" t="str">
        <f t="shared" si="216"/>
        <v>Lift 1</v>
      </c>
      <c r="AD223" t="b">
        <f t="shared" ca="1" si="215"/>
        <v>1</v>
      </c>
      <c r="AE223" s="1" t="str">
        <f t="shared" ca="1" si="167"/>
        <v>17-18</v>
      </c>
      <c r="AF223" t="str">
        <f t="shared" ca="1" si="213"/>
        <v>Plot 17-18</v>
      </c>
    </row>
    <row r="224" spans="28:32" x14ac:dyDescent="0.25">
      <c r="AB224" t="str">
        <f t="shared" ref="AB224:AC224" si="217">AB203</f>
        <v>Loading Bay</v>
      </c>
      <c r="AC224" t="str">
        <f t="shared" si="217"/>
        <v>Lift 2</v>
      </c>
      <c r="AD224" t="b">
        <f t="shared" ca="1" si="215"/>
        <v>1</v>
      </c>
      <c r="AE224" s="1" t="str">
        <f t="shared" ca="1" si="167"/>
        <v>17-18</v>
      </c>
      <c r="AF224" t="str">
        <f t="shared" ca="1" si="213"/>
        <v>Plot 17-18</v>
      </c>
    </row>
    <row r="225" spans="28:32" x14ac:dyDescent="0.25">
      <c r="AB225" t="str">
        <f t="shared" ref="AB225:AC225" si="218">AB204</f>
        <v>Loading Bay</v>
      </c>
      <c r="AC225" t="str">
        <f t="shared" si="218"/>
        <v>Lift 3</v>
      </c>
      <c r="AD225" t="b">
        <f t="shared" ca="1" si="215"/>
        <v>1</v>
      </c>
      <c r="AE225" s="1" t="str">
        <f t="shared" ca="1" si="167"/>
        <v>17-18</v>
      </c>
      <c r="AF225" t="str">
        <f t="shared" ca="1" si="213"/>
        <v>Plot 17-18</v>
      </c>
    </row>
    <row r="226" spans="28:32" x14ac:dyDescent="0.25">
      <c r="AB226" t="str">
        <f t="shared" ref="AB226:AC226" si="219">AB205</f>
        <v>Loading Bay</v>
      </c>
      <c r="AC226" t="str">
        <f t="shared" si="219"/>
        <v>Lift 4</v>
      </c>
      <c r="AD226" t="b">
        <f t="shared" ca="1" si="215"/>
        <v>0</v>
      </c>
      <c r="AE226" s="1" t="str">
        <f t="shared" ca="1" si="167"/>
        <v>17-18</v>
      </c>
      <c r="AF226" t="str">
        <f t="shared" ca="1" si="213"/>
        <v>Plot 17-18</v>
      </c>
    </row>
    <row r="227" spans="28:32" x14ac:dyDescent="0.25">
      <c r="AB227" t="str">
        <f t="shared" ref="AB227:AC227" si="220">AB206</f>
        <v>Loading Bay</v>
      </c>
      <c r="AC227" t="str">
        <f t="shared" si="220"/>
        <v>Lift 5</v>
      </c>
      <c r="AD227" t="b">
        <f t="shared" ca="1" si="215"/>
        <v>0</v>
      </c>
      <c r="AE227" s="1" t="str">
        <f t="shared" ca="1" si="167"/>
        <v>17-18</v>
      </c>
      <c r="AF227" t="str">
        <f t="shared" ca="1" si="213"/>
        <v>Plot 17-18</v>
      </c>
    </row>
    <row r="228" spans="28:32" x14ac:dyDescent="0.25">
      <c r="AB228" t="str">
        <f t="shared" ref="AB228:AC228" si="221">AB207</f>
        <v>Loading Bay</v>
      </c>
      <c r="AC228" t="str">
        <f t="shared" si="221"/>
        <v>Lift 6</v>
      </c>
      <c r="AD228" t="b">
        <f t="shared" ca="1" si="215"/>
        <v>0</v>
      </c>
      <c r="AE228" s="1" t="str">
        <f t="shared" ca="1" si="167"/>
        <v>17-18</v>
      </c>
      <c r="AF228" t="str">
        <f t="shared" ca="1" si="213"/>
        <v>Plot 17-18</v>
      </c>
    </row>
    <row r="229" spans="28:32" x14ac:dyDescent="0.25">
      <c r="AB229" t="str">
        <f t="shared" ref="AB229:AC229" si="222">AB208</f>
        <v>Scaffolding Platform</v>
      </c>
      <c r="AC229" t="str">
        <f t="shared" si="222"/>
        <v>Ground Floor</v>
      </c>
      <c r="AD229" t="b">
        <f t="shared" ca="1" si="215"/>
        <v>1</v>
      </c>
      <c r="AE229" s="1" t="str">
        <f t="shared" ca="1" si="167"/>
        <v>17-18</v>
      </c>
      <c r="AF229" t="str">
        <f t="shared" ca="1" si="213"/>
        <v>Plot 17-18</v>
      </c>
    </row>
    <row r="230" spans="28:32" x14ac:dyDescent="0.25">
      <c r="AB230" t="str">
        <f t="shared" ref="AB230:AC230" si="223">AB209</f>
        <v>Scaffolding Platform</v>
      </c>
      <c r="AC230" t="str">
        <f t="shared" si="223"/>
        <v>First Floor</v>
      </c>
      <c r="AD230" t="b">
        <f t="shared" ca="1" si="215"/>
        <v>1</v>
      </c>
      <c r="AE230" s="1" t="str">
        <f t="shared" ca="1" si="167"/>
        <v>17-18</v>
      </c>
      <c r="AF230" t="str">
        <f t="shared" ca="1" si="213"/>
        <v>Plot 17-18</v>
      </c>
    </row>
    <row r="231" spans="28:32" x14ac:dyDescent="0.25">
      <c r="AB231" t="str">
        <f t="shared" ref="AB231:AC231" si="224">AB210</f>
        <v>Scaffolding Platform</v>
      </c>
      <c r="AC231" t="str">
        <f t="shared" si="224"/>
        <v>Second Floor</v>
      </c>
      <c r="AD231" t="b">
        <f t="shared" ca="1" si="215"/>
        <v>0</v>
      </c>
      <c r="AE231" s="1" t="str">
        <f t="shared" ca="1" si="167"/>
        <v>17-18</v>
      </c>
      <c r="AF231" t="str">
        <f t="shared" ca="1" si="213"/>
        <v>Plot 17-18</v>
      </c>
    </row>
    <row r="232" spans="28:32" x14ac:dyDescent="0.25">
      <c r="AB232" t="str">
        <f t="shared" ref="AB232:AC232" si="225">AB211</f>
        <v>Supporting Scaffold</v>
      </c>
      <c r="AC232" t="str">
        <f t="shared" si="225"/>
        <v>Ground Floor Prop.</v>
      </c>
      <c r="AD232" t="str">
        <f t="shared" ca="1" si="215"/>
        <v>TRUE</v>
      </c>
      <c r="AE232" s="1" t="str">
        <f t="shared" ca="1" si="167"/>
        <v>17-18</v>
      </c>
      <c r="AF232" t="str">
        <f t="shared" ca="1" si="213"/>
        <v>Plot 17-18</v>
      </c>
    </row>
    <row r="233" spans="28:32" x14ac:dyDescent="0.25">
      <c r="AB233" t="str">
        <f t="shared" ref="AB233:AC233" si="226">AB212</f>
        <v>Supporting Scaffold</v>
      </c>
      <c r="AC233" t="str">
        <f t="shared" si="226"/>
        <v>First Floor Prop.</v>
      </c>
      <c r="AD233" t="str">
        <f t="shared" ca="1" si="215"/>
        <v>FALSE</v>
      </c>
      <c r="AE233" s="1" t="str">
        <f t="shared" ca="1" si="167"/>
        <v>17-18</v>
      </c>
      <c r="AF233" t="str">
        <f t="shared" ca="1" si="213"/>
        <v>Plot 17-18</v>
      </c>
    </row>
    <row r="234" spans="28:32" x14ac:dyDescent="0.25">
      <c r="AB234" t="str">
        <f t="shared" ref="AB234:AC234" si="227">AB213</f>
        <v>Supporting Scaffold</v>
      </c>
      <c r="AC234" t="str">
        <f t="shared" si="227"/>
        <v>Second Floor Prop.</v>
      </c>
      <c r="AD234" t="str">
        <f t="shared" ca="1" si="215"/>
        <v>FALSE</v>
      </c>
      <c r="AE234" s="1" t="str">
        <f t="shared" ca="1" si="167"/>
        <v>17-18</v>
      </c>
      <c r="AF234" t="str">
        <f t="shared" ca="1" si="213"/>
        <v>Plot 17-18</v>
      </c>
    </row>
    <row r="235" spans="28:32" x14ac:dyDescent="0.25">
      <c r="AB235" t="str">
        <f t="shared" ref="AB235:AC235" si="228">AB214</f>
        <v>External Scaffolding</v>
      </c>
      <c r="AC235" t="str">
        <f t="shared" si="228"/>
        <v>Hop-ups</v>
      </c>
      <c r="AD235" t="b">
        <f t="shared" ca="1" si="215"/>
        <v>1</v>
      </c>
      <c r="AE235" s="1" t="str">
        <f t="shared" ca="1" si="167"/>
        <v>17-18</v>
      </c>
      <c r="AF235" t="str">
        <f t="shared" ca="1" si="213"/>
        <v>Plot 17-18</v>
      </c>
    </row>
    <row r="236" spans="28:32" x14ac:dyDescent="0.25">
      <c r="AB236" t="str">
        <f t="shared" ref="AB236:AC236" si="229">AB215</f>
        <v>External Scaffolding</v>
      </c>
      <c r="AC236" t="str">
        <f t="shared" si="229"/>
        <v>Adaptions</v>
      </c>
      <c r="AD236" t="b">
        <f t="shared" ca="1" si="215"/>
        <v>1</v>
      </c>
      <c r="AE236" s="1" t="str">
        <f t="shared" ca="1" si="167"/>
        <v>17-18</v>
      </c>
      <c r="AF236" t="str">
        <f t="shared" ca="1" si="213"/>
        <v>Plot 17-18</v>
      </c>
    </row>
    <row r="237" spans="28:32" x14ac:dyDescent="0.25">
      <c r="AB237" t="str">
        <f t="shared" ref="AB237:AC237" si="230">AB216</f>
        <v>External Scaffolding</v>
      </c>
      <c r="AC237" t="str">
        <f t="shared" si="230"/>
        <v>Adaption Tower</v>
      </c>
      <c r="AD237" t="b">
        <f t="shared" ca="1" si="215"/>
        <v>1</v>
      </c>
      <c r="AE237" s="1" t="str">
        <f t="shared" ca="1" si="167"/>
        <v>17-18</v>
      </c>
      <c r="AF237" t="str">
        <f t="shared" ca="1" si="213"/>
        <v>Plot 17-18</v>
      </c>
    </row>
    <row r="238" spans="28:32" x14ac:dyDescent="0.25">
      <c r="AB238" t="str">
        <f t="shared" ref="AB238:AC238" si="231">AB217</f>
        <v>External Scaffolding</v>
      </c>
      <c r="AC238" t="str">
        <f t="shared" si="231"/>
        <v>Lift 1</v>
      </c>
      <c r="AD238" t="b">
        <f t="shared" ca="1" si="215"/>
        <v>1</v>
      </c>
      <c r="AE238" s="1">
        <f t="shared" ca="1" si="167"/>
        <v>19</v>
      </c>
      <c r="AF238" t="str">
        <f t="shared" ca="1" si="213"/>
        <v>Plot 19</v>
      </c>
    </row>
    <row r="239" spans="28:32" x14ac:dyDescent="0.25">
      <c r="AB239" t="str">
        <f t="shared" ref="AB239:AC239" si="232">AB218</f>
        <v>External Scaffolding</v>
      </c>
      <c r="AC239" t="str">
        <f t="shared" si="232"/>
        <v>Lift 2</v>
      </c>
      <c r="AD239" t="b">
        <f t="shared" ca="1" si="215"/>
        <v>1</v>
      </c>
      <c r="AE239" s="1">
        <f t="shared" ca="1" si="167"/>
        <v>19</v>
      </c>
      <c r="AF239" t="str">
        <f t="shared" ca="1" si="213"/>
        <v>Plot 19</v>
      </c>
    </row>
    <row r="240" spans="28:32" x14ac:dyDescent="0.25">
      <c r="AB240" t="str">
        <f t="shared" ref="AB240:AC240" si="233">AB219</f>
        <v>External Scaffolding</v>
      </c>
      <c r="AC240" t="str">
        <f t="shared" si="233"/>
        <v>Lift 3</v>
      </c>
      <c r="AD240" t="b">
        <f t="shared" ca="1" si="215"/>
        <v>1</v>
      </c>
      <c r="AE240" s="1">
        <f t="shared" ca="1" si="167"/>
        <v>19</v>
      </c>
      <c r="AF240" t="str">
        <f t="shared" ca="1" si="213"/>
        <v>Plot 19</v>
      </c>
    </row>
    <row r="241" spans="28:32" x14ac:dyDescent="0.25">
      <c r="AB241" t="str">
        <f t="shared" ref="AB241:AC241" si="234">AB220</f>
        <v>External Scaffolding</v>
      </c>
      <c r="AC241" t="str">
        <f t="shared" si="234"/>
        <v>Lift 4</v>
      </c>
      <c r="AD241" t="b">
        <f t="shared" ca="1" si="215"/>
        <v>1</v>
      </c>
      <c r="AE241" s="1">
        <f t="shared" ca="1" si="167"/>
        <v>19</v>
      </c>
      <c r="AF241" t="str">
        <f t="shared" ca="1" si="213"/>
        <v>Plot 19</v>
      </c>
    </row>
    <row r="242" spans="28:32" x14ac:dyDescent="0.25">
      <c r="AB242" t="str">
        <f t="shared" ref="AB242:AC242" si="235">AB221</f>
        <v>External Scaffolding</v>
      </c>
      <c r="AC242" t="str">
        <f t="shared" si="235"/>
        <v>Lift 5</v>
      </c>
      <c r="AD242" t="b">
        <f t="shared" ca="1" si="215"/>
        <v>0</v>
      </c>
      <c r="AE242" s="1">
        <f t="shared" ref="AE242:AE305" ca="1" si="236">OFFSET($AD$1,0,FLOOR(ROW(B214)/21,1))</f>
        <v>19</v>
      </c>
      <c r="AF242" t="str">
        <f t="shared" ca="1" si="213"/>
        <v>Plot 19</v>
      </c>
    </row>
    <row r="243" spans="28:32" x14ac:dyDescent="0.25">
      <c r="AB243" t="str">
        <f t="shared" ref="AB243:AC243" si="237">AB222</f>
        <v>External Scaffolding</v>
      </c>
      <c r="AC243" t="str">
        <f t="shared" si="237"/>
        <v>Lift 6</v>
      </c>
      <c r="AD243" t="b">
        <f t="shared" ca="1" si="215"/>
        <v>0</v>
      </c>
      <c r="AE243" s="1">
        <f t="shared" ca="1" si="236"/>
        <v>19</v>
      </c>
      <c r="AF243" t="str">
        <f t="shared" ca="1" si="213"/>
        <v>Plot 19</v>
      </c>
    </row>
    <row r="244" spans="28:32" x14ac:dyDescent="0.25">
      <c r="AB244" t="str">
        <f t="shared" ref="AB244:AC244" si="238">AB223</f>
        <v>Loading Bay</v>
      </c>
      <c r="AC244" t="str">
        <f t="shared" si="238"/>
        <v>Lift 1</v>
      </c>
      <c r="AD244" t="b">
        <f t="shared" ca="1" si="215"/>
        <v>1</v>
      </c>
      <c r="AE244" s="1">
        <f t="shared" ca="1" si="236"/>
        <v>19</v>
      </c>
      <c r="AF244" t="str">
        <f t="shared" ca="1" si="213"/>
        <v>Plot 19</v>
      </c>
    </row>
    <row r="245" spans="28:32" x14ac:dyDescent="0.25">
      <c r="AB245" t="str">
        <f t="shared" ref="AB245:AC245" si="239">AB224</f>
        <v>Loading Bay</v>
      </c>
      <c r="AC245" t="str">
        <f t="shared" si="239"/>
        <v>Lift 2</v>
      </c>
      <c r="AD245" t="b">
        <f t="shared" ca="1" si="215"/>
        <v>1</v>
      </c>
      <c r="AE245" s="1">
        <f t="shared" ca="1" si="236"/>
        <v>19</v>
      </c>
      <c r="AF245" t="str">
        <f t="shared" ca="1" si="213"/>
        <v>Plot 19</v>
      </c>
    </row>
    <row r="246" spans="28:32" x14ac:dyDescent="0.25">
      <c r="AB246" t="str">
        <f t="shared" ref="AB246:AC246" si="240">AB225</f>
        <v>Loading Bay</v>
      </c>
      <c r="AC246" t="str">
        <f t="shared" si="240"/>
        <v>Lift 3</v>
      </c>
      <c r="AD246" t="b">
        <f t="shared" ca="1" si="215"/>
        <v>1</v>
      </c>
      <c r="AE246" s="1">
        <f t="shared" ca="1" si="236"/>
        <v>19</v>
      </c>
      <c r="AF246" t="str">
        <f t="shared" ca="1" si="213"/>
        <v>Plot 19</v>
      </c>
    </row>
    <row r="247" spans="28:32" x14ac:dyDescent="0.25">
      <c r="AB247" t="str">
        <f t="shared" ref="AB247:AC247" si="241">AB226</f>
        <v>Loading Bay</v>
      </c>
      <c r="AC247" t="str">
        <f t="shared" si="241"/>
        <v>Lift 4</v>
      </c>
      <c r="AD247" t="b">
        <f t="shared" ca="1" si="215"/>
        <v>1</v>
      </c>
      <c r="AE247" s="1">
        <f t="shared" ca="1" si="236"/>
        <v>19</v>
      </c>
      <c r="AF247" t="str">
        <f t="shared" ca="1" si="213"/>
        <v>Plot 19</v>
      </c>
    </row>
    <row r="248" spans="28:32" x14ac:dyDescent="0.25">
      <c r="AB248" t="str">
        <f t="shared" ref="AB248:AC248" si="242">AB227</f>
        <v>Loading Bay</v>
      </c>
      <c r="AC248" t="str">
        <f t="shared" si="242"/>
        <v>Lift 5</v>
      </c>
      <c r="AD248" t="b">
        <f t="shared" ca="1" si="215"/>
        <v>0</v>
      </c>
      <c r="AE248" s="1">
        <f t="shared" ca="1" si="236"/>
        <v>19</v>
      </c>
      <c r="AF248" t="str">
        <f t="shared" ca="1" si="213"/>
        <v>Plot 19</v>
      </c>
    </row>
    <row r="249" spans="28:32" x14ac:dyDescent="0.25">
      <c r="AB249" t="str">
        <f t="shared" ref="AB249:AC249" si="243">AB228</f>
        <v>Loading Bay</v>
      </c>
      <c r="AC249" t="str">
        <f t="shared" si="243"/>
        <v>Lift 6</v>
      </c>
      <c r="AD249" t="b">
        <f t="shared" ca="1" si="215"/>
        <v>0</v>
      </c>
      <c r="AE249" s="1">
        <f t="shared" ca="1" si="236"/>
        <v>19</v>
      </c>
      <c r="AF249" t="str">
        <f t="shared" ca="1" si="213"/>
        <v>Plot 19</v>
      </c>
    </row>
    <row r="250" spans="28:32" x14ac:dyDescent="0.25">
      <c r="AB250" t="str">
        <f t="shared" ref="AB250:AC250" si="244">AB229</f>
        <v>Scaffolding Platform</v>
      </c>
      <c r="AC250" t="str">
        <f t="shared" si="244"/>
        <v>Ground Floor</v>
      </c>
      <c r="AD250" t="b">
        <f t="shared" ca="1" si="215"/>
        <v>1</v>
      </c>
      <c r="AE250" s="1">
        <f t="shared" ca="1" si="236"/>
        <v>19</v>
      </c>
      <c r="AF250" t="str">
        <f t="shared" ca="1" si="213"/>
        <v>Plot 19</v>
      </c>
    </row>
    <row r="251" spans="28:32" x14ac:dyDescent="0.25">
      <c r="AB251" t="str">
        <f t="shared" ref="AB251:AC251" si="245">AB230</f>
        <v>Scaffolding Platform</v>
      </c>
      <c r="AC251" t="str">
        <f t="shared" si="245"/>
        <v>First Floor</v>
      </c>
      <c r="AD251" t="b">
        <f t="shared" ca="1" si="215"/>
        <v>1</v>
      </c>
      <c r="AE251" s="1">
        <f t="shared" ca="1" si="236"/>
        <v>19</v>
      </c>
      <c r="AF251" t="str">
        <f t="shared" ca="1" si="213"/>
        <v>Plot 19</v>
      </c>
    </row>
    <row r="252" spans="28:32" x14ac:dyDescent="0.25">
      <c r="AB252" t="str">
        <f t="shared" ref="AB252:AC252" si="246">AB231</f>
        <v>Scaffolding Platform</v>
      </c>
      <c r="AC252" t="str">
        <f t="shared" si="246"/>
        <v>Second Floor</v>
      </c>
      <c r="AD252" t="b">
        <f t="shared" ca="1" si="215"/>
        <v>1</v>
      </c>
      <c r="AE252" s="1">
        <f t="shared" ca="1" si="236"/>
        <v>19</v>
      </c>
      <c r="AF252" t="str">
        <f t="shared" ca="1" si="213"/>
        <v>Plot 19</v>
      </c>
    </row>
    <row r="253" spans="28:32" x14ac:dyDescent="0.25">
      <c r="AB253" t="str">
        <f t="shared" ref="AB253:AC253" si="247">AB232</f>
        <v>Supporting Scaffold</v>
      </c>
      <c r="AC253" t="str">
        <f t="shared" si="247"/>
        <v>Ground Floor Prop.</v>
      </c>
      <c r="AD253" t="str">
        <f t="shared" ca="1" si="215"/>
        <v>TRUE</v>
      </c>
      <c r="AE253" s="1">
        <f t="shared" ca="1" si="236"/>
        <v>19</v>
      </c>
      <c r="AF253" t="str">
        <f t="shared" ca="1" si="213"/>
        <v>Plot 19</v>
      </c>
    </row>
    <row r="254" spans="28:32" x14ac:dyDescent="0.25">
      <c r="AB254" t="str">
        <f t="shared" ref="AB254:AC254" si="248">AB233</f>
        <v>Supporting Scaffold</v>
      </c>
      <c r="AC254" t="str">
        <f t="shared" si="248"/>
        <v>First Floor Prop.</v>
      </c>
      <c r="AD254" t="str">
        <f t="shared" ca="1" si="215"/>
        <v>TRUE</v>
      </c>
      <c r="AE254" s="1">
        <f t="shared" ca="1" si="236"/>
        <v>19</v>
      </c>
      <c r="AF254" t="str">
        <f t="shared" ca="1" si="213"/>
        <v>Plot 19</v>
      </c>
    </row>
    <row r="255" spans="28:32" x14ac:dyDescent="0.25">
      <c r="AB255" t="str">
        <f t="shared" ref="AB255:AC255" si="249">AB234</f>
        <v>Supporting Scaffold</v>
      </c>
      <c r="AC255" t="str">
        <f t="shared" si="249"/>
        <v>Second Floor Prop.</v>
      </c>
      <c r="AD255" t="str">
        <f t="shared" ca="1" si="215"/>
        <v>FALSE</v>
      </c>
      <c r="AE255" s="1">
        <f t="shared" ca="1" si="236"/>
        <v>19</v>
      </c>
      <c r="AF255" t="str">
        <f t="shared" ca="1" si="213"/>
        <v>Plot 19</v>
      </c>
    </row>
    <row r="256" spans="28:32" x14ac:dyDescent="0.25">
      <c r="AB256" t="str">
        <f t="shared" ref="AB256:AC256" si="250">AB235</f>
        <v>External Scaffolding</v>
      </c>
      <c r="AC256" t="str">
        <f t="shared" si="250"/>
        <v>Hop-ups</v>
      </c>
      <c r="AD256" t="b">
        <f t="shared" ca="1" si="215"/>
        <v>1</v>
      </c>
      <c r="AE256" s="1">
        <f t="shared" ca="1" si="236"/>
        <v>19</v>
      </c>
      <c r="AF256" t="str">
        <f t="shared" ca="1" si="213"/>
        <v>Plot 19</v>
      </c>
    </row>
    <row r="257" spans="28:32" x14ac:dyDescent="0.25">
      <c r="AB257" t="str">
        <f t="shared" ref="AB257:AC257" si="251">AB236</f>
        <v>External Scaffolding</v>
      </c>
      <c r="AC257" t="str">
        <f t="shared" si="251"/>
        <v>Adaptions</v>
      </c>
      <c r="AD257" t="b">
        <f t="shared" ca="1" si="215"/>
        <v>1</v>
      </c>
      <c r="AE257" s="1">
        <f t="shared" ca="1" si="236"/>
        <v>19</v>
      </c>
      <c r="AF257" t="str">
        <f t="shared" ca="1" si="213"/>
        <v>Plot 19</v>
      </c>
    </row>
    <row r="258" spans="28:32" x14ac:dyDescent="0.25">
      <c r="AB258" t="str">
        <f t="shared" ref="AB258:AC258" si="252">AB237</f>
        <v>External Scaffolding</v>
      </c>
      <c r="AC258" t="str">
        <f t="shared" si="252"/>
        <v>Adaption Tower</v>
      </c>
      <c r="AD258" t="b">
        <f t="shared" ca="1" si="215"/>
        <v>1</v>
      </c>
      <c r="AE258" s="1">
        <f t="shared" ca="1" si="236"/>
        <v>19</v>
      </c>
      <c r="AF258" t="str">
        <f t="shared" ca="1" si="213"/>
        <v>Plot 19</v>
      </c>
    </row>
    <row r="259" spans="28:32" x14ac:dyDescent="0.25">
      <c r="AB259" t="str">
        <f t="shared" ref="AB259:AC259" si="253">AB238</f>
        <v>External Scaffolding</v>
      </c>
      <c r="AC259" t="str">
        <f t="shared" si="253"/>
        <v>Lift 1</v>
      </c>
      <c r="AD259" t="b">
        <f t="shared" ca="1" si="215"/>
        <v>1</v>
      </c>
      <c r="AE259" s="1" t="str">
        <f t="shared" ca="1" si="236"/>
        <v>20-21</v>
      </c>
      <c r="AF259" t="str">
        <f t="shared" ca="1" si="213"/>
        <v>Plot 20-21</v>
      </c>
    </row>
    <row r="260" spans="28:32" x14ac:dyDescent="0.25">
      <c r="AB260" t="str">
        <f t="shared" ref="AB260:AC260" si="254">AB239</f>
        <v>External Scaffolding</v>
      </c>
      <c r="AC260" t="str">
        <f t="shared" si="254"/>
        <v>Lift 2</v>
      </c>
      <c r="AD260" t="b">
        <f t="shared" ca="1" si="215"/>
        <v>1</v>
      </c>
      <c r="AE260" s="1" t="str">
        <f t="shared" ca="1" si="236"/>
        <v>20-21</v>
      </c>
      <c r="AF260" t="str">
        <f t="shared" ca="1" si="213"/>
        <v>Plot 20-21</v>
      </c>
    </row>
    <row r="261" spans="28:32" x14ac:dyDescent="0.25">
      <c r="AB261" t="str">
        <f t="shared" ref="AB261:AC261" si="255">AB240</f>
        <v>External Scaffolding</v>
      </c>
      <c r="AC261" t="str">
        <f t="shared" si="255"/>
        <v>Lift 3</v>
      </c>
      <c r="AD261" t="b">
        <f t="shared" ca="1" si="215"/>
        <v>1</v>
      </c>
      <c r="AE261" s="1" t="str">
        <f t="shared" ca="1" si="236"/>
        <v>20-21</v>
      </c>
      <c r="AF261" t="str">
        <f t="shared" ca="1" si="213"/>
        <v>Plot 20-21</v>
      </c>
    </row>
    <row r="262" spans="28:32" x14ac:dyDescent="0.25">
      <c r="AB262" t="str">
        <f t="shared" ref="AB262:AC262" si="256">AB241</f>
        <v>External Scaffolding</v>
      </c>
      <c r="AC262" t="str">
        <f t="shared" si="256"/>
        <v>Lift 4</v>
      </c>
      <c r="AD262" t="b">
        <f t="shared" ca="1" si="215"/>
        <v>0</v>
      </c>
      <c r="AE262" s="1" t="str">
        <f t="shared" ca="1" si="236"/>
        <v>20-21</v>
      </c>
      <c r="AF262" t="str">
        <f t="shared" ca="1" si="213"/>
        <v>Plot 20-21</v>
      </c>
    </row>
    <row r="263" spans="28:32" x14ac:dyDescent="0.25">
      <c r="AB263" t="str">
        <f t="shared" ref="AB263:AC263" si="257">AB242</f>
        <v>External Scaffolding</v>
      </c>
      <c r="AC263" t="str">
        <f t="shared" si="257"/>
        <v>Lift 5</v>
      </c>
      <c r="AD263" t="b">
        <f t="shared" ca="1" si="215"/>
        <v>0</v>
      </c>
      <c r="AE263" s="1" t="str">
        <f t="shared" ca="1" si="236"/>
        <v>20-21</v>
      </c>
      <c r="AF263" t="str">
        <f t="shared" ca="1" si="213"/>
        <v>Plot 20-21</v>
      </c>
    </row>
    <row r="264" spans="28:32" x14ac:dyDescent="0.25">
      <c r="AB264" t="str">
        <f t="shared" ref="AB264:AC264" si="258">AB243</f>
        <v>External Scaffolding</v>
      </c>
      <c r="AC264" t="str">
        <f t="shared" si="258"/>
        <v>Lift 6</v>
      </c>
      <c r="AD264" t="b">
        <f t="shared" ca="1" si="215"/>
        <v>0</v>
      </c>
      <c r="AE264" s="1" t="str">
        <f t="shared" ca="1" si="236"/>
        <v>20-21</v>
      </c>
      <c r="AF264" t="str">
        <f t="shared" ca="1" si="213"/>
        <v>Plot 20-21</v>
      </c>
    </row>
    <row r="265" spans="28:32" x14ac:dyDescent="0.25">
      <c r="AB265" t="str">
        <f t="shared" ref="AB265:AC265" si="259">AB244</f>
        <v>Loading Bay</v>
      </c>
      <c r="AC265" t="str">
        <f t="shared" si="259"/>
        <v>Lift 1</v>
      </c>
      <c r="AD265" t="b">
        <f t="shared" ca="1" si="215"/>
        <v>1</v>
      </c>
      <c r="AE265" s="1" t="str">
        <f t="shared" ca="1" si="236"/>
        <v>20-21</v>
      </c>
      <c r="AF265" t="str">
        <f t="shared" ca="1" si="213"/>
        <v>Plot 20-21</v>
      </c>
    </row>
    <row r="266" spans="28:32" x14ac:dyDescent="0.25">
      <c r="AB266" t="str">
        <f t="shared" ref="AB266:AC266" si="260">AB245</f>
        <v>Loading Bay</v>
      </c>
      <c r="AC266" t="str">
        <f t="shared" si="260"/>
        <v>Lift 2</v>
      </c>
      <c r="AD266" t="b">
        <f t="shared" ca="1" si="215"/>
        <v>1</v>
      </c>
      <c r="AE266" s="1" t="str">
        <f t="shared" ca="1" si="236"/>
        <v>20-21</v>
      </c>
      <c r="AF266" t="str">
        <f t="shared" ca="1" si="213"/>
        <v>Plot 20-21</v>
      </c>
    </row>
    <row r="267" spans="28:32" x14ac:dyDescent="0.25">
      <c r="AB267" t="str">
        <f t="shared" ref="AB267:AC267" si="261">AB246</f>
        <v>Loading Bay</v>
      </c>
      <c r="AC267" t="str">
        <f t="shared" si="261"/>
        <v>Lift 3</v>
      </c>
      <c r="AD267" t="b">
        <f t="shared" ca="1" si="215"/>
        <v>1</v>
      </c>
      <c r="AE267" s="1" t="str">
        <f t="shared" ca="1" si="236"/>
        <v>20-21</v>
      </c>
      <c r="AF267" t="str">
        <f t="shared" ca="1" si="213"/>
        <v>Plot 20-21</v>
      </c>
    </row>
    <row r="268" spans="28:32" x14ac:dyDescent="0.25">
      <c r="AB268" t="str">
        <f t="shared" ref="AB268:AC268" si="262">AB247</f>
        <v>Loading Bay</v>
      </c>
      <c r="AC268" t="str">
        <f t="shared" si="262"/>
        <v>Lift 4</v>
      </c>
      <c r="AD268" t="b">
        <f t="shared" ca="1" si="215"/>
        <v>0</v>
      </c>
      <c r="AE268" s="1" t="str">
        <f t="shared" ca="1" si="236"/>
        <v>20-21</v>
      </c>
      <c r="AF268" t="str">
        <f t="shared" ca="1" si="213"/>
        <v>Plot 20-21</v>
      </c>
    </row>
    <row r="269" spans="28:32" x14ac:dyDescent="0.25">
      <c r="AB269" t="str">
        <f t="shared" ref="AB269:AC269" si="263">AB248</f>
        <v>Loading Bay</v>
      </c>
      <c r="AC269" t="str">
        <f t="shared" si="263"/>
        <v>Lift 5</v>
      </c>
      <c r="AD269" t="b">
        <f t="shared" ca="1" si="215"/>
        <v>0</v>
      </c>
      <c r="AE269" s="1" t="str">
        <f t="shared" ca="1" si="236"/>
        <v>20-21</v>
      </c>
      <c r="AF269" t="str">
        <f t="shared" ca="1" si="213"/>
        <v>Plot 20-21</v>
      </c>
    </row>
    <row r="270" spans="28:32" x14ac:dyDescent="0.25">
      <c r="AB270" t="str">
        <f t="shared" ref="AB270:AC270" si="264">AB249</f>
        <v>Loading Bay</v>
      </c>
      <c r="AC270" t="str">
        <f t="shared" si="264"/>
        <v>Lift 6</v>
      </c>
      <c r="AD270" t="b">
        <f t="shared" ca="1" si="215"/>
        <v>0</v>
      </c>
      <c r="AE270" s="1" t="str">
        <f t="shared" ca="1" si="236"/>
        <v>20-21</v>
      </c>
      <c r="AF270" t="str">
        <f t="shared" ca="1" si="213"/>
        <v>Plot 20-21</v>
      </c>
    </row>
    <row r="271" spans="28:32" x14ac:dyDescent="0.25">
      <c r="AB271" t="str">
        <f t="shared" ref="AB271:AC271" si="265">AB250</f>
        <v>Scaffolding Platform</v>
      </c>
      <c r="AC271" t="str">
        <f t="shared" si="265"/>
        <v>Ground Floor</v>
      </c>
      <c r="AD271" t="b">
        <f t="shared" ca="1" si="215"/>
        <v>1</v>
      </c>
      <c r="AE271" s="1" t="str">
        <f t="shared" ca="1" si="236"/>
        <v>20-21</v>
      </c>
      <c r="AF271" t="str">
        <f t="shared" ca="1" si="213"/>
        <v>Plot 20-21</v>
      </c>
    </row>
    <row r="272" spans="28:32" x14ac:dyDescent="0.25">
      <c r="AB272" t="str">
        <f t="shared" ref="AB272:AC272" si="266">AB251</f>
        <v>Scaffolding Platform</v>
      </c>
      <c r="AC272" t="str">
        <f t="shared" si="266"/>
        <v>First Floor</v>
      </c>
      <c r="AD272" t="b">
        <f t="shared" ca="1" si="215"/>
        <v>1</v>
      </c>
      <c r="AE272" s="1" t="str">
        <f t="shared" ca="1" si="236"/>
        <v>20-21</v>
      </c>
      <c r="AF272" t="str">
        <f t="shared" ca="1" si="213"/>
        <v>Plot 20-21</v>
      </c>
    </row>
    <row r="273" spans="28:32" x14ac:dyDescent="0.25">
      <c r="AB273" t="str">
        <f t="shared" ref="AB273:AC273" si="267">AB252</f>
        <v>Scaffolding Platform</v>
      </c>
      <c r="AC273" t="str">
        <f t="shared" si="267"/>
        <v>Second Floor</v>
      </c>
      <c r="AD273" t="b">
        <f t="shared" ca="1" si="215"/>
        <v>0</v>
      </c>
      <c r="AE273" s="1" t="str">
        <f t="shared" ca="1" si="236"/>
        <v>20-21</v>
      </c>
      <c r="AF273" t="str">
        <f t="shared" ca="1" si="213"/>
        <v>Plot 20-21</v>
      </c>
    </row>
    <row r="274" spans="28:32" x14ac:dyDescent="0.25">
      <c r="AB274" t="str">
        <f t="shared" ref="AB274:AC274" si="268">AB253</f>
        <v>Supporting Scaffold</v>
      </c>
      <c r="AC274" t="str">
        <f t="shared" si="268"/>
        <v>Ground Floor Prop.</v>
      </c>
      <c r="AD274" t="str">
        <f t="shared" ca="1" si="215"/>
        <v>TRUE</v>
      </c>
      <c r="AE274" s="1" t="str">
        <f t="shared" ca="1" si="236"/>
        <v>20-21</v>
      </c>
      <c r="AF274" t="str">
        <f t="shared" ca="1" si="213"/>
        <v>Plot 20-21</v>
      </c>
    </row>
    <row r="275" spans="28:32" x14ac:dyDescent="0.25">
      <c r="AB275" t="str">
        <f t="shared" ref="AB275:AC275" si="269">AB254</f>
        <v>Supporting Scaffold</v>
      </c>
      <c r="AC275" t="str">
        <f t="shared" si="269"/>
        <v>First Floor Prop.</v>
      </c>
      <c r="AD275" t="str">
        <f t="shared" ca="1" si="215"/>
        <v>FALSE</v>
      </c>
      <c r="AE275" s="1" t="str">
        <f t="shared" ca="1" si="236"/>
        <v>20-21</v>
      </c>
      <c r="AF275" t="str">
        <f t="shared" ca="1" si="213"/>
        <v>Plot 20-21</v>
      </c>
    </row>
    <row r="276" spans="28:32" x14ac:dyDescent="0.25">
      <c r="AB276" t="str">
        <f t="shared" ref="AB276:AC276" si="270">AB255</f>
        <v>Supporting Scaffold</v>
      </c>
      <c r="AC276" t="str">
        <f t="shared" si="270"/>
        <v>Second Floor Prop.</v>
      </c>
      <c r="AD276" t="str">
        <f t="shared" ca="1" si="215"/>
        <v>FALSE</v>
      </c>
      <c r="AE276" s="1" t="str">
        <f t="shared" ca="1" si="236"/>
        <v>20-21</v>
      </c>
      <c r="AF276" t="str">
        <f t="shared" ca="1" si="213"/>
        <v>Plot 20-21</v>
      </c>
    </row>
    <row r="277" spans="28:32" x14ac:dyDescent="0.25">
      <c r="AB277" t="str">
        <f t="shared" ref="AB277:AC277" si="271">AB256</f>
        <v>External Scaffolding</v>
      </c>
      <c r="AC277" t="str">
        <f t="shared" si="271"/>
        <v>Hop-ups</v>
      </c>
      <c r="AD277" t="b">
        <f t="shared" ca="1" si="215"/>
        <v>1</v>
      </c>
      <c r="AE277" s="1" t="str">
        <f t="shared" ca="1" si="236"/>
        <v>20-21</v>
      </c>
      <c r="AF277" t="str">
        <f t="shared" ca="1" si="213"/>
        <v>Plot 20-21</v>
      </c>
    </row>
    <row r="278" spans="28:32" x14ac:dyDescent="0.25">
      <c r="AB278" t="str">
        <f t="shared" ref="AB278:AC278" si="272">AB257</f>
        <v>External Scaffolding</v>
      </c>
      <c r="AC278" t="str">
        <f t="shared" si="272"/>
        <v>Adaptions</v>
      </c>
      <c r="AD278" t="b">
        <f t="shared" ca="1" si="215"/>
        <v>1</v>
      </c>
      <c r="AE278" s="1" t="str">
        <f t="shared" ca="1" si="236"/>
        <v>20-21</v>
      </c>
      <c r="AF278" t="str">
        <f t="shared" ca="1" si="213"/>
        <v>Plot 20-21</v>
      </c>
    </row>
    <row r="279" spans="28:32" x14ac:dyDescent="0.25">
      <c r="AB279" t="str">
        <f t="shared" ref="AB279:AC279" si="273">AB258</f>
        <v>External Scaffolding</v>
      </c>
      <c r="AC279" t="str">
        <f t="shared" si="273"/>
        <v>Adaption Tower</v>
      </c>
      <c r="AD279" t="b">
        <f t="shared" ca="1" si="215"/>
        <v>1</v>
      </c>
      <c r="AE279" s="1" t="str">
        <f t="shared" ca="1" si="236"/>
        <v>20-21</v>
      </c>
      <c r="AF279" t="str">
        <f t="shared" ca="1" si="213"/>
        <v>Plot 20-21</v>
      </c>
    </row>
    <row r="280" spans="28:32" x14ac:dyDescent="0.25">
      <c r="AB280" t="str">
        <f t="shared" ref="AB280:AC280" si="274">AB259</f>
        <v>External Scaffolding</v>
      </c>
      <c r="AC280" t="str">
        <f t="shared" si="274"/>
        <v>Lift 1</v>
      </c>
      <c r="AD280" t="b">
        <f t="shared" ca="1" si="215"/>
        <v>1</v>
      </c>
      <c r="AE280" s="1">
        <f t="shared" ca="1" si="236"/>
        <v>22</v>
      </c>
      <c r="AF280" t="str">
        <f t="shared" ca="1" si="213"/>
        <v>Plot 22</v>
      </c>
    </row>
    <row r="281" spans="28:32" x14ac:dyDescent="0.25">
      <c r="AB281" t="str">
        <f t="shared" ref="AB281:AC281" si="275">AB260</f>
        <v>External Scaffolding</v>
      </c>
      <c r="AC281" t="str">
        <f t="shared" si="275"/>
        <v>Lift 2</v>
      </c>
      <c r="AD281" t="b">
        <f t="shared" ca="1" si="215"/>
        <v>1</v>
      </c>
      <c r="AE281" s="1">
        <f t="shared" ca="1" si="236"/>
        <v>22</v>
      </c>
      <c r="AF281" t="str">
        <f t="shared" ca="1" si="213"/>
        <v>Plot 22</v>
      </c>
    </row>
    <row r="282" spans="28:32" x14ac:dyDescent="0.25">
      <c r="AB282" t="str">
        <f t="shared" ref="AB282:AC282" si="276">AB261</f>
        <v>External Scaffolding</v>
      </c>
      <c r="AC282" t="str">
        <f t="shared" si="276"/>
        <v>Lift 3</v>
      </c>
      <c r="AD282" t="b">
        <f t="shared" ca="1" si="215"/>
        <v>1</v>
      </c>
      <c r="AE282" s="1">
        <f t="shared" ca="1" si="236"/>
        <v>22</v>
      </c>
      <c r="AF282" t="str">
        <f t="shared" ca="1" si="213"/>
        <v>Plot 22</v>
      </c>
    </row>
    <row r="283" spans="28:32" x14ac:dyDescent="0.25">
      <c r="AB283" t="str">
        <f t="shared" ref="AB283:AC283" si="277">AB262</f>
        <v>External Scaffolding</v>
      </c>
      <c r="AC283" t="str">
        <f t="shared" si="277"/>
        <v>Lift 4</v>
      </c>
      <c r="AD283" t="b">
        <f t="shared" ca="1" si="215"/>
        <v>0</v>
      </c>
      <c r="AE283" s="1">
        <f t="shared" ca="1" si="236"/>
        <v>22</v>
      </c>
      <c r="AF283" t="str">
        <f t="shared" ca="1" si="213"/>
        <v>Plot 22</v>
      </c>
    </row>
    <row r="284" spans="28:32" x14ac:dyDescent="0.25">
      <c r="AB284" t="str">
        <f t="shared" ref="AB284:AC284" si="278">AB263</f>
        <v>External Scaffolding</v>
      </c>
      <c r="AC284" t="str">
        <f t="shared" si="278"/>
        <v>Lift 5</v>
      </c>
      <c r="AD284" t="b">
        <f t="shared" ca="1" si="215"/>
        <v>0</v>
      </c>
      <c r="AE284" s="1">
        <f t="shared" ca="1" si="236"/>
        <v>22</v>
      </c>
      <c r="AF284" t="str">
        <f t="shared" ca="1" si="213"/>
        <v>Plot 22</v>
      </c>
    </row>
    <row r="285" spans="28:32" x14ac:dyDescent="0.25">
      <c r="AB285" t="str">
        <f t="shared" ref="AB285:AC285" si="279">AB264</f>
        <v>External Scaffolding</v>
      </c>
      <c r="AC285" t="str">
        <f t="shared" si="279"/>
        <v>Lift 6</v>
      </c>
      <c r="AD285" t="b">
        <f t="shared" ca="1" si="215"/>
        <v>0</v>
      </c>
      <c r="AE285" s="1">
        <f t="shared" ca="1" si="236"/>
        <v>22</v>
      </c>
      <c r="AF285" t="str">
        <f t="shared" ref="AF285:AF348" ca="1" si="280">IF(LEFT(AE285,1)="G",AE285,"Plot "&amp;AE285)</f>
        <v>Plot 22</v>
      </c>
    </row>
    <row r="286" spans="28:32" x14ac:dyDescent="0.25">
      <c r="AB286" t="str">
        <f t="shared" ref="AB286:AC286" si="281">AB265</f>
        <v>Loading Bay</v>
      </c>
      <c r="AC286" t="str">
        <f t="shared" si="281"/>
        <v>Lift 1</v>
      </c>
      <c r="AD286" t="b">
        <f t="shared" ref="AD286:AD349" ca="1" si="282">INDEX($AC$1:$JH$22,MATCH(AC286,$AC$1:$AC$22,0),MATCH(AE286,$AC$1:$JH$1,0))</f>
        <v>1</v>
      </c>
      <c r="AE286" s="1">
        <f t="shared" ca="1" si="236"/>
        <v>22</v>
      </c>
      <c r="AF286" t="str">
        <f t="shared" ca="1" si="280"/>
        <v>Plot 22</v>
      </c>
    </row>
    <row r="287" spans="28:32" x14ac:dyDescent="0.25">
      <c r="AB287" t="str">
        <f t="shared" ref="AB287:AC287" si="283">AB266</f>
        <v>Loading Bay</v>
      </c>
      <c r="AC287" t="str">
        <f t="shared" si="283"/>
        <v>Lift 2</v>
      </c>
      <c r="AD287" t="b">
        <f t="shared" ca="1" si="282"/>
        <v>1</v>
      </c>
      <c r="AE287" s="1">
        <f t="shared" ca="1" si="236"/>
        <v>22</v>
      </c>
      <c r="AF287" t="str">
        <f t="shared" ca="1" si="280"/>
        <v>Plot 22</v>
      </c>
    </row>
    <row r="288" spans="28:32" x14ac:dyDescent="0.25">
      <c r="AB288" t="str">
        <f t="shared" ref="AB288:AC288" si="284">AB267</f>
        <v>Loading Bay</v>
      </c>
      <c r="AC288" t="str">
        <f t="shared" si="284"/>
        <v>Lift 3</v>
      </c>
      <c r="AD288" t="b">
        <f t="shared" ca="1" si="282"/>
        <v>1</v>
      </c>
      <c r="AE288" s="1">
        <f t="shared" ca="1" si="236"/>
        <v>22</v>
      </c>
      <c r="AF288" t="str">
        <f t="shared" ca="1" si="280"/>
        <v>Plot 22</v>
      </c>
    </row>
    <row r="289" spans="28:32" x14ac:dyDescent="0.25">
      <c r="AB289" t="str">
        <f t="shared" ref="AB289:AC289" si="285">AB268</f>
        <v>Loading Bay</v>
      </c>
      <c r="AC289" t="str">
        <f t="shared" si="285"/>
        <v>Lift 4</v>
      </c>
      <c r="AD289" t="b">
        <f t="shared" ca="1" si="282"/>
        <v>0</v>
      </c>
      <c r="AE289" s="1">
        <f t="shared" ca="1" si="236"/>
        <v>22</v>
      </c>
      <c r="AF289" t="str">
        <f t="shared" ca="1" si="280"/>
        <v>Plot 22</v>
      </c>
    </row>
    <row r="290" spans="28:32" x14ac:dyDescent="0.25">
      <c r="AB290" t="str">
        <f t="shared" ref="AB290:AC290" si="286">AB269</f>
        <v>Loading Bay</v>
      </c>
      <c r="AC290" t="str">
        <f t="shared" si="286"/>
        <v>Lift 5</v>
      </c>
      <c r="AD290" t="b">
        <f t="shared" ca="1" si="282"/>
        <v>0</v>
      </c>
      <c r="AE290" s="1">
        <f t="shared" ca="1" si="236"/>
        <v>22</v>
      </c>
      <c r="AF290" t="str">
        <f t="shared" ca="1" si="280"/>
        <v>Plot 22</v>
      </c>
    </row>
    <row r="291" spans="28:32" x14ac:dyDescent="0.25">
      <c r="AB291" t="str">
        <f t="shared" ref="AB291:AC291" si="287">AB270</f>
        <v>Loading Bay</v>
      </c>
      <c r="AC291" t="str">
        <f t="shared" si="287"/>
        <v>Lift 6</v>
      </c>
      <c r="AD291" t="b">
        <f t="shared" ca="1" si="282"/>
        <v>0</v>
      </c>
      <c r="AE291" s="1">
        <f t="shared" ca="1" si="236"/>
        <v>22</v>
      </c>
      <c r="AF291" t="str">
        <f t="shared" ca="1" si="280"/>
        <v>Plot 22</v>
      </c>
    </row>
    <row r="292" spans="28:32" x14ac:dyDescent="0.25">
      <c r="AB292" t="str">
        <f t="shared" ref="AB292:AC292" si="288">AB271</f>
        <v>Scaffolding Platform</v>
      </c>
      <c r="AC292" t="str">
        <f t="shared" si="288"/>
        <v>Ground Floor</v>
      </c>
      <c r="AD292" t="b">
        <f t="shared" ca="1" si="282"/>
        <v>1</v>
      </c>
      <c r="AE292" s="1">
        <f t="shared" ca="1" si="236"/>
        <v>22</v>
      </c>
      <c r="AF292" t="str">
        <f t="shared" ca="1" si="280"/>
        <v>Plot 22</v>
      </c>
    </row>
    <row r="293" spans="28:32" x14ac:dyDescent="0.25">
      <c r="AB293" t="str">
        <f t="shared" ref="AB293:AC293" si="289">AB272</f>
        <v>Scaffolding Platform</v>
      </c>
      <c r="AC293" t="str">
        <f t="shared" si="289"/>
        <v>First Floor</v>
      </c>
      <c r="AD293" t="b">
        <f t="shared" ca="1" si="282"/>
        <v>1</v>
      </c>
      <c r="AE293" s="1">
        <f t="shared" ca="1" si="236"/>
        <v>22</v>
      </c>
      <c r="AF293" t="str">
        <f t="shared" ca="1" si="280"/>
        <v>Plot 22</v>
      </c>
    </row>
    <row r="294" spans="28:32" x14ac:dyDescent="0.25">
      <c r="AB294" t="str">
        <f t="shared" ref="AB294:AC294" si="290">AB273</f>
        <v>Scaffolding Platform</v>
      </c>
      <c r="AC294" t="str">
        <f t="shared" si="290"/>
        <v>Second Floor</v>
      </c>
      <c r="AD294" t="b">
        <f t="shared" ca="1" si="282"/>
        <v>0</v>
      </c>
      <c r="AE294" s="1">
        <f t="shared" ca="1" si="236"/>
        <v>22</v>
      </c>
      <c r="AF294" t="str">
        <f t="shared" ca="1" si="280"/>
        <v>Plot 22</v>
      </c>
    </row>
    <row r="295" spans="28:32" x14ac:dyDescent="0.25">
      <c r="AB295" t="str">
        <f t="shared" ref="AB295:AC295" si="291">AB274</f>
        <v>Supporting Scaffold</v>
      </c>
      <c r="AC295" t="str">
        <f t="shared" si="291"/>
        <v>Ground Floor Prop.</v>
      </c>
      <c r="AD295" t="str">
        <f t="shared" ca="1" si="282"/>
        <v>TRUE</v>
      </c>
      <c r="AE295" s="1">
        <f t="shared" ca="1" si="236"/>
        <v>22</v>
      </c>
      <c r="AF295" t="str">
        <f t="shared" ca="1" si="280"/>
        <v>Plot 22</v>
      </c>
    </row>
    <row r="296" spans="28:32" x14ac:dyDescent="0.25">
      <c r="AB296" t="str">
        <f t="shared" ref="AB296:AC296" si="292">AB275</f>
        <v>Supporting Scaffold</v>
      </c>
      <c r="AC296" t="str">
        <f t="shared" si="292"/>
        <v>First Floor Prop.</v>
      </c>
      <c r="AD296" t="str">
        <f t="shared" ca="1" si="282"/>
        <v>FALSE</v>
      </c>
      <c r="AE296" s="1">
        <f t="shared" ca="1" si="236"/>
        <v>22</v>
      </c>
      <c r="AF296" t="str">
        <f t="shared" ca="1" si="280"/>
        <v>Plot 22</v>
      </c>
    </row>
    <row r="297" spans="28:32" x14ac:dyDescent="0.25">
      <c r="AB297" t="str">
        <f t="shared" ref="AB297:AC297" si="293">AB276</f>
        <v>Supporting Scaffold</v>
      </c>
      <c r="AC297" t="str">
        <f t="shared" si="293"/>
        <v>Second Floor Prop.</v>
      </c>
      <c r="AD297" t="str">
        <f t="shared" ca="1" si="282"/>
        <v>FALSE</v>
      </c>
      <c r="AE297" s="1">
        <f t="shared" ca="1" si="236"/>
        <v>22</v>
      </c>
      <c r="AF297" t="str">
        <f t="shared" ca="1" si="280"/>
        <v>Plot 22</v>
      </c>
    </row>
    <row r="298" spans="28:32" x14ac:dyDescent="0.25">
      <c r="AB298" t="str">
        <f t="shared" ref="AB298:AC298" si="294">AB277</f>
        <v>External Scaffolding</v>
      </c>
      <c r="AC298" t="str">
        <f t="shared" si="294"/>
        <v>Hop-ups</v>
      </c>
      <c r="AD298" t="b">
        <f t="shared" ca="1" si="282"/>
        <v>1</v>
      </c>
      <c r="AE298" s="1">
        <f t="shared" ca="1" si="236"/>
        <v>22</v>
      </c>
      <c r="AF298" t="str">
        <f t="shared" ca="1" si="280"/>
        <v>Plot 22</v>
      </c>
    </row>
    <row r="299" spans="28:32" x14ac:dyDescent="0.25">
      <c r="AB299" t="str">
        <f t="shared" ref="AB299:AC299" si="295">AB278</f>
        <v>External Scaffolding</v>
      </c>
      <c r="AC299" t="str">
        <f t="shared" si="295"/>
        <v>Adaptions</v>
      </c>
      <c r="AD299" t="b">
        <f t="shared" ca="1" si="282"/>
        <v>1</v>
      </c>
      <c r="AE299" s="1">
        <f t="shared" ca="1" si="236"/>
        <v>22</v>
      </c>
      <c r="AF299" t="str">
        <f t="shared" ca="1" si="280"/>
        <v>Plot 22</v>
      </c>
    </row>
    <row r="300" spans="28:32" x14ac:dyDescent="0.25">
      <c r="AB300" t="str">
        <f t="shared" ref="AB300:AC300" si="296">AB279</f>
        <v>External Scaffolding</v>
      </c>
      <c r="AC300" t="str">
        <f t="shared" si="296"/>
        <v>Adaption Tower</v>
      </c>
      <c r="AD300" t="b">
        <f t="shared" ca="1" si="282"/>
        <v>1</v>
      </c>
      <c r="AE300" s="1">
        <f t="shared" ca="1" si="236"/>
        <v>22</v>
      </c>
      <c r="AF300" t="str">
        <f t="shared" ca="1" si="280"/>
        <v>Plot 22</v>
      </c>
    </row>
    <row r="301" spans="28:32" x14ac:dyDescent="0.25">
      <c r="AB301" t="str">
        <f t="shared" ref="AB301:AC301" si="297">AB280</f>
        <v>External Scaffolding</v>
      </c>
      <c r="AC301" t="str">
        <f t="shared" si="297"/>
        <v>Lift 1</v>
      </c>
      <c r="AD301" t="b">
        <f t="shared" ca="1" si="282"/>
        <v>1</v>
      </c>
      <c r="AE301" s="1">
        <f t="shared" ca="1" si="236"/>
        <v>23</v>
      </c>
      <c r="AF301" t="str">
        <f t="shared" ca="1" si="280"/>
        <v>Plot 23</v>
      </c>
    </row>
    <row r="302" spans="28:32" x14ac:dyDescent="0.25">
      <c r="AB302" t="str">
        <f t="shared" ref="AB302:AC302" si="298">AB281</f>
        <v>External Scaffolding</v>
      </c>
      <c r="AC302" t="str">
        <f t="shared" si="298"/>
        <v>Lift 2</v>
      </c>
      <c r="AD302" t="b">
        <f t="shared" ca="1" si="282"/>
        <v>1</v>
      </c>
      <c r="AE302" s="1">
        <f t="shared" ca="1" si="236"/>
        <v>23</v>
      </c>
      <c r="AF302" t="str">
        <f t="shared" ca="1" si="280"/>
        <v>Plot 23</v>
      </c>
    </row>
    <row r="303" spans="28:32" x14ac:dyDescent="0.25">
      <c r="AB303" t="str">
        <f t="shared" ref="AB303:AC303" si="299">AB282</f>
        <v>External Scaffolding</v>
      </c>
      <c r="AC303" t="str">
        <f t="shared" si="299"/>
        <v>Lift 3</v>
      </c>
      <c r="AD303" t="b">
        <f t="shared" ca="1" si="282"/>
        <v>1</v>
      </c>
      <c r="AE303" s="1">
        <f t="shared" ca="1" si="236"/>
        <v>23</v>
      </c>
      <c r="AF303" t="str">
        <f t="shared" ca="1" si="280"/>
        <v>Plot 23</v>
      </c>
    </row>
    <row r="304" spans="28:32" x14ac:dyDescent="0.25">
      <c r="AB304" t="str">
        <f t="shared" ref="AB304:AC304" si="300">AB283</f>
        <v>External Scaffolding</v>
      </c>
      <c r="AC304" t="str">
        <f t="shared" si="300"/>
        <v>Lift 4</v>
      </c>
      <c r="AD304" t="b">
        <f t="shared" ca="1" si="282"/>
        <v>0</v>
      </c>
      <c r="AE304" s="1">
        <f t="shared" ca="1" si="236"/>
        <v>23</v>
      </c>
      <c r="AF304" t="str">
        <f t="shared" ca="1" si="280"/>
        <v>Plot 23</v>
      </c>
    </row>
    <row r="305" spans="28:32" x14ac:dyDescent="0.25">
      <c r="AB305" t="str">
        <f t="shared" ref="AB305:AC305" si="301">AB284</f>
        <v>External Scaffolding</v>
      </c>
      <c r="AC305" t="str">
        <f t="shared" si="301"/>
        <v>Lift 5</v>
      </c>
      <c r="AD305" t="b">
        <f t="shared" ca="1" si="282"/>
        <v>0</v>
      </c>
      <c r="AE305" s="1">
        <f t="shared" ca="1" si="236"/>
        <v>23</v>
      </c>
      <c r="AF305" t="str">
        <f t="shared" ca="1" si="280"/>
        <v>Plot 23</v>
      </c>
    </row>
    <row r="306" spans="28:32" x14ac:dyDescent="0.25">
      <c r="AB306" t="str">
        <f t="shared" ref="AB306:AC306" si="302">AB285</f>
        <v>External Scaffolding</v>
      </c>
      <c r="AC306" t="str">
        <f t="shared" si="302"/>
        <v>Lift 6</v>
      </c>
      <c r="AD306" t="b">
        <f t="shared" ca="1" si="282"/>
        <v>0</v>
      </c>
      <c r="AE306" s="1">
        <f t="shared" ref="AE306:AE369" ca="1" si="303">OFFSET($AD$1,0,FLOOR(ROW(B278)/21,1))</f>
        <v>23</v>
      </c>
      <c r="AF306" t="str">
        <f t="shared" ca="1" si="280"/>
        <v>Plot 23</v>
      </c>
    </row>
    <row r="307" spans="28:32" x14ac:dyDescent="0.25">
      <c r="AB307" t="str">
        <f t="shared" ref="AB307:AC307" si="304">AB286</f>
        <v>Loading Bay</v>
      </c>
      <c r="AC307" t="str">
        <f t="shared" si="304"/>
        <v>Lift 1</v>
      </c>
      <c r="AD307" t="b">
        <f t="shared" ca="1" si="282"/>
        <v>1</v>
      </c>
      <c r="AE307" s="1">
        <f t="shared" ca="1" si="303"/>
        <v>23</v>
      </c>
      <c r="AF307" t="str">
        <f t="shared" ca="1" si="280"/>
        <v>Plot 23</v>
      </c>
    </row>
    <row r="308" spans="28:32" x14ac:dyDescent="0.25">
      <c r="AB308" t="str">
        <f t="shared" ref="AB308:AC308" si="305">AB287</f>
        <v>Loading Bay</v>
      </c>
      <c r="AC308" t="str">
        <f t="shared" si="305"/>
        <v>Lift 2</v>
      </c>
      <c r="AD308" t="b">
        <f t="shared" ca="1" si="282"/>
        <v>1</v>
      </c>
      <c r="AE308" s="1">
        <f t="shared" ca="1" si="303"/>
        <v>23</v>
      </c>
      <c r="AF308" t="str">
        <f t="shared" ca="1" si="280"/>
        <v>Plot 23</v>
      </c>
    </row>
    <row r="309" spans="28:32" x14ac:dyDescent="0.25">
      <c r="AB309" t="str">
        <f t="shared" ref="AB309:AC309" si="306">AB288</f>
        <v>Loading Bay</v>
      </c>
      <c r="AC309" t="str">
        <f t="shared" si="306"/>
        <v>Lift 3</v>
      </c>
      <c r="AD309" t="b">
        <f t="shared" ca="1" si="282"/>
        <v>1</v>
      </c>
      <c r="AE309" s="1">
        <f t="shared" ca="1" si="303"/>
        <v>23</v>
      </c>
      <c r="AF309" t="str">
        <f t="shared" ca="1" si="280"/>
        <v>Plot 23</v>
      </c>
    </row>
    <row r="310" spans="28:32" x14ac:dyDescent="0.25">
      <c r="AB310" t="str">
        <f t="shared" ref="AB310:AC310" si="307">AB289</f>
        <v>Loading Bay</v>
      </c>
      <c r="AC310" t="str">
        <f t="shared" si="307"/>
        <v>Lift 4</v>
      </c>
      <c r="AD310" t="b">
        <f t="shared" ca="1" si="282"/>
        <v>0</v>
      </c>
      <c r="AE310" s="1">
        <f t="shared" ca="1" si="303"/>
        <v>23</v>
      </c>
      <c r="AF310" t="str">
        <f t="shared" ca="1" si="280"/>
        <v>Plot 23</v>
      </c>
    </row>
    <row r="311" spans="28:32" x14ac:dyDescent="0.25">
      <c r="AB311" t="str">
        <f t="shared" ref="AB311:AC311" si="308">AB290</f>
        <v>Loading Bay</v>
      </c>
      <c r="AC311" t="str">
        <f t="shared" si="308"/>
        <v>Lift 5</v>
      </c>
      <c r="AD311" t="b">
        <f t="shared" ca="1" si="282"/>
        <v>0</v>
      </c>
      <c r="AE311" s="1">
        <f t="shared" ca="1" si="303"/>
        <v>23</v>
      </c>
      <c r="AF311" t="str">
        <f t="shared" ca="1" si="280"/>
        <v>Plot 23</v>
      </c>
    </row>
    <row r="312" spans="28:32" x14ac:dyDescent="0.25">
      <c r="AB312" t="str">
        <f t="shared" ref="AB312:AC312" si="309">AB291</f>
        <v>Loading Bay</v>
      </c>
      <c r="AC312" t="str">
        <f t="shared" si="309"/>
        <v>Lift 6</v>
      </c>
      <c r="AD312" t="b">
        <f t="shared" ca="1" si="282"/>
        <v>0</v>
      </c>
      <c r="AE312" s="1">
        <f t="shared" ca="1" si="303"/>
        <v>23</v>
      </c>
      <c r="AF312" t="str">
        <f t="shared" ca="1" si="280"/>
        <v>Plot 23</v>
      </c>
    </row>
    <row r="313" spans="28:32" x14ac:dyDescent="0.25">
      <c r="AB313" t="str">
        <f t="shared" ref="AB313:AC313" si="310">AB292</f>
        <v>Scaffolding Platform</v>
      </c>
      <c r="AC313" t="str">
        <f t="shared" si="310"/>
        <v>Ground Floor</v>
      </c>
      <c r="AD313" t="b">
        <f t="shared" ca="1" si="282"/>
        <v>1</v>
      </c>
      <c r="AE313" s="1">
        <f t="shared" ca="1" si="303"/>
        <v>23</v>
      </c>
      <c r="AF313" t="str">
        <f t="shared" ca="1" si="280"/>
        <v>Plot 23</v>
      </c>
    </row>
    <row r="314" spans="28:32" x14ac:dyDescent="0.25">
      <c r="AB314" t="str">
        <f t="shared" ref="AB314:AC314" si="311">AB293</f>
        <v>Scaffolding Platform</v>
      </c>
      <c r="AC314" t="str">
        <f t="shared" si="311"/>
        <v>First Floor</v>
      </c>
      <c r="AD314" t="b">
        <f t="shared" ca="1" si="282"/>
        <v>1</v>
      </c>
      <c r="AE314" s="1">
        <f t="shared" ca="1" si="303"/>
        <v>23</v>
      </c>
      <c r="AF314" t="str">
        <f t="shared" ca="1" si="280"/>
        <v>Plot 23</v>
      </c>
    </row>
    <row r="315" spans="28:32" x14ac:dyDescent="0.25">
      <c r="AB315" t="str">
        <f t="shared" ref="AB315:AC315" si="312">AB294</f>
        <v>Scaffolding Platform</v>
      </c>
      <c r="AC315" t="str">
        <f t="shared" si="312"/>
        <v>Second Floor</v>
      </c>
      <c r="AD315" t="b">
        <f t="shared" ca="1" si="282"/>
        <v>0</v>
      </c>
      <c r="AE315" s="1">
        <f t="shared" ca="1" si="303"/>
        <v>23</v>
      </c>
      <c r="AF315" t="str">
        <f t="shared" ca="1" si="280"/>
        <v>Plot 23</v>
      </c>
    </row>
    <row r="316" spans="28:32" x14ac:dyDescent="0.25">
      <c r="AB316" t="str">
        <f t="shared" ref="AB316:AC316" si="313">AB295</f>
        <v>Supporting Scaffold</v>
      </c>
      <c r="AC316" t="str">
        <f t="shared" si="313"/>
        <v>Ground Floor Prop.</v>
      </c>
      <c r="AD316" t="str">
        <f t="shared" ca="1" si="282"/>
        <v>TRUE</v>
      </c>
      <c r="AE316" s="1">
        <f t="shared" ca="1" si="303"/>
        <v>23</v>
      </c>
      <c r="AF316" t="str">
        <f t="shared" ca="1" si="280"/>
        <v>Plot 23</v>
      </c>
    </row>
    <row r="317" spans="28:32" x14ac:dyDescent="0.25">
      <c r="AB317" t="str">
        <f t="shared" ref="AB317:AC317" si="314">AB296</f>
        <v>Supporting Scaffold</v>
      </c>
      <c r="AC317" t="str">
        <f t="shared" si="314"/>
        <v>First Floor Prop.</v>
      </c>
      <c r="AD317" t="str">
        <f t="shared" ca="1" si="282"/>
        <v>FALSE</v>
      </c>
      <c r="AE317" s="1">
        <f t="shared" ca="1" si="303"/>
        <v>23</v>
      </c>
      <c r="AF317" t="str">
        <f t="shared" ca="1" si="280"/>
        <v>Plot 23</v>
      </c>
    </row>
    <row r="318" spans="28:32" x14ac:dyDescent="0.25">
      <c r="AB318" t="str">
        <f t="shared" ref="AB318:AC318" si="315">AB297</f>
        <v>Supporting Scaffold</v>
      </c>
      <c r="AC318" t="str">
        <f t="shared" si="315"/>
        <v>Second Floor Prop.</v>
      </c>
      <c r="AD318" t="str">
        <f t="shared" ca="1" si="282"/>
        <v>FALSE</v>
      </c>
      <c r="AE318" s="1">
        <f t="shared" ca="1" si="303"/>
        <v>23</v>
      </c>
      <c r="AF318" t="str">
        <f t="shared" ca="1" si="280"/>
        <v>Plot 23</v>
      </c>
    </row>
    <row r="319" spans="28:32" x14ac:dyDescent="0.25">
      <c r="AB319" t="str">
        <f t="shared" ref="AB319:AC319" si="316">AB298</f>
        <v>External Scaffolding</v>
      </c>
      <c r="AC319" t="str">
        <f t="shared" si="316"/>
        <v>Hop-ups</v>
      </c>
      <c r="AD319" t="b">
        <f t="shared" ca="1" si="282"/>
        <v>1</v>
      </c>
      <c r="AE319" s="1">
        <f t="shared" ca="1" si="303"/>
        <v>23</v>
      </c>
      <c r="AF319" t="str">
        <f t="shared" ca="1" si="280"/>
        <v>Plot 23</v>
      </c>
    </row>
    <row r="320" spans="28:32" x14ac:dyDescent="0.25">
      <c r="AB320" t="str">
        <f t="shared" ref="AB320:AC320" si="317">AB299</f>
        <v>External Scaffolding</v>
      </c>
      <c r="AC320" t="str">
        <f t="shared" si="317"/>
        <v>Adaptions</v>
      </c>
      <c r="AD320" t="b">
        <f t="shared" ca="1" si="282"/>
        <v>1</v>
      </c>
      <c r="AE320" s="1">
        <f t="shared" ca="1" si="303"/>
        <v>23</v>
      </c>
      <c r="AF320" t="str">
        <f t="shared" ca="1" si="280"/>
        <v>Plot 23</v>
      </c>
    </row>
    <row r="321" spans="28:32" x14ac:dyDescent="0.25">
      <c r="AB321" t="str">
        <f t="shared" ref="AB321:AC321" si="318">AB300</f>
        <v>External Scaffolding</v>
      </c>
      <c r="AC321" t="str">
        <f t="shared" si="318"/>
        <v>Adaption Tower</v>
      </c>
      <c r="AD321" t="b">
        <f t="shared" ca="1" si="282"/>
        <v>1</v>
      </c>
      <c r="AE321" s="1">
        <f t="shared" ca="1" si="303"/>
        <v>23</v>
      </c>
      <c r="AF321" t="str">
        <f t="shared" ca="1" si="280"/>
        <v>Plot 23</v>
      </c>
    </row>
    <row r="322" spans="28:32" x14ac:dyDescent="0.25">
      <c r="AB322" t="str">
        <f t="shared" ref="AB322:AC322" si="319">AB301</f>
        <v>External Scaffolding</v>
      </c>
      <c r="AC322" t="str">
        <f t="shared" si="319"/>
        <v>Lift 1</v>
      </c>
      <c r="AD322" t="b">
        <f t="shared" ca="1" si="282"/>
        <v>1</v>
      </c>
      <c r="AE322" s="1">
        <f t="shared" ca="1" si="303"/>
        <v>24</v>
      </c>
      <c r="AF322" t="str">
        <f t="shared" ca="1" si="280"/>
        <v>Plot 24</v>
      </c>
    </row>
    <row r="323" spans="28:32" x14ac:dyDescent="0.25">
      <c r="AB323" t="str">
        <f t="shared" ref="AB323:AC323" si="320">AB302</f>
        <v>External Scaffolding</v>
      </c>
      <c r="AC323" t="str">
        <f t="shared" si="320"/>
        <v>Lift 2</v>
      </c>
      <c r="AD323" t="b">
        <f t="shared" ca="1" si="282"/>
        <v>1</v>
      </c>
      <c r="AE323" s="1">
        <f t="shared" ca="1" si="303"/>
        <v>24</v>
      </c>
      <c r="AF323" t="str">
        <f t="shared" ca="1" si="280"/>
        <v>Plot 24</v>
      </c>
    </row>
    <row r="324" spans="28:32" x14ac:dyDescent="0.25">
      <c r="AB324" t="str">
        <f t="shared" ref="AB324:AC324" si="321">AB303</f>
        <v>External Scaffolding</v>
      </c>
      <c r="AC324" t="str">
        <f t="shared" si="321"/>
        <v>Lift 3</v>
      </c>
      <c r="AD324" t="b">
        <f t="shared" ca="1" si="282"/>
        <v>1</v>
      </c>
      <c r="AE324" s="1">
        <f t="shared" ca="1" si="303"/>
        <v>24</v>
      </c>
      <c r="AF324" t="str">
        <f t="shared" ca="1" si="280"/>
        <v>Plot 24</v>
      </c>
    </row>
    <row r="325" spans="28:32" x14ac:dyDescent="0.25">
      <c r="AB325" t="str">
        <f t="shared" ref="AB325:AC325" si="322">AB304</f>
        <v>External Scaffolding</v>
      </c>
      <c r="AC325" t="str">
        <f t="shared" si="322"/>
        <v>Lift 4</v>
      </c>
      <c r="AD325" t="b">
        <f t="shared" ca="1" si="282"/>
        <v>0</v>
      </c>
      <c r="AE325" s="1">
        <f t="shared" ca="1" si="303"/>
        <v>24</v>
      </c>
      <c r="AF325" t="str">
        <f t="shared" ca="1" si="280"/>
        <v>Plot 24</v>
      </c>
    </row>
    <row r="326" spans="28:32" x14ac:dyDescent="0.25">
      <c r="AB326" t="str">
        <f t="shared" ref="AB326:AC326" si="323">AB305</f>
        <v>External Scaffolding</v>
      </c>
      <c r="AC326" t="str">
        <f t="shared" si="323"/>
        <v>Lift 5</v>
      </c>
      <c r="AD326" t="b">
        <f t="shared" ca="1" si="282"/>
        <v>0</v>
      </c>
      <c r="AE326" s="1">
        <f t="shared" ca="1" si="303"/>
        <v>24</v>
      </c>
      <c r="AF326" t="str">
        <f t="shared" ca="1" si="280"/>
        <v>Plot 24</v>
      </c>
    </row>
    <row r="327" spans="28:32" x14ac:dyDescent="0.25">
      <c r="AB327" t="str">
        <f t="shared" ref="AB327:AC327" si="324">AB306</f>
        <v>External Scaffolding</v>
      </c>
      <c r="AC327" t="str">
        <f t="shared" si="324"/>
        <v>Lift 6</v>
      </c>
      <c r="AD327" t="b">
        <f t="shared" ca="1" si="282"/>
        <v>0</v>
      </c>
      <c r="AE327" s="1">
        <f t="shared" ca="1" si="303"/>
        <v>24</v>
      </c>
      <c r="AF327" t="str">
        <f t="shared" ca="1" si="280"/>
        <v>Plot 24</v>
      </c>
    </row>
    <row r="328" spans="28:32" x14ac:dyDescent="0.25">
      <c r="AB328" t="str">
        <f t="shared" ref="AB328:AC328" si="325">AB307</f>
        <v>Loading Bay</v>
      </c>
      <c r="AC328" t="str">
        <f t="shared" si="325"/>
        <v>Lift 1</v>
      </c>
      <c r="AD328" t="b">
        <f t="shared" ca="1" si="282"/>
        <v>1</v>
      </c>
      <c r="AE328" s="1">
        <f t="shared" ca="1" si="303"/>
        <v>24</v>
      </c>
      <c r="AF328" t="str">
        <f t="shared" ca="1" si="280"/>
        <v>Plot 24</v>
      </c>
    </row>
    <row r="329" spans="28:32" x14ac:dyDescent="0.25">
      <c r="AB329" t="str">
        <f t="shared" ref="AB329:AC329" si="326">AB308</f>
        <v>Loading Bay</v>
      </c>
      <c r="AC329" t="str">
        <f t="shared" si="326"/>
        <v>Lift 2</v>
      </c>
      <c r="AD329" t="b">
        <f t="shared" ca="1" si="282"/>
        <v>1</v>
      </c>
      <c r="AE329" s="1">
        <f t="shared" ca="1" si="303"/>
        <v>24</v>
      </c>
      <c r="AF329" t="str">
        <f t="shared" ca="1" si="280"/>
        <v>Plot 24</v>
      </c>
    </row>
    <row r="330" spans="28:32" x14ac:dyDescent="0.25">
      <c r="AB330" t="str">
        <f t="shared" ref="AB330:AC330" si="327">AB309</f>
        <v>Loading Bay</v>
      </c>
      <c r="AC330" t="str">
        <f t="shared" si="327"/>
        <v>Lift 3</v>
      </c>
      <c r="AD330" t="b">
        <f t="shared" ca="1" si="282"/>
        <v>1</v>
      </c>
      <c r="AE330" s="1">
        <f t="shared" ca="1" si="303"/>
        <v>24</v>
      </c>
      <c r="AF330" t="str">
        <f t="shared" ca="1" si="280"/>
        <v>Plot 24</v>
      </c>
    </row>
    <row r="331" spans="28:32" x14ac:dyDescent="0.25">
      <c r="AB331" t="str">
        <f t="shared" ref="AB331:AC331" si="328">AB310</f>
        <v>Loading Bay</v>
      </c>
      <c r="AC331" t="str">
        <f t="shared" si="328"/>
        <v>Lift 4</v>
      </c>
      <c r="AD331" t="b">
        <f t="shared" ca="1" si="282"/>
        <v>0</v>
      </c>
      <c r="AE331" s="1">
        <f t="shared" ca="1" si="303"/>
        <v>24</v>
      </c>
      <c r="AF331" t="str">
        <f t="shared" ca="1" si="280"/>
        <v>Plot 24</v>
      </c>
    </row>
    <row r="332" spans="28:32" x14ac:dyDescent="0.25">
      <c r="AB332" t="str">
        <f t="shared" ref="AB332:AC332" si="329">AB311</f>
        <v>Loading Bay</v>
      </c>
      <c r="AC332" t="str">
        <f t="shared" si="329"/>
        <v>Lift 5</v>
      </c>
      <c r="AD332" t="b">
        <f t="shared" ca="1" si="282"/>
        <v>0</v>
      </c>
      <c r="AE332" s="1">
        <f t="shared" ca="1" si="303"/>
        <v>24</v>
      </c>
      <c r="AF332" t="str">
        <f t="shared" ca="1" si="280"/>
        <v>Plot 24</v>
      </c>
    </row>
    <row r="333" spans="28:32" x14ac:dyDescent="0.25">
      <c r="AB333" t="str">
        <f t="shared" ref="AB333:AC333" si="330">AB312</f>
        <v>Loading Bay</v>
      </c>
      <c r="AC333" t="str">
        <f t="shared" si="330"/>
        <v>Lift 6</v>
      </c>
      <c r="AD333" t="b">
        <f t="shared" ca="1" si="282"/>
        <v>0</v>
      </c>
      <c r="AE333" s="1">
        <f t="shared" ca="1" si="303"/>
        <v>24</v>
      </c>
      <c r="AF333" t="str">
        <f t="shared" ca="1" si="280"/>
        <v>Plot 24</v>
      </c>
    </row>
    <row r="334" spans="28:32" x14ac:dyDescent="0.25">
      <c r="AB334" t="str">
        <f t="shared" ref="AB334:AC334" si="331">AB313</f>
        <v>Scaffolding Platform</v>
      </c>
      <c r="AC334" t="str">
        <f t="shared" si="331"/>
        <v>Ground Floor</v>
      </c>
      <c r="AD334" t="b">
        <f t="shared" ca="1" si="282"/>
        <v>1</v>
      </c>
      <c r="AE334" s="1">
        <f t="shared" ca="1" si="303"/>
        <v>24</v>
      </c>
      <c r="AF334" t="str">
        <f t="shared" ca="1" si="280"/>
        <v>Plot 24</v>
      </c>
    </row>
    <row r="335" spans="28:32" x14ac:dyDescent="0.25">
      <c r="AB335" t="str">
        <f t="shared" ref="AB335:AC335" si="332">AB314</f>
        <v>Scaffolding Platform</v>
      </c>
      <c r="AC335" t="str">
        <f t="shared" si="332"/>
        <v>First Floor</v>
      </c>
      <c r="AD335" t="b">
        <f t="shared" ca="1" si="282"/>
        <v>1</v>
      </c>
      <c r="AE335" s="1">
        <f t="shared" ca="1" si="303"/>
        <v>24</v>
      </c>
      <c r="AF335" t="str">
        <f t="shared" ca="1" si="280"/>
        <v>Plot 24</v>
      </c>
    </row>
    <row r="336" spans="28:32" x14ac:dyDescent="0.25">
      <c r="AB336" t="str">
        <f t="shared" ref="AB336:AC336" si="333">AB315</f>
        <v>Scaffolding Platform</v>
      </c>
      <c r="AC336" t="str">
        <f t="shared" si="333"/>
        <v>Second Floor</v>
      </c>
      <c r="AD336" t="b">
        <f t="shared" ca="1" si="282"/>
        <v>0</v>
      </c>
      <c r="AE336" s="1">
        <f t="shared" ca="1" si="303"/>
        <v>24</v>
      </c>
      <c r="AF336" t="str">
        <f t="shared" ca="1" si="280"/>
        <v>Plot 24</v>
      </c>
    </row>
    <row r="337" spans="28:32" x14ac:dyDescent="0.25">
      <c r="AB337" t="str">
        <f t="shared" ref="AB337:AC337" si="334">AB316</f>
        <v>Supporting Scaffold</v>
      </c>
      <c r="AC337" t="str">
        <f t="shared" si="334"/>
        <v>Ground Floor Prop.</v>
      </c>
      <c r="AD337" t="str">
        <f t="shared" ca="1" si="282"/>
        <v>TRUE</v>
      </c>
      <c r="AE337" s="1">
        <f t="shared" ca="1" si="303"/>
        <v>24</v>
      </c>
      <c r="AF337" t="str">
        <f t="shared" ca="1" si="280"/>
        <v>Plot 24</v>
      </c>
    </row>
    <row r="338" spans="28:32" x14ac:dyDescent="0.25">
      <c r="AB338" t="str">
        <f t="shared" ref="AB338:AC338" si="335">AB317</f>
        <v>Supporting Scaffold</v>
      </c>
      <c r="AC338" t="str">
        <f t="shared" si="335"/>
        <v>First Floor Prop.</v>
      </c>
      <c r="AD338" t="str">
        <f t="shared" ca="1" si="282"/>
        <v>FALSE</v>
      </c>
      <c r="AE338" s="1">
        <f t="shared" ca="1" si="303"/>
        <v>24</v>
      </c>
      <c r="AF338" t="str">
        <f t="shared" ca="1" si="280"/>
        <v>Plot 24</v>
      </c>
    </row>
    <row r="339" spans="28:32" x14ac:dyDescent="0.25">
      <c r="AB339" t="str">
        <f t="shared" ref="AB339:AC339" si="336">AB318</f>
        <v>Supporting Scaffold</v>
      </c>
      <c r="AC339" t="str">
        <f t="shared" si="336"/>
        <v>Second Floor Prop.</v>
      </c>
      <c r="AD339" t="str">
        <f t="shared" ca="1" si="282"/>
        <v>FALSE</v>
      </c>
      <c r="AE339" s="1">
        <f t="shared" ca="1" si="303"/>
        <v>24</v>
      </c>
      <c r="AF339" t="str">
        <f t="shared" ca="1" si="280"/>
        <v>Plot 24</v>
      </c>
    </row>
    <row r="340" spans="28:32" x14ac:dyDescent="0.25">
      <c r="AB340" t="str">
        <f t="shared" ref="AB340:AC340" si="337">AB319</f>
        <v>External Scaffolding</v>
      </c>
      <c r="AC340" t="str">
        <f t="shared" si="337"/>
        <v>Hop-ups</v>
      </c>
      <c r="AD340" t="b">
        <f t="shared" ca="1" si="282"/>
        <v>1</v>
      </c>
      <c r="AE340" s="1">
        <f t="shared" ca="1" si="303"/>
        <v>24</v>
      </c>
      <c r="AF340" t="str">
        <f t="shared" ca="1" si="280"/>
        <v>Plot 24</v>
      </c>
    </row>
    <row r="341" spans="28:32" x14ac:dyDescent="0.25">
      <c r="AB341" t="str">
        <f t="shared" ref="AB341:AC341" si="338">AB320</f>
        <v>External Scaffolding</v>
      </c>
      <c r="AC341" t="str">
        <f t="shared" si="338"/>
        <v>Adaptions</v>
      </c>
      <c r="AD341" t="b">
        <f t="shared" ca="1" si="282"/>
        <v>1</v>
      </c>
      <c r="AE341" s="1">
        <f t="shared" ca="1" si="303"/>
        <v>24</v>
      </c>
      <c r="AF341" t="str">
        <f t="shared" ca="1" si="280"/>
        <v>Plot 24</v>
      </c>
    </row>
    <row r="342" spans="28:32" x14ac:dyDescent="0.25">
      <c r="AB342" t="str">
        <f t="shared" ref="AB342:AC342" si="339">AB321</f>
        <v>External Scaffolding</v>
      </c>
      <c r="AC342" t="str">
        <f t="shared" si="339"/>
        <v>Adaption Tower</v>
      </c>
      <c r="AD342" t="b">
        <f t="shared" ca="1" si="282"/>
        <v>1</v>
      </c>
      <c r="AE342" s="1">
        <f t="shared" ca="1" si="303"/>
        <v>24</v>
      </c>
      <c r="AF342" t="str">
        <f t="shared" ca="1" si="280"/>
        <v>Plot 24</v>
      </c>
    </row>
    <row r="343" spans="28:32" x14ac:dyDescent="0.25">
      <c r="AB343" t="str">
        <f t="shared" ref="AB343:AC343" si="340">AB322</f>
        <v>External Scaffolding</v>
      </c>
      <c r="AC343" t="str">
        <f t="shared" si="340"/>
        <v>Lift 1</v>
      </c>
      <c r="AD343" t="b">
        <f t="shared" ca="1" si="282"/>
        <v>1</v>
      </c>
      <c r="AE343" s="1">
        <f t="shared" ca="1" si="303"/>
        <v>25</v>
      </c>
      <c r="AF343" t="str">
        <f t="shared" ca="1" si="280"/>
        <v>Plot 25</v>
      </c>
    </row>
    <row r="344" spans="28:32" x14ac:dyDescent="0.25">
      <c r="AB344" t="str">
        <f t="shared" ref="AB344:AC344" si="341">AB323</f>
        <v>External Scaffolding</v>
      </c>
      <c r="AC344" t="str">
        <f t="shared" si="341"/>
        <v>Lift 2</v>
      </c>
      <c r="AD344" t="b">
        <f t="shared" ca="1" si="282"/>
        <v>1</v>
      </c>
      <c r="AE344" s="1">
        <f t="shared" ca="1" si="303"/>
        <v>25</v>
      </c>
      <c r="AF344" t="str">
        <f t="shared" ca="1" si="280"/>
        <v>Plot 25</v>
      </c>
    </row>
    <row r="345" spans="28:32" x14ac:dyDescent="0.25">
      <c r="AB345" t="str">
        <f t="shared" ref="AB345:AC345" si="342">AB324</f>
        <v>External Scaffolding</v>
      </c>
      <c r="AC345" t="str">
        <f t="shared" si="342"/>
        <v>Lift 3</v>
      </c>
      <c r="AD345" t="b">
        <f t="shared" ca="1" si="282"/>
        <v>1</v>
      </c>
      <c r="AE345" s="1">
        <f t="shared" ca="1" si="303"/>
        <v>25</v>
      </c>
      <c r="AF345" t="str">
        <f t="shared" ca="1" si="280"/>
        <v>Plot 25</v>
      </c>
    </row>
    <row r="346" spans="28:32" x14ac:dyDescent="0.25">
      <c r="AB346" t="str">
        <f t="shared" ref="AB346:AC346" si="343">AB325</f>
        <v>External Scaffolding</v>
      </c>
      <c r="AC346" t="str">
        <f t="shared" si="343"/>
        <v>Lift 4</v>
      </c>
      <c r="AD346" t="b">
        <f t="shared" ca="1" si="282"/>
        <v>0</v>
      </c>
      <c r="AE346" s="1">
        <f t="shared" ca="1" si="303"/>
        <v>25</v>
      </c>
      <c r="AF346" t="str">
        <f t="shared" ca="1" si="280"/>
        <v>Plot 25</v>
      </c>
    </row>
    <row r="347" spans="28:32" x14ac:dyDescent="0.25">
      <c r="AB347" t="str">
        <f t="shared" ref="AB347:AC347" si="344">AB326</f>
        <v>External Scaffolding</v>
      </c>
      <c r="AC347" t="str">
        <f t="shared" si="344"/>
        <v>Lift 5</v>
      </c>
      <c r="AD347" t="b">
        <f t="shared" ca="1" si="282"/>
        <v>0</v>
      </c>
      <c r="AE347" s="1">
        <f t="shared" ca="1" si="303"/>
        <v>25</v>
      </c>
      <c r="AF347" t="str">
        <f t="shared" ca="1" si="280"/>
        <v>Plot 25</v>
      </c>
    </row>
    <row r="348" spans="28:32" x14ac:dyDescent="0.25">
      <c r="AB348" t="str">
        <f t="shared" ref="AB348:AC348" si="345">AB327</f>
        <v>External Scaffolding</v>
      </c>
      <c r="AC348" t="str">
        <f t="shared" si="345"/>
        <v>Lift 6</v>
      </c>
      <c r="AD348" t="b">
        <f t="shared" ca="1" si="282"/>
        <v>0</v>
      </c>
      <c r="AE348" s="1">
        <f t="shared" ca="1" si="303"/>
        <v>25</v>
      </c>
      <c r="AF348" t="str">
        <f t="shared" ca="1" si="280"/>
        <v>Plot 25</v>
      </c>
    </row>
    <row r="349" spans="28:32" x14ac:dyDescent="0.25">
      <c r="AB349" t="str">
        <f t="shared" ref="AB349:AC349" si="346">AB328</f>
        <v>Loading Bay</v>
      </c>
      <c r="AC349" t="str">
        <f t="shared" si="346"/>
        <v>Lift 1</v>
      </c>
      <c r="AD349" t="b">
        <f t="shared" ca="1" si="282"/>
        <v>1</v>
      </c>
      <c r="AE349" s="1">
        <f t="shared" ca="1" si="303"/>
        <v>25</v>
      </c>
      <c r="AF349" t="str">
        <f t="shared" ref="AF349:AF412" ca="1" si="347">IF(LEFT(AE349,1)="G",AE349,"Plot "&amp;AE349)</f>
        <v>Plot 25</v>
      </c>
    </row>
    <row r="350" spans="28:32" x14ac:dyDescent="0.25">
      <c r="AB350" t="str">
        <f t="shared" ref="AB350:AC350" si="348">AB329</f>
        <v>Loading Bay</v>
      </c>
      <c r="AC350" t="str">
        <f t="shared" si="348"/>
        <v>Lift 2</v>
      </c>
      <c r="AD350" t="b">
        <f t="shared" ref="AD350:AD413" ca="1" si="349">INDEX($AC$1:$JH$22,MATCH(AC350,$AC$1:$AC$22,0),MATCH(AE350,$AC$1:$JH$1,0))</f>
        <v>1</v>
      </c>
      <c r="AE350" s="1">
        <f t="shared" ca="1" si="303"/>
        <v>25</v>
      </c>
      <c r="AF350" t="str">
        <f t="shared" ca="1" si="347"/>
        <v>Plot 25</v>
      </c>
    </row>
    <row r="351" spans="28:32" x14ac:dyDescent="0.25">
      <c r="AB351" t="str">
        <f t="shared" ref="AB351:AC351" si="350">AB330</f>
        <v>Loading Bay</v>
      </c>
      <c r="AC351" t="str">
        <f t="shared" si="350"/>
        <v>Lift 3</v>
      </c>
      <c r="AD351" t="b">
        <f t="shared" ca="1" si="349"/>
        <v>1</v>
      </c>
      <c r="AE351" s="1">
        <f t="shared" ca="1" si="303"/>
        <v>25</v>
      </c>
      <c r="AF351" t="str">
        <f t="shared" ca="1" si="347"/>
        <v>Plot 25</v>
      </c>
    </row>
    <row r="352" spans="28:32" x14ac:dyDescent="0.25">
      <c r="AB352" t="str">
        <f t="shared" ref="AB352:AC352" si="351">AB331</f>
        <v>Loading Bay</v>
      </c>
      <c r="AC352" t="str">
        <f t="shared" si="351"/>
        <v>Lift 4</v>
      </c>
      <c r="AD352" t="b">
        <f t="shared" ca="1" si="349"/>
        <v>0</v>
      </c>
      <c r="AE352" s="1">
        <f t="shared" ca="1" si="303"/>
        <v>25</v>
      </c>
      <c r="AF352" t="str">
        <f t="shared" ca="1" si="347"/>
        <v>Plot 25</v>
      </c>
    </row>
    <row r="353" spans="28:32" x14ac:dyDescent="0.25">
      <c r="AB353" t="str">
        <f t="shared" ref="AB353:AC353" si="352">AB332</f>
        <v>Loading Bay</v>
      </c>
      <c r="AC353" t="str">
        <f t="shared" si="352"/>
        <v>Lift 5</v>
      </c>
      <c r="AD353" t="b">
        <f t="shared" ca="1" si="349"/>
        <v>0</v>
      </c>
      <c r="AE353" s="1">
        <f t="shared" ca="1" si="303"/>
        <v>25</v>
      </c>
      <c r="AF353" t="str">
        <f t="shared" ca="1" si="347"/>
        <v>Plot 25</v>
      </c>
    </row>
    <row r="354" spans="28:32" x14ac:dyDescent="0.25">
      <c r="AB354" t="str">
        <f t="shared" ref="AB354:AC354" si="353">AB333</f>
        <v>Loading Bay</v>
      </c>
      <c r="AC354" t="str">
        <f t="shared" si="353"/>
        <v>Lift 6</v>
      </c>
      <c r="AD354" t="b">
        <f t="shared" ca="1" si="349"/>
        <v>0</v>
      </c>
      <c r="AE354" s="1">
        <f t="shared" ca="1" si="303"/>
        <v>25</v>
      </c>
      <c r="AF354" t="str">
        <f t="shared" ca="1" si="347"/>
        <v>Plot 25</v>
      </c>
    </row>
    <row r="355" spans="28:32" x14ac:dyDescent="0.25">
      <c r="AB355" t="str">
        <f t="shared" ref="AB355:AC355" si="354">AB334</f>
        <v>Scaffolding Platform</v>
      </c>
      <c r="AC355" t="str">
        <f t="shared" si="354"/>
        <v>Ground Floor</v>
      </c>
      <c r="AD355" t="b">
        <f t="shared" ca="1" si="349"/>
        <v>1</v>
      </c>
      <c r="AE355" s="1">
        <f t="shared" ca="1" si="303"/>
        <v>25</v>
      </c>
      <c r="AF355" t="str">
        <f t="shared" ca="1" si="347"/>
        <v>Plot 25</v>
      </c>
    </row>
    <row r="356" spans="28:32" x14ac:dyDescent="0.25">
      <c r="AB356" t="str">
        <f t="shared" ref="AB356:AC356" si="355">AB335</f>
        <v>Scaffolding Platform</v>
      </c>
      <c r="AC356" t="str">
        <f t="shared" si="355"/>
        <v>First Floor</v>
      </c>
      <c r="AD356" t="b">
        <f t="shared" ca="1" si="349"/>
        <v>1</v>
      </c>
      <c r="AE356" s="1">
        <f t="shared" ca="1" si="303"/>
        <v>25</v>
      </c>
      <c r="AF356" t="str">
        <f t="shared" ca="1" si="347"/>
        <v>Plot 25</v>
      </c>
    </row>
    <row r="357" spans="28:32" x14ac:dyDescent="0.25">
      <c r="AB357" t="str">
        <f t="shared" ref="AB357:AC357" si="356">AB336</f>
        <v>Scaffolding Platform</v>
      </c>
      <c r="AC357" t="str">
        <f t="shared" si="356"/>
        <v>Second Floor</v>
      </c>
      <c r="AD357" t="b">
        <f t="shared" ca="1" si="349"/>
        <v>0</v>
      </c>
      <c r="AE357" s="1">
        <f t="shared" ca="1" si="303"/>
        <v>25</v>
      </c>
      <c r="AF357" t="str">
        <f t="shared" ca="1" si="347"/>
        <v>Plot 25</v>
      </c>
    </row>
    <row r="358" spans="28:32" x14ac:dyDescent="0.25">
      <c r="AB358" t="str">
        <f t="shared" ref="AB358:AC358" si="357">AB337</f>
        <v>Supporting Scaffold</v>
      </c>
      <c r="AC358" t="str">
        <f t="shared" si="357"/>
        <v>Ground Floor Prop.</v>
      </c>
      <c r="AD358" t="str">
        <f t="shared" ca="1" si="349"/>
        <v>TRUE</v>
      </c>
      <c r="AE358" s="1">
        <f t="shared" ca="1" si="303"/>
        <v>25</v>
      </c>
      <c r="AF358" t="str">
        <f t="shared" ca="1" si="347"/>
        <v>Plot 25</v>
      </c>
    </row>
    <row r="359" spans="28:32" x14ac:dyDescent="0.25">
      <c r="AB359" t="str">
        <f t="shared" ref="AB359:AC359" si="358">AB338</f>
        <v>Supporting Scaffold</v>
      </c>
      <c r="AC359" t="str">
        <f t="shared" si="358"/>
        <v>First Floor Prop.</v>
      </c>
      <c r="AD359" t="str">
        <f t="shared" ca="1" si="349"/>
        <v>FALSE</v>
      </c>
      <c r="AE359" s="1">
        <f t="shared" ca="1" si="303"/>
        <v>25</v>
      </c>
      <c r="AF359" t="str">
        <f t="shared" ca="1" si="347"/>
        <v>Plot 25</v>
      </c>
    </row>
    <row r="360" spans="28:32" x14ac:dyDescent="0.25">
      <c r="AB360" t="str">
        <f t="shared" ref="AB360:AC360" si="359">AB339</f>
        <v>Supporting Scaffold</v>
      </c>
      <c r="AC360" t="str">
        <f t="shared" si="359"/>
        <v>Second Floor Prop.</v>
      </c>
      <c r="AD360" t="str">
        <f t="shared" ca="1" si="349"/>
        <v>FALSE</v>
      </c>
      <c r="AE360" s="1">
        <f t="shared" ca="1" si="303"/>
        <v>25</v>
      </c>
      <c r="AF360" t="str">
        <f t="shared" ca="1" si="347"/>
        <v>Plot 25</v>
      </c>
    </row>
    <row r="361" spans="28:32" x14ac:dyDescent="0.25">
      <c r="AB361" t="str">
        <f t="shared" ref="AB361:AC361" si="360">AB340</f>
        <v>External Scaffolding</v>
      </c>
      <c r="AC361" t="str">
        <f t="shared" si="360"/>
        <v>Hop-ups</v>
      </c>
      <c r="AD361" t="b">
        <f t="shared" ca="1" si="349"/>
        <v>1</v>
      </c>
      <c r="AE361" s="1">
        <f t="shared" ca="1" si="303"/>
        <v>25</v>
      </c>
      <c r="AF361" t="str">
        <f t="shared" ca="1" si="347"/>
        <v>Plot 25</v>
      </c>
    </row>
    <row r="362" spans="28:32" x14ac:dyDescent="0.25">
      <c r="AB362" t="str">
        <f t="shared" ref="AB362:AC362" si="361">AB341</f>
        <v>External Scaffolding</v>
      </c>
      <c r="AC362" t="str">
        <f t="shared" si="361"/>
        <v>Adaptions</v>
      </c>
      <c r="AD362" t="b">
        <f t="shared" ca="1" si="349"/>
        <v>1</v>
      </c>
      <c r="AE362" s="1">
        <f t="shared" ca="1" si="303"/>
        <v>25</v>
      </c>
      <c r="AF362" t="str">
        <f t="shared" ca="1" si="347"/>
        <v>Plot 25</v>
      </c>
    </row>
    <row r="363" spans="28:32" x14ac:dyDescent="0.25">
      <c r="AB363" t="str">
        <f t="shared" ref="AB363:AC363" si="362">AB342</f>
        <v>External Scaffolding</v>
      </c>
      <c r="AC363" t="str">
        <f t="shared" si="362"/>
        <v>Adaption Tower</v>
      </c>
      <c r="AD363" t="b">
        <f t="shared" ca="1" si="349"/>
        <v>1</v>
      </c>
      <c r="AE363" s="1">
        <f t="shared" ca="1" si="303"/>
        <v>25</v>
      </c>
      <c r="AF363" t="str">
        <f t="shared" ca="1" si="347"/>
        <v>Plot 25</v>
      </c>
    </row>
    <row r="364" spans="28:32" x14ac:dyDescent="0.25">
      <c r="AB364" t="str">
        <f t="shared" ref="AB364:AC364" si="363">AB343</f>
        <v>External Scaffolding</v>
      </c>
      <c r="AC364" t="str">
        <f t="shared" si="363"/>
        <v>Lift 1</v>
      </c>
      <c r="AD364" t="b">
        <f t="shared" ca="1" si="349"/>
        <v>1</v>
      </c>
      <c r="AE364" s="1">
        <f t="shared" ca="1" si="303"/>
        <v>26</v>
      </c>
      <c r="AF364" t="str">
        <f t="shared" ca="1" si="347"/>
        <v>Plot 26</v>
      </c>
    </row>
    <row r="365" spans="28:32" x14ac:dyDescent="0.25">
      <c r="AB365" t="str">
        <f t="shared" ref="AB365:AC365" si="364">AB344</f>
        <v>External Scaffolding</v>
      </c>
      <c r="AC365" t="str">
        <f t="shared" si="364"/>
        <v>Lift 2</v>
      </c>
      <c r="AD365" t="b">
        <f t="shared" ca="1" si="349"/>
        <v>1</v>
      </c>
      <c r="AE365" s="1">
        <f t="shared" ca="1" si="303"/>
        <v>26</v>
      </c>
      <c r="AF365" t="str">
        <f t="shared" ca="1" si="347"/>
        <v>Plot 26</v>
      </c>
    </row>
    <row r="366" spans="28:32" x14ac:dyDescent="0.25">
      <c r="AB366" t="str">
        <f t="shared" ref="AB366:AC366" si="365">AB345</f>
        <v>External Scaffolding</v>
      </c>
      <c r="AC366" t="str">
        <f t="shared" si="365"/>
        <v>Lift 3</v>
      </c>
      <c r="AD366" t="b">
        <f t="shared" ca="1" si="349"/>
        <v>1</v>
      </c>
      <c r="AE366" s="1">
        <f t="shared" ca="1" si="303"/>
        <v>26</v>
      </c>
      <c r="AF366" t="str">
        <f t="shared" ca="1" si="347"/>
        <v>Plot 26</v>
      </c>
    </row>
    <row r="367" spans="28:32" x14ac:dyDescent="0.25">
      <c r="AB367" t="str">
        <f t="shared" ref="AB367:AC367" si="366">AB346</f>
        <v>External Scaffolding</v>
      </c>
      <c r="AC367" t="str">
        <f t="shared" si="366"/>
        <v>Lift 4</v>
      </c>
      <c r="AD367" t="b">
        <f t="shared" ca="1" si="349"/>
        <v>1</v>
      </c>
      <c r="AE367" s="1">
        <f t="shared" ca="1" si="303"/>
        <v>26</v>
      </c>
      <c r="AF367" t="str">
        <f t="shared" ca="1" si="347"/>
        <v>Plot 26</v>
      </c>
    </row>
    <row r="368" spans="28:32" x14ac:dyDescent="0.25">
      <c r="AB368" t="str">
        <f t="shared" ref="AB368:AC368" si="367">AB347</f>
        <v>External Scaffolding</v>
      </c>
      <c r="AC368" t="str">
        <f t="shared" si="367"/>
        <v>Lift 5</v>
      </c>
      <c r="AD368" t="b">
        <f t="shared" ca="1" si="349"/>
        <v>0</v>
      </c>
      <c r="AE368" s="1">
        <f t="shared" ca="1" si="303"/>
        <v>26</v>
      </c>
      <c r="AF368" t="str">
        <f t="shared" ca="1" si="347"/>
        <v>Plot 26</v>
      </c>
    </row>
    <row r="369" spans="28:32" x14ac:dyDescent="0.25">
      <c r="AB369" t="str">
        <f t="shared" ref="AB369:AC369" si="368">AB348</f>
        <v>External Scaffolding</v>
      </c>
      <c r="AC369" t="str">
        <f t="shared" si="368"/>
        <v>Lift 6</v>
      </c>
      <c r="AD369" t="b">
        <f t="shared" ca="1" si="349"/>
        <v>0</v>
      </c>
      <c r="AE369" s="1">
        <f t="shared" ca="1" si="303"/>
        <v>26</v>
      </c>
      <c r="AF369" t="str">
        <f t="shared" ca="1" si="347"/>
        <v>Plot 26</v>
      </c>
    </row>
    <row r="370" spans="28:32" x14ac:dyDescent="0.25">
      <c r="AB370" t="str">
        <f t="shared" ref="AB370:AC370" si="369">AB349</f>
        <v>Loading Bay</v>
      </c>
      <c r="AC370" t="str">
        <f t="shared" si="369"/>
        <v>Lift 1</v>
      </c>
      <c r="AD370" t="b">
        <f t="shared" ca="1" si="349"/>
        <v>1</v>
      </c>
      <c r="AE370" s="1">
        <f t="shared" ref="AE370:AE433" ca="1" si="370">OFFSET($AD$1,0,FLOOR(ROW(B342)/21,1))</f>
        <v>26</v>
      </c>
      <c r="AF370" t="str">
        <f t="shared" ca="1" si="347"/>
        <v>Plot 26</v>
      </c>
    </row>
    <row r="371" spans="28:32" x14ac:dyDescent="0.25">
      <c r="AB371" t="str">
        <f t="shared" ref="AB371:AC371" si="371">AB350</f>
        <v>Loading Bay</v>
      </c>
      <c r="AC371" t="str">
        <f t="shared" si="371"/>
        <v>Lift 2</v>
      </c>
      <c r="AD371" t="b">
        <f t="shared" ca="1" si="349"/>
        <v>1</v>
      </c>
      <c r="AE371" s="1">
        <f t="shared" ca="1" si="370"/>
        <v>26</v>
      </c>
      <c r="AF371" t="str">
        <f t="shared" ca="1" si="347"/>
        <v>Plot 26</v>
      </c>
    </row>
    <row r="372" spans="28:32" x14ac:dyDescent="0.25">
      <c r="AB372" t="str">
        <f t="shared" ref="AB372:AC372" si="372">AB351</f>
        <v>Loading Bay</v>
      </c>
      <c r="AC372" t="str">
        <f t="shared" si="372"/>
        <v>Lift 3</v>
      </c>
      <c r="AD372" t="b">
        <f t="shared" ca="1" si="349"/>
        <v>1</v>
      </c>
      <c r="AE372" s="1">
        <f t="shared" ca="1" si="370"/>
        <v>26</v>
      </c>
      <c r="AF372" t="str">
        <f t="shared" ca="1" si="347"/>
        <v>Plot 26</v>
      </c>
    </row>
    <row r="373" spans="28:32" x14ac:dyDescent="0.25">
      <c r="AB373" t="str">
        <f t="shared" ref="AB373:AC373" si="373">AB352</f>
        <v>Loading Bay</v>
      </c>
      <c r="AC373" t="str">
        <f t="shared" si="373"/>
        <v>Lift 4</v>
      </c>
      <c r="AD373" t="b">
        <f t="shared" ca="1" si="349"/>
        <v>1</v>
      </c>
      <c r="AE373" s="1">
        <f t="shared" ca="1" si="370"/>
        <v>26</v>
      </c>
      <c r="AF373" t="str">
        <f t="shared" ca="1" si="347"/>
        <v>Plot 26</v>
      </c>
    </row>
    <row r="374" spans="28:32" x14ac:dyDescent="0.25">
      <c r="AB374" t="str">
        <f t="shared" ref="AB374:AC374" si="374">AB353</f>
        <v>Loading Bay</v>
      </c>
      <c r="AC374" t="str">
        <f t="shared" si="374"/>
        <v>Lift 5</v>
      </c>
      <c r="AD374" t="b">
        <f t="shared" ca="1" si="349"/>
        <v>0</v>
      </c>
      <c r="AE374" s="1">
        <f t="shared" ca="1" si="370"/>
        <v>26</v>
      </c>
      <c r="AF374" t="str">
        <f t="shared" ca="1" si="347"/>
        <v>Plot 26</v>
      </c>
    </row>
    <row r="375" spans="28:32" x14ac:dyDescent="0.25">
      <c r="AB375" t="str">
        <f t="shared" ref="AB375:AC375" si="375">AB354</f>
        <v>Loading Bay</v>
      </c>
      <c r="AC375" t="str">
        <f t="shared" si="375"/>
        <v>Lift 6</v>
      </c>
      <c r="AD375" t="b">
        <f t="shared" ca="1" si="349"/>
        <v>0</v>
      </c>
      <c r="AE375" s="1">
        <f t="shared" ca="1" si="370"/>
        <v>26</v>
      </c>
      <c r="AF375" t="str">
        <f t="shared" ca="1" si="347"/>
        <v>Plot 26</v>
      </c>
    </row>
    <row r="376" spans="28:32" x14ac:dyDescent="0.25">
      <c r="AB376" t="str">
        <f t="shared" ref="AB376:AC376" si="376">AB355</f>
        <v>Scaffolding Platform</v>
      </c>
      <c r="AC376" t="str">
        <f t="shared" si="376"/>
        <v>Ground Floor</v>
      </c>
      <c r="AD376" t="b">
        <f t="shared" ca="1" si="349"/>
        <v>1</v>
      </c>
      <c r="AE376" s="1">
        <f t="shared" ca="1" si="370"/>
        <v>26</v>
      </c>
      <c r="AF376" t="str">
        <f t="shared" ca="1" si="347"/>
        <v>Plot 26</v>
      </c>
    </row>
    <row r="377" spans="28:32" x14ac:dyDescent="0.25">
      <c r="AB377" t="str">
        <f t="shared" ref="AB377:AC377" si="377">AB356</f>
        <v>Scaffolding Platform</v>
      </c>
      <c r="AC377" t="str">
        <f t="shared" si="377"/>
        <v>First Floor</v>
      </c>
      <c r="AD377" t="b">
        <f t="shared" ca="1" si="349"/>
        <v>1</v>
      </c>
      <c r="AE377" s="1">
        <f t="shared" ca="1" si="370"/>
        <v>26</v>
      </c>
      <c r="AF377" t="str">
        <f t="shared" ca="1" si="347"/>
        <v>Plot 26</v>
      </c>
    </row>
    <row r="378" spans="28:32" x14ac:dyDescent="0.25">
      <c r="AB378" t="str">
        <f t="shared" ref="AB378:AC378" si="378">AB357</f>
        <v>Scaffolding Platform</v>
      </c>
      <c r="AC378" t="str">
        <f t="shared" si="378"/>
        <v>Second Floor</v>
      </c>
      <c r="AD378" t="b">
        <f t="shared" ca="1" si="349"/>
        <v>1</v>
      </c>
      <c r="AE378" s="1">
        <f t="shared" ca="1" si="370"/>
        <v>26</v>
      </c>
      <c r="AF378" t="str">
        <f t="shared" ca="1" si="347"/>
        <v>Plot 26</v>
      </c>
    </row>
    <row r="379" spans="28:32" x14ac:dyDescent="0.25">
      <c r="AB379" t="str">
        <f t="shared" ref="AB379:AC379" si="379">AB358</f>
        <v>Supporting Scaffold</v>
      </c>
      <c r="AC379" t="str">
        <f t="shared" si="379"/>
        <v>Ground Floor Prop.</v>
      </c>
      <c r="AD379" t="str">
        <f t="shared" ca="1" si="349"/>
        <v>TRUE</v>
      </c>
      <c r="AE379" s="1">
        <f t="shared" ca="1" si="370"/>
        <v>26</v>
      </c>
      <c r="AF379" t="str">
        <f t="shared" ca="1" si="347"/>
        <v>Plot 26</v>
      </c>
    </row>
    <row r="380" spans="28:32" x14ac:dyDescent="0.25">
      <c r="AB380" t="str">
        <f t="shared" ref="AB380:AC380" si="380">AB359</f>
        <v>Supporting Scaffold</v>
      </c>
      <c r="AC380" t="str">
        <f t="shared" si="380"/>
        <v>First Floor Prop.</v>
      </c>
      <c r="AD380" t="str">
        <f t="shared" ca="1" si="349"/>
        <v>TRUE</v>
      </c>
      <c r="AE380" s="1">
        <f t="shared" ca="1" si="370"/>
        <v>26</v>
      </c>
      <c r="AF380" t="str">
        <f t="shared" ca="1" si="347"/>
        <v>Plot 26</v>
      </c>
    </row>
    <row r="381" spans="28:32" x14ac:dyDescent="0.25">
      <c r="AB381" t="str">
        <f t="shared" ref="AB381:AC381" si="381">AB360</f>
        <v>Supporting Scaffold</v>
      </c>
      <c r="AC381" t="str">
        <f t="shared" si="381"/>
        <v>Second Floor Prop.</v>
      </c>
      <c r="AD381" t="str">
        <f t="shared" ca="1" si="349"/>
        <v>FALSE</v>
      </c>
      <c r="AE381" s="1">
        <f t="shared" ca="1" si="370"/>
        <v>26</v>
      </c>
      <c r="AF381" t="str">
        <f t="shared" ca="1" si="347"/>
        <v>Plot 26</v>
      </c>
    </row>
    <row r="382" spans="28:32" x14ac:dyDescent="0.25">
      <c r="AB382" t="str">
        <f t="shared" ref="AB382:AC382" si="382">AB361</f>
        <v>External Scaffolding</v>
      </c>
      <c r="AC382" t="str">
        <f t="shared" si="382"/>
        <v>Hop-ups</v>
      </c>
      <c r="AD382" t="b">
        <f t="shared" ca="1" si="349"/>
        <v>1</v>
      </c>
      <c r="AE382" s="1">
        <f t="shared" ca="1" si="370"/>
        <v>26</v>
      </c>
      <c r="AF382" t="str">
        <f t="shared" ca="1" si="347"/>
        <v>Plot 26</v>
      </c>
    </row>
    <row r="383" spans="28:32" x14ac:dyDescent="0.25">
      <c r="AB383" t="str">
        <f t="shared" ref="AB383:AC383" si="383">AB362</f>
        <v>External Scaffolding</v>
      </c>
      <c r="AC383" t="str">
        <f t="shared" si="383"/>
        <v>Adaptions</v>
      </c>
      <c r="AD383" t="b">
        <f t="shared" ca="1" si="349"/>
        <v>1</v>
      </c>
      <c r="AE383" s="1">
        <f t="shared" ca="1" si="370"/>
        <v>26</v>
      </c>
      <c r="AF383" t="str">
        <f t="shared" ca="1" si="347"/>
        <v>Plot 26</v>
      </c>
    </row>
    <row r="384" spans="28:32" x14ac:dyDescent="0.25">
      <c r="AB384" t="str">
        <f t="shared" ref="AB384:AC384" si="384">AB363</f>
        <v>External Scaffolding</v>
      </c>
      <c r="AC384" t="str">
        <f t="shared" si="384"/>
        <v>Adaption Tower</v>
      </c>
      <c r="AD384" t="b">
        <f t="shared" ca="1" si="349"/>
        <v>1</v>
      </c>
      <c r="AE384" s="1">
        <f t="shared" ca="1" si="370"/>
        <v>26</v>
      </c>
      <c r="AF384" t="str">
        <f t="shared" ca="1" si="347"/>
        <v>Plot 26</v>
      </c>
    </row>
    <row r="385" spans="28:32" x14ac:dyDescent="0.25">
      <c r="AB385" t="str">
        <f t="shared" ref="AB385:AC385" si="385">AB364</f>
        <v>External Scaffolding</v>
      </c>
      <c r="AC385" t="str">
        <f t="shared" si="385"/>
        <v>Lift 1</v>
      </c>
      <c r="AD385" t="b">
        <f t="shared" ca="1" si="349"/>
        <v>1</v>
      </c>
      <c r="AE385" s="1">
        <f t="shared" ca="1" si="370"/>
        <v>27</v>
      </c>
      <c r="AF385" t="str">
        <f t="shared" ca="1" si="347"/>
        <v>Plot 27</v>
      </c>
    </row>
    <row r="386" spans="28:32" x14ac:dyDescent="0.25">
      <c r="AB386" t="str">
        <f t="shared" ref="AB386:AC386" si="386">AB365</f>
        <v>External Scaffolding</v>
      </c>
      <c r="AC386" t="str">
        <f t="shared" si="386"/>
        <v>Lift 2</v>
      </c>
      <c r="AD386" t="b">
        <f t="shared" ca="1" si="349"/>
        <v>1</v>
      </c>
      <c r="AE386" s="1">
        <f t="shared" ca="1" si="370"/>
        <v>27</v>
      </c>
      <c r="AF386" t="str">
        <f t="shared" ca="1" si="347"/>
        <v>Plot 27</v>
      </c>
    </row>
    <row r="387" spans="28:32" x14ac:dyDescent="0.25">
      <c r="AB387" t="str">
        <f t="shared" ref="AB387:AC387" si="387">AB366</f>
        <v>External Scaffolding</v>
      </c>
      <c r="AC387" t="str">
        <f t="shared" si="387"/>
        <v>Lift 3</v>
      </c>
      <c r="AD387" t="b">
        <f t="shared" ca="1" si="349"/>
        <v>1</v>
      </c>
      <c r="AE387" s="1">
        <f t="shared" ca="1" si="370"/>
        <v>27</v>
      </c>
      <c r="AF387" t="str">
        <f t="shared" ca="1" si="347"/>
        <v>Plot 27</v>
      </c>
    </row>
    <row r="388" spans="28:32" x14ac:dyDescent="0.25">
      <c r="AB388" t="str">
        <f t="shared" ref="AB388:AC388" si="388">AB367</f>
        <v>External Scaffolding</v>
      </c>
      <c r="AC388" t="str">
        <f t="shared" si="388"/>
        <v>Lift 4</v>
      </c>
      <c r="AD388" t="b">
        <f t="shared" ca="1" si="349"/>
        <v>0</v>
      </c>
      <c r="AE388" s="1">
        <f t="shared" ca="1" si="370"/>
        <v>27</v>
      </c>
      <c r="AF388" t="str">
        <f t="shared" ca="1" si="347"/>
        <v>Plot 27</v>
      </c>
    </row>
    <row r="389" spans="28:32" x14ac:dyDescent="0.25">
      <c r="AB389" t="str">
        <f t="shared" ref="AB389:AC389" si="389">AB368</f>
        <v>External Scaffolding</v>
      </c>
      <c r="AC389" t="str">
        <f t="shared" si="389"/>
        <v>Lift 5</v>
      </c>
      <c r="AD389" t="b">
        <f t="shared" ca="1" si="349"/>
        <v>0</v>
      </c>
      <c r="AE389" s="1">
        <f t="shared" ca="1" si="370"/>
        <v>27</v>
      </c>
      <c r="AF389" t="str">
        <f t="shared" ca="1" si="347"/>
        <v>Plot 27</v>
      </c>
    </row>
    <row r="390" spans="28:32" x14ac:dyDescent="0.25">
      <c r="AB390" t="str">
        <f t="shared" ref="AB390:AC390" si="390">AB369</f>
        <v>External Scaffolding</v>
      </c>
      <c r="AC390" t="str">
        <f t="shared" si="390"/>
        <v>Lift 6</v>
      </c>
      <c r="AD390" t="b">
        <f t="shared" ca="1" si="349"/>
        <v>0</v>
      </c>
      <c r="AE390" s="1">
        <f t="shared" ca="1" si="370"/>
        <v>27</v>
      </c>
      <c r="AF390" t="str">
        <f t="shared" ca="1" si="347"/>
        <v>Plot 27</v>
      </c>
    </row>
    <row r="391" spans="28:32" x14ac:dyDescent="0.25">
      <c r="AB391" t="str">
        <f t="shared" ref="AB391:AC391" si="391">AB370</f>
        <v>Loading Bay</v>
      </c>
      <c r="AC391" t="str">
        <f t="shared" si="391"/>
        <v>Lift 1</v>
      </c>
      <c r="AD391" t="b">
        <f t="shared" ca="1" si="349"/>
        <v>1</v>
      </c>
      <c r="AE391" s="1">
        <f t="shared" ca="1" si="370"/>
        <v>27</v>
      </c>
      <c r="AF391" t="str">
        <f t="shared" ca="1" si="347"/>
        <v>Plot 27</v>
      </c>
    </row>
    <row r="392" spans="28:32" x14ac:dyDescent="0.25">
      <c r="AB392" t="str">
        <f t="shared" ref="AB392:AC392" si="392">AB371</f>
        <v>Loading Bay</v>
      </c>
      <c r="AC392" t="str">
        <f t="shared" si="392"/>
        <v>Lift 2</v>
      </c>
      <c r="AD392" t="b">
        <f t="shared" ca="1" si="349"/>
        <v>1</v>
      </c>
      <c r="AE392" s="1">
        <f t="shared" ca="1" si="370"/>
        <v>27</v>
      </c>
      <c r="AF392" t="str">
        <f t="shared" ca="1" si="347"/>
        <v>Plot 27</v>
      </c>
    </row>
    <row r="393" spans="28:32" x14ac:dyDescent="0.25">
      <c r="AB393" t="str">
        <f t="shared" ref="AB393:AC393" si="393">AB372</f>
        <v>Loading Bay</v>
      </c>
      <c r="AC393" t="str">
        <f t="shared" si="393"/>
        <v>Lift 3</v>
      </c>
      <c r="AD393" t="b">
        <f t="shared" ca="1" si="349"/>
        <v>1</v>
      </c>
      <c r="AE393" s="1">
        <f t="shared" ca="1" si="370"/>
        <v>27</v>
      </c>
      <c r="AF393" t="str">
        <f t="shared" ca="1" si="347"/>
        <v>Plot 27</v>
      </c>
    </row>
    <row r="394" spans="28:32" x14ac:dyDescent="0.25">
      <c r="AB394" t="str">
        <f t="shared" ref="AB394:AC394" si="394">AB373</f>
        <v>Loading Bay</v>
      </c>
      <c r="AC394" t="str">
        <f t="shared" si="394"/>
        <v>Lift 4</v>
      </c>
      <c r="AD394" t="b">
        <f t="shared" ca="1" si="349"/>
        <v>0</v>
      </c>
      <c r="AE394" s="1">
        <f t="shared" ca="1" si="370"/>
        <v>27</v>
      </c>
      <c r="AF394" t="str">
        <f t="shared" ca="1" si="347"/>
        <v>Plot 27</v>
      </c>
    </row>
    <row r="395" spans="28:32" x14ac:dyDescent="0.25">
      <c r="AB395" t="str">
        <f t="shared" ref="AB395:AC395" si="395">AB374</f>
        <v>Loading Bay</v>
      </c>
      <c r="AC395" t="str">
        <f t="shared" si="395"/>
        <v>Lift 5</v>
      </c>
      <c r="AD395" t="b">
        <f t="shared" ca="1" si="349"/>
        <v>0</v>
      </c>
      <c r="AE395" s="1">
        <f t="shared" ca="1" si="370"/>
        <v>27</v>
      </c>
      <c r="AF395" t="str">
        <f t="shared" ca="1" si="347"/>
        <v>Plot 27</v>
      </c>
    </row>
    <row r="396" spans="28:32" x14ac:dyDescent="0.25">
      <c r="AB396" t="str">
        <f t="shared" ref="AB396:AC396" si="396">AB375</f>
        <v>Loading Bay</v>
      </c>
      <c r="AC396" t="str">
        <f t="shared" si="396"/>
        <v>Lift 6</v>
      </c>
      <c r="AD396" t="b">
        <f t="shared" ca="1" si="349"/>
        <v>0</v>
      </c>
      <c r="AE396" s="1">
        <f t="shared" ca="1" si="370"/>
        <v>27</v>
      </c>
      <c r="AF396" t="str">
        <f t="shared" ca="1" si="347"/>
        <v>Plot 27</v>
      </c>
    </row>
    <row r="397" spans="28:32" x14ac:dyDescent="0.25">
      <c r="AB397" t="str">
        <f t="shared" ref="AB397:AC397" si="397">AB376</f>
        <v>Scaffolding Platform</v>
      </c>
      <c r="AC397" t="str">
        <f t="shared" si="397"/>
        <v>Ground Floor</v>
      </c>
      <c r="AD397" t="b">
        <f t="shared" ca="1" si="349"/>
        <v>1</v>
      </c>
      <c r="AE397" s="1">
        <f t="shared" ca="1" si="370"/>
        <v>27</v>
      </c>
      <c r="AF397" t="str">
        <f t="shared" ca="1" si="347"/>
        <v>Plot 27</v>
      </c>
    </row>
    <row r="398" spans="28:32" x14ac:dyDescent="0.25">
      <c r="AB398" t="str">
        <f t="shared" ref="AB398:AC398" si="398">AB377</f>
        <v>Scaffolding Platform</v>
      </c>
      <c r="AC398" t="str">
        <f t="shared" si="398"/>
        <v>First Floor</v>
      </c>
      <c r="AD398" t="b">
        <f t="shared" ca="1" si="349"/>
        <v>1</v>
      </c>
      <c r="AE398" s="1">
        <f t="shared" ca="1" si="370"/>
        <v>27</v>
      </c>
      <c r="AF398" t="str">
        <f t="shared" ca="1" si="347"/>
        <v>Plot 27</v>
      </c>
    </row>
    <row r="399" spans="28:32" x14ac:dyDescent="0.25">
      <c r="AB399" t="str">
        <f t="shared" ref="AB399:AC399" si="399">AB378</f>
        <v>Scaffolding Platform</v>
      </c>
      <c r="AC399" t="str">
        <f t="shared" si="399"/>
        <v>Second Floor</v>
      </c>
      <c r="AD399" t="b">
        <f t="shared" ca="1" si="349"/>
        <v>0</v>
      </c>
      <c r="AE399" s="1">
        <f t="shared" ca="1" si="370"/>
        <v>27</v>
      </c>
      <c r="AF399" t="str">
        <f t="shared" ca="1" si="347"/>
        <v>Plot 27</v>
      </c>
    </row>
    <row r="400" spans="28:32" x14ac:dyDescent="0.25">
      <c r="AB400" t="str">
        <f t="shared" ref="AB400:AC400" si="400">AB379</f>
        <v>Supporting Scaffold</v>
      </c>
      <c r="AC400" t="str">
        <f t="shared" si="400"/>
        <v>Ground Floor Prop.</v>
      </c>
      <c r="AD400" t="str">
        <f t="shared" ca="1" si="349"/>
        <v>TRUE</v>
      </c>
      <c r="AE400" s="1">
        <f t="shared" ca="1" si="370"/>
        <v>27</v>
      </c>
      <c r="AF400" t="str">
        <f t="shared" ca="1" si="347"/>
        <v>Plot 27</v>
      </c>
    </row>
    <row r="401" spans="28:32" x14ac:dyDescent="0.25">
      <c r="AB401" t="str">
        <f t="shared" ref="AB401:AC401" si="401">AB380</f>
        <v>Supporting Scaffold</v>
      </c>
      <c r="AC401" t="str">
        <f t="shared" si="401"/>
        <v>First Floor Prop.</v>
      </c>
      <c r="AD401" t="str">
        <f t="shared" ca="1" si="349"/>
        <v>FALSE</v>
      </c>
      <c r="AE401" s="1">
        <f t="shared" ca="1" si="370"/>
        <v>27</v>
      </c>
      <c r="AF401" t="str">
        <f t="shared" ca="1" si="347"/>
        <v>Plot 27</v>
      </c>
    </row>
    <row r="402" spans="28:32" x14ac:dyDescent="0.25">
      <c r="AB402" t="str">
        <f t="shared" ref="AB402:AC402" si="402">AB381</f>
        <v>Supporting Scaffold</v>
      </c>
      <c r="AC402" t="str">
        <f t="shared" si="402"/>
        <v>Second Floor Prop.</v>
      </c>
      <c r="AD402" t="str">
        <f t="shared" ca="1" si="349"/>
        <v>FALSE</v>
      </c>
      <c r="AE402" s="1">
        <f t="shared" ca="1" si="370"/>
        <v>27</v>
      </c>
      <c r="AF402" t="str">
        <f t="shared" ca="1" si="347"/>
        <v>Plot 27</v>
      </c>
    </row>
    <row r="403" spans="28:32" x14ac:dyDescent="0.25">
      <c r="AB403" t="str">
        <f t="shared" ref="AB403:AC403" si="403">AB382</f>
        <v>External Scaffolding</v>
      </c>
      <c r="AC403" t="str">
        <f t="shared" si="403"/>
        <v>Hop-ups</v>
      </c>
      <c r="AD403" t="b">
        <f t="shared" ca="1" si="349"/>
        <v>1</v>
      </c>
      <c r="AE403" s="1">
        <f t="shared" ca="1" si="370"/>
        <v>27</v>
      </c>
      <c r="AF403" t="str">
        <f t="shared" ca="1" si="347"/>
        <v>Plot 27</v>
      </c>
    </row>
    <row r="404" spans="28:32" x14ac:dyDescent="0.25">
      <c r="AB404" t="str">
        <f t="shared" ref="AB404:AC404" si="404">AB383</f>
        <v>External Scaffolding</v>
      </c>
      <c r="AC404" t="str">
        <f t="shared" si="404"/>
        <v>Adaptions</v>
      </c>
      <c r="AD404" t="b">
        <f t="shared" ca="1" si="349"/>
        <v>1</v>
      </c>
      <c r="AE404" s="1">
        <f t="shared" ca="1" si="370"/>
        <v>27</v>
      </c>
      <c r="AF404" t="str">
        <f t="shared" ca="1" si="347"/>
        <v>Plot 27</v>
      </c>
    </row>
    <row r="405" spans="28:32" x14ac:dyDescent="0.25">
      <c r="AB405" t="str">
        <f t="shared" ref="AB405:AC405" si="405">AB384</f>
        <v>External Scaffolding</v>
      </c>
      <c r="AC405" t="str">
        <f t="shared" si="405"/>
        <v>Adaption Tower</v>
      </c>
      <c r="AD405" t="b">
        <f t="shared" ca="1" si="349"/>
        <v>1</v>
      </c>
      <c r="AE405" s="1">
        <f t="shared" ca="1" si="370"/>
        <v>27</v>
      </c>
      <c r="AF405" t="str">
        <f t="shared" ca="1" si="347"/>
        <v>Plot 27</v>
      </c>
    </row>
    <row r="406" spans="28:32" x14ac:dyDescent="0.25">
      <c r="AB406" t="str">
        <f t="shared" ref="AB406:AC406" si="406">AB385</f>
        <v>External Scaffolding</v>
      </c>
      <c r="AC406" t="str">
        <f t="shared" si="406"/>
        <v>Lift 1</v>
      </c>
      <c r="AD406" t="b">
        <f t="shared" ca="1" si="349"/>
        <v>1</v>
      </c>
      <c r="AE406" s="1">
        <f t="shared" ca="1" si="370"/>
        <v>28</v>
      </c>
      <c r="AF406" t="str">
        <f t="shared" ca="1" si="347"/>
        <v>Plot 28</v>
      </c>
    </row>
    <row r="407" spans="28:32" x14ac:dyDescent="0.25">
      <c r="AB407" t="str">
        <f t="shared" ref="AB407:AC407" si="407">AB386</f>
        <v>External Scaffolding</v>
      </c>
      <c r="AC407" t="str">
        <f t="shared" si="407"/>
        <v>Lift 2</v>
      </c>
      <c r="AD407" t="b">
        <f t="shared" ca="1" si="349"/>
        <v>1</v>
      </c>
      <c r="AE407" s="1">
        <f t="shared" ca="1" si="370"/>
        <v>28</v>
      </c>
      <c r="AF407" t="str">
        <f t="shared" ca="1" si="347"/>
        <v>Plot 28</v>
      </c>
    </row>
    <row r="408" spans="28:32" x14ac:dyDescent="0.25">
      <c r="AB408" t="str">
        <f t="shared" ref="AB408:AC408" si="408">AB387</f>
        <v>External Scaffolding</v>
      </c>
      <c r="AC408" t="str">
        <f t="shared" si="408"/>
        <v>Lift 3</v>
      </c>
      <c r="AD408" t="b">
        <f t="shared" ca="1" si="349"/>
        <v>1</v>
      </c>
      <c r="AE408" s="1">
        <f t="shared" ca="1" si="370"/>
        <v>28</v>
      </c>
      <c r="AF408" t="str">
        <f t="shared" ca="1" si="347"/>
        <v>Plot 28</v>
      </c>
    </row>
    <row r="409" spans="28:32" x14ac:dyDescent="0.25">
      <c r="AB409" t="str">
        <f t="shared" ref="AB409:AC409" si="409">AB388</f>
        <v>External Scaffolding</v>
      </c>
      <c r="AC409" t="str">
        <f t="shared" si="409"/>
        <v>Lift 4</v>
      </c>
      <c r="AD409" t="b">
        <f t="shared" ca="1" si="349"/>
        <v>1</v>
      </c>
      <c r="AE409" s="1">
        <f t="shared" ca="1" si="370"/>
        <v>28</v>
      </c>
      <c r="AF409" t="str">
        <f t="shared" ca="1" si="347"/>
        <v>Plot 28</v>
      </c>
    </row>
    <row r="410" spans="28:32" x14ac:dyDescent="0.25">
      <c r="AB410" t="str">
        <f t="shared" ref="AB410:AC410" si="410">AB389</f>
        <v>External Scaffolding</v>
      </c>
      <c r="AC410" t="str">
        <f t="shared" si="410"/>
        <v>Lift 5</v>
      </c>
      <c r="AD410" t="b">
        <f t="shared" ca="1" si="349"/>
        <v>0</v>
      </c>
      <c r="AE410" s="1">
        <f t="shared" ca="1" si="370"/>
        <v>28</v>
      </c>
      <c r="AF410" t="str">
        <f t="shared" ca="1" si="347"/>
        <v>Plot 28</v>
      </c>
    </row>
    <row r="411" spans="28:32" x14ac:dyDescent="0.25">
      <c r="AB411" t="str">
        <f t="shared" ref="AB411:AC411" si="411">AB390</f>
        <v>External Scaffolding</v>
      </c>
      <c r="AC411" t="str">
        <f t="shared" si="411"/>
        <v>Lift 6</v>
      </c>
      <c r="AD411" t="b">
        <f t="shared" ca="1" si="349"/>
        <v>0</v>
      </c>
      <c r="AE411" s="1">
        <f t="shared" ca="1" si="370"/>
        <v>28</v>
      </c>
      <c r="AF411" t="str">
        <f t="shared" ca="1" si="347"/>
        <v>Plot 28</v>
      </c>
    </row>
    <row r="412" spans="28:32" x14ac:dyDescent="0.25">
      <c r="AB412" t="str">
        <f t="shared" ref="AB412:AC412" si="412">AB391</f>
        <v>Loading Bay</v>
      </c>
      <c r="AC412" t="str">
        <f t="shared" si="412"/>
        <v>Lift 1</v>
      </c>
      <c r="AD412" t="b">
        <f t="shared" ca="1" si="349"/>
        <v>1</v>
      </c>
      <c r="AE412" s="1">
        <f t="shared" ca="1" si="370"/>
        <v>28</v>
      </c>
      <c r="AF412" t="str">
        <f t="shared" ca="1" si="347"/>
        <v>Plot 28</v>
      </c>
    </row>
    <row r="413" spans="28:32" x14ac:dyDescent="0.25">
      <c r="AB413" t="str">
        <f t="shared" ref="AB413:AC413" si="413">AB392</f>
        <v>Loading Bay</v>
      </c>
      <c r="AC413" t="str">
        <f t="shared" si="413"/>
        <v>Lift 2</v>
      </c>
      <c r="AD413" t="b">
        <f t="shared" ca="1" si="349"/>
        <v>1</v>
      </c>
      <c r="AE413" s="1">
        <f t="shared" ca="1" si="370"/>
        <v>28</v>
      </c>
      <c r="AF413" t="str">
        <f t="shared" ref="AF413:AF476" ca="1" si="414">IF(LEFT(AE413,1)="G",AE413,"Plot "&amp;AE413)</f>
        <v>Plot 28</v>
      </c>
    </row>
    <row r="414" spans="28:32" x14ac:dyDescent="0.25">
      <c r="AB414" t="str">
        <f t="shared" ref="AB414:AC414" si="415">AB393</f>
        <v>Loading Bay</v>
      </c>
      <c r="AC414" t="str">
        <f t="shared" si="415"/>
        <v>Lift 3</v>
      </c>
      <c r="AD414" t="b">
        <f t="shared" ref="AD414:AD477" ca="1" si="416">INDEX($AC$1:$JH$22,MATCH(AC414,$AC$1:$AC$22,0),MATCH(AE414,$AC$1:$JH$1,0))</f>
        <v>1</v>
      </c>
      <c r="AE414" s="1">
        <f t="shared" ca="1" si="370"/>
        <v>28</v>
      </c>
      <c r="AF414" t="str">
        <f t="shared" ca="1" si="414"/>
        <v>Plot 28</v>
      </c>
    </row>
    <row r="415" spans="28:32" x14ac:dyDescent="0.25">
      <c r="AB415" t="str">
        <f t="shared" ref="AB415:AC415" si="417">AB394</f>
        <v>Loading Bay</v>
      </c>
      <c r="AC415" t="str">
        <f t="shared" si="417"/>
        <v>Lift 4</v>
      </c>
      <c r="AD415" t="b">
        <f t="shared" ca="1" si="416"/>
        <v>1</v>
      </c>
      <c r="AE415" s="1">
        <f t="shared" ca="1" si="370"/>
        <v>28</v>
      </c>
      <c r="AF415" t="str">
        <f t="shared" ca="1" si="414"/>
        <v>Plot 28</v>
      </c>
    </row>
    <row r="416" spans="28:32" x14ac:dyDescent="0.25">
      <c r="AB416" t="str">
        <f t="shared" ref="AB416:AC416" si="418">AB395</f>
        <v>Loading Bay</v>
      </c>
      <c r="AC416" t="str">
        <f t="shared" si="418"/>
        <v>Lift 5</v>
      </c>
      <c r="AD416" t="b">
        <f t="shared" ca="1" si="416"/>
        <v>0</v>
      </c>
      <c r="AE416" s="1">
        <f t="shared" ca="1" si="370"/>
        <v>28</v>
      </c>
      <c r="AF416" t="str">
        <f t="shared" ca="1" si="414"/>
        <v>Plot 28</v>
      </c>
    </row>
    <row r="417" spans="28:32" x14ac:dyDescent="0.25">
      <c r="AB417" t="str">
        <f t="shared" ref="AB417:AC417" si="419">AB396</f>
        <v>Loading Bay</v>
      </c>
      <c r="AC417" t="str">
        <f t="shared" si="419"/>
        <v>Lift 6</v>
      </c>
      <c r="AD417" t="b">
        <f t="shared" ca="1" si="416"/>
        <v>0</v>
      </c>
      <c r="AE417" s="1">
        <f t="shared" ca="1" si="370"/>
        <v>28</v>
      </c>
      <c r="AF417" t="str">
        <f t="shared" ca="1" si="414"/>
        <v>Plot 28</v>
      </c>
    </row>
    <row r="418" spans="28:32" x14ac:dyDescent="0.25">
      <c r="AB418" t="str">
        <f t="shared" ref="AB418:AC418" si="420">AB397</f>
        <v>Scaffolding Platform</v>
      </c>
      <c r="AC418" t="str">
        <f t="shared" si="420"/>
        <v>Ground Floor</v>
      </c>
      <c r="AD418" t="b">
        <f t="shared" ca="1" si="416"/>
        <v>1</v>
      </c>
      <c r="AE418" s="1">
        <f t="shared" ca="1" si="370"/>
        <v>28</v>
      </c>
      <c r="AF418" t="str">
        <f t="shared" ca="1" si="414"/>
        <v>Plot 28</v>
      </c>
    </row>
    <row r="419" spans="28:32" x14ac:dyDescent="0.25">
      <c r="AB419" t="str">
        <f t="shared" ref="AB419:AC419" si="421">AB398</f>
        <v>Scaffolding Platform</v>
      </c>
      <c r="AC419" t="str">
        <f t="shared" si="421"/>
        <v>First Floor</v>
      </c>
      <c r="AD419" t="b">
        <f t="shared" ca="1" si="416"/>
        <v>1</v>
      </c>
      <c r="AE419" s="1">
        <f t="shared" ca="1" si="370"/>
        <v>28</v>
      </c>
      <c r="AF419" t="str">
        <f t="shared" ca="1" si="414"/>
        <v>Plot 28</v>
      </c>
    </row>
    <row r="420" spans="28:32" x14ac:dyDescent="0.25">
      <c r="AB420" t="str">
        <f t="shared" ref="AB420:AC420" si="422">AB399</f>
        <v>Scaffolding Platform</v>
      </c>
      <c r="AC420" t="str">
        <f t="shared" si="422"/>
        <v>Second Floor</v>
      </c>
      <c r="AD420" t="b">
        <f t="shared" ca="1" si="416"/>
        <v>1</v>
      </c>
      <c r="AE420" s="1">
        <f t="shared" ca="1" si="370"/>
        <v>28</v>
      </c>
      <c r="AF420" t="str">
        <f t="shared" ca="1" si="414"/>
        <v>Plot 28</v>
      </c>
    </row>
    <row r="421" spans="28:32" x14ac:dyDescent="0.25">
      <c r="AB421" t="str">
        <f t="shared" ref="AB421:AC421" si="423">AB400</f>
        <v>Supporting Scaffold</v>
      </c>
      <c r="AC421" t="str">
        <f t="shared" si="423"/>
        <v>Ground Floor Prop.</v>
      </c>
      <c r="AD421" t="str">
        <f t="shared" ca="1" si="416"/>
        <v>TRUE</v>
      </c>
      <c r="AE421" s="1">
        <f t="shared" ca="1" si="370"/>
        <v>28</v>
      </c>
      <c r="AF421" t="str">
        <f t="shared" ca="1" si="414"/>
        <v>Plot 28</v>
      </c>
    </row>
    <row r="422" spans="28:32" x14ac:dyDescent="0.25">
      <c r="AB422" t="str">
        <f t="shared" ref="AB422:AC422" si="424">AB401</f>
        <v>Supporting Scaffold</v>
      </c>
      <c r="AC422" t="str">
        <f t="shared" si="424"/>
        <v>First Floor Prop.</v>
      </c>
      <c r="AD422" t="str">
        <f t="shared" ca="1" si="416"/>
        <v>TRUE</v>
      </c>
      <c r="AE422" s="1">
        <f t="shared" ca="1" si="370"/>
        <v>28</v>
      </c>
      <c r="AF422" t="str">
        <f t="shared" ca="1" si="414"/>
        <v>Plot 28</v>
      </c>
    </row>
    <row r="423" spans="28:32" x14ac:dyDescent="0.25">
      <c r="AB423" t="str">
        <f t="shared" ref="AB423:AC423" si="425">AB402</f>
        <v>Supporting Scaffold</v>
      </c>
      <c r="AC423" t="str">
        <f t="shared" si="425"/>
        <v>Second Floor Prop.</v>
      </c>
      <c r="AD423" t="str">
        <f t="shared" ca="1" si="416"/>
        <v>FALSE</v>
      </c>
      <c r="AE423" s="1">
        <f t="shared" ca="1" si="370"/>
        <v>28</v>
      </c>
      <c r="AF423" t="str">
        <f t="shared" ca="1" si="414"/>
        <v>Plot 28</v>
      </c>
    </row>
    <row r="424" spans="28:32" x14ac:dyDescent="0.25">
      <c r="AB424" t="str">
        <f t="shared" ref="AB424:AC424" si="426">AB403</f>
        <v>External Scaffolding</v>
      </c>
      <c r="AC424" t="str">
        <f t="shared" si="426"/>
        <v>Hop-ups</v>
      </c>
      <c r="AD424" t="b">
        <f t="shared" ca="1" si="416"/>
        <v>1</v>
      </c>
      <c r="AE424" s="1">
        <f t="shared" ca="1" si="370"/>
        <v>28</v>
      </c>
      <c r="AF424" t="str">
        <f t="shared" ca="1" si="414"/>
        <v>Plot 28</v>
      </c>
    </row>
    <row r="425" spans="28:32" x14ac:dyDescent="0.25">
      <c r="AB425" t="str">
        <f t="shared" ref="AB425:AC425" si="427">AB404</f>
        <v>External Scaffolding</v>
      </c>
      <c r="AC425" t="str">
        <f t="shared" si="427"/>
        <v>Adaptions</v>
      </c>
      <c r="AD425" t="b">
        <f t="shared" ca="1" si="416"/>
        <v>1</v>
      </c>
      <c r="AE425" s="1">
        <f t="shared" ca="1" si="370"/>
        <v>28</v>
      </c>
      <c r="AF425" t="str">
        <f t="shared" ca="1" si="414"/>
        <v>Plot 28</v>
      </c>
    </row>
    <row r="426" spans="28:32" x14ac:dyDescent="0.25">
      <c r="AB426" t="str">
        <f t="shared" ref="AB426:AC426" si="428">AB405</f>
        <v>External Scaffolding</v>
      </c>
      <c r="AC426" t="str">
        <f t="shared" si="428"/>
        <v>Adaption Tower</v>
      </c>
      <c r="AD426" t="b">
        <f t="shared" ca="1" si="416"/>
        <v>1</v>
      </c>
      <c r="AE426" s="1">
        <f t="shared" ca="1" si="370"/>
        <v>28</v>
      </c>
      <c r="AF426" t="str">
        <f t="shared" ca="1" si="414"/>
        <v>Plot 28</v>
      </c>
    </row>
    <row r="427" spans="28:32" x14ac:dyDescent="0.25">
      <c r="AB427" t="str">
        <f t="shared" ref="AB427:AC427" si="429">AB406</f>
        <v>External Scaffolding</v>
      </c>
      <c r="AC427" t="str">
        <f t="shared" si="429"/>
        <v>Lift 1</v>
      </c>
      <c r="AD427" t="b">
        <f t="shared" ca="1" si="416"/>
        <v>1</v>
      </c>
      <c r="AE427" s="1">
        <f t="shared" ca="1" si="370"/>
        <v>29</v>
      </c>
      <c r="AF427" t="str">
        <f t="shared" ca="1" si="414"/>
        <v>Plot 29</v>
      </c>
    </row>
    <row r="428" spans="28:32" x14ac:dyDescent="0.25">
      <c r="AB428" t="str">
        <f t="shared" ref="AB428:AC428" si="430">AB407</f>
        <v>External Scaffolding</v>
      </c>
      <c r="AC428" t="str">
        <f t="shared" si="430"/>
        <v>Lift 2</v>
      </c>
      <c r="AD428" t="b">
        <f t="shared" ca="1" si="416"/>
        <v>1</v>
      </c>
      <c r="AE428" s="1">
        <f t="shared" ca="1" si="370"/>
        <v>29</v>
      </c>
      <c r="AF428" t="str">
        <f t="shared" ca="1" si="414"/>
        <v>Plot 29</v>
      </c>
    </row>
    <row r="429" spans="28:32" x14ac:dyDescent="0.25">
      <c r="AB429" t="str">
        <f t="shared" ref="AB429:AC429" si="431">AB408</f>
        <v>External Scaffolding</v>
      </c>
      <c r="AC429" t="str">
        <f t="shared" si="431"/>
        <v>Lift 3</v>
      </c>
      <c r="AD429" t="b">
        <f t="shared" ca="1" si="416"/>
        <v>1</v>
      </c>
      <c r="AE429" s="1">
        <f t="shared" ca="1" si="370"/>
        <v>29</v>
      </c>
      <c r="AF429" t="str">
        <f t="shared" ca="1" si="414"/>
        <v>Plot 29</v>
      </c>
    </row>
    <row r="430" spans="28:32" x14ac:dyDescent="0.25">
      <c r="AB430" t="str">
        <f t="shared" ref="AB430:AC430" si="432">AB409</f>
        <v>External Scaffolding</v>
      </c>
      <c r="AC430" t="str">
        <f t="shared" si="432"/>
        <v>Lift 4</v>
      </c>
      <c r="AD430" t="b">
        <f t="shared" ca="1" si="416"/>
        <v>0</v>
      </c>
      <c r="AE430" s="1">
        <f t="shared" ca="1" si="370"/>
        <v>29</v>
      </c>
      <c r="AF430" t="str">
        <f t="shared" ca="1" si="414"/>
        <v>Plot 29</v>
      </c>
    </row>
    <row r="431" spans="28:32" x14ac:dyDescent="0.25">
      <c r="AB431" t="str">
        <f t="shared" ref="AB431:AC431" si="433">AB410</f>
        <v>External Scaffolding</v>
      </c>
      <c r="AC431" t="str">
        <f t="shared" si="433"/>
        <v>Lift 5</v>
      </c>
      <c r="AD431" t="b">
        <f t="shared" ca="1" si="416"/>
        <v>0</v>
      </c>
      <c r="AE431" s="1">
        <f t="shared" ca="1" si="370"/>
        <v>29</v>
      </c>
      <c r="AF431" t="str">
        <f t="shared" ca="1" si="414"/>
        <v>Plot 29</v>
      </c>
    </row>
    <row r="432" spans="28:32" x14ac:dyDescent="0.25">
      <c r="AB432" t="str">
        <f t="shared" ref="AB432:AC432" si="434">AB411</f>
        <v>External Scaffolding</v>
      </c>
      <c r="AC432" t="str">
        <f t="shared" si="434"/>
        <v>Lift 6</v>
      </c>
      <c r="AD432" t="b">
        <f t="shared" ca="1" si="416"/>
        <v>0</v>
      </c>
      <c r="AE432" s="1">
        <f t="shared" ca="1" si="370"/>
        <v>29</v>
      </c>
      <c r="AF432" t="str">
        <f t="shared" ca="1" si="414"/>
        <v>Plot 29</v>
      </c>
    </row>
    <row r="433" spans="28:32" x14ac:dyDescent="0.25">
      <c r="AB433" t="str">
        <f t="shared" ref="AB433:AC433" si="435">AB412</f>
        <v>Loading Bay</v>
      </c>
      <c r="AC433" t="str">
        <f t="shared" si="435"/>
        <v>Lift 1</v>
      </c>
      <c r="AD433" t="b">
        <f t="shared" ca="1" si="416"/>
        <v>1</v>
      </c>
      <c r="AE433" s="1">
        <f t="shared" ca="1" si="370"/>
        <v>29</v>
      </c>
      <c r="AF433" t="str">
        <f t="shared" ca="1" si="414"/>
        <v>Plot 29</v>
      </c>
    </row>
    <row r="434" spans="28:32" x14ac:dyDescent="0.25">
      <c r="AB434" t="str">
        <f t="shared" ref="AB434:AC434" si="436">AB413</f>
        <v>Loading Bay</v>
      </c>
      <c r="AC434" t="str">
        <f t="shared" si="436"/>
        <v>Lift 2</v>
      </c>
      <c r="AD434" t="b">
        <f t="shared" ca="1" si="416"/>
        <v>1</v>
      </c>
      <c r="AE434" s="1">
        <f t="shared" ref="AE434:AE497" ca="1" si="437">OFFSET($AD$1,0,FLOOR(ROW(B406)/21,1))</f>
        <v>29</v>
      </c>
      <c r="AF434" t="str">
        <f t="shared" ca="1" si="414"/>
        <v>Plot 29</v>
      </c>
    </row>
    <row r="435" spans="28:32" x14ac:dyDescent="0.25">
      <c r="AB435" t="str">
        <f t="shared" ref="AB435:AC435" si="438">AB414</f>
        <v>Loading Bay</v>
      </c>
      <c r="AC435" t="str">
        <f t="shared" si="438"/>
        <v>Lift 3</v>
      </c>
      <c r="AD435" t="b">
        <f t="shared" ca="1" si="416"/>
        <v>1</v>
      </c>
      <c r="AE435" s="1">
        <f t="shared" ca="1" si="437"/>
        <v>29</v>
      </c>
      <c r="AF435" t="str">
        <f t="shared" ca="1" si="414"/>
        <v>Plot 29</v>
      </c>
    </row>
    <row r="436" spans="28:32" x14ac:dyDescent="0.25">
      <c r="AB436" t="str">
        <f t="shared" ref="AB436:AC436" si="439">AB415</f>
        <v>Loading Bay</v>
      </c>
      <c r="AC436" t="str">
        <f t="shared" si="439"/>
        <v>Lift 4</v>
      </c>
      <c r="AD436" t="b">
        <f t="shared" ca="1" si="416"/>
        <v>0</v>
      </c>
      <c r="AE436" s="1">
        <f t="shared" ca="1" si="437"/>
        <v>29</v>
      </c>
      <c r="AF436" t="str">
        <f t="shared" ca="1" si="414"/>
        <v>Plot 29</v>
      </c>
    </row>
    <row r="437" spans="28:32" x14ac:dyDescent="0.25">
      <c r="AB437" t="str">
        <f t="shared" ref="AB437:AC437" si="440">AB416</f>
        <v>Loading Bay</v>
      </c>
      <c r="AC437" t="str">
        <f t="shared" si="440"/>
        <v>Lift 5</v>
      </c>
      <c r="AD437" t="b">
        <f t="shared" ca="1" si="416"/>
        <v>0</v>
      </c>
      <c r="AE437" s="1">
        <f t="shared" ca="1" si="437"/>
        <v>29</v>
      </c>
      <c r="AF437" t="str">
        <f t="shared" ca="1" si="414"/>
        <v>Plot 29</v>
      </c>
    </row>
    <row r="438" spans="28:32" x14ac:dyDescent="0.25">
      <c r="AB438" t="str">
        <f t="shared" ref="AB438:AC438" si="441">AB417</f>
        <v>Loading Bay</v>
      </c>
      <c r="AC438" t="str">
        <f t="shared" si="441"/>
        <v>Lift 6</v>
      </c>
      <c r="AD438" t="b">
        <f t="shared" ca="1" si="416"/>
        <v>0</v>
      </c>
      <c r="AE438" s="1">
        <f t="shared" ca="1" si="437"/>
        <v>29</v>
      </c>
      <c r="AF438" t="str">
        <f t="shared" ca="1" si="414"/>
        <v>Plot 29</v>
      </c>
    </row>
    <row r="439" spans="28:32" x14ac:dyDescent="0.25">
      <c r="AB439" t="str">
        <f t="shared" ref="AB439:AC439" si="442">AB418</f>
        <v>Scaffolding Platform</v>
      </c>
      <c r="AC439" t="str">
        <f t="shared" si="442"/>
        <v>Ground Floor</v>
      </c>
      <c r="AD439" t="b">
        <f t="shared" ca="1" si="416"/>
        <v>1</v>
      </c>
      <c r="AE439" s="1">
        <f t="shared" ca="1" si="437"/>
        <v>29</v>
      </c>
      <c r="AF439" t="str">
        <f t="shared" ca="1" si="414"/>
        <v>Plot 29</v>
      </c>
    </row>
    <row r="440" spans="28:32" x14ac:dyDescent="0.25">
      <c r="AB440" t="str">
        <f t="shared" ref="AB440:AC440" si="443">AB419</f>
        <v>Scaffolding Platform</v>
      </c>
      <c r="AC440" t="str">
        <f t="shared" si="443"/>
        <v>First Floor</v>
      </c>
      <c r="AD440" t="b">
        <f t="shared" ca="1" si="416"/>
        <v>1</v>
      </c>
      <c r="AE440" s="1">
        <f t="shared" ca="1" si="437"/>
        <v>29</v>
      </c>
      <c r="AF440" t="str">
        <f t="shared" ca="1" si="414"/>
        <v>Plot 29</v>
      </c>
    </row>
    <row r="441" spans="28:32" x14ac:dyDescent="0.25">
      <c r="AB441" t="str">
        <f t="shared" ref="AB441:AC441" si="444">AB420</f>
        <v>Scaffolding Platform</v>
      </c>
      <c r="AC441" t="str">
        <f t="shared" si="444"/>
        <v>Second Floor</v>
      </c>
      <c r="AD441" t="b">
        <f t="shared" ca="1" si="416"/>
        <v>0</v>
      </c>
      <c r="AE441" s="1">
        <f t="shared" ca="1" si="437"/>
        <v>29</v>
      </c>
      <c r="AF441" t="str">
        <f t="shared" ca="1" si="414"/>
        <v>Plot 29</v>
      </c>
    </row>
    <row r="442" spans="28:32" x14ac:dyDescent="0.25">
      <c r="AB442" t="str">
        <f t="shared" ref="AB442:AC442" si="445">AB421</f>
        <v>Supporting Scaffold</v>
      </c>
      <c r="AC442" t="str">
        <f t="shared" si="445"/>
        <v>Ground Floor Prop.</v>
      </c>
      <c r="AD442" t="str">
        <f t="shared" ca="1" si="416"/>
        <v>TRUE</v>
      </c>
      <c r="AE442" s="1">
        <f t="shared" ca="1" si="437"/>
        <v>29</v>
      </c>
      <c r="AF442" t="str">
        <f t="shared" ca="1" si="414"/>
        <v>Plot 29</v>
      </c>
    </row>
    <row r="443" spans="28:32" x14ac:dyDescent="0.25">
      <c r="AB443" t="str">
        <f t="shared" ref="AB443:AC443" si="446">AB422</f>
        <v>Supporting Scaffold</v>
      </c>
      <c r="AC443" t="str">
        <f t="shared" si="446"/>
        <v>First Floor Prop.</v>
      </c>
      <c r="AD443" t="str">
        <f t="shared" ca="1" si="416"/>
        <v>FALSE</v>
      </c>
      <c r="AE443" s="1">
        <f t="shared" ca="1" si="437"/>
        <v>29</v>
      </c>
      <c r="AF443" t="str">
        <f t="shared" ca="1" si="414"/>
        <v>Plot 29</v>
      </c>
    </row>
    <row r="444" spans="28:32" x14ac:dyDescent="0.25">
      <c r="AB444" t="str">
        <f t="shared" ref="AB444:AC444" si="447">AB423</f>
        <v>Supporting Scaffold</v>
      </c>
      <c r="AC444" t="str">
        <f t="shared" si="447"/>
        <v>Second Floor Prop.</v>
      </c>
      <c r="AD444" t="str">
        <f t="shared" ca="1" si="416"/>
        <v>FALSE</v>
      </c>
      <c r="AE444" s="1">
        <f t="shared" ca="1" si="437"/>
        <v>29</v>
      </c>
      <c r="AF444" t="str">
        <f t="shared" ca="1" si="414"/>
        <v>Plot 29</v>
      </c>
    </row>
    <row r="445" spans="28:32" x14ac:dyDescent="0.25">
      <c r="AB445" t="str">
        <f t="shared" ref="AB445:AC445" si="448">AB424</f>
        <v>External Scaffolding</v>
      </c>
      <c r="AC445" t="str">
        <f t="shared" si="448"/>
        <v>Hop-ups</v>
      </c>
      <c r="AD445" t="b">
        <f t="shared" ca="1" si="416"/>
        <v>1</v>
      </c>
      <c r="AE445" s="1">
        <f t="shared" ca="1" si="437"/>
        <v>29</v>
      </c>
      <c r="AF445" t="str">
        <f t="shared" ca="1" si="414"/>
        <v>Plot 29</v>
      </c>
    </row>
    <row r="446" spans="28:32" x14ac:dyDescent="0.25">
      <c r="AB446" t="str">
        <f t="shared" ref="AB446:AC446" si="449">AB425</f>
        <v>External Scaffolding</v>
      </c>
      <c r="AC446" t="str">
        <f t="shared" si="449"/>
        <v>Adaptions</v>
      </c>
      <c r="AD446" t="b">
        <f t="shared" ca="1" si="416"/>
        <v>1</v>
      </c>
      <c r="AE446" s="1">
        <f t="shared" ca="1" si="437"/>
        <v>29</v>
      </c>
      <c r="AF446" t="str">
        <f t="shared" ca="1" si="414"/>
        <v>Plot 29</v>
      </c>
    </row>
    <row r="447" spans="28:32" x14ac:dyDescent="0.25">
      <c r="AB447" t="str">
        <f t="shared" ref="AB447:AC447" si="450">AB426</f>
        <v>External Scaffolding</v>
      </c>
      <c r="AC447" t="str">
        <f t="shared" si="450"/>
        <v>Adaption Tower</v>
      </c>
      <c r="AD447" t="b">
        <f t="shared" ca="1" si="416"/>
        <v>1</v>
      </c>
      <c r="AE447" s="1">
        <f t="shared" ca="1" si="437"/>
        <v>29</v>
      </c>
      <c r="AF447" t="str">
        <f t="shared" ca="1" si="414"/>
        <v>Plot 29</v>
      </c>
    </row>
    <row r="448" spans="28:32" x14ac:dyDescent="0.25">
      <c r="AB448" t="str">
        <f t="shared" ref="AB448:AC448" si="451">AB427</f>
        <v>External Scaffolding</v>
      </c>
      <c r="AC448" t="str">
        <f t="shared" si="451"/>
        <v>Lift 1</v>
      </c>
      <c r="AD448" t="b">
        <f t="shared" ca="1" si="416"/>
        <v>1</v>
      </c>
      <c r="AE448" s="1" t="str">
        <f t="shared" ca="1" si="437"/>
        <v>30-31</v>
      </c>
      <c r="AF448" t="str">
        <f t="shared" ca="1" si="414"/>
        <v>Plot 30-31</v>
      </c>
    </row>
    <row r="449" spans="28:32" x14ac:dyDescent="0.25">
      <c r="AB449" t="str">
        <f t="shared" ref="AB449:AC449" si="452">AB428</f>
        <v>External Scaffolding</v>
      </c>
      <c r="AC449" t="str">
        <f t="shared" si="452"/>
        <v>Lift 2</v>
      </c>
      <c r="AD449" t="b">
        <f t="shared" ca="1" si="416"/>
        <v>1</v>
      </c>
      <c r="AE449" s="1" t="str">
        <f t="shared" ca="1" si="437"/>
        <v>30-31</v>
      </c>
      <c r="AF449" t="str">
        <f t="shared" ca="1" si="414"/>
        <v>Plot 30-31</v>
      </c>
    </row>
    <row r="450" spans="28:32" x14ac:dyDescent="0.25">
      <c r="AB450" t="str">
        <f t="shared" ref="AB450:AC450" si="453">AB429</f>
        <v>External Scaffolding</v>
      </c>
      <c r="AC450" t="str">
        <f t="shared" si="453"/>
        <v>Lift 3</v>
      </c>
      <c r="AD450" t="b">
        <f t="shared" ca="1" si="416"/>
        <v>1</v>
      </c>
      <c r="AE450" s="1" t="str">
        <f t="shared" ca="1" si="437"/>
        <v>30-31</v>
      </c>
      <c r="AF450" t="str">
        <f t="shared" ca="1" si="414"/>
        <v>Plot 30-31</v>
      </c>
    </row>
    <row r="451" spans="28:32" x14ac:dyDescent="0.25">
      <c r="AB451" t="str">
        <f t="shared" ref="AB451:AC451" si="454">AB430</f>
        <v>External Scaffolding</v>
      </c>
      <c r="AC451" t="str">
        <f t="shared" si="454"/>
        <v>Lift 4</v>
      </c>
      <c r="AD451" t="b">
        <f t="shared" ca="1" si="416"/>
        <v>0</v>
      </c>
      <c r="AE451" s="1" t="str">
        <f t="shared" ca="1" si="437"/>
        <v>30-31</v>
      </c>
      <c r="AF451" t="str">
        <f t="shared" ca="1" si="414"/>
        <v>Plot 30-31</v>
      </c>
    </row>
    <row r="452" spans="28:32" x14ac:dyDescent="0.25">
      <c r="AB452" t="str">
        <f t="shared" ref="AB452:AC452" si="455">AB431</f>
        <v>External Scaffolding</v>
      </c>
      <c r="AC452" t="str">
        <f t="shared" si="455"/>
        <v>Lift 5</v>
      </c>
      <c r="AD452" t="b">
        <f t="shared" ca="1" si="416"/>
        <v>0</v>
      </c>
      <c r="AE452" s="1" t="str">
        <f t="shared" ca="1" si="437"/>
        <v>30-31</v>
      </c>
      <c r="AF452" t="str">
        <f t="shared" ca="1" si="414"/>
        <v>Plot 30-31</v>
      </c>
    </row>
    <row r="453" spans="28:32" x14ac:dyDescent="0.25">
      <c r="AB453" t="str">
        <f t="shared" ref="AB453:AC453" si="456">AB432</f>
        <v>External Scaffolding</v>
      </c>
      <c r="AC453" t="str">
        <f t="shared" si="456"/>
        <v>Lift 6</v>
      </c>
      <c r="AD453" t="b">
        <f t="shared" ca="1" si="416"/>
        <v>0</v>
      </c>
      <c r="AE453" s="1" t="str">
        <f t="shared" ca="1" si="437"/>
        <v>30-31</v>
      </c>
      <c r="AF453" t="str">
        <f t="shared" ca="1" si="414"/>
        <v>Plot 30-31</v>
      </c>
    </row>
    <row r="454" spans="28:32" x14ac:dyDescent="0.25">
      <c r="AB454" t="str">
        <f t="shared" ref="AB454:AC454" si="457">AB433</f>
        <v>Loading Bay</v>
      </c>
      <c r="AC454" t="str">
        <f t="shared" si="457"/>
        <v>Lift 1</v>
      </c>
      <c r="AD454" t="b">
        <f t="shared" ca="1" si="416"/>
        <v>1</v>
      </c>
      <c r="AE454" s="1" t="str">
        <f t="shared" ca="1" si="437"/>
        <v>30-31</v>
      </c>
      <c r="AF454" t="str">
        <f t="shared" ca="1" si="414"/>
        <v>Plot 30-31</v>
      </c>
    </row>
    <row r="455" spans="28:32" x14ac:dyDescent="0.25">
      <c r="AB455" t="str">
        <f t="shared" ref="AB455:AC455" si="458">AB434</f>
        <v>Loading Bay</v>
      </c>
      <c r="AC455" t="str">
        <f t="shared" si="458"/>
        <v>Lift 2</v>
      </c>
      <c r="AD455" t="b">
        <f t="shared" ca="1" si="416"/>
        <v>1</v>
      </c>
      <c r="AE455" s="1" t="str">
        <f t="shared" ca="1" si="437"/>
        <v>30-31</v>
      </c>
      <c r="AF455" t="str">
        <f t="shared" ca="1" si="414"/>
        <v>Plot 30-31</v>
      </c>
    </row>
    <row r="456" spans="28:32" x14ac:dyDescent="0.25">
      <c r="AB456" t="str">
        <f t="shared" ref="AB456:AC456" si="459">AB435</f>
        <v>Loading Bay</v>
      </c>
      <c r="AC456" t="str">
        <f t="shared" si="459"/>
        <v>Lift 3</v>
      </c>
      <c r="AD456" t="b">
        <f t="shared" ca="1" si="416"/>
        <v>1</v>
      </c>
      <c r="AE456" s="1" t="str">
        <f t="shared" ca="1" si="437"/>
        <v>30-31</v>
      </c>
      <c r="AF456" t="str">
        <f t="shared" ca="1" si="414"/>
        <v>Plot 30-31</v>
      </c>
    </row>
    <row r="457" spans="28:32" x14ac:dyDescent="0.25">
      <c r="AB457" t="str">
        <f t="shared" ref="AB457:AC457" si="460">AB436</f>
        <v>Loading Bay</v>
      </c>
      <c r="AC457" t="str">
        <f t="shared" si="460"/>
        <v>Lift 4</v>
      </c>
      <c r="AD457" t="b">
        <f t="shared" ca="1" si="416"/>
        <v>0</v>
      </c>
      <c r="AE457" s="1" t="str">
        <f t="shared" ca="1" si="437"/>
        <v>30-31</v>
      </c>
      <c r="AF457" t="str">
        <f t="shared" ca="1" si="414"/>
        <v>Plot 30-31</v>
      </c>
    </row>
    <row r="458" spans="28:32" x14ac:dyDescent="0.25">
      <c r="AB458" t="str">
        <f t="shared" ref="AB458:AC458" si="461">AB437</f>
        <v>Loading Bay</v>
      </c>
      <c r="AC458" t="str">
        <f t="shared" si="461"/>
        <v>Lift 5</v>
      </c>
      <c r="AD458" t="b">
        <f t="shared" ca="1" si="416"/>
        <v>0</v>
      </c>
      <c r="AE458" s="1" t="str">
        <f t="shared" ca="1" si="437"/>
        <v>30-31</v>
      </c>
      <c r="AF458" t="str">
        <f t="shared" ca="1" si="414"/>
        <v>Plot 30-31</v>
      </c>
    </row>
    <row r="459" spans="28:32" x14ac:dyDescent="0.25">
      <c r="AB459" t="str">
        <f t="shared" ref="AB459:AC459" si="462">AB438</f>
        <v>Loading Bay</v>
      </c>
      <c r="AC459" t="str">
        <f t="shared" si="462"/>
        <v>Lift 6</v>
      </c>
      <c r="AD459" t="b">
        <f t="shared" ca="1" si="416"/>
        <v>0</v>
      </c>
      <c r="AE459" s="1" t="str">
        <f t="shared" ca="1" si="437"/>
        <v>30-31</v>
      </c>
      <c r="AF459" t="str">
        <f t="shared" ca="1" si="414"/>
        <v>Plot 30-31</v>
      </c>
    </row>
    <row r="460" spans="28:32" x14ac:dyDescent="0.25">
      <c r="AB460" t="str">
        <f t="shared" ref="AB460:AC460" si="463">AB439</f>
        <v>Scaffolding Platform</v>
      </c>
      <c r="AC460" t="str">
        <f t="shared" si="463"/>
        <v>Ground Floor</v>
      </c>
      <c r="AD460" t="b">
        <f t="shared" ca="1" si="416"/>
        <v>1</v>
      </c>
      <c r="AE460" s="1" t="str">
        <f t="shared" ca="1" si="437"/>
        <v>30-31</v>
      </c>
      <c r="AF460" t="str">
        <f t="shared" ca="1" si="414"/>
        <v>Plot 30-31</v>
      </c>
    </row>
    <row r="461" spans="28:32" x14ac:dyDescent="0.25">
      <c r="AB461" t="str">
        <f t="shared" ref="AB461:AC461" si="464">AB440</f>
        <v>Scaffolding Platform</v>
      </c>
      <c r="AC461" t="str">
        <f t="shared" si="464"/>
        <v>First Floor</v>
      </c>
      <c r="AD461" t="b">
        <f t="shared" ca="1" si="416"/>
        <v>1</v>
      </c>
      <c r="AE461" s="1" t="str">
        <f t="shared" ca="1" si="437"/>
        <v>30-31</v>
      </c>
      <c r="AF461" t="str">
        <f t="shared" ca="1" si="414"/>
        <v>Plot 30-31</v>
      </c>
    </row>
    <row r="462" spans="28:32" x14ac:dyDescent="0.25">
      <c r="AB462" t="str">
        <f t="shared" ref="AB462:AC462" si="465">AB441</f>
        <v>Scaffolding Platform</v>
      </c>
      <c r="AC462" t="str">
        <f t="shared" si="465"/>
        <v>Second Floor</v>
      </c>
      <c r="AD462" t="b">
        <f t="shared" ca="1" si="416"/>
        <v>0</v>
      </c>
      <c r="AE462" s="1" t="str">
        <f t="shared" ca="1" si="437"/>
        <v>30-31</v>
      </c>
      <c r="AF462" t="str">
        <f t="shared" ca="1" si="414"/>
        <v>Plot 30-31</v>
      </c>
    </row>
    <row r="463" spans="28:32" x14ac:dyDescent="0.25">
      <c r="AB463" t="str">
        <f t="shared" ref="AB463:AC463" si="466">AB442</f>
        <v>Supporting Scaffold</v>
      </c>
      <c r="AC463" t="str">
        <f t="shared" si="466"/>
        <v>Ground Floor Prop.</v>
      </c>
      <c r="AD463" t="str">
        <f t="shared" ca="1" si="416"/>
        <v>TRUE</v>
      </c>
      <c r="AE463" s="1" t="str">
        <f t="shared" ca="1" si="437"/>
        <v>30-31</v>
      </c>
      <c r="AF463" t="str">
        <f t="shared" ca="1" si="414"/>
        <v>Plot 30-31</v>
      </c>
    </row>
    <row r="464" spans="28:32" x14ac:dyDescent="0.25">
      <c r="AB464" t="str">
        <f t="shared" ref="AB464:AC464" si="467">AB443</f>
        <v>Supporting Scaffold</v>
      </c>
      <c r="AC464" t="str">
        <f t="shared" si="467"/>
        <v>First Floor Prop.</v>
      </c>
      <c r="AD464" t="str">
        <f t="shared" ca="1" si="416"/>
        <v>FALSE</v>
      </c>
      <c r="AE464" s="1" t="str">
        <f t="shared" ca="1" si="437"/>
        <v>30-31</v>
      </c>
      <c r="AF464" t="str">
        <f t="shared" ca="1" si="414"/>
        <v>Plot 30-31</v>
      </c>
    </row>
    <row r="465" spans="28:32" x14ac:dyDescent="0.25">
      <c r="AB465" t="str">
        <f t="shared" ref="AB465:AC465" si="468">AB444</f>
        <v>Supporting Scaffold</v>
      </c>
      <c r="AC465" t="str">
        <f t="shared" si="468"/>
        <v>Second Floor Prop.</v>
      </c>
      <c r="AD465" t="str">
        <f t="shared" ca="1" si="416"/>
        <v>FALSE</v>
      </c>
      <c r="AE465" s="1" t="str">
        <f t="shared" ca="1" si="437"/>
        <v>30-31</v>
      </c>
      <c r="AF465" t="str">
        <f t="shared" ca="1" si="414"/>
        <v>Plot 30-31</v>
      </c>
    </row>
    <row r="466" spans="28:32" x14ac:dyDescent="0.25">
      <c r="AB466" t="str">
        <f t="shared" ref="AB466:AC466" si="469">AB445</f>
        <v>External Scaffolding</v>
      </c>
      <c r="AC466" t="str">
        <f t="shared" si="469"/>
        <v>Hop-ups</v>
      </c>
      <c r="AD466" t="b">
        <f t="shared" ca="1" si="416"/>
        <v>1</v>
      </c>
      <c r="AE466" s="1" t="str">
        <f t="shared" ca="1" si="437"/>
        <v>30-31</v>
      </c>
      <c r="AF466" t="str">
        <f t="shared" ca="1" si="414"/>
        <v>Plot 30-31</v>
      </c>
    </row>
    <row r="467" spans="28:32" x14ac:dyDescent="0.25">
      <c r="AB467" t="str">
        <f t="shared" ref="AB467:AC467" si="470">AB446</f>
        <v>External Scaffolding</v>
      </c>
      <c r="AC467" t="str">
        <f t="shared" si="470"/>
        <v>Adaptions</v>
      </c>
      <c r="AD467" t="b">
        <f t="shared" ca="1" si="416"/>
        <v>1</v>
      </c>
      <c r="AE467" s="1" t="str">
        <f t="shared" ca="1" si="437"/>
        <v>30-31</v>
      </c>
      <c r="AF467" t="str">
        <f t="shared" ca="1" si="414"/>
        <v>Plot 30-31</v>
      </c>
    </row>
    <row r="468" spans="28:32" x14ac:dyDescent="0.25">
      <c r="AB468" t="str">
        <f t="shared" ref="AB468:AC468" si="471">AB447</f>
        <v>External Scaffolding</v>
      </c>
      <c r="AC468" t="str">
        <f t="shared" si="471"/>
        <v>Adaption Tower</v>
      </c>
      <c r="AD468" t="b">
        <f t="shared" ca="1" si="416"/>
        <v>1</v>
      </c>
      <c r="AE468" s="1" t="str">
        <f t="shared" ca="1" si="437"/>
        <v>30-31</v>
      </c>
      <c r="AF468" t="str">
        <f t="shared" ca="1" si="414"/>
        <v>Plot 30-31</v>
      </c>
    </row>
    <row r="469" spans="28:32" x14ac:dyDescent="0.25">
      <c r="AB469" t="str">
        <f t="shared" ref="AB469:AC469" si="472">AB448</f>
        <v>External Scaffolding</v>
      </c>
      <c r="AC469" t="str">
        <f t="shared" si="472"/>
        <v>Lift 1</v>
      </c>
      <c r="AD469" t="b">
        <f t="shared" ca="1" si="416"/>
        <v>1</v>
      </c>
      <c r="AE469" s="1" t="str">
        <f t="shared" ca="1" si="437"/>
        <v>32-33</v>
      </c>
      <c r="AF469" t="str">
        <f t="shared" ca="1" si="414"/>
        <v>Plot 32-33</v>
      </c>
    </row>
    <row r="470" spans="28:32" x14ac:dyDescent="0.25">
      <c r="AB470" t="str">
        <f t="shared" ref="AB470:AC470" si="473">AB449</f>
        <v>External Scaffolding</v>
      </c>
      <c r="AC470" t="str">
        <f t="shared" si="473"/>
        <v>Lift 2</v>
      </c>
      <c r="AD470" t="b">
        <f t="shared" ca="1" si="416"/>
        <v>1</v>
      </c>
      <c r="AE470" s="1" t="str">
        <f t="shared" ca="1" si="437"/>
        <v>32-33</v>
      </c>
      <c r="AF470" t="str">
        <f t="shared" ca="1" si="414"/>
        <v>Plot 32-33</v>
      </c>
    </row>
    <row r="471" spans="28:32" x14ac:dyDescent="0.25">
      <c r="AB471" t="str">
        <f t="shared" ref="AB471:AC471" si="474">AB450</f>
        <v>External Scaffolding</v>
      </c>
      <c r="AC471" t="str">
        <f t="shared" si="474"/>
        <v>Lift 3</v>
      </c>
      <c r="AD471" t="b">
        <f t="shared" ca="1" si="416"/>
        <v>1</v>
      </c>
      <c r="AE471" s="1" t="str">
        <f t="shared" ca="1" si="437"/>
        <v>32-33</v>
      </c>
      <c r="AF471" t="str">
        <f t="shared" ca="1" si="414"/>
        <v>Plot 32-33</v>
      </c>
    </row>
    <row r="472" spans="28:32" x14ac:dyDescent="0.25">
      <c r="AB472" t="str">
        <f t="shared" ref="AB472:AC472" si="475">AB451</f>
        <v>External Scaffolding</v>
      </c>
      <c r="AC472" t="str">
        <f t="shared" si="475"/>
        <v>Lift 4</v>
      </c>
      <c r="AD472" t="b">
        <f t="shared" ca="1" si="416"/>
        <v>0</v>
      </c>
      <c r="AE472" s="1" t="str">
        <f t="shared" ca="1" si="437"/>
        <v>32-33</v>
      </c>
      <c r="AF472" t="str">
        <f t="shared" ca="1" si="414"/>
        <v>Plot 32-33</v>
      </c>
    </row>
    <row r="473" spans="28:32" x14ac:dyDescent="0.25">
      <c r="AB473" t="str">
        <f t="shared" ref="AB473:AC473" si="476">AB452</f>
        <v>External Scaffolding</v>
      </c>
      <c r="AC473" t="str">
        <f t="shared" si="476"/>
        <v>Lift 5</v>
      </c>
      <c r="AD473" t="b">
        <f t="shared" ca="1" si="416"/>
        <v>0</v>
      </c>
      <c r="AE473" s="1" t="str">
        <f t="shared" ca="1" si="437"/>
        <v>32-33</v>
      </c>
      <c r="AF473" t="str">
        <f t="shared" ca="1" si="414"/>
        <v>Plot 32-33</v>
      </c>
    </row>
    <row r="474" spans="28:32" x14ac:dyDescent="0.25">
      <c r="AB474" t="str">
        <f t="shared" ref="AB474:AC474" si="477">AB453</f>
        <v>External Scaffolding</v>
      </c>
      <c r="AC474" t="str">
        <f t="shared" si="477"/>
        <v>Lift 6</v>
      </c>
      <c r="AD474" t="b">
        <f t="shared" ca="1" si="416"/>
        <v>0</v>
      </c>
      <c r="AE474" s="1" t="str">
        <f t="shared" ca="1" si="437"/>
        <v>32-33</v>
      </c>
      <c r="AF474" t="str">
        <f t="shared" ca="1" si="414"/>
        <v>Plot 32-33</v>
      </c>
    </row>
    <row r="475" spans="28:32" x14ac:dyDescent="0.25">
      <c r="AB475" t="str">
        <f t="shared" ref="AB475:AC475" si="478">AB454</f>
        <v>Loading Bay</v>
      </c>
      <c r="AC475" t="str">
        <f t="shared" si="478"/>
        <v>Lift 1</v>
      </c>
      <c r="AD475" t="b">
        <f t="shared" ca="1" si="416"/>
        <v>1</v>
      </c>
      <c r="AE475" s="1" t="str">
        <f t="shared" ca="1" si="437"/>
        <v>32-33</v>
      </c>
      <c r="AF475" t="str">
        <f t="shared" ca="1" si="414"/>
        <v>Plot 32-33</v>
      </c>
    </row>
    <row r="476" spans="28:32" x14ac:dyDescent="0.25">
      <c r="AB476" t="str">
        <f t="shared" ref="AB476:AC476" si="479">AB455</f>
        <v>Loading Bay</v>
      </c>
      <c r="AC476" t="str">
        <f t="shared" si="479"/>
        <v>Lift 2</v>
      </c>
      <c r="AD476" t="b">
        <f t="shared" ca="1" si="416"/>
        <v>1</v>
      </c>
      <c r="AE476" s="1" t="str">
        <f t="shared" ca="1" si="437"/>
        <v>32-33</v>
      </c>
      <c r="AF476" t="str">
        <f t="shared" ca="1" si="414"/>
        <v>Plot 32-33</v>
      </c>
    </row>
    <row r="477" spans="28:32" x14ac:dyDescent="0.25">
      <c r="AB477" t="str">
        <f t="shared" ref="AB477:AC477" si="480">AB456</f>
        <v>Loading Bay</v>
      </c>
      <c r="AC477" t="str">
        <f t="shared" si="480"/>
        <v>Lift 3</v>
      </c>
      <c r="AD477" t="b">
        <f t="shared" ca="1" si="416"/>
        <v>1</v>
      </c>
      <c r="AE477" s="1" t="str">
        <f t="shared" ca="1" si="437"/>
        <v>32-33</v>
      </c>
      <c r="AF477" t="str">
        <f t="shared" ref="AF477:AF540" ca="1" si="481">IF(LEFT(AE477,1)="G",AE477,"Plot "&amp;AE477)</f>
        <v>Plot 32-33</v>
      </c>
    </row>
    <row r="478" spans="28:32" x14ac:dyDescent="0.25">
      <c r="AB478" t="str">
        <f t="shared" ref="AB478:AC478" si="482">AB457</f>
        <v>Loading Bay</v>
      </c>
      <c r="AC478" t="str">
        <f t="shared" si="482"/>
        <v>Lift 4</v>
      </c>
      <c r="AD478" t="b">
        <f t="shared" ref="AD478:AD541" ca="1" si="483">INDEX($AC$1:$JH$22,MATCH(AC478,$AC$1:$AC$22,0),MATCH(AE478,$AC$1:$JH$1,0))</f>
        <v>0</v>
      </c>
      <c r="AE478" s="1" t="str">
        <f t="shared" ca="1" si="437"/>
        <v>32-33</v>
      </c>
      <c r="AF478" t="str">
        <f t="shared" ca="1" si="481"/>
        <v>Plot 32-33</v>
      </c>
    </row>
    <row r="479" spans="28:32" x14ac:dyDescent="0.25">
      <c r="AB479" t="str">
        <f t="shared" ref="AB479:AC479" si="484">AB458</f>
        <v>Loading Bay</v>
      </c>
      <c r="AC479" t="str">
        <f t="shared" si="484"/>
        <v>Lift 5</v>
      </c>
      <c r="AD479" t="b">
        <f t="shared" ca="1" si="483"/>
        <v>0</v>
      </c>
      <c r="AE479" s="1" t="str">
        <f t="shared" ca="1" si="437"/>
        <v>32-33</v>
      </c>
      <c r="AF479" t="str">
        <f t="shared" ca="1" si="481"/>
        <v>Plot 32-33</v>
      </c>
    </row>
    <row r="480" spans="28:32" x14ac:dyDescent="0.25">
      <c r="AB480" t="str">
        <f t="shared" ref="AB480:AC480" si="485">AB459</f>
        <v>Loading Bay</v>
      </c>
      <c r="AC480" t="str">
        <f t="shared" si="485"/>
        <v>Lift 6</v>
      </c>
      <c r="AD480" t="b">
        <f t="shared" ca="1" si="483"/>
        <v>0</v>
      </c>
      <c r="AE480" s="1" t="str">
        <f t="shared" ca="1" si="437"/>
        <v>32-33</v>
      </c>
      <c r="AF480" t="str">
        <f t="shared" ca="1" si="481"/>
        <v>Plot 32-33</v>
      </c>
    </row>
    <row r="481" spans="28:32" x14ac:dyDescent="0.25">
      <c r="AB481" t="str">
        <f t="shared" ref="AB481:AC481" si="486">AB460</f>
        <v>Scaffolding Platform</v>
      </c>
      <c r="AC481" t="str">
        <f t="shared" si="486"/>
        <v>Ground Floor</v>
      </c>
      <c r="AD481" t="b">
        <f t="shared" ca="1" si="483"/>
        <v>1</v>
      </c>
      <c r="AE481" s="1" t="str">
        <f t="shared" ca="1" si="437"/>
        <v>32-33</v>
      </c>
      <c r="AF481" t="str">
        <f t="shared" ca="1" si="481"/>
        <v>Plot 32-33</v>
      </c>
    </row>
    <row r="482" spans="28:32" x14ac:dyDescent="0.25">
      <c r="AB482" t="str">
        <f t="shared" ref="AB482:AC482" si="487">AB461</f>
        <v>Scaffolding Platform</v>
      </c>
      <c r="AC482" t="str">
        <f t="shared" si="487"/>
        <v>First Floor</v>
      </c>
      <c r="AD482" t="b">
        <f t="shared" ca="1" si="483"/>
        <v>1</v>
      </c>
      <c r="AE482" s="1" t="str">
        <f t="shared" ca="1" si="437"/>
        <v>32-33</v>
      </c>
      <c r="AF482" t="str">
        <f t="shared" ca="1" si="481"/>
        <v>Plot 32-33</v>
      </c>
    </row>
    <row r="483" spans="28:32" x14ac:dyDescent="0.25">
      <c r="AB483" t="str">
        <f t="shared" ref="AB483:AC483" si="488">AB462</f>
        <v>Scaffolding Platform</v>
      </c>
      <c r="AC483" t="str">
        <f t="shared" si="488"/>
        <v>Second Floor</v>
      </c>
      <c r="AD483" t="b">
        <f t="shared" ca="1" si="483"/>
        <v>0</v>
      </c>
      <c r="AE483" s="1" t="str">
        <f t="shared" ca="1" si="437"/>
        <v>32-33</v>
      </c>
      <c r="AF483" t="str">
        <f t="shared" ca="1" si="481"/>
        <v>Plot 32-33</v>
      </c>
    </row>
    <row r="484" spans="28:32" x14ac:dyDescent="0.25">
      <c r="AB484" t="str">
        <f t="shared" ref="AB484:AC484" si="489">AB463</f>
        <v>Supporting Scaffold</v>
      </c>
      <c r="AC484" t="str">
        <f t="shared" si="489"/>
        <v>Ground Floor Prop.</v>
      </c>
      <c r="AD484" t="str">
        <f t="shared" ca="1" si="483"/>
        <v>TRUE</v>
      </c>
      <c r="AE484" s="1" t="str">
        <f t="shared" ca="1" si="437"/>
        <v>32-33</v>
      </c>
      <c r="AF484" t="str">
        <f t="shared" ca="1" si="481"/>
        <v>Plot 32-33</v>
      </c>
    </row>
    <row r="485" spans="28:32" x14ac:dyDescent="0.25">
      <c r="AB485" t="str">
        <f t="shared" ref="AB485:AC485" si="490">AB464</f>
        <v>Supporting Scaffold</v>
      </c>
      <c r="AC485" t="str">
        <f t="shared" si="490"/>
        <v>First Floor Prop.</v>
      </c>
      <c r="AD485" t="str">
        <f t="shared" ca="1" si="483"/>
        <v>FALSE</v>
      </c>
      <c r="AE485" s="1" t="str">
        <f t="shared" ca="1" si="437"/>
        <v>32-33</v>
      </c>
      <c r="AF485" t="str">
        <f t="shared" ca="1" si="481"/>
        <v>Plot 32-33</v>
      </c>
    </row>
    <row r="486" spans="28:32" x14ac:dyDescent="0.25">
      <c r="AB486" t="str">
        <f t="shared" ref="AB486:AC486" si="491">AB465</f>
        <v>Supporting Scaffold</v>
      </c>
      <c r="AC486" t="str">
        <f t="shared" si="491"/>
        <v>Second Floor Prop.</v>
      </c>
      <c r="AD486" t="str">
        <f t="shared" ca="1" si="483"/>
        <v>FALSE</v>
      </c>
      <c r="AE486" s="1" t="str">
        <f t="shared" ca="1" si="437"/>
        <v>32-33</v>
      </c>
      <c r="AF486" t="str">
        <f t="shared" ca="1" si="481"/>
        <v>Plot 32-33</v>
      </c>
    </row>
    <row r="487" spans="28:32" x14ac:dyDescent="0.25">
      <c r="AB487" t="str">
        <f t="shared" ref="AB487:AC487" si="492">AB466</f>
        <v>External Scaffolding</v>
      </c>
      <c r="AC487" t="str">
        <f t="shared" si="492"/>
        <v>Hop-ups</v>
      </c>
      <c r="AD487" t="b">
        <f t="shared" ca="1" si="483"/>
        <v>1</v>
      </c>
      <c r="AE487" s="1" t="str">
        <f t="shared" ca="1" si="437"/>
        <v>32-33</v>
      </c>
      <c r="AF487" t="str">
        <f t="shared" ca="1" si="481"/>
        <v>Plot 32-33</v>
      </c>
    </row>
    <row r="488" spans="28:32" x14ac:dyDescent="0.25">
      <c r="AB488" t="str">
        <f t="shared" ref="AB488:AC488" si="493">AB467</f>
        <v>External Scaffolding</v>
      </c>
      <c r="AC488" t="str">
        <f t="shared" si="493"/>
        <v>Adaptions</v>
      </c>
      <c r="AD488" t="b">
        <f t="shared" ca="1" si="483"/>
        <v>1</v>
      </c>
      <c r="AE488" s="1" t="str">
        <f t="shared" ca="1" si="437"/>
        <v>32-33</v>
      </c>
      <c r="AF488" t="str">
        <f t="shared" ca="1" si="481"/>
        <v>Plot 32-33</v>
      </c>
    </row>
    <row r="489" spans="28:32" x14ac:dyDescent="0.25">
      <c r="AB489" t="str">
        <f t="shared" ref="AB489:AC489" si="494">AB468</f>
        <v>External Scaffolding</v>
      </c>
      <c r="AC489" t="str">
        <f t="shared" si="494"/>
        <v>Adaption Tower</v>
      </c>
      <c r="AD489" t="b">
        <f t="shared" ca="1" si="483"/>
        <v>1</v>
      </c>
      <c r="AE489" s="1" t="str">
        <f t="shared" ca="1" si="437"/>
        <v>32-33</v>
      </c>
      <c r="AF489" t="str">
        <f t="shared" ca="1" si="481"/>
        <v>Plot 32-33</v>
      </c>
    </row>
    <row r="490" spans="28:32" x14ac:dyDescent="0.25">
      <c r="AB490" t="str">
        <f t="shared" ref="AB490:AC490" si="495">AB469</f>
        <v>External Scaffolding</v>
      </c>
      <c r="AC490" t="str">
        <f t="shared" si="495"/>
        <v>Lift 1</v>
      </c>
      <c r="AD490" t="b">
        <f t="shared" ca="1" si="483"/>
        <v>1</v>
      </c>
      <c r="AE490" s="1" t="str">
        <f t="shared" ca="1" si="437"/>
        <v>34-35</v>
      </c>
      <c r="AF490" t="str">
        <f t="shared" ca="1" si="481"/>
        <v>Plot 34-35</v>
      </c>
    </row>
    <row r="491" spans="28:32" x14ac:dyDescent="0.25">
      <c r="AB491" t="str">
        <f t="shared" ref="AB491:AC491" si="496">AB470</f>
        <v>External Scaffolding</v>
      </c>
      <c r="AC491" t="str">
        <f t="shared" si="496"/>
        <v>Lift 2</v>
      </c>
      <c r="AD491" t="b">
        <f t="shared" ca="1" si="483"/>
        <v>1</v>
      </c>
      <c r="AE491" s="1" t="str">
        <f t="shared" ca="1" si="437"/>
        <v>34-35</v>
      </c>
      <c r="AF491" t="str">
        <f t="shared" ca="1" si="481"/>
        <v>Plot 34-35</v>
      </c>
    </row>
    <row r="492" spans="28:32" x14ac:dyDescent="0.25">
      <c r="AB492" t="str">
        <f t="shared" ref="AB492:AC492" si="497">AB471</f>
        <v>External Scaffolding</v>
      </c>
      <c r="AC492" t="str">
        <f t="shared" si="497"/>
        <v>Lift 3</v>
      </c>
      <c r="AD492" t="b">
        <f t="shared" ca="1" si="483"/>
        <v>1</v>
      </c>
      <c r="AE492" s="1" t="str">
        <f t="shared" ca="1" si="437"/>
        <v>34-35</v>
      </c>
      <c r="AF492" t="str">
        <f t="shared" ca="1" si="481"/>
        <v>Plot 34-35</v>
      </c>
    </row>
    <row r="493" spans="28:32" x14ac:dyDescent="0.25">
      <c r="AB493" t="str">
        <f t="shared" ref="AB493:AC493" si="498">AB472</f>
        <v>External Scaffolding</v>
      </c>
      <c r="AC493" t="str">
        <f t="shared" si="498"/>
        <v>Lift 4</v>
      </c>
      <c r="AD493" t="b">
        <f t="shared" ca="1" si="483"/>
        <v>0</v>
      </c>
      <c r="AE493" s="1" t="str">
        <f t="shared" ca="1" si="437"/>
        <v>34-35</v>
      </c>
      <c r="AF493" t="str">
        <f t="shared" ca="1" si="481"/>
        <v>Plot 34-35</v>
      </c>
    </row>
    <row r="494" spans="28:32" x14ac:dyDescent="0.25">
      <c r="AB494" t="str">
        <f t="shared" ref="AB494:AC494" si="499">AB473</f>
        <v>External Scaffolding</v>
      </c>
      <c r="AC494" t="str">
        <f t="shared" si="499"/>
        <v>Lift 5</v>
      </c>
      <c r="AD494" t="b">
        <f t="shared" ca="1" si="483"/>
        <v>0</v>
      </c>
      <c r="AE494" s="1" t="str">
        <f t="shared" ca="1" si="437"/>
        <v>34-35</v>
      </c>
      <c r="AF494" t="str">
        <f t="shared" ca="1" si="481"/>
        <v>Plot 34-35</v>
      </c>
    </row>
    <row r="495" spans="28:32" x14ac:dyDescent="0.25">
      <c r="AB495" t="str">
        <f t="shared" ref="AB495:AC495" si="500">AB474</f>
        <v>External Scaffolding</v>
      </c>
      <c r="AC495" t="str">
        <f t="shared" si="500"/>
        <v>Lift 6</v>
      </c>
      <c r="AD495" t="b">
        <f t="shared" ca="1" si="483"/>
        <v>0</v>
      </c>
      <c r="AE495" s="1" t="str">
        <f t="shared" ca="1" si="437"/>
        <v>34-35</v>
      </c>
      <c r="AF495" t="str">
        <f t="shared" ca="1" si="481"/>
        <v>Plot 34-35</v>
      </c>
    </row>
    <row r="496" spans="28:32" x14ac:dyDescent="0.25">
      <c r="AB496" t="str">
        <f t="shared" ref="AB496:AC496" si="501">AB475</f>
        <v>Loading Bay</v>
      </c>
      <c r="AC496" t="str">
        <f t="shared" si="501"/>
        <v>Lift 1</v>
      </c>
      <c r="AD496" t="b">
        <f t="shared" ca="1" si="483"/>
        <v>1</v>
      </c>
      <c r="AE496" s="1" t="str">
        <f t="shared" ca="1" si="437"/>
        <v>34-35</v>
      </c>
      <c r="AF496" t="str">
        <f t="shared" ca="1" si="481"/>
        <v>Plot 34-35</v>
      </c>
    </row>
    <row r="497" spans="28:32" x14ac:dyDescent="0.25">
      <c r="AB497" t="str">
        <f t="shared" ref="AB497:AC497" si="502">AB476</f>
        <v>Loading Bay</v>
      </c>
      <c r="AC497" t="str">
        <f t="shared" si="502"/>
        <v>Lift 2</v>
      </c>
      <c r="AD497" t="b">
        <f t="shared" ca="1" si="483"/>
        <v>1</v>
      </c>
      <c r="AE497" s="1" t="str">
        <f t="shared" ca="1" si="437"/>
        <v>34-35</v>
      </c>
      <c r="AF497" t="str">
        <f t="shared" ca="1" si="481"/>
        <v>Plot 34-35</v>
      </c>
    </row>
    <row r="498" spans="28:32" x14ac:dyDescent="0.25">
      <c r="AB498" t="str">
        <f t="shared" ref="AB498:AC498" si="503">AB477</f>
        <v>Loading Bay</v>
      </c>
      <c r="AC498" t="str">
        <f t="shared" si="503"/>
        <v>Lift 3</v>
      </c>
      <c r="AD498" t="b">
        <f t="shared" ca="1" si="483"/>
        <v>1</v>
      </c>
      <c r="AE498" s="1" t="str">
        <f t="shared" ref="AE498:AE561" ca="1" si="504">OFFSET($AD$1,0,FLOOR(ROW(B470)/21,1))</f>
        <v>34-35</v>
      </c>
      <c r="AF498" t="str">
        <f t="shared" ca="1" si="481"/>
        <v>Plot 34-35</v>
      </c>
    </row>
    <row r="499" spans="28:32" x14ac:dyDescent="0.25">
      <c r="AB499" t="str">
        <f t="shared" ref="AB499:AC499" si="505">AB478</f>
        <v>Loading Bay</v>
      </c>
      <c r="AC499" t="str">
        <f t="shared" si="505"/>
        <v>Lift 4</v>
      </c>
      <c r="AD499" t="b">
        <f t="shared" ca="1" si="483"/>
        <v>0</v>
      </c>
      <c r="AE499" s="1" t="str">
        <f t="shared" ca="1" si="504"/>
        <v>34-35</v>
      </c>
      <c r="AF499" t="str">
        <f t="shared" ca="1" si="481"/>
        <v>Plot 34-35</v>
      </c>
    </row>
    <row r="500" spans="28:32" x14ac:dyDescent="0.25">
      <c r="AB500" t="str">
        <f t="shared" ref="AB500:AC500" si="506">AB479</f>
        <v>Loading Bay</v>
      </c>
      <c r="AC500" t="str">
        <f t="shared" si="506"/>
        <v>Lift 5</v>
      </c>
      <c r="AD500" t="b">
        <f t="shared" ca="1" si="483"/>
        <v>0</v>
      </c>
      <c r="AE500" s="1" t="str">
        <f t="shared" ca="1" si="504"/>
        <v>34-35</v>
      </c>
      <c r="AF500" t="str">
        <f t="shared" ca="1" si="481"/>
        <v>Plot 34-35</v>
      </c>
    </row>
    <row r="501" spans="28:32" x14ac:dyDescent="0.25">
      <c r="AB501" t="str">
        <f t="shared" ref="AB501:AC501" si="507">AB480</f>
        <v>Loading Bay</v>
      </c>
      <c r="AC501" t="str">
        <f t="shared" si="507"/>
        <v>Lift 6</v>
      </c>
      <c r="AD501" t="b">
        <f t="shared" ca="1" si="483"/>
        <v>0</v>
      </c>
      <c r="AE501" s="1" t="str">
        <f t="shared" ca="1" si="504"/>
        <v>34-35</v>
      </c>
      <c r="AF501" t="str">
        <f t="shared" ca="1" si="481"/>
        <v>Plot 34-35</v>
      </c>
    </row>
    <row r="502" spans="28:32" x14ac:dyDescent="0.25">
      <c r="AB502" t="str">
        <f t="shared" ref="AB502:AC502" si="508">AB481</f>
        <v>Scaffolding Platform</v>
      </c>
      <c r="AC502" t="str">
        <f t="shared" si="508"/>
        <v>Ground Floor</v>
      </c>
      <c r="AD502" t="b">
        <f t="shared" ca="1" si="483"/>
        <v>1</v>
      </c>
      <c r="AE502" s="1" t="str">
        <f t="shared" ca="1" si="504"/>
        <v>34-35</v>
      </c>
      <c r="AF502" t="str">
        <f t="shared" ca="1" si="481"/>
        <v>Plot 34-35</v>
      </c>
    </row>
    <row r="503" spans="28:32" x14ac:dyDescent="0.25">
      <c r="AB503" t="str">
        <f t="shared" ref="AB503:AC503" si="509">AB482</f>
        <v>Scaffolding Platform</v>
      </c>
      <c r="AC503" t="str">
        <f t="shared" si="509"/>
        <v>First Floor</v>
      </c>
      <c r="AD503" t="b">
        <f t="shared" ca="1" si="483"/>
        <v>1</v>
      </c>
      <c r="AE503" s="1" t="str">
        <f t="shared" ca="1" si="504"/>
        <v>34-35</v>
      </c>
      <c r="AF503" t="str">
        <f t="shared" ca="1" si="481"/>
        <v>Plot 34-35</v>
      </c>
    </row>
    <row r="504" spans="28:32" x14ac:dyDescent="0.25">
      <c r="AB504" t="str">
        <f t="shared" ref="AB504:AC504" si="510">AB483</f>
        <v>Scaffolding Platform</v>
      </c>
      <c r="AC504" t="str">
        <f t="shared" si="510"/>
        <v>Second Floor</v>
      </c>
      <c r="AD504" t="b">
        <f t="shared" ca="1" si="483"/>
        <v>0</v>
      </c>
      <c r="AE504" s="1" t="str">
        <f t="shared" ca="1" si="504"/>
        <v>34-35</v>
      </c>
      <c r="AF504" t="str">
        <f t="shared" ca="1" si="481"/>
        <v>Plot 34-35</v>
      </c>
    </row>
    <row r="505" spans="28:32" x14ac:dyDescent="0.25">
      <c r="AB505" t="str">
        <f t="shared" ref="AB505:AC505" si="511">AB484</f>
        <v>Supporting Scaffold</v>
      </c>
      <c r="AC505" t="str">
        <f t="shared" si="511"/>
        <v>Ground Floor Prop.</v>
      </c>
      <c r="AD505" t="str">
        <f t="shared" ca="1" si="483"/>
        <v>TRUE</v>
      </c>
      <c r="AE505" s="1" t="str">
        <f t="shared" ca="1" si="504"/>
        <v>34-35</v>
      </c>
      <c r="AF505" t="str">
        <f t="shared" ca="1" si="481"/>
        <v>Plot 34-35</v>
      </c>
    </row>
    <row r="506" spans="28:32" x14ac:dyDescent="0.25">
      <c r="AB506" t="str">
        <f t="shared" ref="AB506:AC506" si="512">AB485</f>
        <v>Supporting Scaffold</v>
      </c>
      <c r="AC506" t="str">
        <f t="shared" si="512"/>
        <v>First Floor Prop.</v>
      </c>
      <c r="AD506" t="str">
        <f t="shared" ca="1" si="483"/>
        <v>FALSE</v>
      </c>
      <c r="AE506" s="1" t="str">
        <f t="shared" ca="1" si="504"/>
        <v>34-35</v>
      </c>
      <c r="AF506" t="str">
        <f t="shared" ca="1" si="481"/>
        <v>Plot 34-35</v>
      </c>
    </row>
    <row r="507" spans="28:32" x14ac:dyDescent="0.25">
      <c r="AB507" t="str">
        <f t="shared" ref="AB507:AC507" si="513">AB486</f>
        <v>Supporting Scaffold</v>
      </c>
      <c r="AC507" t="str">
        <f t="shared" si="513"/>
        <v>Second Floor Prop.</v>
      </c>
      <c r="AD507" t="str">
        <f t="shared" ca="1" si="483"/>
        <v>FALSE</v>
      </c>
      <c r="AE507" s="1" t="str">
        <f t="shared" ca="1" si="504"/>
        <v>34-35</v>
      </c>
      <c r="AF507" t="str">
        <f t="shared" ca="1" si="481"/>
        <v>Plot 34-35</v>
      </c>
    </row>
    <row r="508" spans="28:32" x14ac:dyDescent="0.25">
      <c r="AB508" t="str">
        <f t="shared" ref="AB508:AC508" si="514">AB487</f>
        <v>External Scaffolding</v>
      </c>
      <c r="AC508" t="str">
        <f t="shared" si="514"/>
        <v>Hop-ups</v>
      </c>
      <c r="AD508" t="b">
        <f t="shared" ca="1" si="483"/>
        <v>1</v>
      </c>
      <c r="AE508" s="1" t="str">
        <f t="shared" ca="1" si="504"/>
        <v>34-35</v>
      </c>
      <c r="AF508" t="str">
        <f t="shared" ca="1" si="481"/>
        <v>Plot 34-35</v>
      </c>
    </row>
    <row r="509" spans="28:32" x14ac:dyDescent="0.25">
      <c r="AB509" t="str">
        <f t="shared" ref="AB509:AC509" si="515">AB488</f>
        <v>External Scaffolding</v>
      </c>
      <c r="AC509" t="str">
        <f t="shared" si="515"/>
        <v>Adaptions</v>
      </c>
      <c r="AD509" t="b">
        <f t="shared" ca="1" si="483"/>
        <v>1</v>
      </c>
      <c r="AE509" s="1" t="str">
        <f t="shared" ca="1" si="504"/>
        <v>34-35</v>
      </c>
      <c r="AF509" t="str">
        <f t="shared" ca="1" si="481"/>
        <v>Plot 34-35</v>
      </c>
    </row>
    <row r="510" spans="28:32" x14ac:dyDescent="0.25">
      <c r="AB510" t="str">
        <f t="shared" ref="AB510:AC510" si="516">AB489</f>
        <v>External Scaffolding</v>
      </c>
      <c r="AC510" t="str">
        <f t="shared" si="516"/>
        <v>Adaption Tower</v>
      </c>
      <c r="AD510" t="b">
        <f t="shared" ca="1" si="483"/>
        <v>1</v>
      </c>
      <c r="AE510" s="1" t="str">
        <f t="shared" ca="1" si="504"/>
        <v>34-35</v>
      </c>
      <c r="AF510" t="str">
        <f t="shared" ca="1" si="481"/>
        <v>Plot 34-35</v>
      </c>
    </row>
    <row r="511" spans="28:32" x14ac:dyDescent="0.25">
      <c r="AB511" t="str">
        <f t="shared" ref="AB511:AC511" si="517">AB490</f>
        <v>External Scaffolding</v>
      </c>
      <c r="AC511" t="str">
        <f t="shared" si="517"/>
        <v>Lift 1</v>
      </c>
      <c r="AD511" t="b">
        <f t="shared" ca="1" si="483"/>
        <v>1</v>
      </c>
      <c r="AE511" s="1" t="str">
        <f t="shared" ca="1" si="504"/>
        <v>36-37</v>
      </c>
      <c r="AF511" t="str">
        <f t="shared" ca="1" si="481"/>
        <v>Plot 36-37</v>
      </c>
    </row>
    <row r="512" spans="28:32" x14ac:dyDescent="0.25">
      <c r="AB512" t="str">
        <f t="shared" ref="AB512:AC512" si="518">AB491</f>
        <v>External Scaffolding</v>
      </c>
      <c r="AC512" t="str">
        <f t="shared" si="518"/>
        <v>Lift 2</v>
      </c>
      <c r="AD512" t="b">
        <f t="shared" ca="1" si="483"/>
        <v>1</v>
      </c>
      <c r="AE512" s="1" t="str">
        <f t="shared" ca="1" si="504"/>
        <v>36-37</v>
      </c>
      <c r="AF512" t="str">
        <f t="shared" ca="1" si="481"/>
        <v>Plot 36-37</v>
      </c>
    </row>
    <row r="513" spans="28:32" x14ac:dyDescent="0.25">
      <c r="AB513" t="str">
        <f t="shared" ref="AB513:AC513" si="519">AB492</f>
        <v>External Scaffolding</v>
      </c>
      <c r="AC513" t="str">
        <f t="shared" si="519"/>
        <v>Lift 3</v>
      </c>
      <c r="AD513" t="b">
        <f t="shared" ca="1" si="483"/>
        <v>1</v>
      </c>
      <c r="AE513" s="1" t="str">
        <f t="shared" ca="1" si="504"/>
        <v>36-37</v>
      </c>
      <c r="AF513" t="str">
        <f t="shared" ca="1" si="481"/>
        <v>Plot 36-37</v>
      </c>
    </row>
    <row r="514" spans="28:32" x14ac:dyDescent="0.25">
      <c r="AB514" t="str">
        <f t="shared" ref="AB514:AC514" si="520">AB493</f>
        <v>External Scaffolding</v>
      </c>
      <c r="AC514" t="str">
        <f t="shared" si="520"/>
        <v>Lift 4</v>
      </c>
      <c r="AD514" t="b">
        <f t="shared" ca="1" si="483"/>
        <v>0</v>
      </c>
      <c r="AE514" s="1" t="str">
        <f t="shared" ca="1" si="504"/>
        <v>36-37</v>
      </c>
      <c r="AF514" t="str">
        <f t="shared" ca="1" si="481"/>
        <v>Plot 36-37</v>
      </c>
    </row>
    <row r="515" spans="28:32" x14ac:dyDescent="0.25">
      <c r="AB515" t="str">
        <f t="shared" ref="AB515:AC515" si="521">AB494</f>
        <v>External Scaffolding</v>
      </c>
      <c r="AC515" t="str">
        <f t="shared" si="521"/>
        <v>Lift 5</v>
      </c>
      <c r="AD515" t="b">
        <f t="shared" ca="1" si="483"/>
        <v>0</v>
      </c>
      <c r="AE515" s="1" t="str">
        <f t="shared" ca="1" si="504"/>
        <v>36-37</v>
      </c>
      <c r="AF515" t="str">
        <f t="shared" ca="1" si="481"/>
        <v>Plot 36-37</v>
      </c>
    </row>
    <row r="516" spans="28:32" x14ac:dyDescent="0.25">
      <c r="AB516" t="str">
        <f t="shared" ref="AB516:AC516" si="522">AB495</f>
        <v>External Scaffolding</v>
      </c>
      <c r="AC516" t="str">
        <f t="shared" si="522"/>
        <v>Lift 6</v>
      </c>
      <c r="AD516" t="b">
        <f t="shared" ca="1" si="483"/>
        <v>0</v>
      </c>
      <c r="AE516" s="1" t="str">
        <f t="shared" ca="1" si="504"/>
        <v>36-37</v>
      </c>
      <c r="AF516" t="str">
        <f t="shared" ca="1" si="481"/>
        <v>Plot 36-37</v>
      </c>
    </row>
    <row r="517" spans="28:32" x14ac:dyDescent="0.25">
      <c r="AB517" t="str">
        <f t="shared" ref="AB517:AC517" si="523">AB496</f>
        <v>Loading Bay</v>
      </c>
      <c r="AC517" t="str">
        <f t="shared" si="523"/>
        <v>Lift 1</v>
      </c>
      <c r="AD517" t="b">
        <f t="shared" ca="1" si="483"/>
        <v>1</v>
      </c>
      <c r="AE517" s="1" t="str">
        <f t="shared" ca="1" si="504"/>
        <v>36-37</v>
      </c>
      <c r="AF517" t="str">
        <f t="shared" ca="1" si="481"/>
        <v>Plot 36-37</v>
      </c>
    </row>
    <row r="518" spans="28:32" x14ac:dyDescent="0.25">
      <c r="AB518" t="str">
        <f t="shared" ref="AB518:AC518" si="524">AB497</f>
        <v>Loading Bay</v>
      </c>
      <c r="AC518" t="str">
        <f t="shared" si="524"/>
        <v>Lift 2</v>
      </c>
      <c r="AD518" t="b">
        <f t="shared" ca="1" si="483"/>
        <v>1</v>
      </c>
      <c r="AE518" s="1" t="str">
        <f t="shared" ca="1" si="504"/>
        <v>36-37</v>
      </c>
      <c r="AF518" t="str">
        <f t="shared" ca="1" si="481"/>
        <v>Plot 36-37</v>
      </c>
    </row>
    <row r="519" spans="28:32" x14ac:dyDescent="0.25">
      <c r="AB519" t="str">
        <f t="shared" ref="AB519:AC519" si="525">AB498</f>
        <v>Loading Bay</v>
      </c>
      <c r="AC519" t="str">
        <f t="shared" si="525"/>
        <v>Lift 3</v>
      </c>
      <c r="AD519" t="b">
        <f t="shared" ca="1" si="483"/>
        <v>1</v>
      </c>
      <c r="AE519" s="1" t="str">
        <f t="shared" ca="1" si="504"/>
        <v>36-37</v>
      </c>
      <c r="AF519" t="str">
        <f t="shared" ca="1" si="481"/>
        <v>Plot 36-37</v>
      </c>
    </row>
    <row r="520" spans="28:32" x14ac:dyDescent="0.25">
      <c r="AB520" t="str">
        <f t="shared" ref="AB520:AC520" si="526">AB499</f>
        <v>Loading Bay</v>
      </c>
      <c r="AC520" t="str">
        <f t="shared" si="526"/>
        <v>Lift 4</v>
      </c>
      <c r="AD520" t="b">
        <f t="shared" ca="1" si="483"/>
        <v>0</v>
      </c>
      <c r="AE520" s="1" t="str">
        <f t="shared" ca="1" si="504"/>
        <v>36-37</v>
      </c>
      <c r="AF520" t="str">
        <f t="shared" ca="1" si="481"/>
        <v>Plot 36-37</v>
      </c>
    </row>
    <row r="521" spans="28:32" x14ac:dyDescent="0.25">
      <c r="AB521" t="str">
        <f t="shared" ref="AB521:AC521" si="527">AB500</f>
        <v>Loading Bay</v>
      </c>
      <c r="AC521" t="str">
        <f t="shared" si="527"/>
        <v>Lift 5</v>
      </c>
      <c r="AD521" t="b">
        <f t="shared" ca="1" si="483"/>
        <v>0</v>
      </c>
      <c r="AE521" s="1" t="str">
        <f t="shared" ca="1" si="504"/>
        <v>36-37</v>
      </c>
      <c r="AF521" t="str">
        <f t="shared" ca="1" si="481"/>
        <v>Plot 36-37</v>
      </c>
    </row>
    <row r="522" spans="28:32" x14ac:dyDescent="0.25">
      <c r="AB522" t="str">
        <f t="shared" ref="AB522:AC522" si="528">AB501</f>
        <v>Loading Bay</v>
      </c>
      <c r="AC522" t="str">
        <f t="shared" si="528"/>
        <v>Lift 6</v>
      </c>
      <c r="AD522" t="b">
        <f t="shared" ca="1" si="483"/>
        <v>0</v>
      </c>
      <c r="AE522" s="1" t="str">
        <f t="shared" ca="1" si="504"/>
        <v>36-37</v>
      </c>
      <c r="AF522" t="str">
        <f t="shared" ca="1" si="481"/>
        <v>Plot 36-37</v>
      </c>
    </row>
    <row r="523" spans="28:32" x14ac:dyDescent="0.25">
      <c r="AB523" t="str">
        <f t="shared" ref="AB523:AC523" si="529">AB502</f>
        <v>Scaffolding Platform</v>
      </c>
      <c r="AC523" t="str">
        <f t="shared" si="529"/>
        <v>Ground Floor</v>
      </c>
      <c r="AD523" t="b">
        <f t="shared" ca="1" si="483"/>
        <v>1</v>
      </c>
      <c r="AE523" s="1" t="str">
        <f t="shared" ca="1" si="504"/>
        <v>36-37</v>
      </c>
      <c r="AF523" t="str">
        <f t="shared" ca="1" si="481"/>
        <v>Plot 36-37</v>
      </c>
    </row>
    <row r="524" spans="28:32" x14ac:dyDescent="0.25">
      <c r="AB524" t="str">
        <f t="shared" ref="AB524:AC524" si="530">AB503</f>
        <v>Scaffolding Platform</v>
      </c>
      <c r="AC524" t="str">
        <f t="shared" si="530"/>
        <v>First Floor</v>
      </c>
      <c r="AD524" t="b">
        <f t="shared" ca="1" si="483"/>
        <v>1</v>
      </c>
      <c r="AE524" s="1" t="str">
        <f t="shared" ca="1" si="504"/>
        <v>36-37</v>
      </c>
      <c r="AF524" t="str">
        <f t="shared" ca="1" si="481"/>
        <v>Plot 36-37</v>
      </c>
    </row>
    <row r="525" spans="28:32" x14ac:dyDescent="0.25">
      <c r="AB525" t="str">
        <f t="shared" ref="AB525:AC525" si="531">AB504</f>
        <v>Scaffolding Platform</v>
      </c>
      <c r="AC525" t="str">
        <f t="shared" si="531"/>
        <v>Second Floor</v>
      </c>
      <c r="AD525" t="b">
        <f t="shared" ca="1" si="483"/>
        <v>0</v>
      </c>
      <c r="AE525" s="1" t="str">
        <f t="shared" ca="1" si="504"/>
        <v>36-37</v>
      </c>
      <c r="AF525" t="str">
        <f t="shared" ca="1" si="481"/>
        <v>Plot 36-37</v>
      </c>
    </row>
    <row r="526" spans="28:32" x14ac:dyDescent="0.25">
      <c r="AB526" t="str">
        <f t="shared" ref="AB526:AC526" si="532">AB505</f>
        <v>Supporting Scaffold</v>
      </c>
      <c r="AC526" t="str">
        <f t="shared" si="532"/>
        <v>Ground Floor Prop.</v>
      </c>
      <c r="AD526" t="str">
        <f t="shared" ca="1" si="483"/>
        <v>TRUE</v>
      </c>
      <c r="AE526" s="1" t="str">
        <f t="shared" ca="1" si="504"/>
        <v>36-37</v>
      </c>
      <c r="AF526" t="str">
        <f t="shared" ca="1" si="481"/>
        <v>Plot 36-37</v>
      </c>
    </row>
    <row r="527" spans="28:32" x14ac:dyDescent="0.25">
      <c r="AB527" t="str">
        <f t="shared" ref="AB527:AC527" si="533">AB506</f>
        <v>Supporting Scaffold</v>
      </c>
      <c r="AC527" t="str">
        <f t="shared" si="533"/>
        <v>First Floor Prop.</v>
      </c>
      <c r="AD527" t="str">
        <f t="shared" ca="1" si="483"/>
        <v>FALSE</v>
      </c>
      <c r="AE527" s="1" t="str">
        <f t="shared" ca="1" si="504"/>
        <v>36-37</v>
      </c>
      <c r="AF527" t="str">
        <f t="shared" ca="1" si="481"/>
        <v>Plot 36-37</v>
      </c>
    </row>
    <row r="528" spans="28:32" x14ac:dyDescent="0.25">
      <c r="AB528" t="str">
        <f t="shared" ref="AB528:AC528" si="534">AB507</f>
        <v>Supporting Scaffold</v>
      </c>
      <c r="AC528" t="str">
        <f t="shared" si="534"/>
        <v>Second Floor Prop.</v>
      </c>
      <c r="AD528" t="str">
        <f t="shared" ca="1" si="483"/>
        <v>FALSE</v>
      </c>
      <c r="AE528" s="1" t="str">
        <f t="shared" ca="1" si="504"/>
        <v>36-37</v>
      </c>
      <c r="AF528" t="str">
        <f t="shared" ca="1" si="481"/>
        <v>Plot 36-37</v>
      </c>
    </row>
    <row r="529" spans="28:32" x14ac:dyDescent="0.25">
      <c r="AB529" t="str">
        <f t="shared" ref="AB529:AC529" si="535">AB508</f>
        <v>External Scaffolding</v>
      </c>
      <c r="AC529" t="str">
        <f t="shared" si="535"/>
        <v>Hop-ups</v>
      </c>
      <c r="AD529" t="b">
        <f t="shared" ca="1" si="483"/>
        <v>1</v>
      </c>
      <c r="AE529" s="1" t="str">
        <f t="shared" ca="1" si="504"/>
        <v>36-37</v>
      </c>
      <c r="AF529" t="str">
        <f t="shared" ca="1" si="481"/>
        <v>Plot 36-37</v>
      </c>
    </row>
    <row r="530" spans="28:32" x14ac:dyDescent="0.25">
      <c r="AB530" t="str">
        <f t="shared" ref="AB530:AC530" si="536">AB509</f>
        <v>External Scaffolding</v>
      </c>
      <c r="AC530" t="str">
        <f t="shared" si="536"/>
        <v>Adaptions</v>
      </c>
      <c r="AD530" t="b">
        <f t="shared" ca="1" si="483"/>
        <v>1</v>
      </c>
      <c r="AE530" s="1" t="str">
        <f t="shared" ca="1" si="504"/>
        <v>36-37</v>
      </c>
      <c r="AF530" t="str">
        <f t="shared" ca="1" si="481"/>
        <v>Plot 36-37</v>
      </c>
    </row>
    <row r="531" spans="28:32" x14ac:dyDescent="0.25">
      <c r="AB531" t="str">
        <f t="shared" ref="AB531:AC531" si="537">AB510</f>
        <v>External Scaffolding</v>
      </c>
      <c r="AC531" t="str">
        <f t="shared" si="537"/>
        <v>Adaption Tower</v>
      </c>
      <c r="AD531" t="b">
        <f t="shared" ca="1" si="483"/>
        <v>1</v>
      </c>
      <c r="AE531" s="1" t="str">
        <f t="shared" ca="1" si="504"/>
        <v>36-37</v>
      </c>
      <c r="AF531" t="str">
        <f t="shared" ca="1" si="481"/>
        <v>Plot 36-37</v>
      </c>
    </row>
    <row r="532" spans="28:32" x14ac:dyDescent="0.25">
      <c r="AB532" t="str">
        <f t="shared" ref="AB532:AC532" si="538">AB511</f>
        <v>External Scaffolding</v>
      </c>
      <c r="AC532" t="str">
        <f t="shared" si="538"/>
        <v>Lift 1</v>
      </c>
      <c r="AD532" t="b">
        <f t="shared" ca="1" si="483"/>
        <v>1</v>
      </c>
      <c r="AE532" s="1" t="str">
        <f t="shared" ca="1" si="504"/>
        <v>38-44</v>
      </c>
      <c r="AF532" t="str">
        <f t="shared" ca="1" si="481"/>
        <v>Plot 38-44</v>
      </c>
    </row>
    <row r="533" spans="28:32" x14ac:dyDescent="0.25">
      <c r="AB533" t="str">
        <f t="shared" ref="AB533:AC533" si="539">AB512</f>
        <v>External Scaffolding</v>
      </c>
      <c r="AC533" t="str">
        <f t="shared" si="539"/>
        <v>Lift 2</v>
      </c>
      <c r="AD533" t="b">
        <f t="shared" ca="1" si="483"/>
        <v>1</v>
      </c>
      <c r="AE533" s="1" t="str">
        <f t="shared" ca="1" si="504"/>
        <v>38-44</v>
      </c>
      <c r="AF533" t="str">
        <f t="shared" ca="1" si="481"/>
        <v>Plot 38-44</v>
      </c>
    </row>
    <row r="534" spans="28:32" x14ac:dyDescent="0.25">
      <c r="AB534" t="str">
        <f t="shared" ref="AB534:AC534" si="540">AB513</f>
        <v>External Scaffolding</v>
      </c>
      <c r="AC534" t="str">
        <f t="shared" si="540"/>
        <v>Lift 3</v>
      </c>
      <c r="AD534" t="b">
        <f t="shared" ca="1" si="483"/>
        <v>1</v>
      </c>
      <c r="AE534" s="1" t="str">
        <f t="shared" ca="1" si="504"/>
        <v>38-44</v>
      </c>
      <c r="AF534" t="str">
        <f t="shared" ca="1" si="481"/>
        <v>Plot 38-44</v>
      </c>
    </row>
    <row r="535" spans="28:32" x14ac:dyDescent="0.25">
      <c r="AB535" t="str">
        <f t="shared" ref="AB535:AC535" si="541">AB514</f>
        <v>External Scaffolding</v>
      </c>
      <c r="AC535" t="str">
        <f t="shared" si="541"/>
        <v>Lift 4</v>
      </c>
      <c r="AD535" t="b">
        <f t="shared" ca="1" si="483"/>
        <v>0</v>
      </c>
      <c r="AE535" s="1" t="str">
        <f t="shared" ca="1" si="504"/>
        <v>38-44</v>
      </c>
      <c r="AF535" t="str">
        <f t="shared" ca="1" si="481"/>
        <v>Plot 38-44</v>
      </c>
    </row>
    <row r="536" spans="28:32" x14ac:dyDescent="0.25">
      <c r="AB536" t="str">
        <f t="shared" ref="AB536:AC536" si="542">AB515</f>
        <v>External Scaffolding</v>
      </c>
      <c r="AC536" t="str">
        <f t="shared" si="542"/>
        <v>Lift 5</v>
      </c>
      <c r="AD536" t="b">
        <f t="shared" ca="1" si="483"/>
        <v>0</v>
      </c>
      <c r="AE536" s="1" t="str">
        <f t="shared" ca="1" si="504"/>
        <v>38-44</v>
      </c>
      <c r="AF536" t="str">
        <f t="shared" ca="1" si="481"/>
        <v>Plot 38-44</v>
      </c>
    </row>
    <row r="537" spans="28:32" x14ac:dyDescent="0.25">
      <c r="AB537" t="str">
        <f t="shared" ref="AB537:AC537" si="543">AB516</f>
        <v>External Scaffolding</v>
      </c>
      <c r="AC537" t="str">
        <f t="shared" si="543"/>
        <v>Lift 6</v>
      </c>
      <c r="AD537" t="b">
        <f t="shared" ca="1" si="483"/>
        <v>0</v>
      </c>
      <c r="AE537" s="1" t="str">
        <f t="shared" ca="1" si="504"/>
        <v>38-44</v>
      </c>
      <c r="AF537" t="str">
        <f t="shared" ca="1" si="481"/>
        <v>Plot 38-44</v>
      </c>
    </row>
    <row r="538" spans="28:32" x14ac:dyDescent="0.25">
      <c r="AB538" t="str">
        <f t="shared" ref="AB538:AC538" si="544">AB517</f>
        <v>Loading Bay</v>
      </c>
      <c r="AC538" t="str">
        <f t="shared" si="544"/>
        <v>Lift 1</v>
      </c>
      <c r="AD538" t="b">
        <f t="shared" ca="1" si="483"/>
        <v>1</v>
      </c>
      <c r="AE538" s="1" t="str">
        <f t="shared" ca="1" si="504"/>
        <v>38-44</v>
      </c>
      <c r="AF538" t="str">
        <f t="shared" ca="1" si="481"/>
        <v>Plot 38-44</v>
      </c>
    </row>
    <row r="539" spans="28:32" x14ac:dyDescent="0.25">
      <c r="AB539" t="str">
        <f t="shared" ref="AB539:AC539" si="545">AB518</f>
        <v>Loading Bay</v>
      </c>
      <c r="AC539" t="str">
        <f t="shared" si="545"/>
        <v>Lift 2</v>
      </c>
      <c r="AD539" t="b">
        <f t="shared" ca="1" si="483"/>
        <v>1</v>
      </c>
      <c r="AE539" s="1" t="str">
        <f t="shared" ca="1" si="504"/>
        <v>38-44</v>
      </c>
      <c r="AF539" t="str">
        <f t="shared" ca="1" si="481"/>
        <v>Plot 38-44</v>
      </c>
    </row>
    <row r="540" spans="28:32" x14ac:dyDescent="0.25">
      <c r="AB540" t="str">
        <f t="shared" ref="AB540:AC540" si="546">AB519</f>
        <v>Loading Bay</v>
      </c>
      <c r="AC540" t="str">
        <f t="shared" si="546"/>
        <v>Lift 3</v>
      </c>
      <c r="AD540" t="b">
        <f t="shared" ca="1" si="483"/>
        <v>1</v>
      </c>
      <c r="AE540" s="1" t="str">
        <f t="shared" ca="1" si="504"/>
        <v>38-44</v>
      </c>
      <c r="AF540" t="str">
        <f t="shared" ca="1" si="481"/>
        <v>Plot 38-44</v>
      </c>
    </row>
    <row r="541" spans="28:32" x14ac:dyDescent="0.25">
      <c r="AB541" t="str">
        <f t="shared" ref="AB541:AC541" si="547">AB520</f>
        <v>Loading Bay</v>
      </c>
      <c r="AC541" t="str">
        <f t="shared" si="547"/>
        <v>Lift 4</v>
      </c>
      <c r="AD541" t="b">
        <f t="shared" ca="1" si="483"/>
        <v>0</v>
      </c>
      <c r="AE541" s="1" t="str">
        <f t="shared" ca="1" si="504"/>
        <v>38-44</v>
      </c>
      <c r="AF541" t="str">
        <f t="shared" ref="AF541:AF604" ca="1" si="548">IF(LEFT(AE541,1)="G",AE541,"Plot "&amp;AE541)</f>
        <v>Plot 38-44</v>
      </c>
    </row>
    <row r="542" spans="28:32" x14ac:dyDescent="0.25">
      <c r="AB542" t="str">
        <f t="shared" ref="AB542:AC542" si="549">AB521</f>
        <v>Loading Bay</v>
      </c>
      <c r="AC542" t="str">
        <f t="shared" si="549"/>
        <v>Lift 5</v>
      </c>
      <c r="AD542" t="b">
        <f t="shared" ref="AD542:AD605" ca="1" si="550">INDEX($AC$1:$JH$22,MATCH(AC542,$AC$1:$AC$22,0),MATCH(AE542,$AC$1:$JH$1,0))</f>
        <v>0</v>
      </c>
      <c r="AE542" s="1" t="str">
        <f t="shared" ca="1" si="504"/>
        <v>38-44</v>
      </c>
      <c r="AF542" t="str">
        <f t="shared" ca="1" si="548"/>
        <v>Plot 38-44</v>
      </c>
    </row>
    <row r="543" spans="28:32" x14ac:dyDescent="0.25">
      <c r="AB543" t="str">
        <f t="shared" ref="AB543:AC543" si="551">AB522</f>
        <v>Loading Bay</v>
      </c>
      <c r="AC543" t="str">
        <f t="shared" si="551"/>
        <v>Lift 6</v>
      </c>
      <c r="AD543" t="b">
        <f t="shared" ca="1" si="550"/>
        <v>0</v>
      </c>
      <c r="AE543" s="1" t="str">
        <f t="shared" ca="1" si="504"/>
        <v>38-44</v>
      </c>
      <c r="AF543" t="str">
        <f t="shared" ca="1" si="548"/>
        <v>Plot 38-44</v>
      </c>
    </row>
    <row r="544" spans="28:32" x14ac:dyDescent="0.25">
      <c r="AB544" t="str">
        <f t="shared" ref="AB544:AC544" si="552">AB523</f>
        <v>Scaffolding Platform</v>
      </c>
      <c r="AC544" t="str">
        <f t="shared" si="552"/>
        <v>Ground Floor</v>
      </c>
      <c r="AD544" t="b">
        <f t="shared" ca="1" si="550"/>
        <v>1</v>
      </c>
      <c r="AE544" s="1" t="str">
        <f t="shared" ca="1" si="504"/>
        <v>38-44</v>
      </c>
      <c r="AF544" t="str">
        <f t="shared" ca="1" si="548"/>
        <v>Plot 38-44</v>
      </c>
    </row>
    <row r="545" spans="28:32" x14ac:dyDescent="0.25">
      <c r="AB545" t="str">
        <f t="shared" ref="AB545:AC545" si="553">AB524</f>
        <v>Scaffolding Platform</v>
      </c>
      <c r="AC545" t="str">
        <f t="shared" si="553"/>
        <v>First Floor</v>
      </c>
      <c r="AD545" t="b">
        <f t="shared" ca="1" si="550"/>
        <v>1</v>
      </c>
      <c r="AE545" s="1" t="str">
        <f t="shared" ca="1" si="504"/>
        <v>38-44</v>
      </c>
      <c r="AF545" t="str">
        <f t="shared" ca="1" si="548"/>
        <v>Plot 38-44</v>
      </c>
    </row>
    <row r="546" spans="28:32" x14ac:dyDescent="0.25">
      <c r="AB546" t="str">
        <f t="shared" ref="AB546:AC546" si="554">AB525</f>
        <v>Scaffolding Platform</v>
      </c>
      <c r="AC546" t="str">
        <f t="shared" si="554"/>
        <v>Second Floor</v>
      </c>
      <c r="AD546" t="b">
        <f t="shared" ca="1" si="550"/>
        <v>0</v>
      </c>
      <c r="AE546" s="1" t="str">
        <f t="shared" ca="1" si="504"/>
        <v>38-44</v>
      </c>
      <c r="AF546" t="str">
        <f t="shared" ca="1" si="548"/>
        <v>Plot 38-44</v>
      </c>
    </row>
    <row r="547" spans="28:32" x14ac:dyDescent="0.25">
      <c r="AB547" t="str">
        <f t="shared" ref="AB547:AC547" si="555">AB526</f>
        <v>Supporting Scaffold</v>
      </c>
      <c r="AC547" t="str">
        <f t="shared" si="555"/>
        <v>Ground Floor Prop.</v>
      </c>
      <c r="AD547" t="str">
        <f t="shared" ca="1" si="550"/>
        <v>TRUE</v>
      </c>
      <c r="AE547" s="1" t="str">
        <f t="shared" ca="1" si="504"/>
        <v>38-44</v>
      </c>
      <c r="AF547" t="str">
        <f t="shared" ca="1" si="548"/>
        <v>Plot 38-44</v>
      </c>
    </row>
    <row r="548" spans="28:32" x14ac:dyDescent="0.25">
      <c r="AB548" t="str">
        <f t="shared" ref="AB548:AC548" si="556">AB527</f>
        <v>Supporting Scaffold</v>
      </c>
      <c r="AC548" t="str">
        <f t="shared" si="556"/>
        <v>First Floor Prop.</v>
      </c>
      <c r="AD548" t="str">
        <f t="shared" ca="1" si="550"/>
        <v>FALSE</v>
      </c>
      <c r="AE548" s="1" t="str">
        <f t="shared" ca="1" si="504"/>
        <v>38-44</v>
      </c>
      <c r="AF548" t="str">
        <f t="shared" ca="1" si="548"/>
        <v>Plot 38-44</v>
      </c>
    </row>
    <row r="549" spans="28:32" x14ac:dyDescent="0.25">
      <c r="AB549" t="str">
        <f t="shared" ref="AB549:AC549" si="557">AB528</f>
        <v>Supporting Scaffold</v>
      </c>
      <c r="AC549" t="str">
        <f t="shared" si="557"/>
        <v>Second Floor Prop.</v>
      </c>
      <c r="AD549" t="str">
        <f t="shared" ca="1" si="550"/>
        <v>FALSE</v>
      </c>
      <c r="AE549" s="1" t="str">
        <f t="shared" ca="1" si="504"/>
        <v>38-44</v>
      </c>
      <c r="AF549" t="str">
        <f t="shared" ca="1" si="548"/>
        <v>Plot 38-44</v>
      </c>
    </row>
    <row r="550" spans="28:32" x14ac:dyDescent="0.25">
      <c r="AB550" t="str">
        <f t="shared" ref="AB550:AC550" si="558">AB529</f>
        <v>External Scaffolding</v>
      </c>
      <c r="AC550" t="str">
        <f t="shared" si="558"/>
        <v>Hop-ups</v>
      </c>
      <c r="AD550" t="b">
        <f t="shared" ca="1" si="550"/>
        <v>1</v>
      </c>
      <c r="AE550" s="1" t="str">
        <f t="shared" ca="1" si="504"/>
        <v>38-44</v>
      </c>
      <c r="AF550" t="str">
        <f t="shared" ca="1" si="548"/>
        <v>Plot 38-44</v>
      </c>
    </row>
    <row r="551" spans="28:32" x14ac:dyDescent="0.25">
      <c r="AB551" t="str">
        <f t="shared" ref="AB551:AC551" si="559">AB530</f>
        <v>External Scaffolding</v>
      </c>
      <c r="AC551" t="str">
        <f t="shared" si="559"/>
        <v>Adaptions</v>
      </c>
      <c r="AD551" t="b">
        <f t="shared" ca="1" si="550"/>
        <v>1</v>
      </c>
      <c r="AE551" s="1" t="str">
        <f t="shared" ca="1" si="504"/>
        <v>38-44</v>
      </c>
      <c r="AF551" t="str">
        <f t="shared" ca="1" si="548"/>
        <v>Plot 38-44</v>
      </c>
    </row>
    <row r="552" spans="28:32" x14ac:dyDescent="0.25">
      <c r="AB552" t="str">
        <f t="shared" ref="AB552:AC552" si="560">AB531</f>
        <v>External Scaffolding</v>
      </c>
      <c r="AC552" t="str">
        <f t="shared" si="560"/>
        <v>Adaption Tower</v>
      </c>
      <c r="AD552" t="b">
        <f t="shared" ca="1" si="550"/>
        <v>1</v>
      </c>
      <c r="AE552" s="1" t="str">
        <f t="shared" ca="1" si="504"/>
        <v>38-44</v>
      </c>
      <c r="AF552" t="str">
        <f t="shared" ca="1" si="548"/>
        <v>Plot 38-44</v>
      </c>
    </row>
    <row r="553" spans="28:32" x14ac:dyDescent="0.25">
      <c r="AB553" t="str">
        <f t="shared" ref="AB553:AC553" si="561">AB532</f>
        <v>External Scaffolding</v>
      </c>
      <c r="AC553" t="str">
        <f t="shared" si="561"/>
        <v>Lift 1</v>
      </c>
      <c r="AD553" t="b">
        <f t="shared" ca="1" si="550"/>
        <v>1</v>
      </c>
      <c r="AE553" s="1">
        <f t="shared" ca="1" si="504"/>
        <v>45</v>
      </c>
      <c r="AF553" t="str">
        <f t="shared" ca="1" si="548"/>
        <v>Plot 45</v>
      </c>
    </row>
    <row r="554" spans="28:32" x14ac:dyDescent="0.25">
      <c r="AB554" t="str">
        <f t="shared" ref="AB554:AC554" si="562">AB533</f>
        <v>External Scaffolding</v>
      </c>
      <c r="AC554" t="str">
        <f t="shared" si="562"/>
        <v>Lift 2</v>
      </c>
      <c r="AD554" t="b">
        <f t="shared" ca="1" si="550"/>
        <v>1</v>
      </c>
      <c r="AE554" s="1">
        <f t="shared" ca="1" si="504"/>
        <v>45</v>
      </c>
      <c r="AF554" t="str">
        <f t="shared" ca="1" si="548"/>
        <v>Plot 45</v>
      </c>
    </row>
    <row r="555" spans="28:32" x14ac:dyDescent="0.25">
      <c r="AB555" t="str">
        <f t="shared" ref="AB555:AC555" si="563">AB534</f>
        <v>External Scaffolding</v>
      </c>
      <c r="AC555" t="str">
        <f t="shared" si="563"/>
        <v>Lift 3</v>
      </c>
      <c r="AD555" t="b">
        <f t="shared" ca="1" si="550"/>
        <v>1</v>
      </c>
      <c r="AE555" s="1">
        <f t="shared" ca="1" si="504"/>
        <v>45</v>
      </c>
      <c r="AF555" t="str">
        <f t="shared" ca="1" si="548"/>
        <v>Plot 45</v>
      </c>
    </row>
    <row r="556" spans="28:32" x14ac:dyDescent="0.25">
      <c r="AB556" t="str">
        <f t="shared" ref="AB556:AC556" si="564">AB535</f>
        <v>External Scaffolding</v>
      </c>
      <c r="AC556" t="str">
        <f t="shared" si="564"/>
        <v>Lift 4</v>
      </c>
      <c r="AD556" t="b">
        <f t="shared" ca="1" si="550"/>
        <v>0</v>
      </c>
      <c r="AE556" s="1">
        <f t="shared" ca="1" si="504"/>
        <v>45</v>
      </c>
      <c r="AF556" t="str">
        <f t="shared" ca="1" si="548"/>
        <v>Plot 45</v>
      </c>
    </row>
    <row r="557" spans="28:32" x14ac:dyDescent="0.25">
      <c r="AB557" t="str">
        <f t="shared" ref="AB557:AC557" si="565">AB536</f>
        <v>External Scaffolding</v>
      </c>
      <c r="AC557" t="str">
        <f t="shared" si="565"/>
        <v>Lift 5</v>
      </c>
      <c r="AD557" t="b">
        <f t="shared" ca="1" si="550"/>
        <v>0</v>
      </c>
      <c r="AE557" s="1">
        <f t="shared" ca="1" si="504"/>
        <v>45</v>
      </c>
      <c r="AF557" t="str">
        <f t="shared" ca="1" si="548"/>
        <v>Plot 45</v>
      </c>
    </row>
    <row r="558" spans="28:32" x14ac:dyDescent="0.25">
      <c r="AB558" t="str">
        <f t="shared" ref="AB558:AC558" si="566">AB537</f>
        <v>External Scaffolding</v>
      </c>
      <c r="AC558" t="str">
        <f t="shared" si="566"/>
        <v>Lift 6</v>
      </c>
      <c r="AD558" t="b">
        <f t="shared" ca="1" si="550"/>
        <v>0</v>
      </c>
      <c r="AE558" s="1">
        <f t="shared" ca="1" si="504"/>
        <v>45</v>
      </c>
      <c r="AF558" t="str">
        <f t="shared" ca="1" si="548"/>
        <v>Plot 45</v>
      </c>
    </row>
    <row r="559" spans="28:32" x14ac:dyDescent="0.25">
      <c r="AB559" t="str">
        <f t="shared" ref="AB559:AC559" si="567">AB538</f>
        <v>Loading Bay</v>
      </c>
      <c r="AC559" t="str">
        <f t="shared" si="567"/>
        <v>Lift 1</v>
      </c>
      <c r="AD559" t="b">
        <f t="shared" ca="1" si="550"/>
        <v>1</v>
      </c>
      <c r="AE559" s="1">
        <f t="shared" ca="1" si="504"/>
        <v>45</v>
      </c>
      <c r="AF559" t="str">
        <f t="shared" ca="1" si="548"/>
        <v>Plot 45</v>
      </c>
    </row>
    <row r="560" spans="28:32" x14ac:dyDescent="0.25">
      <c r="AB560" t="str">
        <f t="shared" ref="AB560:AC560" si="568">AB539</f>
        <v>Loading Bay</v>
      </c>
      <c r="AC560" t="str">
        <f t="shared" si="568"/>
        <v>Lift 2</v>
      </c>
      <c r="AD560" t="b">
        <f t="shared" ca="1" si="550"/>
        <v>1</v>
      </c>
      <c r="AE560" s="1">
        <f t="shared" ca="1" si="504"/>
        <v>45</v>
      </c>
      <c r="AF560" t="str">
        <f t="shared" ca="1" si="548"/>
        <v>Plot 45</v>
      </c>
    </row>
    <row r="561" spans="28:32" x14ac:dyDescent="0.25">
      <c r="AB561" t="str">
        <f t="shared" ref="AB561:AC561" si="569">AB540</f>
        <v>Loading Bay</v>
      </c>
      <c r="AC561" t="str">
        <f t="shared" si="569"/>
        <v>Lift 3</v>
      </c>
      <c r="AD561" t="b">
        <f t="shared" ca="1" si="550"/>
        <v>1</v>
      </c>
      <c r="AE561" s="1">
        <f t="shared" ca="1" si="504"/>
        <v>45</v>
      </c>
      <c r="AF561" t="str">
        <f t="shared" ca="1" si="548"/>
        <v>Plot 45</v>
      </c>
    </row>
    <row r="562" spans="28:32" x14ac:dyDescent="0.25">
      <c r="AB562" t="str">
        <f t="shared" ref="AB562:AC562" si="570">AB541</f>
        <v>Loading Bay</v>
      </c>
      <c r="AC562" t="str">
        <f t="shared" si="570"/>
        <v>Lift 4</v>
      </c>
      <c r="AD562" t="b">
        <f t="shared" ca="1" si="550"/>
        <v>0</v>
      </c>
      <c r="AE562" s="1">
        <f t="shared" ref="AE562:AE625" ca="1" si="571">OFFSET($AD$1,0,FLOOR(ROW(B534)/21,1))</f>
        <v>45</v>
      </c>
      <c r="AF562" t="str">
        <f t="shared" ca="1" si="548"/>
        <v>Plot 45</v>
      </c>
    </row>
    <row r="563" spans="28:32" x14ac:dyDescent="0.25">
      <c r="AB563" t="str">
        <f t="shared" ref="AB563:AC563" si="572">AB542</f>
        <v>Loading Bay</v>
      </c>
      <c r="AC563" t="str">
        <f t="shared" si="572"/>
        <v>Lift 5</v>
      </c>
      <c r="AD563" t="b">
        <f t="shared" ca="1" si="550"/>
        <v>0</v>
      </c>
      <c r="AE563" s="1">
        <f t="shared" ca="1" si="571"/>
        <v>45</v>
      </c>
      <c r="AF563" t="str">
        <f t="shared" ca="1" si="548"/>
        <v>Plot 45</v>
      </c>
    </row>
    <row r="564" spans="28:32" x14ac:dyDescent="0.25">
      <c r="AB564" t="str">
        <f t="shared" ref="AB564:AC564" si="573">AB543</f>
        <v>Loading Bay</v>
      </c>
      <c r="AC564" t="str">
        <f t="shared" si="573"/>
        <v>Lift 6</v>
      </c>
      <c r="AD564" t="b">
        <f t="shared" ca="1" si="550"/>
        <v>0</v>
      </c>
      <c r="AE564" s="1">
        <f t="shared" ca="1" si="571"/>
        <v>45</v>
      </c>
      <c r="AF564" t="str">
        <f t="shared" ca="1" si="548"/>
        <v>Plot 45</v>
      </c>
    </row>
    <row r="565" spans="28:32" x14ac:dyDescent="0.25">
      <c r="AB565" t="str">
        <f t="shared" ref="AB565:AC565" si="574">AB544</f>
        <v>Scaffolding Platform</v>
      </c>
      <c r="AC565" t="str">
        <f t="shared" si="574"/>
        <v>Ground Floor</v>
      </c>
      <c r="AD565" t="b">
        <f t="shared" ca="1" si="550"/>
        <v>1</v>
      </c>
      <c r="AE565" s="1">
        <f t="shared" ca="1" si="571"/>
        <v>45</v>
      </c>
      <c r="AF565" t="str">
        <f t="shared" ca="1" si="548"/>
        <v>Plot 45</v>
      </c>
    </row>
    <row r="566" spans="28:32" x14ac:dyDescent="0.25">
      <c r="AB566" t="str">
        <f t="shared" ref="AB566:AC566" si="575">AB545</f>
        <v>Scaffolding Platform</v>
      </c>
      <c r="AC566" t="str">
        <f t="shared" si="575"/>
        <v>First Floor</v>
      </c>
      <c r="AD566" t="b">
        <f t="shared" ca="1" si="550"/>
        <v>1</v>
      </c>
      <c r="AE566" s="1">
        <f t="shared" ca="1" si="571"/>
        <v>45</v>
      </c>
      <c r="AF566" t="str">
        <f t="shared" ca="1" si="548"/>
        <v>Plot 45</v>
      </c>
    </row>
    <row r="567" spans="28:32" x14ac:dyDescent="0.25">
      <c r="AB567" t="str">
        <f t="shared" ref="AB567:AC567" si="576">AB546</f>
        <v>Scaffolding Platform</v>
      </c>
      <c r="AC567" t="str">
        <f t="shared" si="576"/>
        <v>Second Floor</v>
      </c>
      <c r="AD567" t="b">
        <f t="shared" ca="1" si="550"/>
        <v>0</v>
      </c>
      <c r="AE567" s="1">
        <f t="shared" ca="1" si="571"/>
        <v>45</v>
      </c>
      <c r="AF567" t="str">
        <f t="shared" ca="1" si="548"/>
        <v>Plot 45</v>
      </c>
    </row>
    <row r="568" spans="28:32" x14ac:dyDescent="0.25">
      <c r="AB568" t="str">
        <f t="shared" ref="AB568:AC568" si="577">AB547</f>
        <v>Supporting Scaffold</v>
      </c>
      <c r="AC568" t="str">
        <f t="shared" si="577"/>
        <v>Ground Floor Prop.</v>
      </c>
      <c r="AD568" t="str">
        <f t="shared" ca="1" si="550"/>
        <v>TRUE</v>
      </c>
      <c r="AE568" s="1">
        <f t="shared" ca="1" si="571"/>
        <v>45</v>
      </c>
      <c r="AF568" t="str">
        <f t="shared" ca="1" si="548"/>
        <v>Plot 45</v>
      </c>
    </row>
    <row r="569" spans="28:32" x14ac:dyDescent="0.25">
      <c r="AB569" t="str">
        <f t="shared" ref="AB569:AC569" si="578">AB548</f>
        <v>Supporting Scaffold</v>
      </c>
      <c r="AC569" t="str">
        <f t="shared" si="578"/>
        <v>First Floor Prop.</v>
      </c>
      <c r="AD569" t="str">
        <f t="shared" ca="1" si="550"/>
        <v>FALSE</v>
      </c>
      <c r="AE569" s="1">
        <f t="shared" ca="1" si="571"/>
        <v>45</v>
      </c>
      <c r="AF569" t="str">
        <f t="shared" ca="1" si="548"/>
        <v>Plot 45</v>
      </c>
    </row>
    <row r="570" spans="28:32" x14ac:dyDescent="0.25">
      <c r="AB570" t="str">
        <f t="shared" ref="AB570:AC570" si="579">AB549</f>
        <v>Supporting Scaffold</v>
      </c>
      <c r="AC570" t="str">
        <f t="shared" si="579"/>
        <v>Second Floor Prop.</v>
      </c>
      <c r="AD570" t="str">
        <f t="shared" ca="1" si="550"/>
        <v>FALSE</v>
      </c>
      <c r="AE570" s="1">
        <f t="shared" ca="1" si="571"/>
        <v>45</v>
      </c>
      <c r="AF570" t="str">
        <f t="shared" ca="1" si="548"/>
        <v>Plot 45</v>
      </c>
    </row>
    <row r="571" spans="28:32" x14ac:dyDescent="0.25">
      <c r="AB571" t="str">
        <f t="shared" ref="AB571:AC571" si="580">AB550</f>
        <v>External Scaffolding</v>
      </c>
      <c r="AC571" t="str">
        <f t="shared" si="580"/>
        <v>Hop-ups</v>
      </c>
      <c r="AD571" t="b">
        <f t="shared" ca="1" si="550"/>
        <v>1</v>
      </c>
      <c r="AE571" s="1">
        <f t="shared" ca="1" si="571"/>
        <v>45</v>
      </c>
      <c r="AF571" t="str">
        <f t="shared" ca="1" si="548"/>
        <v>Plot 45</v>
      </c>
    </row>
    <row r="572" spans="28:32" x14ac:dyDescent="0.25">
      <c r="AB572" t="str">
        <f t="shared" ref="AB572:AC572" si="581">AB551</f>
        <v>External Scaffolding</v>
      </c>
      <c r="AC572" t="str">
        <f t="shared" si="581"/>
        <v>Adaptions</v>
      </c>
      <c r="AD572" t="b">
        <f t="shared" ca="1" si="550"/>
        <v>1</v>
      </c>
      <c r="AE572" s="1">
        <f t="shared" ca="1" si="571"/>
        <v>45</v>
      </c>
      <c r="AF572" t="str">
        <f t="shared" ca="1" si="548"/>
        <v>Plot 45</v>
      </c>
    </row>
    <row r="573" spans="28:32" x14ac:dyDescent="0.25">
      <c r="AB573" t="str">
        <f t="shared" ref="AB573:AC573" si="582">AB552</f>
        <v>External Scaffolding</v>
      </c>
      <c r="AC573" t="str">
        <f t="shared" si="582"/>
        <v>Adaption Tower</v>
      </c>
      <c r="AD573" t="b">
        <f t="shared" ca="1" si="550"/>
        <v>1</v>
      </c>
      <c r="AE573" s="1">
        <f t="shared" ca="1" si="571"/>
        <v>45</v>
      </c>
      <c r="AF573" t="str">
        <f t="shared" ca="1" si="548"/>
        <v>Plot 45</v>
      </c>
    </row>
    <row r="574" spans="28:32" x14ac:dyDescent="0.25">
      <c r="AB574" t="str">
        <f t="shared" ref="AB574:AC574" si="583">AB553</f>
        <v>External Scaffolding</v>
      </c>
      <c r="AC574" t="str">
        <f t="shared" si="583"/>
        <v>Lift 1</v>
      </c>
      <c r="AD574" t="b">
        <f t="shared" ca="1" si="550"/>
        <v>1</v>
      </c>
      <c r="AE574" s="1">
        <f t="shared" ca="1" si="571"/>
        <v>46</v>
      </c>
      <c r="AF574" t="str">
        <f t="shared" ca="1" si="548"/>
        <v>Plot 46</v>
      </c>
    </row>
    <row r="575" spans="28:32" x14ac:dyDescent="0.25">
      <c r="AB575" t="str">
        <f t="shared" ref="AB575:AC575" si="584">AB554</f>
        <v>External Scaffolding</v>
      </c>
      <c r="AC575" t="str">
        <f t="shared" si="584"/>
        <v>Lift 2</v>
      </c>
      <c r="AD575" t="b">
        <f t="shared" ca="1" si="550"/>
        <v>1</v>
      </c>
      <c r="AE575" s="1">
        <f t="shared" ca="1" si="571"/>
        <v>46</v>
      </c>
      <c r="AF575" t="str">
        <f t="shared" ca="1" si="548"/>
        <v>Plot 46</v>
      </c>
    </row>
    <row r="576" spans="28:32" x14ac:dyDescent="0.25">
      <c r="AB576" t="str">
        <f t="shared" ref="AB576:AC576" si="585">AB555</f>
        <v>External Scaffolding</v>
      </c>
      <c r="AC576" t="str">
        <f t="shared" si="585"/>
        <v>Lift 3</v>
      </c>
      <c r="AD576" t="b">
        <f t="shared" ca="1" si="550"/>
        <v>1</v>
      </c>
      <c r="AE576" s="1">
        <f t="shared" ca="1" si="571"/>
        <v>46</v>
      </c>
      <c r="AF576" t="str">
        <f t="shared" ca="1" si="548"/>
        <v>Plot 46</v>
      </c>
    </row>
    <row r="577" spans="28:32" x14ac:dyDescent="0.25">
      <c r="AB577" t="str">
        <f t="shared" ref="AB577:AC577" si="586">AB556</f>
        <v>External Scaffolding</v>
      </c>
      <c r="AC577" t="str">
        <f t="shared" si="586"/>
        <v>Lift 4</v>
      </c>
      <c r="AD577" t="b">
        <f t="shared" ca="1" si="550"/>
        <v>0</v>
      </c>
      <c r="AE577" s="1">
        <f t="shared" ca="1" si="571"/>
        <v>46</v>
      </c>
      <c r="AF577" t="str">
        <f t="shared" ca="1" si="548"/>
        <v>Plot 46</v>
      </c>
    </row>
    <row r="578" spans="28:32" x14ac:dyDescent="0.25">
      <c r="AB578" t="str">
        <f t="shared" ref="AB578:AC578" si="587">AB557</f>
        <v>External Scaffolding</v>
      </c>
      <c r="AC578" t="str">
        <f t="shared" si="587"/>
        <v>Lift 5</v>
      </c>
      <c r="AD578" t="b">
        <f t="shared" ca="1" si="550"/>
        <v>0</v>
      </c>
      <c r="AE578" s="1">
        <f t="shared" ca="1" si="571"/>
        <v>46</v>
      </c>
      <c r="AF578" t="str">
        <f t="shared" ca="1" si="548"/>
        <v>Plot 46</v>
      </c>
    </row>
    <row r="579" spans="28:32" x14ac:dyDescent="0.25">
      <c r="AB579" t="str">
        <f t="shared" ref="AB579:AC579" si="588">AB558</f>
        <v>External Scaffolding</v>
      </c>
      <c r="AC579" t="str">
        <f t="shared" si="588"/>
        <v>Lift 6</v>
      </c>
      <c r="AD579" t="b">
        <f t="shared" ca="1" si="550"/>
        <v>0</v>
      </c>
      <c r="AE579" s="1">
        <f t="shared" ca="1" si="571"/>
        <v>46</v>
      </c>
      <c r="AF579" t="str">
        <f t="shared" ca="1" si="548"/>
        <v>Plot 46</v>
      </c>
    </row>
    <row r="580" spans="28:32" x14ac:dyDescent="0.25">
      <c r="AB580" t="str">
        <f t="shared" ref="AB580:AC580" si="589">AB559</f>
        <v>Loading Bay</v>
      </c>
      <c r="AC580" t="str">
        <f t="shared" si="589"/>
        <v>Lift 1</v>
      </c>
      <c r="AD580" t="b">
        <f t="shared" ca="1" si="550"/>
        <v>1</v>
      </c>
      <c r="AE580" s="1">
        <f t="shared" ca="1" si="571"/>
        <v>46</v>
      </c>
      <c r="AF580" t="str">
        <f t="shared" ca="1" si="548"/>
        <v>Plot 46</v>
      </c>
    </row>
    <row r="581" spans="28:32" x14ac:dyDescent="0.25">
      <c r="AB581" t="str">
        <f t="shared" ref="AB581:AC581" si="590">AB560</f>
        <v>Loading Bay</v>
      </c>
      <c r="AC581" t="str">
        <f t="shared" si="590"/>
        <v>Lift 2</v>
      </c>
      <c r="AD581" t="b">
        <f t="shared" ca="1" si="550"/>
        <v>1</v>
      </c>
      <c r="AE581" s="1">
        <f t="shared" ca="1" si="571"/>
        <v>46</v>
      </c>
      <c r="AF581" t="str">
        <f t="shared" ca="1" si="548"/>
        <v>Plot 46</v>
      </c>
    </row>
    <row r="582" spans="28:32" x14ac:dyDescent="0.25">
      <c r="AB582" t="str">
        <f t="shared" ref="AB582:AC582" si="591">AB561</f>
        <v>Loading Bay</v>
      </c>
      <c r="AC582" t="str">
        <f t="shared" si="591"/>
        <v>Lift 3</v>
      </c>
      <c r="AD582" t="b">
        <f t="shared" ca="1" si="550"/>
        <v>1</v>
      </c>
      <c r="AE582" s="1">
        <f t="shared" ca="1" si="571"/>
        <v>46</v>
      </c>
      <c r="AF582" t="str">
        <f t="shared" ca="1" si="548"/>
        <v>Plot 46</v>
      </c>
    </row>
    <row r="583" spans="28:32" x14ac:dyDescent="0.25">
      <c r="AB583" t="str">
        <f t="shared" ref="AB583:AC583" si="592">AB562</f>
        <v>Loading Bay</v>
      </c>
      <c r="AC583" t="str">
        <f t="shared" si="592"/>
        <v>Lift 4</v>
      </c>
      <c r="AD583" t="b">
        <f t="shared" ca="1" si="550"/>
        <v>0</v>
      </c>
      <c r="AE583" s="1">
        <f t="shared" ca="1" si="571"/>
        <v>46</v>
      </c>
      <c r="AF583" t="str">
        <f t="shared" ca="1" si="548"/>
        <v>Plot 46</v>
      </c>
    </row>
    <row r="584" spans="28:32" x14ac:dyDescent="0.25">
      <c r="AB584" t="str">
        <f t="shared" ref="AB584:AC584" si="593">AB563</f>
        <v>Loading Bay</v>
      </c>
      <c r="AC584" t="str">
        <f t="shared" si="593"/>
        <v>Lift 5</v>
      </c>
      <c r="AD584" t="b">
        <f t="shared" ca="1" si="550"/>
        <v>0</v>
      </c>
      <c r="AE584" s="1">
        <f t="shared" ca="1" si="571"/>
        <v>46</v>
      </c>
      <c r="AF584" t="str">
        <f t="shared" ca="1" si="548"/>
        <v>Plot 46</v>
      </c>
    </row>
    <row r="585" spans="28:32" x14ac:dyDescent="0.25">
      <c r="AB585" t="str">
        <f t="shared" ref="AB585:AC585" si="594">AB564</f>
        <v>Loading Bay</v>
      </c>
      <c r="AC585" t="str">
        <f t="shared" si="594"/>
        <v>Lift 6</v>
      </c>
      <c r="AD585" t="b">
        <f t="shared" ca="1" si="550"/>
        <v>0</v>
      </c>
      <c r="AE585" s="1">
        <f t="shared" ca="1" si="571"/>
        <v>46</v>
      </c>
      <c r="AF585" t="str">
        <f t="shared" ca="1" si="548"/>
        <v>Plot 46</v>
      </c>
    </row>
    <row r="586" spans="28:32" x14ac:dyDescent="0.25">
      <c r="AB586" t="str">
        <f t="shared" ref="AB586:AC586" si="595">AB565</f>
        <v>Scaffolding Platform</v>
      </c>
      <c r="AC586" t="str">
        <f t="shared" si="595"/>
        <v>Ground Floor</v>
      </c>
      <c r="AD586" t="b">
        <f t="shared" ca="1" si="550"/>
        <v>1</v>
      </c>
      <c r="AE586" s="1">
        <f t="shared" ca="1" si="571"/>
        <v>46</v>
      </c>
      <c r="AF586" t="str">
        <f t="shared" ca="1" si="548"/>
        <v>Plot 46</v>
      </c>
    </row>
    <row r="587" spans="28:32" x14ac:dyDescent="0.25">
      <c r="AB587" t="str">
        <f t="shared" ref="AB587:AC587" si="596">AB566</f>
        <v>Scaffolding Platform</v>
      </c>
      <c r="AC587" t="str">
        <f t="shared" si="596"/>
        <v>First Floor</v>
      </c>
      <c r="AD587" t="b">
        <f t="shared" ca="1" si="550"/>
        <v>1</v>
      </c>
      <c r="AE587" s="1">
        <f t="shared" ca="1" si="571"/>
        <v>46</v>
      </c>
      <c r="AF587" t="str">
        <f t="shared" ca="1" si="548"/>
        <v>Plot 46</v>
      </c>
    </row>
    <row r="588" spans="28:32" x14ac:dyDescent="0.25">
      <c r="AB588" t="str">
        <f t="shared" ref="AB588:AC588" si="597">AB567</f>
        <v>Scaffolding Platform</v>
      </c>
      <c r="AC588" t="str">
        <f t="shared" si="597"/>
        <v>Second Floor</v>
      </c>
      <c r="AD588" t="b">
        <f t="shared" ca="1" si="550"/>
        <v>0</v>
      </c>
      <c r="AE588" s="1">
        <f t="shared" ca="1" si="571"/>
        <v>46</v>
      </c>
      <c r="AF588" t="str">
        <f t="shared" ca="1" si="548"/>
        <v>Plot 46</v>
      </c>
    </row>
    <row r="589" spans="28:32" x14ac:dyDescent="0.25">
      <c r="AB589" t="str">
        <f t="shared" ref="AB589:AC589" si="598">AB568</f>
        <v>Supporting Scaffold</v>
      </c>
      <c r="AC589" t="str">
        <f t="shared" si="598"/>
        <v>Ground Floor Prop.</v>
      </c>
      <c r="AD589" t="str">
        <f t="shared" ca="1" si="550"/>
        <v>TRUE</v>
      </c>
      <c r="AE589" s="1">
        <f t="shared" ca="1" si="571"/>
        <v>46</v>
      </c>
      <c r="AF589" t="str">
        <f t="shared" ca="1" si="548"/>
        <v>Plot 46</v>
      </c>
    </row>
    <row r="590" spans="28:32" x14ac:dyDescent="0.25">
      <c r="AB590" t="str">
        <f t="shared" ref="AB590:AC590" si="599">AB569</f>
        <v>Supporting Scaffold</v>
      </c>
      <c r="AC590" t="str">
        <f t="shared" si="599"/>
        <v>First Floor Prop.</v>
      </c>
      <c r="AD590" t="str">
        <f t="shared" ca="1" si="550"/>
        <v>FALSE</v>
      </c>
      <c r="AE590" s="1">
        <f t="shared" ca="1" si="571"/>
        <v>46</v>
      </c>
      <c r="AF590" t="str">
        <f t="shared" ca="1" si="548"/>
        <v>Plot 46</v>
      </c>
    </row>
    <row r="591" spans="28:32" x14ac:dyDescent="0.25">
      <c r="AB591" t="str">
        <f t="shared" ref="AB591:AC591" si="600">AB570</f>
        <v>Supporting Scaffold</v>
      </c>
      <c r="AC591" t="str">
        <f t="shared" si="600"/>
        <v>Second Floor Prop.</v>
      </c>
      <c r="AD591" t="str">
        <f t="shared" ca="1" si="550"/>
        <v>FALSE</v>
      </c>
      <c r="AE591" s="1">
        <f t="shared" ca="1" si="571"/>
        <v>46</v>
      </c>
      <c r="AF591" t="str">
        <f t="shared" ca="1" si="548"/>
        <v>Plot 46</v>
      </c>
    </row>
    <row r="592" spans="28:32" x14ac:dyDescent="0.25">
      <c r="AB592" t="str">
        <f t="shared" ref="AB592:AC592" si="601">AB571</f>
        <v>External Scaffolding</v>
      </c>
      <c r="AC592" t="str">
        <f t="shared" si="601"/>
        <v>Hop-ups</v>
      </c>
      <c r="AD592" t="b">
        <f t="shared" ca="1" si="550"/>
        <v>1</v>
      </c>
      <c r="AE592" s="1">
        <f t="shared" ca="1" si="571"/>
        <v>46</v>
      </c>
      <c r="AF592" t="str">
        <f t="shared" ca="1" si="548"/>
        <v>Plot 46</v>
      </c>
    </row>
    <row r="593" spans="28:32" x14ac:dyDescent="0.25">
      <c r="AB593" t="str">
        <f t="shared" ref="AB593:AC593" si="602">AB572</f>
        <v>External Scaffolding</v>
      </c>
      <c r="AC593" t="str">
        <f t="shared" si="602"/>
        <v>Adaptions</v>
      </c>
      <c r="AD593" t="b">
        <f t="shared" ca="1" si="550"/>
        <v>1</v>
      </c>
      <c r="AE593" s="1">
        <f t="shared" ca="1" si="571"/>
        <v>46</v>
      </c>
      <c r="AF593" t="str">
        <f t="shared" ca="1" si="548"/>
        <v>Plot 46</v>
      </c>
    </row>
    <row r="594" spans="28:32" x14ac:dyDescent="0.25">
      <c r="AB594" t="str">
        <f t="shared" ref="AB594:AC594" si="603">AB573</f>
        <v>External Scaffolding</v>
      </c>
      <c r="AC594" t="str">
        <f t="shared" si="603"/>
        <v>Adaption Tower</v>
      </c>
      <c r="AD594" t="b">
        <f t="shared" ca="1" si="550"/>
        <v>1</v>
      </c>
      <c r="AE594" s="1">
        <f t="shared" ca="1" si="571"/>
        <v>46</v>
      </c>
      <c r="AF594" t="str">
        <f t="shared" ca="1" si="548"/>
        <v>Plot 46</v>
      </c>
    </row>
    <row r="595" spans="28:32" x14ac:dyDescent="0.25">
      <c r="AB595" t="str">
        <f t="shared" ref="AB595:AC595" si="604">AB574</f>
        <v>External Scaffolding</v>
      </c>
      <c r="AC595" t="str">
        <f t="shared" si="604"/>
        <v>Lift 1</v>
      </c>
      <c r="AD595" t="b">
        <f t="shared" ca="1" si="550"/>
        <v>1</v>
      </c>
      <c r="AE595" s="1">
        <f t="shared" ca="1" si="571"/>
        <v>47</v>
      </c>
      <c r="AF595" t="str">
        <f t="shared" ca="1" si="548"/>
        <v>Plot 47</v>
      </c>
    </row>
    <row r="596" spans="28:32" x14ac:dyDescent="0.25">
      <c r="AB596" t="str">
        <f t="shared" ref="AB596:AC596" si="605">AB575</f>
        <v>External Scaffolding</v>
      </c>
      <c r="AC596" t="str">
        <f t="shared" si="605"/>
        <v>Lift 2</v>
      </c>
      <c r="AD596" t="b">
        <f t="shared" ca="1" si="550"/>
        <v>1</v>
      </c>
      <c r="AE596" s="1">
        <f t="shared" ca="1" si="571"/>
        <v>47</v>
      </c>
      <c r="AF596" t="str">
        <f t="shared" ca="1" si="548"/>
        <v>Plot 47</v>
      </c>
    </row>
    <row r="597" spans="28:32" x14ac:dyDescent="0.25">
      <c r="AB597" t="str">
        <f t="shared" ref="AB597:AC597" si="606">AB576</f>
        <v>External Scaffolding</v>
      </c>
      <c r="AC597" t="str">
        <f t="shared" si="606"/>
        <v>Lift 3</v>
      </c>
      <c r="AD597" t="b">
        <f t="shared" ca="1" si="550"/>
        <v>1</v>
      </c>
      <c r="AE597" s="1">
        <f t="shared" ca="1" si="571"/>
        <v>47</v>
      </c>
      <c r="AF597" t="str">
        <f t="shared" ca="1" si="548"/>
        <v>Plot 47</v>
      </c>
    </row>
    <row r="598" spans="28:32" x14ac:dyDescent="0.25">
      <c r="AB598" t="str">
        <f t="shared" ref="AB598:AC598" si="607">AB577</f>
        <v>External Scaffolding</v>
      </c>
      <c r="AC598" t="str">
        <f t="shared" si="607"/>
        <v>Lift 4</v>
      </c>
      <c r="AD598" t="b">
        <f t="shared" ca="1" si="550"/>
        <v>0</v>
      </c>
      <c r="AE598" s="1">
        <f t="shared" ca="1" si="571"/>
        <v>47</v>
      </c>
      <c r="AF598" t="str">
        <f t="shared" ca="1" si="548"/>
        <v>Plot 47</v>
      </c>
    </row>
    <row r="599" spans="28:32" x14ac:dyDescent="0.25">
      <c r="AB599" t="str">
        <f t="shared" ref="AB599:AC599" si="608">AB578</f>
        <v>External Scaffolding</v>
      </c>
      <c r="AC599" t="str">
        <f t="shared" si="608"/>
        <v>Lift 5</v>
      </c>
      <c r="AD599" t="b">
        <f t="shared" ca="1" si="550"/>
        <v>0</v>
      </c>
      <c r="AE599" s="1">
        <f t="shared" ca="1" si="571"/>
        <v>47</v>
      </c>
      <c r="AF599" t="str">
        <f t="shared" ca="1" si="548"/>
        <v>Plot 47</v>
      </c>
    </row>
    <row r="600" spans="28:32" x14ac:dyDescent="0.25">
      <c r="AB600" t="str">
        <f t="shared" ref="AB600:AC600" si="609">AB579</f>
        <v>External Scaffolding</v>
      </c>
      <c r="AC600" t="str">
        <f t="shared" si="609"/>
        <v>Lift 6</v>
      </c>
      <c r="AD600" t="b">
        <f t="shared" ca="1" si="550"/>
        <v>0</v>
      </c>
      <c r="AE600" s="1">
        <f t="shared" ca="1" si="571"/>
        <v>47</v>
      </c>
      <c r="AF600" t="str">
        <f t="shared" ca="1" si="548"/>
        <v>Plot 47</v>
      </c>
    </row>
    <row r="601" spans="28:32" x14ac:dyDescent="0.25">
      <c r="AB601" t="str">
        <f t="shared" ref="AB601:AC601" si="610">AB580</f>
        <v>Loading Bay</v>
      </c>
      <c r="AC601" t="str">
        <f t="shared" si="610"/>
        <v>Lift 1</v>
      </c>
      <c r="AD601" t="b">
        <f t="shared" ca="1" si="550"/>
        <v>1</v>
      </c>
      <c r="AE601" s="1">
        <f t="shared" ca="1" si="571"/>
        <v>47</v>
      </c>
      <c r="AF601" t="str">
        <f t="shared" ca="1" si="548"/>
        <v>Plot 47</v>
      </c>
    </row>
    <row r="602" spans="28:32" x14ac:dyDescent="0.25">
      <c r="AB602" t="str">
        <f t="shared" ref="AB602:AC602" si="611">AB581</f>
        <v>Loading Bay</v>
      </c>
      <c r="AC602" t="str">
        <f t="shared" si="611"/>
        <v>Lift 2</v>
      </c>
      <c r="AD602" t="b">
        <f t="shared" ca="1" si="550"/>
        <v>1</v>
      </c>
      <c r="AE602" s="1">
        <f t="shared" ca="1" si="571"/>
        <v>47</v>
      </c>
      <c r="AF602" t="str">
        <f t="shared" ca="1" si="548"/>
        <v>Plot 47</v>
      </c>
    </row>
    <row r="603" spans="28:32" x14ac:dyDescent="0.25">
      <c r="AB603" t="str">
        <f t="shared" ref="AB603:AC603" si="612">AB582</f>
        <v>Loading Bay</v>
      </c>
      <c r="AC603" t="str">
        <f t="shared" si="612"/>
        <v>Lift 3</v>
      </c>
      <c r="AD603" t="b">
        <f t="shared" ca="1" si="550"/>
        <v>1</v>
      </c>
      <c r="AE603" s="1">
        <f t="shared" ca="1" si="571"/>
        <v>47</v>
      </c>
      <c r="AF603" t="str">
        <f t="shared" ca="1" si="548"/>
        <v>Plot 47</v>
      </c>
    </row>
    <row r="604" spans="28:32" x14ac:dyDescent="0.25">
      <c r="AB604" t="str">
        <f t="shared" ref="AB604:AC604" si="613">AB583</f>
        <v>Loading Bay</v>
      </c>
      <c r="AC604" t="str">
        <f t="shared" si="613"/>
        <v>Lift 4</v>
      </c>
      <c r="AD604" t="b">
        <f t="shared" ca="1" si="550"/>
        <v>0</v>
      </c>
      <c r="AE604" s="1">
        <f t="shared" ca="1" si="571"/>
        <v>47</v>
      </c>
      <c r="AF604" t="str">
        <f t="shared" ca="1" si="548"/>
        <v>Plot 47</v>
      </c>
    </row>
    <row r="605" spans="28:32" x14ac:dyDescent="0.25">
      <c r="AB605" t="str">
        <f t="shared" ref="AB605:AC605" si="614">AB584</f>
        <v>Loading Bay</v>
      </c>
      <c r="AC605" t="str">
        <f t="shared" si="614"/>
        <v>Lift 5</v>
      </c>
      <c r="AD605" t="b">
        <f t="shared" ca="1" si="550"/>
        <v>0</v>
      </c>
      <c r="AE605" s="1">
        <f t="shared" ca="1" si="571"/>
        <v>47</v>
      </c>
      <c r="AF605" t="str">
        <f t="shared" ref="AF605:AF668" ca="1" si="615">IF(LEFT(AE605,1)="G",AE605,"Plot "&amp;AE605)</f>
        <v>Plot 47</v>
      </c>
    </row>
    <row r="606" spans="28:32" x14ac:dyDescent="0.25">
      <c r="AB606" t="str">
        <f t="shared" ref="AB606:AC606" si="616">AB585</f>
        <v>Loading Bay</v>
      </c>
      <c r="AC606" t="str">
        <f t="shared" si="616"/>
        <v>Lift 6</v>
      </c>
      <c r="AD606" t="b">
        <f t="shared" ref="AD606:AD669" ca="1" si="617">INDEX($AC$1:$JH$22,MATCH(AC606,$AC$1:$AC$22,0),MATCH(AE606,$AC$1:$JH$1,0))</f>
        <v>0</v>
      </c>
      <c r="AE606" s="1">
        <f t="shared" ca="1" si="571"/>
        <v>47</v>
      </c>
      <c r="AF606" t="str">
        <f t="shared" ca="1" si="615"/>
        <v>Plot 47</v>
      </c>
    </row>
    <row r="607" spans="28:32" x14ac:dyDescent="0.25">
      <c r="AB607" t="str">
        <f t="shared" ref="AB607:AC607" si="618">AB586</f>
        <v>Scaffolding Platform</v>
      </c>
      <c r="AC607" t="str">
        <f t="shared" si="618"/>
        <v>Ground Floor</v>
      </c>
      <c r="AD607" t="b">
        <f t="shared" ca="1" si="617"/>
        <v>1</v>
      </c>
      <c r="AE607" s="1">
        <f t="shared" ca="1" si="571"/>
        <v>47</v>
      </c>
      <c r="AF607" t="str">
        <f t="shared" ca="1" si="615"/>
        <v>Plot 47</v>
      </c>
    </row>
    <row r="608" spans="28:32" x14ac:dyDescent="0.25">
      <c r="AB608" t="str">
        <f t="shared" ref="AB608:AC608" si="619">AB587</f>
        <v>Scaffolding Platform</v>
      </c>
      <c r="AC608" t="str">
        <f t="shared" si="619"/>
        <v>First Floor</v>
      </c>
      <c r="AD608" t="b">
        <f t="shared" ca="1" si="617"/>
        <v>1</v>
      </c>
      <c r="AE608" s="1">
        <f t="shared" ca="1" si="571"/>
        <v>47</v>
      </c>
      <c r="AF608" t="str">
        <f t="shared" ca="1" si="615"/>
        <v>Plot 47</v>
      </c>
    </row>
    <row r="609" spans="28:32" x14ac:dyDescent="0.25">
      <c r="AB609" t="str">
        <f t="shared" ref="AB609:AC609" si="620">AB588</f>
        <v>Scaffolding Platform</v>
      </c>
      <c r="AC609" t="str">
        <f t="shared" si="620"/>
        <v>Second Floor</v>
      </c>
      <c r="AD609" t="b">
        <f t="shared" ca="1" si="617"/>
        <v>0</v>
      </c>
      <c r="AE609" s="1">
        <f t="shared" ca="1" si="571"/>
        <v>47</v>
      </c>
      <c r="AF609" t="str">
        <f t="shared" ca="1" si="615"/>
        <v>Plot 47</v>
      </c>
    </row>
    <row r="610" spans="28:32" x14ac:dyDescent="0.25">
      <c r="AB610" t="str">
        <f t="shared" ref="AB610:AC610" si="621">AB589</f>
        <v>Supporting Scaffold</v>
      </c>
      <c r="AC610" t="str">
        <f t="shared" si="621"/>
        <v>Ground Floor Prop.</v>
      </c>
      <c r="AD610" t="str">
        <f t="shared" ca="1" si="617"/>
        <v>TRUE</v>
      </c>
      <c r="AE610" s="1">
        <f t="shared" ca="1" si="571"/>
        <v>47</v>
      </c>
      <c r="AF610" t="str">
        <f t="shared" ca="1" si="615"/>
        <v>Plot 47</v>
      </c>
    </row>
    <row r="611" spans="28:32" x14ac:dyDescent="0.25">
      <c r="AB611" t="str">
        <f t="shared" ref="AB611:AC611" si="622">AB590</f>
        <v>Supporting Scaffold</v>
      </c>
      <c r="AC611" t="str">
        <f t="shared" si="622"/>
        <v>First Floor Prop.</v>
      </c>
      <c r="AD611" t="str">
        <f t="shared" ca="1" si="617"/>
        <v>FALSE</v>
      </c>
      <c r="AE611" s="1">
        <f t="shared" ca="1" si="571"/>
        <v>47</v>
      </c>
      <c r="AF611" t="str">
        <f t="shared" ca="1" si="615"/>
        <v>Plot 47</v>
      </c>
    </row>
    <row r="612" spans="28:32" x14ac:dyDescent="0.25">
      <c r="AB612" t="str">
        <f t="shared" ref="AB612:AC612" si="623">AB591</f>
        <v>Supporting Scaffold</v>
      </c>
      <c r="AC612" t="str">
        <f t="shared" si="623"/>
        <v>Second Floor Prop.</v>
      </c>
      <c r="AD612" t="str">
        <f t="shared" ca="1" si="617"/>
        <v>FALSE</v>
      </c>
      <c r="AE612" s="1">
        <f t="shared" ca="1" si="571"/>
        <v>47</v>
      </c>
      <c r="AF612" t="str">
        <f t="shared" ca="1" si="615"/>
        <v>Plot 47</v>
      </c>
    </row>
    <row r="613" spans="28:32" x14ac:dyDescent="0.25">
      <c r="AB613" t="str">
        <f t="shared" ref="AB613:AC613" si="624">AB592</f>
        <v>External Scaffolding</v>
      </c>
      <c r="AC613" t="str">
        <f t="shared" si="624"/>
        <v>Hop-ups</v>
      </c>
      <c r="AD613" t="b">
        <f t="shared" ca="1" si="617"/>
        <v>1</v>
      </c>
      <c r="AE613" s="1">
        <f t="shared" ca="1" si="571"/>
        <v>47</v>
      </c>
      <c r="AF613" t="str">
        <f t="shared" ca="1" si="615"/>
        <v>Plot 47</v>
      </c>
    </row>
    <row r="614" spans="28:32" x14ac:dyDescent="0.25">
      <c r="AB614" t="str">
        <f t="shared" ref="AB614:AC614" si="625">AB593</f>
        <v>External Scaffolding</v>
      </c>
      <c r="AC614" t="str">
        <f t="shared" si="625"/>
        <v>Adaptions</v>
      </c>
      <c r="AD614" t="b">
        <f t="shared" ca="1" si="617"/>
        <v>1</v>
      </c>
      <c r="AE614" s="1">
        <f t="shared" ca="1" si="571"/>
        <v>47</v>
      </c>
      <c r="AF614" t="str">
        <f t="shared" ca="1" si="615"/>
        <v>Plot 47</v>
      </c>
    </row>
    <row r="615" spans="28:32" x14ac:dyDescent="0.25">
      <c r="AB615" t="str">
        <f t="shared" ref="AB615:AC615" si="626">AB594</f>
        <v>External Scaffolding</v>
      </c>
      <c r="AC615" t="str">
        <f t="shared" si="626"/>
        <v>Adaption Tower</v>
      </c>
      <c r="AD615" t="b">
        <f t="shared" ca="1" si="617"/>
        <v>1</v>
      </c>
      <c r="AE615" s="1">
        <f t="shared" ca="1" si="571"/>
        <v>47</v>
      </c>
      <c r="AF615" t="str">
        <f t="shared" ca="1" si="615"/>
        <v>Plot 47</v>
      </c>
    </row>
    <row r="616" spans="28:32" x14ac:dyDescent="0.25">
      <c r="AB616" t="str">
        <f t="shared" ref="AB616:AC616" si="627">AB595</f>
        <v>External Scaffolding</v>
      </c>
      <c r="AC616" t="str">
        <f t="shared" si="627"/>
        <v>Lift 1</v>
      </c>
      <c r="AD616" t="b">
        <f t="shared" ca="1" si="617"/>
        <v>1</v>
      </c>
      <c r="AE616" s="1">
        <f t="shared" ca="1" si="571"/>
        <v>48</v>
      </c>
      <c r="AF616" t="str">
        <f t="shared" ca="1" si="615"/>
        <v>Plot 48</v>
      </c>
    </row>
    <row r="617" spans="28:32" x14ac:dyDescent="0.25">
      <c r="AB617" t="str">
        <f t="shared" ref="AB617:AC617" si="628">AB596</f>
        <v>External Scaffolding</v>
      </c>
      <c r="AC617" t="str">
        <f t="shared" si="628"/>
        <v>Lift 2</v>
      </c>
      <c r="AD617" t="b">
        <f t="shared" ca="1" si="617"/>
        <v>1</v>
      </c>
      <c r="AE617" s="1">
        <f t="shared" ca="1" si="571"/>
        <v>48</v>
      </c>
      <c r="AF617" t="str">
        <f t="shared" ca="1" si="615"/>
        <v>Plot 48</v>
      </c>
    </row>
    <row r="618" spans="28:32" x14ac:dyDescent="0.25">
      <c r="AB618" t="str">
        <f t="shared" ref="AB618:AC618" si="629">AB597</f>
        <v>External Scaffolding</v>
      </c>
      <c r="AC618" t="str">
        <f t="shared" si="629"/>
        <v>Lift 3</v>
      </c>
      <c r="AD618" t="b">
        <f t="shared" ca="1" si="617"/>
        <v>0</v>
      </c>
      <c r="AE618" s="1">
        <f t="shared" ca="1" si="571"/>
        <v>48</v>
      </c>
      <c r="AF618" t="str">
        <f t="shared" ca="1" si="615"/>
        <v>Plot 48</v>
      </c>
    </row>
    <row r="619" spans="28:32" x14ac:dyDescent="0.25">
      <c r="AB619" t="str">
        <f t="shared" ref="AB619:AC619" si="630">AB598</f>
        <v>External Scaffolding</v>
      </c>
      <c r="AC619" t="str">
        <f t="shared" si="630"/>
        <v>Lift 4</v>
      </c>
      <c r="AD619" t="b">
        <f t="shared" ca="1" si="617"/>
        <v>0</v>
      </c>
      <c r="AE619" s="1">
        <f t="shared" ca="1" si="571"/>
        <v>48</v>
      </c>
      <c r="AF619" t="str">
        <f t="shared" ca="1" si="615"/>
        <v>Plot 48</v>
      </c>
    </row>
    <row r="620" spans="28:32" x14ac:dyDescent="0.25">
      <c r="AB620" t="str">
        <f t="shared" ref="AB620:AC620" si="631">AB599</f>
        <v>External Scaffolding</v>
      </c>
      <c r="AC620" t="str">
        <f t="shared" si="631"/>
        <v>Lift 5</v>
      </c>
      <c r="AD620" t="b">
        <f t="shared" ca="1" si="617"/>
        <v>0</v>
      </c>
      <c r="AE620" s="1">
        <f t="shared" ca="1" si="571"/>
        <v>48</v>
      </c>
      <c r="AF620" t="str">
        <f t="shared" ca="1" si="615"/>
        <v>Plot 48</v>
      </c>
    </row>
    <row r="621" spans="28:32" x14ac:dyDescent="0.25">
      <c r="AB621" t="str">
        <f t="shared" ref="AB621:AC621" si="632">AB600</f>
        <v>External Scaffolding</v>
      </c>
      <c r="AC621" t="str">
        <f t="shared" si="632"/>
        <v>Lift 6</v>
      </c>
      <c r="AD621" t="b">
        <f t="shared" ca="1" si="617"/>
        <v>0</v>
      </c>
      <c r="AE621" s="1">
        <f t="shared" ca="1" si="571"/>
        <v>48</v>
      </c>
      <c r="AF621" t="str">
        <f t="shared" ca="1" si="615"/>
        <v>Plot 48</v>
      </c>
    </row>
    <row r="622" spans="28:32" x14ac:dyDescent="0.25">
      <c r="AB622" t="str">
        <f t="shared" ref="AB622:AC622" si="633">AB601</f>
        <v>Loading Bay</v>
      </c>
      <c r="AC622" t="str">
        <f t="shared" si="633"/>
        <v>Lift 1</v>
      </c>
      <c r="AD622" t="b">
        <f t="shared" ca="1" si="617"/>
        <v>1</v>
      </c>
      <c r="AE622" s="1">
        <f t="shared" ca="1" si="571"/>
        <v>48</v>
      </c>
      <c r="AF622" t="str">
        <f t="shared" ca="1" si="615"/>
        <v>Plot 48</v>
      </c>
    </row>
    <row r="623" spans="28:32" x14ac:dyDescent="0.25">
      <c r="AB623" t="str">
        <f t="shared" ref="AB623:AC623" si="634">AB602</f>
        <v>Loading Bay</v>
      </c>
      <c r="AC623" t="str">
        <f t="shared" si="634"/>
        <v>Lift 2</v>
      </c>
      <c r="AD623" t="b">
        <f t="shared" ca="1" si="617"/>
        <v>1</v>
      </c>
      <c r="AE623" s="1">
        <f t="shared" ca="1" si="571"/>
        <v>48</v>
      </c>
      <c r="AF623" t="str">
        <f t="shared" ca="1" si="615"/>
        <v>Plot 48</v>
      </c>
    </row>
    <row r="624" spans="28:32" x14ac:dyDescent="0.25">
      <c r="AB624" t="str">
        <f t="shared" ref="AB624:AC624" si="635">AB603</f>
        <v>Loading Bay</v>
      </c>
      <c r="AC624" t="str">
        <f t="shared" si="635"/>
        <v>Lift 3</v>
      </c>
      <c r="AD624" t="b">
        <f t="shared" ca="1" si="617"/>
        <v>0</v>
      </c>
      <c r="AE624" s="1">
        <f t="shared" ca="1" si="571"/>
        <v>48</v>
      </c>
      <c r="AF624" t="str">
        <f t="shared" ca="1" si="615"/>
        <v>Plot 48</v>
      </c>
    </row>
    <row r="625" spans="28:32" x14ac:dyDescent="0.25">
      <c r="AB625" t="str">
        <f t="shared" ref="AB625:AC625" si="636">AB604</f>
        <v>Loading Bay</v>
      </c>
      <c r="AC625" t="str">
        <f t="shared" si="636"/>
        <v>Lift 4</v>
      </c>
      <c r="AD625" t="b">
        <f t="shared" ca="1" si="617"/>
        <v>0</v>
      </c>
      <c r="AE625" s="1">
        <f t="shared" ca="1" si="571"/>
        <v>48</v>
      </c>
      <c r="AF625" t="str">
        <f t="shared" ca="1" si="615"/>
        <v>Plot 48</v>
      </c>
    </row>
    <row r="626" spans="28:32" x14ac:dyDescent="0.25">
      <c r="AB626" t="str">
        <f t="shared" ref="AB626:AC626" si="637">AB605</f>
        <v>Loading Bay</v>
      </c>
      <c r="AC626" t="str">
        <f t="shared" si="637"/>
        <v>Lift 5</v>
      </c>
      <c r="AD626" t="b">
        <f t="shared" ca="1" si="617"/>
        <v>0</v>
      </c>
      <c r="AE626" s="1">
        <f t="shared" ref="AE626:AE689" ca="1" si="638">OFFSET($AD$1,0,FLOOR(ROW(B598)/21,1))</f>
        <v>48</v>
      </c>
      <c r="AF626" t="str">
        <f t="shared" ca="1" si="615"/>
        <v>Plot 48</v>
      </c>
    </row>
    <row r="627" spans="28:32" x14ac:dyDescent="0.25">
      <c r="AB627" t="str">
        <f t="shared" ref="AB627:AC627" si="639">AB606</f>
        <v>Loading Bay</v>
      </c>
      <c r="AC627" t="str">
        <f t="shared" si="639"/>
        <v>Lift 6</v>
      </c>
      <c r="AD627" t="b">
        <f t="shared" ca="1" si="617"/>
        <v>0</v>
      </c>
      <c r="AE627" s="1">
        <f t="shared" ca="1" si="638"/>
        <v>48</v>
      </c>
      <c r="AF627" t="str">
        <f t="shared" ca="1" si="615"/>
        <v>Plot 48</v>
      </c>
    </row>
    <row r="628" spans="28:32" x14ac:dyDescent="0.25">
      <c r="AB628" t="str">
        <f t="shared" ref="AB628:AC628" si="640">AB607</f>
        <v>Scaffolding Platform</v>
      </c>
      <c r="AC628" t="str">
        <f t="shared" si="640"/>
        <v>Ground Floor</v>
      </c>
      <c r="AD628" t="b">
        <f t="shared" ca="1" si="617"/>
        <v>1</v>
      </c>
      <c r="AE628" s="1">
        <f t="shared" ca="1" si="638"/>
        <v>48</v>
      </c>
      <c r="AF628" t="str">
        <f t="shared" ca="1" si="615"/>
        <v>Plot 48</v>
      </c>
    </row>
    <row r="629" spans="28:32" x14ac:dyDescent="0.25">
      <c r="AB629" t="str">
        <f t="shared" ref="AB629:AC629" si="641">AB608</f>
        <v>Scaffolding Platform</v>
      </c>
      <c r="AC629" t="str">
        <f t="shared" si="641"/>
        <v>First Floor</v>
      </c>
      <c r="AD629" t="b">
        <f t="shared" ca="1" si="617"/>
        <v>0</v>
      </c>
      <c r="AE629" s="1">
        <f t="shared" ca="1" si="638"/>
        <v>48</v>
      </c>
      <c r="AF629" t="str">
        <f t="shared" ca="1" si="615"/>
        <v>Plot 48</v>
      </c>
    </row>
    <row r="630" spans="28:32" x14ac:dyDescent="0.25">
      <c r="AB630" t="str">
        <f t="shared" ref="AB630:AC630" si="642">AB609</f>
        <v>Scaffolding Platform</v>
      </c>
      <c r="AC630" t="str">
        <f t="shared" si="642"/>
        <v>Second Floor</v>
      </c>
      <c r="AD630" t="b">
        <f t="shared" ca="1" si="617"/>
        <v>0</v>
      </c>
      <c r="AE630" s="1">
        <f t="shared" ca="1" si="638"/>
        <v>48</v>
      </c>
      <c r="AF630" t="str">
        <f t="shared" ca="1" si="615"/>
        <v>Plot 48</v>
      </c>
    </row>
    <row r="631" spans="28:32" x14ac:dyDescent="0.25">
      <c r="AB631" t="str">
        <f t="shared" ref="AB631:AC631" si="643">AB610</f>
        <v>Supporting Scaffold</v>
      </c>
      <c r="AC631" t="str">
        <f t="shared" si="643"/>
        <v>Ground Floor Prop.</v>
      </c>
      <c r="AD631" t="str">
        <f t="shared" ca="1" si="617"/>
        <v>FALSE</v>
      </c>
      <c r="AE631" s="1">
        <f t="shared" ca="1" si="638"/>
        <v>48</v>
      </c>
      <c r="AF631" t="str">
        <f t="shared" ca="1" si="615"/>
        <v>Plot 48</v>
      </c>
    </row>
    <row r="632" spans="28:32" x14ac:dyDescent="0.25">
      <c r="AB632" t="str">
        <f t="shared" ref="AB632:AC632" si="644">AB611</f>
        <v>Supporting Scaffold</v>
      </c>
      <c r="AC632" t="str">
        <f t="shared" si="644"/>
        <v>First Floor Prop.</v>
      </c>
      <c r="AD632" t="str">
        <f t="shared" ca="1" si="617"/>
        <v>FALSE</v>
      </c>
      <c r="AE632" s="1">
        <f t="shared" ca="1" si="638"/>
        <v>48</v>
      </c>
      <c r="AF632" t="str">
        <f t="shared" ca="1" si="615"/>
        <v>Plot 48</v>
      </c>
    </row>
    <row r="633" spans="28:32" x14ac:dyDescent="0.25">
      <c r="AB633" t="str">
        <f t="shared" ref="AB633:AC633" si="645">AB612</f>
        <v>Supporting Scaffold</v>
      </c>
      <c r="AC633" t="str">
        <f t="shared" si="645"/>
        <v>Second Floor Prop.</v>
      </c>
      <c r="AD633" t="str">
        <f t="shared" ca="1" si="617"/>
        <v>FALSE</v>
      </c>
      <c r="AE633" s="1">
        <f t="shared" ca="1" si="638"/>
        <v>48</v>
      </c>
      <c r="AF633" t="str">
        <f t="shared" ca="1" si="615"/>
        <v>Plot 48</v>
      </c>
    </row>
    <row r="634" spans="28:32" x14ac:dyDescent="0.25">
      <c r="AB634" t="str">
        <f t="shared" ref="AB634:AC634" si="646">AB613</f>
        <v>External Scaffolding</v>
      </c>
      <c r="AC634" t="str">
        <f t="shared" si="646"/>
        <v>Hop-ups</v>
      </c>
      <c r="AD634" t="b">
        <f t="shared" ca="1" si="617"/>
        <v>1</v>
      </c>
      <c r="AE634" s="1">
        <f t="shared" ca="1" si="638"/>
        <v>48</v>
      </c>
      <c r="AF634" t="str">
        <f t="shared" ca="1" si="615"/>
        <v>Plot 48</v>
      </c>
    </row>
    <row r="635" spans="28:32" x14ac:dyDescent="0.25">
      <c r="AB635" t="str">
        <f t="shared" ref="AB635:AC635" si="647">AB614</f>
        <v>External Scaffolding</v>
      </c>
      <c r="AC635" t="str">
        <f t="shared" si="647"/>
        <v>Adaptions</v>
      </c>
      <c r="AD635" t="b">
        <f t="shared" ca="1" si="617"/>
        <v>1</v>
      </c>
      <c r="AE635" s="1">
        <f t="shared" ca="1" si="638"/>
        <v>48</v>
      </c>
      <c r="AF635" t="str">
        <f t="shared" ca="1" si="615"/>
        <v>Plot 48</v>
      </c>
    </row>
    <row r="636" spans="28:32" x14ac:dyDescent="0.25">
      <c r="AB636" t="str">
        <f t="shared" ref="AB636:AC636" si="648">AB615</f>
        <v>External Scaffolding</v>
      </c>
      <c r="AC636" t="str">
        <f t="shared" si="648"/>
        <v>Adaption Tower</v>
      </c>
      <c r="AD636" t="b">
        <f t="shared" ca="1" si="617"/>
        <v>1</v>
      </c>
      <c r="AE636" s="1">
        <f t="shared" ca="1" si="638"/>
        <v>48</v>
      </c>
      <c r="AF636" t="str">
        <f t="shared" ca="1" si="615"/>
        <v>Plot 48</v>
      </c>
    </row>
    <row r="637" spans="28:32" x14ac:dyDescent="0.25">
      <c r="AB637" t="str">
        <f t="shared" ref="AB637:AC637" si="649">AB616</f>
        <v>External Scaffolding</v>
      </c>
      <c r="AC637" t="str">
        <f t="shared" si="649"/>
        <v>Lift 1</v>
      </c>
      <c r="AD637" t="b">
        <f t="shared" ca="1" si="617"/>
        <v>1</v>
      </c>
      <c r="AE637" s="1">
        <f t="shared" ca="1" si="638"/>
        <v>49</v>
      </c>
      <c r="AF637" t="str">
        <f t="shared" ca="1" si="615"/>
        <v>Plot 49</v>
      </c>
    </row>
    <row r="638" spans="28:32" x14ac:dyDescent="0.25">
      <c r="AB638" t="str">
        <f t="shared" ref="AB638:AC638" si="650">AB617</f>
        <v>External Scaffolding</v>
      </c>
      <c r="AC638" t="str">
        <f t="shared" si="650"/>
        <v>Lift 2</v>
      </c>
      <c r="AD638" t="b">
        <f t="shared" ca="1" si="617"/>
        <v>1</v>
      </c>
      <c r="AE638" s="1">
        <f t="shared" ca="1" si="638"/>
        <v>49</v>
      </c>
      <c r="AF638" t="str">
        <f t="shared" ca="1" si="615"/>
        <v>Plot 49</v>
      </c>
    </row>
    <row r="639" spans="28:32" x14ac:dyDescent="0.25">
      <c r="AB639" t="str">
        <f t="shared" ref="AB639:AC639" si="651">AB618</f>
        <v>External Scaffolding</v>
      </c>
      <c r="AC639" t="str">
        <f t="shared" si="651"/>
        <v>Lift 3</v>
      </c>
      <c r="AD639" t="b">
        <f t="shared" ca="1" si="617"/>
        <v>0</v>
      </c>
      <c r="AE639" s="1">
        <f t="shared" ca="1" si="638"/>
        <v>49</v>
      </c>
      <c r="AF639" t="str">
        <f t="shared" ca="1" si="615"/>
        <v>Plot 49</v>
      </c>
    </row>
    <row r="640" spans="28:32" x14ac:dyDescent="0.25">
      <c r="AB640" t="str">
        <f t="shared" ref="AB640:AC640" si="652">AB619</f>
        <v>External Scaffolding</v>
      </c>
      <c r="AC640" t="str">
        <f t="shared" si="652"/>
        <v>Lift 4</v>
      </c>
      <c r="AD640" t="b">
        <f t="shared" ca="1" si="617"/>
        <v>0</v>
      </c>
      <c r="AE640" s="1">
        <f t="shared" ca="1" si="638"/>
        <v>49</v>
      </c>
      <c r="AF640" t="str">
        <f t="shared" ca="1" si="615"/>
        <v>Plot 49</v>
      </c>
    </row>
    <row r="641" spans="28:32" x14ac:dyDescent="0.25">
      <c r="AB641" t="str">
        <f t="shared" ref="AB641:AC641" si="653">AB620</f>
        <v>External Scaffolding</v>
      </c>
      <c r="AC641" t="str">
        <f t="shared" si="653"/>
        <v>Lift 5</v>
      </c>
      <c r="AD641" t="b">
        <f t="shared" ca="1" si="617"/>
        <v>0</v>
      </c>
      <c r="AE641" s="1">
        <f t="shared" ca="1" si="638"/>
        <v>49</v>
      </c>
      <c r="AF641" t="str">
        <f t="shared" ca="1" si="615"/>
        <v>Plot 49</v>
      </c>
    </row>
    <row r="642" spans="28:32" x14ac:dyDescent="0.25">
      <c r="AB642" t="str">
        <f t="shared" ref="AB642:AC642" si="654">AB621</f>
        <v>External Scaffolding</v>
      </c>
      <c r="AC642" t="str">
        <f t="shared" si="654"/>
        <v>Lift 6</v>
      </c>
      <c r="AD642" t="b">
        <f t="shared" ca="1" si="617"/>
        <v>0</v>
      </c>
      <c r="AE642" s="1">
        <f t="shared" ca="1" si="638"/>
        <v>49</v>
      </c>
      <c r="AF642" t="str">
        <f t="shared" ca="1" si="615"/>
        <v>Plot 49</v>
      </c>
    </row>
    <row r="643" spans="28:32" x14ac:dyDescent="0.25">
      <c r="AB643" t="str">
        <f t="shared" ref="AB643:AC643" si="655">AB622</f>
        <v>Loading Bay</v>
      </c>
      <c r="AC643" t="str">
        <f t="shared" si="655"/>
        <v>Lift 1</v>
      </c>
      <c r="AD643" t="b">
        <f t="shared" ca="1" si="617"/>
        <v>1</v>
      </c>
      <c r="AE643" s="1">
        <f t="shared" ca="1" si="638"/>
        <v>49</v>
      </c>
      <c r="AF643" t="str">
        <f t="shared" ca="1" si="615"/>
        <v>Plot 49</v>
      </c>
    </row>
    <row r="644" spans="28:32" x14ac:dyDescent="0.25">
      <c r="AB644" t="str">
        <f t="shared" ref="AB644:AC644" si="656">AB623</f>
        <v>Loading Bay</v>
      </c>
      <c r="AC644" t="str">
        <f t="shared" si="656"/>
        <v>Lift 2</v>
      </c>
      <c r="AD644" t="b">
        <f t="shared" ca="1" si="617"/>
        <v>1</v>
      </c>
      <c r="AE644" s="1">
        <f t="shared" ca="1" si="638"/>
        <v>49</v>
      </c>
      <c r="AF644" t="str">
        <f t="shared" ca="1" si="615"/>
        <v>Plot 49</v>
      </c>
    </row>
    <row r="645" spans="28:32" x14ac:dyDescent="0.25">
      <c r="AB645" t="str">
        <f t="shared" ref="AB645:AC645" si="657">AB624</f>
        <v>Loading Bay</v>
      </c>
      <c r="AC645" t="str">
        <f t="shared" si="657"/>
        <v>Lift 3</v>
      </c>
      <c r="AD645" t="b">
        <f t="shared" ca="1" si="617"/>
        <v>0</v>
      </c>
      <c r="AE645" s="1">
        <f t="shared" ca="1" si="638"/>
        <v>49</v>
      </c>
      <c r="AF645" t="str">
        <f t="shared" ca="1" si="615"/>
        <v>Plot 49</v>
      </c>
    </row>
    <row r="646" spans="28:32" x14ac:dyDescent="0.25">
      <c r="AB646" t="str">
        <f t="shared" ref="AB646:AC646" si="658">AB625</f>
        <v>Loading Bay</v>
      </c>
      <c r="AC646" t="str">
        <f t="shared" si="658"/>
        <v>Lift 4</v>
      </c>
      <c r="AD646" t="b">
        <f t="shared" ca="1" si="617"/>
        <v>0</v>
      </c>
      <c r="AE646" s="1">
        <f t="shared" ca="1" si="638"/>
        <v>49</v>
      </c>
      <c r="AF646" t="str">
        <f t="shared" ca="1" si="615"/>
        <v>Plot 49</v>
      </c>
    </row>
    <row r="647" spans="28:32" x14ac:dyDescent="0.25">
      <c r="AB647" t="str">
        <f t="shared" ref="AB647:AC647" si="659">AB626</f>
        <v>Loading Bay</v>
      </c>
      <c r="AC647" t="str">
        <f t="shared" si="659"/>
        <v>Lift 5</v>
      </c>
      <c r="AD647" t="b">
        <f t="shared" ca="1" si="617"/>
        <v>0</v>
      </c>
      <c r="AE647" s="1">
        <f t="shared" ca="1" si="638"/>
        <v>49</v>
      </c>
      <c r="AF647" t="str">
        <f t="shared" ca="1" si="615"/>
        <v>Plot 49</v>
      </c>
    </row>
    <row r="648" spans="28:32" x14ac:dyDescent="0.25">
      <c r="AB648" t="str">
        <f t="shared" ref="AB648:AC648" si="660">AB627</f>
        <v>Loading Bay</v>
      </c>
      <c r="AC648" t="str">
        <f t="shared" si="660"/>
        <v>Lift 6</v>
      </c>
      <c r="AD648" t="b">
        <f t="shared" ca="1" si="617"/>
        <v>0</v>
      </c>
      <c r="AE648" s="1">
        <f t="shared" ca="1" si="638"/>
        <v>49</v>
      </c>
      <c r="AF648" t="str">
        <f t="shared" ca="1" si="615"/>
        <v>Plot 49</v>
      </c>
    </row>
    <row r="649" spans="28:32" x14ac:dyDescent="0.25">
      <c r="AB649" t="str">
        <f t="shared" ref="AB649:AC649" si="661">AB628</f>
        <v>Scaffolding Platform</v>
      </c>
      <c r="AC649" t="str">
        <f t="shared" si="661"/>
        <v>Ground Floor</v>
      </c>
      <c r="AD649" t="b">
        <f t="shared" ca="1" si="617"/>
        <v>1</v>
      </c>
      <c r="AE649" s="1">
        <f t="shared" ca="1" si="638"/>
        <v>49</v>
      </c>
      <c r="AF649" t="str">
        <f t="shared" ca="1" si="615"/>
        <v>Plot 49</v>
      </c>
    </row>
    <row r="650" spans="28:32" x14ac:dyDescent="0.25">
      <c r="AB650" t="str">
        <f t="shared" ref="AB650:AC650" si="662">AB629</f>
        <v>Scaffolding Platform</v>
      </c>
      <c r="AC650" t="str">
        <f t="shared" si="662"/>
        <v>First Floor</v>
      </c>
      <c r="AD650" t="b">
        <f t="shared" ca="1" si="617"/>
        <v>0</v>
      </c>
      <c r="AE650" s="1">
        <f t="shared" ca="1" si="638"/>
        <v>49</v>
      </c>
      <c r="AF650" t="str">
        <f t="shared" ca="1" si="615"/>
        <v>Plot 49</v>
      </c>
    </row>
    <row r="651" spans="28:32" x14ac:dyDescent="0.25">
      <c r="AB651" t="str">
        <f t="shared" ref="AB651:AC651" si="663">AB630</f>
        <v>Scaffolding Platform</v>
      </c>
      <c r="AC651" t="str">
        <f t="shared" si="663"/>
        <v>Second Floor</v>
      </c>
      <c r="AD651" t="b">
        <f t="shared" ca="1" si="617"/>
        <v>0</v>
      </c>
      <c r="AE651" s="1">
        <f t="shared" ca="1" si="638"/>
        <v>49</v>
      </c>
      <c r="AF651" t="str">
        <f t="shared" ca="1" si="615"/>
        <v>Plot 49</v>
      </c>
    </row>
    <row r="652" spans="28:32" x14ac:dyDescent="0.25">
      <c r="AB652" t="str">
        <f t="shared" ref="AB652:AC652" si="664">AB631</f>
        <v>Supporting Scaffold</v>
      </c>
      <c r="AC652" t="str">
        <f t="shared" si="664"/>
        <v>Ground Floor Prop.</v>
      </c>
      <c r="AD652" t="str">
        <f t="shared" ca="1" si="617"/>
        <v>FALSE</v>
      </c>
      <c r="AE652" s="1">
        <f t="shared" ca="1" si="638"/>
        <v>49</v>
      </c>
      <c r="AF652" t="str">
        <f t="shared" ca="1" si="615"/>
        <v>Plot 49</v>
      </c>
    </row>
    <row r="653" spans="28:32" x14ac:dyDescent="0.25">
      <c r="AB653" t="str">
        <f t="shared" ref="AB653:AC653" si="665">AB632</f>
        <v>Supporting Scaffold</v>
      </c>
      <c r="AC653" t="str">
        <f t="shared" si="665"/>
        <v>First Floor Prop.</v>
      </c>
      <c r="AD653" t="str">
        <f t="shared" ca="1" si="617"/>
        <v>FALSE</v>
      </c>
      <c r="AE653" s="1">
        <f t="shared" ca="1" si="638"/>
        <v>49</v>
      </c>
      <c r="AF653" t="str">
        <f t="shared" ca="1" si="615"/>
        <v>Plot 49</v>
      </c>
    </row>
    <row r="654" spans="28:32" x14ac:dyDescent="0.25">
      <c r="AB654" t="str">
        <f t="shared" ref="AB654:AC654" si="666">AB633</f>
        <v>Supporting Scaffold</v>
      </c>
      <c r="AC654" t="str">
        <f t="shared" si="666"/>
        <v>Second Floor Prop.</v>
      </c>
      <c r="AD654" t="str">
        <f t="shared" ca="1" si="617"/>
        <v>FALSE</v>
      </c>
      <c r="AE654" s="1">
        <f t="shared" ca="1" si="638"/>
        <v>49</v>
      </c>
      <c r="AF654" t="str">
        <f t="shared" ca="1" si="615"/>
        <v>Plot 49</v>
      </c>
    </row>
    <row r="655" spans="28:32" x14ac:dyDescent="0.25">
      <c r="AB655" t="str">
        <f t="shared" ref="AB655:AC655" si="667">AB634</f>
        <v>External Scaffolding</v>
      </c>
      <c r="AC655" t="str">
        <f t="shared" si="667"/>
        <v>Hop-ups</v>
      </c>
      <c r="AD655" t="b">
        <f t="shared" ca="1" si="617"/>
        <v>1</v>
      </c>
      <c r="AE655" s="1">
        <f t="shared" ca="1" si="638"/>
        <v>49</v>
      </c>
      <c r="AF655" t="str">
        <f t="shared" ca="1" si="615"/>
        <v>Plot 49</v>
      </c>
    </row>
    <row r="656" spans="28:32" x14ac:dyDescent="0.25">
      <c r="AB656" t="str">
        <f t="shared" ref="AB656:AC656" si="668">AB635</f>
        <v>External Scaffolding</v>
      </c>
      <c r="AC656" t="str">
        <f t="shared" si="668"/>
        <v>Adaptions</v>
      </c>
      <c r="AD656" t="b">
        <f t="shared" ca="1" si="617"/>
        <v>1</v>
      </c>
      <c r="AE656" s="1">
        <f t="shared" ca="1" si="638"/>
        <v>49</v>
      </c>
      <c r="AF656" t="str">
        <f t="shared" ca="1" si="615"/>
        <v>Plot 49</v>
      </c>
    </row>
    <row r="657" spans="28:32" x14ac:dyDescent="0.25">
      <c r="AB657" t="str">
        <f t="shared" ref="AB657:AC657" si="669">AB636</f>
        <v>External Scaffolding</v>
      </c>
      <c r="AC657" t="str">
        <f t="shared" si="669"/>
        <v>Adaption Tower</v>
      </c>
      <c r="AD657" t="b">
        <f t="shared" ca="1" si="617"/>
        <v>1</v>
      </c>
      <c r="AE657" s="1">
        <f t="shared" ca="1" si="638"/>
        <v>49</v>
      </c>
      <c r="AF657" t="str">
        <f t="shared" ca="1" si="615"/>
        <v>Plot 49</v>
      </c>
    </row>
    <row r="658" spans="28:32" x14ac:dyDescent="0.25">
      <c r="AB658" t="str">
        <f t="shared" ref="AB658:AC658" si="670">AB637</f>
        <v>External Scaffolding</v>
      </c>
      <c r="AC658" t="str">
        <f t="shared" si="670"/>
        <v>Lift 1</v>
      </c>
      <c r="AD658" t="b">
        <f t="shared" ca="1" si="617"/>
        <v>1</v>
      </c>
      <c r="AE658" s="1">
        <f t="shared" ca="1" si="638"/>
        <v>50</v>
      </c>
      <c r="AF658" t="str">
        <f t="shared" ca="1" si="615"/>
        <v>Plot 50</v>
      </c>
    </row>
    <row r="659" spans="28:32" x14ac:dyDescent="0.25">
      <c r="AB659" t="str">
        <f t="shared" ref="AB659:AC659" si="671">AB638</f>
        <v>External Scaffolding</v>
      </c>
      <c r="AC659" t="str">
        <f t="shared" si="671"/>
        <v>Lift 2</v>
      </c>
      <c r="AD659" t="b">
        <f t="shared" ca="1" si="617"/>
        <v>1</v>
      </c>
      <c r="AE659" s="1">
        <f t="shared" ca="1" si="638"/>
        <v>50</v>
      </c>
      <c r="AF659" t="str">
        <f t="shared" ca="1" si="615"/>
        <v>Plot 50</v>
      </c>
    </row>
    <row r="660" spans="28:32" x14ac:dyDescent="0.25">
      <c r="AB660" t="str">
        <f t="shared" ref="AB660:AC660" si="672">AB639</f>
        <v>External Scaffolding</v>
      </c>
      <c r="AC660" t="str">
        <f t="shared" si="672"/>
        <v>Lift 3</v>
      </c>
      <c r="AD660" t="b">
        <f t="shared" ca="1" si="617"/>
        <v>1</v>
      </c>
      <c r="AE660" s="1">
        <f t="shared" ca="1" si="638"/>
        <v>50</v>
      </c>
      <c r="AF660" t="str">
        <f t="shared" ca="1" si="615"/>
        <v>Plot 50</v>
      </c>
    </row>
    <row r="661" spans="28:32" x14ac:dyDescent="0.25">
      <c r="AB661" t="str">
        <f t="shared" ref="AB661:AC661" si="673">AB640</f>
        <v>External Scaffolding</v>
      </c>
      <c r="AC661" t="str">
        <f t="shared" si="673"/>
        <v>Lift 4</v>
      </c>
      <c r="AD661" t="b">
        <f t="shared" ca="1" si="617"/>
        <v>0</v>
      </c>
      <c r="AE661" s="1">
        <f t="shared" ca="1" si="638"/>
        <v>50</v>
      </c>
      <c r="AF661" t="str">
        <f t="shared" ca="1" si="615"/>
        <v>Plot 50</v>
      </c>
    </row>
    <row r="662" spans="28:32" x14ac:dyDescent="0.25">
      <c r="AB662" t="str">
        <f t="shared" ref="AB662:AC662" si="674">AB641</f>
        <v>External Scaffolding</v>
      </c>
      <c r="AC662" t="str">
        <f t="shared" si="674"/>
        <v>Lift 5</v>
      </c>
      <c r="AD662" t="b">
        <f t="shared" ca="1" si="617"/>
        <v>0</v>
      </c>
      <c r="AE662" s="1">
        <f t="shared" ca="1" si="638"/>
        <v>50</v>
      </c>
      <c r="AF662" t="str">
        <f t="shared" ca="1" si="615"/>
        <v>Plot 50</v>
      </c>
    </row>
    <row r="663" spans="28:32" x14ac:dyDescent="0.25">
      <c r="AB663" t="str">
        <f t="shared" ref="AB663:AC663" si="675">AB642</f>
        <v>External Scaffolding</v>
      </c>
      <c r="AC663" t="str">
        <f t="shared" si="675"/>
        <v>Lift 6</v>
      </c>
      <c r="AD663" t="b">
        <f t="shared" ca="1" si="617"/>
        <v>0</v>
      </c>
      <c r="AE663" s="1">
        <f t="shared" ca="1" si="638"/>
        <v>50</v>
      </c>
      <c r="AF663" t="str">
        <f t="shared" ca="1" si="615"/>
        <v>Plot 50</v>
      </c>
    </row>
    <row r="664" spans="28:32" x14ac:dyDescent="0.25">
      <c r="AB664" t="str">
        <f t="shared" ref="AB664:AC664" si="676">AB643</f>
        <v>Loading Bay</v>
      </c>
      <c r="AC664" t="str">
        <f t="shared" si="676"/>
        <v>Lift 1</v>
      </c>
      <c r="AD664" t="b">
        <f t="shared" ca="1" si="617"/>
        <v>1</v>
      </c>
      <c r="AE664" s="1">
        <f t="shared" ca="1" si="638"/>
        <v>50</v>
      </c>
      <c r="AF664" t="str">
        <f t="shared" ca="1" si="615"/>
        <v>Plot 50</v>
      </c>
    </row>
    <row r="665" spans="28:32" x14ac:dyDescent="0.25">
      <c r="AB665" t="str">
        <f t="shared" ref="AB665:AC665" si="677">AB644</f>
        <v>Loading Bay</v>
      </c>
      <c r="AC665" t="str">
        <f t="shared" si="677"/>
        <v>Lift 2</v>
      </c>
      <c r="AD665" t="b">
        <f t="shared" ca="1" si="617"/>
        <v>1</v>
      </c>
      <c r="AE665" s="1">
        <f t="shared" ca="1" si="638"/>
        <v>50</v>
      </c>
      <c r="AF665" t="str">
        <f t="shared" ca="1" si="615"/>
        <v>Plot 50</v>
      </c>
    </row>
    <row r="666" spans="28:32" x14ac:dyDescent="0.25">
      <c r="AB666" t="str">
        <f t="shared" ref="AB666:AC666" si="678">AB645</f>
        <v>Loading Bay</v>
      </c>
      <c r="AC666" t="str">
        <f t="shared" si="678"/>
        <v>Lift 3</v>
      </c>
      <c r="AD666" t="b">
        <f t="shared" ca="1" si="617"/>
        <v>1</v>
      </c>
      <c r="AE666" s="1">
        <f t="shared" ca="1" si="638"/>
        <v>50</v>
      </c>
      <c r="AF666" t="str">
        <f t="shared" ca="1" si="615"/>
        <v>Plot 50</v>
      </c>
    </row>
    <row r="667" spans="28:32" x14ac:dyDescent="0.25">
      <c r="AB667" t="str">
        <f t="shared" ref="AB667:AC667" si="679">AB646</f>
        <v>Loading Bay</v>
      </c>
      <c r="AC667" t="str">
        <f t="shared" si="679"/>
        <v>Lift 4</v>
      </c>
      <c r="AD667" t="b">
        <f t="shared" ca="1" si="617"/>
        <v>0</v>
      </c>
      <c r="AE667" s="1">
        <f t="shared" ca="1" si="638"/>
        <v>50</v>
      </c>
      <c r="AF667" t="str">
        <f t="shared" ca="1" si="615"/>
        <v>Plot 50</v>
      </c>
    </row>
    <row r="668" spans="28:32" x14ac:dyDescent="0.25">
      <c r="AB668" t="str">
        <f t="shared" ref="AB668:AC668" si="680">AB647</f>
        <v>Loading Bay</v>
      </c>
      <c r="AC668" t="str">
        <f t="shared" si="680"/>
        <v>Lift 5</v>
      </c>
      <c r="AD668" t="b">
        <f t="shared" ca="1" si="617"/>
        <v>0</v>
      </c>
      <c r="AE668" s="1">
        <f t="shared" ca="1" si="638"/>
        <v>50</v>
      </c>
      <c r="AF668" t="str">
        <f t="shared" ca="1" si="615"/>
        <v>Plot 50</v>
      </c>
    </row>
    <row r="669" spans="28:32" x14ac:dyDescent="0.25">
      <c r="AB669" t="str">
        <f t="shared" ref="AB669:AC669" si="681">AB648</f>
        <v>Loading Bay</v>
      </c>
      <c r="AC669" t="str">
        <f t="shared" si="681"/>
        <v>Lift 6</v>
      </c>
      <c r="AD669" t="b">
        <f t="shared" ca="1" si="617"/>
        <v>0</v>
      </c>
      <c r="AE669" s="1">
        <f t="shared" ca="1" si="638"/>
        <v>50</v>
      </c>
      <c r="AF669" t="str">
        <f t="shared" ref="AF669:AF732" ca="1" si="682">IF(LEFT(AE669,1)="G",AE669,"Plot "&amp;AE669)</f>
        <v>Plot 50</v>
      </c>
    </row>
    <row r="670" spans="28:32" x14ac:dyDescent="0.25">
      <c r="AB670" t="str">
        <f t="shared" ref="AB670:AC670" si="683">AB649</f>
        <v>Scaffolding Platform</v>
      </c>
      <c r="AC670" t="str">
        <f t="shared" si="683"/>
        <v>Ground Floor</v>
      </c>
      <c r="AD670" t="b">
        <f t="shared" ref="AD670:AD733" ca="1" si="684">INDEX($AC$1:$JH$22,MATCH(AC670,$AC$1:$AC$22,0),MATCH(AE670,$AC$1:$JH$1,0))</f>
        <v>1</v>
      </c>
      <c r="AE670" s="1">
        <f t="shared" ca="1" si="638"/>
        <v>50</v>
      </c>
      <c r="AF670" t="str">
        <f t="shared" ca="1" si="682"/>
        <v>Plot 50</v>
      </c>
    </row>
    <row r="671" spans="28:32" x14ac:dyDescent="0.25">
      <c r="AB671" t="str">
        <f t="shared" ref="AB671:AC671" si="685">AB650</f>
        <v>Scaffolding Platform</v>
      </c>
      <c r="AC671" t="str">
        <f t="shared" si="685"/>
        <v>First Floor</v>
      </c>
      <c r="AD671" t="b">
        <f t="shared" ca="1" si="684"/>
        <v>1</v>
      </c>
      <c r="AE671" s="1">
        <f t="shared" ca="1" si="638"/>
        <v>50</v>
      </c>
      <c r="AF671" t="str">
        <f t="shared" ca="1" si="682"/>
        <v>Plot 50</v>
      </c>
    </row>
    <row r="672" spans="28:32" x14ac:dyDescent="0.25">
      <c r="AB672" t="str">
        <f t="shared" ref="AB672:AC672" si="686">AB651</f>
        <v>Scaffolding Platform</v>
      </c>
      <c r="AC672" t="str">
        <f t="shared" si="686"/>
        <v>Second Floor</v>
      </c>
      <c r="AD672" t="b">
        <f t="shared" ca="1" si="684"/>
        <v>0</v>
      </c>
      <c r="AE672" s="1">
        <f t="shared" ca="1" si="638"/>
        <v>50</v>
      </c>
      <c r="AF672" t="str">
        <f t="shared" ca="1" si="682"/>
        <v>Plot 50</v>
      </c>
    </row>
    <row r="673" spans="28:32" x14ac:dyDescent="0.25">
      <c r="AB673" t="str">
        <f t="shared" ref="AB673:AC673" si="687">AB652</f>
        <v>Supporting Scaffold</v>
      </c>
      <c r="AC673" t="str">
        <f t="shared" si="687"/>
        <v>Ground Floor Prop.</v>
      </c>
      <c r="AD673" t="str">
        <f t="shared" ca="1" si="684"/>
        <v>TRUE</v>
      </c>
      <c r="AE673" s="1">
        <f t="shared" ca="1" si="638"/>
        <v>50</v>
      </c>
      <c r="AF673" t="str">
        <f t="shared" ca="1" si="682"/>
        <v>Plot 50</v>
      </c>
    </row>
    <row r="674" spans="28:32" x14ac:dyDescent="0.25">
      <c r="AB674" t="str">
        <f t="shared" ref="AB674:AC674" si="688">AB653</f>
        <v>Supporting Scaffold</v>
      </c>
      <c r="AC674" t="str">
        <f t="shared" si="688"/>
        <v>First Floor Prop.</v>
      </c>
      <c r="AD674" t="str">
        <f t="shared" ca="1" si="684"/>
        <v>FALSE</v>
      </c>
      <c r="AE674" s="1">
        <f t="shared" ca="1" si="638"/>
        <v>50</v>
      </c>
      <c r="AF674" t="str">
        <f t="shared" ca="1" si="682"/>
        <v>Plot 50</v>
      </c>
    </row>
    <row r="675" spans="28:32" x14ac:dyDescent="0.25">
      <c r="AB675" t="str">
        <f t="shared" ref="AB675:AC675" si="689">AB654</f>
        <v>Supporting Scaffold</v>
      </c>
      <c r="AC675" t="str">
        <f t="shared" si="689"/>
        <v>Second Floor Prop.</v>
      </c>
      <c r="AD675" t="str">
        <f t="shared" ca="1" si="684"/>
        <v>FALSE</v>
      </c>
      <c r="AE675" s="1">
        <f t="shared" ca="1" si="638"/>
        <v>50</v>
      </c>
      <c r="AF675" t="str">
        <f t="shared" ca="1" si="682"/>
        <v>Plot 50</v>
      </c>
    </row>
    <row r="676" spans="28:32" x14ac:dyDescent="0.25">
      <c r="AB676" t="str">
        <f t="shared" ref="AB676:AC676" si="690">AB655</f>
        <v>External Scaffolding</v>
      </c>
      <c r="AC676" t="str">
        <f t="shared" si="690"/>
        <v>Hop-ups</v>
      </c>
      <c r="AD676" t="b">
        <f t="shared" ca="1" si="684"/>
        <v>1</v>
      </c>
      <c r="AE676" s="1">
        <f t="shared" ca="1" si="638"/>
        <v>50</v>
      </c>
      <c r="AF676" t="str">
        <f t="shared" ca="1" si="682"/>
        <v>Plot 50</v>
      </c>
    </row>
    <row r="677" spans="28:32" x14ac:dyDescent="0.25">
      <c r="AB677" t="str">
        <f t="shared" ref="AB677:AC677" si="691">AB656</f>
        <v>External Scaffolding</v>
      </c>
      <c r="AC677" t="str">
        <f t="shared" si="691"/>
        <v>Adaptions</v>
      </c>
      <c r="AD677" t="b">
        <f t="shared" ca="1" si="684"/>
        <v>1</v>
      </c>
      <c r="AE677" s="1">
        <f t="shared" ca="1" si="638"/>
        <v>50</v>
      </c>
      <c r="AF677" t="str">
        <f t="shared" ca="1" si="682"/>
        <v>Plot 50</v>
      </c>
    </row>
    <row r="678" spans="28:32" x14ac:dyDescent="0.25">
      <c r="AB678" t="str">
        <f t="shared" ref="AB678:AC678" si="692">AB657</f>
        <v>External Scaffolding</v>
      </c>
      <c r="AC678" t="str">
        <f t="shared" si="692"/>
        <v>Adaption Tower</v>
      </c>
      <c r="AD678" t="b">
        <f t="shared" ca="1" si="684"/>
        <v>1</v>
      </c>
      <c r="AE678" s="1">
        <f t="shared" ca="1" si="638"/>
        <v>50</v>
      </c>
      <c r="AF678" t="str">
        <f t="shared" ca="1" si="682"/>
        <v>Plot 50</v>
      </c>
    </row>
    <row r="679" spans="28:32" x14ac:dyDescent="0.25">
      <c r="AB679" t="str">
        <f t="shared" ref="AB679:AC679" si="693">AB658</f>
        <v>External Scaffolding</v>
      </c>
      <c r="AC679" t="str">
        <f t="shared" si="693"/>
        <v>Lift 1</v>
      </c>
      <c r="AD679" t="b">
        <f t="shared" ca="1" si="684"/>
        <v>1</v>
      </c>
      <c r="AE679" s="1">
        <f t="shared" ca="1" si="638"/>
        <v>51</v>
      </c>
      <c r="AF679" t="str">
        <f t="shared" ca="1" si="682"/>
        <v>Plot 51</v>
      </c>
    </row>
    <row r="680" spans="28:32" x14ac:dyDescent="0.25">
      <c r="AB680" t="str">
        <f t="shared" ref="AB680:AC680" si="694">AB659</f>
        <v>External Scaffolding</v>
      </c>
      <c r="AC680" t="str">
        <f t="shared" si="694"/>
        <v>Lift 2</v>
      </c>
      <c r="AD680" t="b">
        <f t="shared" ca="1" si="684"/>
        <v>1</v>
      </c>
      <c r="AE680" s="1">
        <f t="shared" ca="1" si="638"/>
        <v>51</v>
      </c>
      <c r="AF680" t="str">
        <f t="shared" ca="1" si="682"/>
        <v>Plot 51</v>
      </c>
    </row>
    <row r="681" spans="28:32" x14ac:dyDescent="0.25">
      <c r="AB681" t="str">
        <f t="shared" ref="AB681:AC681" si="695">AB660</f>
        <v>External Scaffolding</v>
      </c>
      <c r="AC681" t="str">
        <f t="shared" si="695"/>
        <v>Lift 3</v>
      </c>
      <c r="AD681" t="b">
        <f t="shared" ca="1" si="684"/>
        <v>1</v>
      </c>
      <c r="AE681" s="1">
        <f t="shared" ca="1" si="638"/>
        <v>51</v>
      </c>
      <c r="AF681" t="str">
        <f t="shared" ca="1" si="682"/>
        <v>Plot 51</v>
      </c>
    </row>
    <row r="682" spans="28:32" x14ac:dyDescent="0.25">
      <c r="AB682" t="str">
        <f t="shared" ref="AB682:AC682" si="696">AB661</f>
        <v>External Scaffolding</v>
      </c>
      <c r="AC682" t="str">
        <f t="shared" si="696"/>
        <v>Lift 4</v>
      </c>
      <c r="AD682" t="b">
        <f t="shared" ca="1" si="684"/>
        <v>1</v>
      </c>
      <c r="AE682" s="1">
        <f t="shared" ca="1" si="638"/>
        <v>51</v>
      </c>
      <c r="AF682" t="str">
        <f t="shared" ca="1" si="682"/>
        <v>Plot 51</v>
      </c>
    </row>
    <row r="683" spans="28:32" x14ac:dyDescent="0.25">
      <c r="AB683" t="str">
        <f t="shared" ref="AB683:AC683" si="697">AB662</f>
        <v>External Scaffolding</v>
      </c>
      <c r="AC683" t="str">
        <f t="shared" si="697"/>
        <v>Lift 5</v>
      </c>
      <c r="AD683" t="b">
        <f t="shared" ca="1" si="684"/>
        <v>0</v>
      </c>
      <c r="AE683" s="1">
        <f t="shared" ca="1" si="638"/>
        <v>51</v>
      </c>
      <c r="AF683" t="str">
        <f t="shared" ca="1" si="682"/>
        <v>Plot 51</v>
      </c>
    </row>
    <row r="684" spans="28:32" x14ac:dyDescent="0.25">
      <c r="AB684" t="str">
        <f t="shared" ref="AB684:AC684" si="698">AB663</f>
        <v>External Scaffolding</v>
      </c>
      <c r="AC684" t="str">
        <f t="shared" si="698"/>
        <v>Lift 6</v>
      </c>
      <c r="AD684" t="b">
        <f t="shared" ca="1" si="684"/>
        <v>0</v>
      </c>
      <c r="AE684" s="1">
        <f t="shared" ca="1" si="638"/>
        <v>51</v>
      </c>
      <c r="AF684" t="str">
        <f t="shared" ca="1" si="682"/>
        <v>Plot 51</v>
      </c>
    </row>
    <row r="685" spans="28:32" x14ac:dyDescent="0.25">
      <c r="AB685" t="str">
        <f t="shared" ref="AB685:AC685" si="699">AB664</f>
        <v>Loading Bay</v>
      </c>
      <c r="AC685" t="str">
        <f t="shared" si="699"/>
        <v>Lift 1</v>
      </c>
      <c r="AD685" t="b">
        <f t="shared" ca="1" si="684"/>
        <v>1</v>
      </c>
      <c r="AE685" s="1">
        <f t="shared" ca="1" si="638"/>
        <v>51</v>
      </c>
      <c r="AF685" t="str">
        <f t="shared" ca="1" si="682"/>
        <v>Plot 51</v>
      </c>
    </row>
    <row r="686" spans="28:32" x14ac:dyDescent="0.25">
      <c r="AB686" t="str">
        <f t="shared" ref="AB686:AC686" si="700">AB665</f>
        <v>Loading Bay</v>
      </c>
      <c r="AC686" t="str">
        <f t="shared" si="700"/>
        <v>Lift 2</v>
      </c>
      <c r="AD686" t="b">
        <f t="shared" ca="1" si="684"/>
        <v>1</v>
      </c>
      <c r="AE686" s="1">
        <f t="shared" ca="1" si="638"/>
        <v>51</v>
      </c>
      <c r="AF686" t="str">
        <f t="shared" ca="1" si="682"/>
        <v>Plot 51</v>
      </c>
    </row>
    <row r="687" spans="28:32" x14ac:dyDescent="0.25">
      <c r="AB687" t="str">
        <f t="shared" ref="AB687:AC687" si="701">AB666</f>
        <v>Loading Bay</v>
      </c>
      <c r="AC687" t="str">
        <f t="shared" si="701"/>
        <v>Lift 3</v>
      </c>
      <c r="AD687" t="b">
        <f t="shared" ca="1" si="684"/>
        <v>1</v>
      </c>
      <c r="AE687" s="1">
        <f t="shared" ca="1" si="638"/>
        <v>51</v>
      </c>
      <c r="AF687" t="str">
        <f t="shared" ca="1" si="682"/>
        <v>Plot 51</v>
      </c>
    </row>
    <row r="688" spans="28:32" x14ac:dyDescent="0.25">
      <c r="AB688" t="str">
        <f t="shared" ref="AB688:AC688" si="702">AB667</f>
        <v>Loading Bay</v>
      </c>
      <c r="AC688" t="str">
        <f t="shared" si="702"/>
        <v>Lift 4</v>
      </c>
      <c r="AD688" t="b">
        <f t="shared" ca="1" si="684"/>
        <v>1</v>
      </c>
      <c r="AE688" s="1">
        <f t="shared" ca="1" si="638"/>
        <v>51</v>
      </c>
      <c r="AF688" t="str">
        <f t="shared" ca="1" si="682"/>
        <v>Plot 51</v>
      </c>
    </row>
    <row r="689" spans="28:32" x14ac:dyDescent="0.25">
      <c r="AB689" t="str">
        <f t="shared" ref="AB689:AC689" si="703">AB668</f>
        <v>Loading Bay</v>
      </c>
      <c r="AC689" t="str">
        <f t="shared" si="703"/>
        <v>Lift 5</v>
      </c>
      <c r="AD689" t="b">
        <f t="shared" ca="1" si="684"/>
        <v>0</v>
      </c>
      <c r="AE689" s="1">
        <f t="shared" ca="1" si="638"/>
        <v>51</v>
      </c>
      <c r="AF689" t="str">
        <f t="shared" ca="1" si="682"/>
        <v>Plot 51</v>
      </c>
    </row>
    <row r="690" spans="28:32" x14ac:dyDescent="0.25">
      <c r="AB690" t="str">
        <f t="shared" ref="AB690:AC690" si="704">AB669</f>
        <v>Loading Bay</v>
      </c>
      <c r="AC690" t="str">
        <f t="shared" si="704"/>
        <v>Lift 6</v>
      </c>
      <c r="AD690" t="b">
        <f t="shared" ca="1" si="684"/>
        <v>0</v>
      </c>
      <c r="AE690" s="1">
        <f t="shared" ref="AE690:AE753" ca="1" si="705">OFFSET($AD$1,0,FLOOR(ROW(B662)/21,1))</f>
        <v>51</v>
      </c>
      <c r="AF690" t="str">
        <f t="shared" ca="1" si="682"/>
        <v>Plot 51</v>
      </c>
    </row>
    <row r="691" spans="28:32" x14ac:dyDescent="0.25">
      <c r="AB691" t="str">
        <f t="shared" ref="AB691:AC691" si="706">AB670</f>
        <v>Scaffolding Platform</v>
      </c>
      <c r="AC691" t="str">
        <f t="shared" si="706"/>
        <v>Ground Floor</v>
      </c>
      <c r="AD691" t="b">
        <f t="shared" ca="1" si="684"/>
        <v>1</v>
      </c>
      <c r="AE691" s="1">
        <f t="shared" ca="1" si="705"/>
        <v>51</v>
      </c>
      <c r="AF691" t="str">
        <f t="shared" ca="1" si="682"/>
        <v>Plot 51</v>
      </c>
    </row>
    <row r="692" spans="28:32" x14ac:dyDescent="0.25">
      <c r="AB692" t="str">
        <f t="shared" ref="AB692:AC692" si="707">AB671</f>
        <v>Scaffolding Platform</v>
      </c>
      <c r="AC692" t="str">
        <f t="shared" si="707"/>
        <v>First Floor</v>
      </c>
      <c r="AD692" t="b">
        <f t="shared" ca="1" si="684"/>
        <v>1</v>
      </c>
      <c r="AE692" s="1">
        <f t="shared" ca="1" si="705"/>
        <v>51</v>
      </c>
      <c r="AF692" t="str">
        <f t="shared" ca="1" si="682"/>
        <v>Plot 51</v>
      </c>
    </row>
    <row r="693" spans="28:32" x14ac:dyDescent="0.25">
      <c r="AB693" t="str">
        <f t="shared" ref="AB693:AC693" si="708">AB672</f>
        <v>Scaffolding Platform</v>
      </c>
      <c r="AC693" t="str">
        <f t="shared" si="708"/>
        <v>Second Floor</v>
      </c>
      <c r="AD693" t="b">
        <f t="shared" ca="1" si="684"/>
        <v>1</v>
      </c>
      <c r="AE693" s="1">
        <f t="shared" ca="1" si="705"/>
        <v>51</v>
      </c>
      <c r="AF693" t="str">
        <f t="shared" ca="1" si="682"/>
        <v>Plot 51</v>
      </c>
    </row>
    <row r="694" spans="28:32" x14ac:dyDescent="0.25">
      <c r="AB694" t="str">
        <f t="shared" ref="AB694:AC694" si="709">AB673</f>
        <v>Supporting Scaffold</v>
      </c>
      <c r="AC694" t="str">
        <f t="shared" si="709"/>
        <v>Ground Floor Prop.</v>
      </c>
      <c r="AD694" t="str">
        <f t="shared" ca="1" si="684"/>
        <v>TRUE</v>
      </c>
      <c r="AE694" s="1">
        <f t="shared" ca="1" si="705"/>
        <v>51</v>
      </c>
      <c r="AF694" t="str">
        <f t="shared" ca="1" si="682"/>
        <v>Plot 51</v>
      </c>
    </row>
    <row r="695" spans="28:32" x14ac:dyDescent="0.25">
      <c r="AB695" t="str">
        <f t="shared" ref="AB695:AC695" si="710">AB674</f>
        <v>Supporting Scaffold</v>
      </c>
      <c r="AC695" t="str">
        <f t="shared" si="710"/>
        <v>First Floor Prop.</v>
      </c>
      <c r="AD695" t="str">
        <f t="shared" ca="1" si="684"/>
        <v>TRUE</v>
      </c>
      <c r="AE695" s="1">
        <f t="shared" ca="1" si="705"/>
        <v>51</v>
      </c>
      <c r="AF695" t="str">
        <f t="shared" ca="1" si="682"/>
        <v>Plot 51</v>
      </c>
    </row>
    <row r="696" spans="28:32" x14ac:dyDescent="0.25">
      <c r="AB696" t="str">
        <f t="shared" ref="AB696:AC696" si="711">AB675</f>
        <v>Supporting Scaffold</v>
      </c>
      <c r="AC696" t="str">
        <f t="shared" si="711"/>
        <v>Second Floor Prop.</v>
      </c>
      <c r="AD696" t="str">
        <f t="shared" ca="1" si="684"/>
        <v>FALSE</v>
      </c>
      <c r="AE696" s="1">
        <f t="shared" ca="1" si="705"/>
        <v>51</v>
      </c>
      <c r="AF696" t="str">
        <f t="shared" ca="1" si="682"/>
        <v>Plot 51</v>
      </c>
    </row>
    <row r="697" spans="28:32" x14ac:dyDescent="0.25">
      <c r="AB697" t="str">
        <f t="shared" ref="AB697:AC697" si="712">AB676</f>
        <v>External Scaffolding</v>
      </c>
      <c r="AC697" t="str">
        <f t="shared" si="712"/>
        <v>Hop-ups</v>
      </c>
      <c r="AD697" t="b">
        <f t="shared" ca="1" si="684"/>
        <v>1</v>
      </c>
      <c r="AE697" s="1">
        <f t="shared" ca="1" si="705"/>
        <v>51</v>
      </c>
      <c r="AF697" t="str">
        <f t="shared" ca="1" si="682"/>
        <v>Plot 51</v>
      </c>
    </row>
    <row r="698" spans="28:32" x14ac:dyDescent="0.25">
      <c r="AB698" t="str">
        <f t="shared" ref="AB698:AC698" si="713">AB677</f>
        <v>External Scaffolding</v>
      </c>
      <c r="AC698" t="str">
        <f t="shared" si="713"/>
        <v>Adaptions</v>
      </c>
      <c r="AD698" t="b">
        <f t="shared" ca="1" si="684"/>
        <v>1</v>
      </c>
      <c r="AE698" s="1">
        <f t="shared" ca="1" si="705"/>
        <v>51</v>
      </c>
      <c r="AF698" t="str">
        <f t="shared" ca="1" si="682"/>
        <v>Plot 51</v>
      </c>
    </row>
    <row r="699" spans="28:32" x14ac:dyDescent="0.25">
      <c r="AB699" t="str">
        <f t="shared" ref="AB699:AC699" si="714">AB678</f>
        <v>External Scaffolding</v>
      </c>
      <c r="AC699" t="str">
        <f t="shared" si="714"/>
        <v>Adaption Tower</v>
      </c>
      <c r="AD699" t="b">
        <f t="shared" ca="1" si="684"/>
        <v>1</v>
      </c>
      <c r="AE699" s="1">
        <f t="shared" ca="1" si="705"/>
        <v>51</v>
      </c>
      <c r="AF699" t="str">
        <f t="shared" ca="1" si="682"/>
        <v>Plot 51</v>
      </c>
    </row>
    <row r="700" spans="28:32" x14ac:dyDescent="0.25">
      <c r="AB700" t="str">
        <f t="shared" ref="AB700:AC700" si="715">AB679</f>
        <v>External Scaffolding</v>
      </c>
      <c r="AC700" t="str">
        <f t="shared" si="715"/>
        <v>Lift 1</v>
      </c>
      <c r="AD700" t="b">
        <f t="shared" ca="1" si="684"/>
        <v>1</v>
      </c>
      <c r="AE700" s="1">
        <f t="shared" ca="1" si="705"/>
        <v>52</v>
      </c>
      <c r="AF700" t="str">
        <f t="shared" ca="1" si="682"/>
        <v>Plot 52</v>
      </c>
    </row>
    <row r="701" spans="28:32" x14ac:dyDescent="0.25">
      <c r="AB701" t="str">
        <f t="shared" ref="AB701:AC701" si="716">AB680</f>
        <v>External Scaffolding</v>
      </c>
      <c r="AC701" t="str">
        <f t="shared" si="716"/>
        <v>Lift 2</v>
      </c>
      <c r="AD701" t="b">
        <f t="shared" ca="1" si="684"/>
        <v>1</v>
      </c>
      <c r="AE701" s="1">
        <f t="shared" ca="1" si="705"/>
        <v>52</v>
      </c>
      <c r="AF701" t="str">
        <f t="shared" ca="1" si="682"/>
        <v>Plot 52</v>
      </c>
    </row>
    <row r="702" spans="28:32" x14ac:dyDescent="0.25">
      <c r="AB702" t="str">
        <f t="shared" ref="AB702:AC702" si="717">AB681</f>
        <v>External Scaffolding</v>
      </c>
      <c r="AC702" t="str">
        <f t="shared" si="717"/>
        <v>Lift 3</v>
      </c>
      <c r="AD702" t="b">
        <f t="shared" ca="1" si="684"/>
        <v>1</v>
      </c>
      <c r="AE702" s="1">
        <f t="shared" ca="1" si="705"/>
        <v>52</v>
      </c>
      <c r="AF702" t="str">
        <f t="shared" ca="1" si="682"/>
        <v>Plot 52</v>
      </c>
    </row>
    <row r="703" spans="28:32" x14ac:dyDescent="0.25">
      <c r="AB703" t="str">
        <f t="shared" ref="AB703:AC703" si="718">AB682</f>
        <v>External Scaffolding</v>
      </c>
      <c r="AC703" t="str">
        <f t="shared" si="718"/>
        <v>Lift 4</v>
      </c>
      <c r="AD703" t="b">
        <f t="shared" ca="1" si="684"/>
        <v>0</v>
      </c>
      <c r="AE703" s="1">
        <f t="shared" ca="1" si="705"/>
        <v>52</v>
      </c>
      <c r="AF703" t="str">
        <f t="shared" ca="1" si="682"/>
        <v>Plot 52</v>
      </c>
    </row>
    <row r="704" spans="28:32" x14ac:dyDescent="0.25">
      <c r="AB704" t="str">
        <f t="shared" ref="AB704:AC704" si="719">AB683</f>
        <v>External Scaffolding</v>
      </c>
      <c r="AC704" t="str">
        <f t="shared" si="719"/>
        <v>Lift 5</v>
      </c>
      <c r="AD704" t="b">
        <f t="shared" ca="1" si="684"/>
        <v>0</v>
      </c>
      <c r="AE704" s="1">
        <f t="shared" ca="1" si="705"/>
        <v>52</v>
      </c>
      <c r="AF704" t="str">
        <f t="shared" ca="1" si="682"/>
        <v>Plot 52</v>
      </c>
    </row>
    <row r="705" spans="28:32" x14ac:dyDescent="0.25">
      <c r="AB705" t="str">
        <f t="shared" ref="AB705:AC705" si="720">AB684</f>
        <v>External Scaffolding</v>
      </c>
      <c r="AC705" t="str">
        <f t="shared" si="720"/>
        <v>Lift 6</v>
      </c>
      <c r="AD705" t="b">
        <f t="shared" ca="1" si="684"/>
        <v>0</v>
      </c>
      <c r="AE705" s="1">
        <f t="shared" ca="1" si="705"/>
        <v>52</v>
      </c>
      <c r="AF705" t="str">
        <f t="shared" ca="1" si="682"/>
        <v>Plot 52</v>
      </c>
    </row>
    <row r="706" spans="28:32" x14ac:dyDescent="0.25">
      <c r="AB706" t="str">
        <f t="shared" ref="AB706:AC706" si="721">AB685</f>
        <v>Loading Bay</v>
      </c>
      <c r="AC706" t="str">
        <f t="shared" si="721"/>
        <v>Lift 1</v>
      </c>
      <c r="AD706" t="b">
        <f t="shared" ca="1" si="684"/>
        <v>1</v>
      </c>
      <c r="AE706" s="1">
        <f t="shared" ca="1" si="705"/>
        <v>52</v>
      </c>
      <c r="AF706" t="str">
        <f t="shared" ca="1" si="682"/>
        <v>Plot 52</v>
      </c>
    </row>
    <row r="707" spans="28:32" x14ac:dyDescent="0.25">
      <c r="AB707" t="str">
        <f t="shared" ref="AB707:AC707" si="722">AB686</f>
        <v>Loading Bay</v>
      </c>
      <c r="AC707" t="str">
        <f t="shared" si="722"/>
        <v>Lift 2</v>
      </c>
      <c r="AD707" t="b">
        <f t="shared" ca="1" si="684"/>
        <v>1</v>
      </c>
      <c r="AE707" s="1">
        <f t="shared" ca="1" si="705"/>
        <v>52</v>
      </c>
      <c r="AF707" t="str">
        <f t="shared" ca="1" si="682"/>
        <v>Plot 52</v>
      </c>
    </row>
    <row r="708" spans="28:32" x14ac:dyDescent="0.25">
      <c r="AB708" t="str">
        <f t="shared" ref="AB708:AC708" si="723">AB687</f>
        <v>Loading Bay</v>
      </c>
      <c r="AC708" t="str">
        <f t="shared" si="723"/>
        <v>Lift 3</v>
      </c>
      <c r="AD708" t="b">
        <f t="shared" ca="1" si="684"/>
        <v>1</v>
      </c>
      <c r="AE708" s="1">
        <f t="shared" ca="1" si="705"/>
        <v>52</v>
      </c>
      <c r="AF708" t="str">
        <f t="shared" ca="1" si="682"/>
        <v>Plot 52</v>
      </c>
    </row>
    <row r="709" spans="28:32" x14ac:dyDescent="0.25">
      <c r="AB709" t="str">
        <f t="shared" ref="AB709:AC709" si="724">AB688</f>
        <v>Loading Bay</v>
      </c>
      <c r="AC709" t="str">
        <f t="shared" si="724"/>
        <v>Lift 4</v>
      </c>
      <c r="AD709" t="b">
        <f t="shared" ca="1" si="684"/>
        <v>0</v>
      </c>
      <c r="AE709" s="1">
        <f t="shared" ca="1" si="705"/>
        <v>52</v>
      </c>
      <c r="AF709" t="str">
        <f t="shared" ca="1" si="682"/>
        <v>Plot 52</v>
      </c>
    </row>
    <row r="710" spans="28:32" x14ac:dyDescent="0.25">
      <c r="AB710" t="str">
        <f t="shared" ref="AB710:AC710" si="725">AB689</f>
        <v>Loading Bay</v>
      </c>
      <c r="AC710" t="str">
        <f t="shared" si="725"/>
        <v>Lift 5</v>
      </c>
      <c r="AD710" t="b">
        <f t="shared" ca="1" si="684"/>
        <v>0</v>
      </c>
      <c r="AE710" s="1">
        <f t="shared" ca="1" si="705"/>
        <v>52</v>
      </c>
      <c r="AF710" t="str">
        <f t="shared" ca="1" si="682"/>
        <v>Plot 52</v>
      </c>
    </row>
    <row r="711" spans="28:32" x14ac:dyDescent="0.25">
      <c r="AB711" t="str">
        <f t="shared" ref="AB711:AC711" si="726">AB690</f>
        <v>Loading Bay</v>
      </c>
      <c r="AC711" t="str">
        <f t="shared" si="726"/>
        <v>Lift 6</v>
      </c>
      <c r="AD711" t="b">
        <f t="shared" ca="1" si="684"/>
        <v>0</v>
      </c>
      <c r="AE711" s="1">
        <f t="shared" ca="1" si="705"/>
        <v>52</v>
      </c>
      <c r="AF711" t="str">
        <f t="shared" ca="1" si="682"/>
        <v>Plot 52</v>
      </c>
    </row>
    <row r="712" spans="28:32" x14ac:dyDescent="0.25">
      <c r="AB712" t="str">
        <f t="shared" ref="AB712:AC712" si="727">AB691</f>
        <v>Scaffolding Platform</v>
      </c>
      <c r="AC712" t="str">
        <f t="shared" si="727"/>
        <v>Ground Floor</v>
      </c>
      <c r="AD712" t="b">
        <f t="shared" ca="1" si="684"/>
        <v>1</v>
      </c>
      <c r="AE712" s="1">
        <f t="shared" ca="1" si="705"/>
        <v>52</v>
      </c>
      <c r="AF712" t="str">
        <f t="shared" ca="1" si="682"/>
        <v>Plot 52</v>
      </c>
    </row>
    <row r="713" spans="28:32" x14ac:dyDescent="0.25">
      <c r="AB713" t="str">
        <f t="shared" ref="AB713:AC713" si="728">AB692</f>
        <v>Scaffolding Platform</v>
      </c>
      <c r="AC713" t="str">
        <f t="shared" si="728"/>
        <v>First Floor</v>
      </c>
      <c r="AD713" t="b">
        <f t="shared" ca="1" si="684"/>
        <v>1</v>
      </c>
      <c r="AE713" s="1">
        <f t="shared" ca="1" si="705"/>
        <v>52</v>
      </c>
      <c r="AF713" t="str">
        <f t="shared" ca="1" si="682"/>
        <v>Plot 52</v>
      </c>
    </row>
    <row r="714" spans="28:32" x14ac:dyDescent="0.25">
      <c r="AB714" t="str">
        <f t="shared" ref="AB714:AC714" si="729">AB693</f>
        <v>Scaffolding Platform</v>
      </c>
      <c r="AC714" t="str">
        <f t="shared" si="729"/>
        <v>Second Floor</v>
      </c>
      <c r="AD714" t="b">
        <f t="shared" ca="1" si="684"/>
        <v>0</v>
      </c>
      <c r="AE714" s="1">
        <f t="shared" ca="1" si="705"/>
        <v>52</v>
      </c>
      <c r="AF714" t="str">
        <f t="shared" ca="1" si="682"/>
        <v>Plot 52</v>
      </c>
    </row>
    <row r="715" spans="28:32" x14ac:dyDescent="0.25">
      <c r="AB715" t="str">
        <f t="shared" ref="AB715:AC715" si="730">AB694</f>
        <v>Supporting Scaffold</v>
      </c>
      <c r="AC715" t="str">
        <f t="shared" si="730"/>
        <v>Ground Floor Prop.</v>
      </c>
      <c r="AD715" t="str">
        <f t="shared" ca="1" si="684"/>
        <v>TRUE</v>
      </c>
      <c r="AE715" s="1">
        <f t="shared" ca="1" si="705"/>
        <v>52</v>
      </c>
      <c r="AF715" t="str">
        <f t="shared" ca="1" si="682"/>
        <v>Plot 52</v>
      </c>
    </row>
    <row r="716" spans="28:32" x14ac:dyDescent="0.25">
      <c r="AB716" t="str">
        <f t="shared" ref="AB716:AC716" si="731">AB695</f>
        <v>Supporting Scaffold</v>
      </c>
      <c r="AC716" t="str">
        <f t="shared" si="731"/>
        <v>First Floor Prop.</v>
      </c>
      <c r="AD716" t="str">
        <f t="shared" ca="1" si="684"/>
        <v>FALSE</v>
      </c>
      <c r="AE716" s="1">
        <f t="shared" ca="1" si="705"/>
        <v>52</v>
      </c>
      <c r="AF716" t="str">
        <f t="shared" ca="1" si="682"/>
        <v>Plot 52</v>
      </c>
    </row>
    <row r="717" spans="28:32" x14ac:dyDescent="0.25">
      <c r="AB717" t="str">
        <f t="shared" ref="AB717:AC717" si="732">AB696</f>
        <v>Supporting Scaffold</v>
      </c>
      <c r="AC717" t="str">
        <f t="shared" si="732"/>
        <v>Second Floor Prop.</v>
      </c>
      <c r="AD717" t="str">
        <f t="shared" ca="1" si="684"/>
        <v>FALSE</v>
      </c>
      <c r="AE717" s="1">
        <f t="shared" ca="1" si="705"/>
        <v>52</v>
      </c>
      <c r="AF717" t="str">
        <f t="shared" ca="1" si="682"/>
        <v>Plot 52</v>
      </c>
    </row>
    <row r="718" spans="28:32" x14ac:dyDescent="0.25">
      <c r="AB718" t="str">
        <f t="shared" ref="AB718:AC718" si="733">AB697</f>
        <v>External Scaffolding</v>
      </c>
      <c r="AC718" t="str">
        <f t="shared" si="733"/>
        <v>Hop-ups</v>
      </c>
      <c r="AD718" t="b">
        <f t="shared" ca="1" si="684"/>
        <v>1</v>
      </c>
      <c r="AE718" s="1">
        <f t="shared" ca="1" si="705"/>
        <v>52</v>
      </c>
      <c r="AF718" t="str">
        <f t="shared" ca="1" si="682"/>
        <v>Plot 52</v>
      </c>
    </row>
    <row r="719" spans="28:32" x14ac:dyDescent="0.25">
      <c r="AB719" t="str">
        <f t="shared" ref="AB719:AC719" si="734">AB698</f>
        <v>External Scaffolding</v>
      </c>
      <c r="AC719" t="str">
        <f t="shared" si="734"/>
        <v>Adaptions</v>
      </c>
      <c r="AD719" t="b">
        <f t="shared" ca="1" si="684"/>
        <v>1</v>
      </c>
      <c r="AE719" s="1">
        <f t="shared" ca="1" si="705"/>
        <v>52</v>
      </c>
      <c r="AF719" t="str">
        <f t="shared" ca="1" si="682"/>
        <v>Plot 52</v>
      </c>
    </row>
    <row r="720" spans="28:32" x14ac:dyDescent="0.25">
      <c r="AB720" t="str">
        <f t="shared" ref="AB720:AC720" si="735">AB699</f>
        <v>External Scaffolding</v>
      </c>
      <c r="AC720" t="str">
        <f t="shared" si="735"/>
        <v>Adaption Tower</v>
      </c>
      <c r="AD720" t="b">
        <f t="shared" ca="1" si="684"/>
        <v>1</v>
      </c>
      <c r="AE720" s="1">
        <f t="shared" ca="1" si="705"/>
        <v>52</v>
      </c>
      <c r="AF720" t="str">
        <f t="shared" ca="1" si="682"/>
        <v>Plot 52</v>
      </c>
    </row>
    <row r="721" spans="28:32" x14ac:dyDescent="0.25">
      <c r="AB721" t="str">
        <f t="shared" ref="AB721:AC721" si="736">AB700</f>
        <v>External Scaffolding</v>
      </c>
      <c r="AC721" t="str">
        <f t="shared" si="736"/>
        <v>Lift 1</v>
      </c>
      <c r="AD721" t="b">
        <f t="shared" ca="1" si="684"/>
        <v>1</v>
      </c>
      <c r="AE721" s="1" t="str">
        <f t="shared" ca="1" si="705"/>
        <v>53-54</v>
      </c>
      <c r="AF721" t="str">
        <f t="shared" ca="1" si="682"/>
        <v>Plot 53-54</v>
      </c>
    </row>
    <row r="722" spans="28:32" x14ac:dyDescent="0.25">
      <c r="AB722" t="str">
        <f t="shared" ref="AB722:AC722" si="737">AB701</f>
        <v>External Scaffolding</v>
      </c>
      <c r="AC722" t="str">
        <f t="shared" si="737"/>
        <v>Lift 2</v>
      </c>
      <c r="AD722" t="b">
        <f t="shared" ca="1" si="684"/>
        <v>1</v>
      </c>
      <c r="AE722" s="1" t="str">
        <f t="shared" ca="1" si="705"/>
        <v>53-54</v>
      </c>
      <c r="AF722" t="str">
        <f t="shared" ca="1" si="682"/>
        <v>Plot 53-54</v>
      </c>
    </row>
    <row r="723" spans="28:32" x14ac:dyDescent="0.25">
      <c r="AB723" t="str">
        <f t="shared" ref="AB723:AC723" si="738">AB702</f>
        <v>External Scaffolding</v>
      </c>
      <c r="AC723" t="str">
        <f t="shared" si="738"/>
        <v>Lift 3</v>
      </c>
      <c r="AD723" t="b">
        <f t="shared" ca="1" si="684"/>
        <v>1</v>
      </c>
      <c r="AE723" s="1" t="str">
        <f t="shared" ca="1" si="705"/>
        <v>53-54</v>
      </c>
      <c r="AF723" t="str">
        <f t="shared" ca="1" si="682"/>
        <v>Plot 53-54</v>
      </c>
    </row>
    <row r="724" spans="28:32" x14ac:dyDescent="0.25">
      <c r="AB724" t="str">
        <f t="shared" ref="AB724:AC724" si="739">AB703</f>
        <v>External Scaffolding</v>
      </c>
      <c r="AC724" t="str">
        <f t="shared" si="739"/>
        <v>Lift 4</v>
      </c>
      <c r="AD724" t="b">
        <f t="shared" ca="1" si="684"/>
        <v>0</v>
      </c>
      <c r="AE724" s="1" t="str">
        <f t="shared" ca="1" si="705"/>
        <v>53-54</v>
      </c>
      <c r="AF724" t="str">
        <f t="shared" ca="1" si="682"/>
        <v>Plot 53-54</v>
      </c>
    </row>
    <row r="725" spans="28:32" x14ac:dyDescent="0.25">
      <c r="AB725" t="str">
        <f t="shared" ref="AB725:AC725" si="740">AB704</f>
        <v>External Scaffolding</v>
      </c>
      <c r="AC725" t="str">
        <f t="shared" si="740"/>
        <v>Lift 5</v>
      </c>
      <c r="AD725" t="b">
        <f t="shared" ca="1" si="684"/>
        <v>0</v>
      </c>
      <c r="AE725" s="1" t="str">
        <f t="shared" ca="1" si="705"/>
        <v>53-54</v>
      </c>
      <c r="AF725" t="str">
        <f t="shared" ca="1" si="682"/>
        <v>Plot 53-54</v>
      </c>
    </row>
    <row r="726" spans="28:32" x14ac:dyDescent="0.25">
      <c r="AB726" t="str">
        <f t="shared" ref="AB726:AC726" si="741">AB705</f>
        <v>External Scaffolding</v>
      </c>
      <c r="AC726" t="str">
        <f t="shared" si="741"/>
        <v>Lift 6</v>
      </c>
      <c r="AD726" t="b">
        <f t="shared" ca="1" si="684"/>
        <v>0</v>
      </c>
      <c r="AE726" s="1" t="str">
        <f t="shared" ca="1" si="705"/>
        <v>53-54</v>
      </c>
      <c r="AF726" t="str">
        <f t="shared" ca="1" si="682"/>
        <v>Plot 53-54</v>
      </c>
    </row>
    <row r="727" spans="28:32" x14ac:dyDescent="0.25">
      <c r="AB727" t="str">
        <f t="shared" ref="AB727:AC727" si="742">AB706</f>
        <v>Loading Bay</v>
      </c>
      <c r="AC727" t="str">
        <f t="shared" si="742"/>
        <v>Lift 1</v>
      </c>
      <c r="AD727" t="b">
        <f t="shared" ca="1" si="684"/>
        <v>1</v>
      </c>
      <c r="AE727" s="1" t="str">
        <f t="shared" ca="1" si="705"/>
        <v>53-54</v>
      </c>
      <c r="AF727" t="str">
        <f t="shared" ca="1" si="682"/>
        <v>Plot 53-54</v>
      </c>
    </row>
    <row r="728" spans="28:32" x14ac:dyDescent="0.25">
      <c r="AB728" t="str">
        <f t="shared" ref="AB728:AC728" si="743">AB707</f>
        <v>Loading Bay</v>
      </c>
      <c r="AC728" t="str">
        <f t="shared" si="743"/>
        <v>Lift 2</v>
      </c>
      <c r="AD728" t="b">
        <f t="shared" ca="1" si="684"/>
        <v>1</v>
      </c>
      <c r="AE728" s="1" t="str">
        <f t="shared" ca="1" si="705"/>
        <v>53-54</v>
      </c>
      <c r="AF728" t="str">
        <f t="shared" ca="1" si="682"/>
        <v>Plot 53-54</v>
      </c>
    </row>
    <row r="729" spans="28:32" x14ac:dyDescent="0.25">
      <c r="AB729" t="str">
        <f t="shared" ref="AB729:AC729" si="744">AB708</f>
        <v>Loading Bay</v>
      </c>
      <c r="AC729" t="str">
        <f t="shared" si="744"/>
        <v>Lift 3</v>
      </c>
      <c r="AD729" t="b">
        <f t="shared" ca="1" si="684"/>
        <v>1</v>
      </c>
      <c r="AE729" s="1" t="str">
        <f t="shared" ca="1" si="705"/>
        <v>53-54</v>
      </c>
      <c r="AF729" t="str">
        <f t="shared" ca="1" si="682"/>
        <v>Plot 53-54</v>
      </c>
    </row>
    <row r="730" spans="28:32" x14ac:dyDescent="0.25">
      <c r="AB730" t="str">
        <f t="shared" ref="AB730:AC730" si="745">AB709</f>
        <v>Loading Bay</v>
      </c>
      <c r="AC730" t="str">
        <f t="shared" si="745"/>
        <v>Lift 4</v>
      </c>
      <c r="AD730" t="b">
        <f t="shared" ca="1" si="684"/>
        <v>0</v>
      </c>
      <c r="AE730" s="1" t="str">
        <f t="shared" ca="1" si="705"/>
        <v>53-54</v>
      </c>
      <c r="AF730" t="str">
        <f t="shared" ca="1" si="682"/>
        <v>Plot 53-54</v>
      </c>
    </row>
    <row r="731" spans="28:32" x14ac:dyDescent="0.25">
      <c r="AB731" t="str">
        <f t="shared" ref="AB731:AC731" si="746">AB710</f>
        <v>Loading Bay</v>
      </c>
      <c r="AC731" t="str">
        <f t="shared" si="746"/>
        <v>Lift 5</v>
      </c>
      <c r="AD731" t="b">
        <f t="shared" ca="1" si="684"/>
        <v>0</v>
      </c>
      <c r="AE731" s="1" t="str">
        <f t="shared" ca="1" si="705"/>
        <v>53-54</v>
      </c>
      <c r="AF731" t="str">
        <f t="shared" ca="1" si="682"/>
        <v>Plot 53-54</v>
      </c>
    </row>
    <row r="732" spans="28:32" x14ac:dyDescent="0.25">
      <c r="AB732" t="str">
        <f t="shared" ref="AB732:AC732" si="747">AB711</f>
        <v>Loading Bay</v>
      </c>
      <c r="AC732" t="str">
        <f t="shared" si="747"/>
        <v>Lift 6</v>
      </c>
      <c r="AD732" t="b">
        <f t="shared" ca="1" si="684"/>
        <v>0</v>
      </c>
      <c r="AE732" s="1" t="str">
        <f t="shared" ca="1" si="705"/>
        <v>53-54</v>
      </c>
      <c r="AF732" t="str">
        <f t="shared" ca="1" si="682"/>
        <v>Plot 53-54</v>
      </c>
    </row>
    <row r="733" spans="28:32" x14ac:dyDescent="0.25">
      <c r="AB733" t="str">
        <f t="shared" ref="AB733:AC733" si="748">AB712</f>
        <v>Scaffolding Platform</v>
      </c>
      <c r="AC733" t="str">
        <f t="shared" si="748"/>
        <v>Ground Floor</v>
      </c>
      <c r="AD733" t="b">
        <f t="shared" ca="1" si="684"/>
        <v>1</v>
      </c>
      <c r="AE733" s="1" t="str">
        <f t="shared" ca="1" si="705"/>
        <v>53-54</v>
      </c>
      <c r="AF733" t="str">
        <f t="shared" ref="AF733:AF796" ca="1" si="749">IF(LEFT(AE733,1)="G",AE733,"Plot "&amp;AE733)</f>
        <v>Plot 53-54</v>
      </c>
    </row>
    <row r="734" spans="28:32" x14ac:dyDescent="0.25">
      <c r="AB734" t="str">
        <f t="shared" ref="AB734:AC734" si="750">AB713</f>
        <v>Scaffolding Platform</v>
      </c>
      <c r="AC734" t="str">
        <f t="shared" si="750"/>
        <v>First Floor</v>
      </c>
      <c r="AD734" t="b">
        <f t="shared" ref="AD734:AD797" ca="1" si="751">INDEX($AC$1:$JH$22,MATCH(AC734,$AC$1:$AC$22,0),MATCH(AE734,$AC$1:$JH$1,0))</f>
        <v>1</v>
      </c>
      <c r="AE734" s="1" t="str">
        <f t="shared" ca="1" si="705"/>
        <v>53-54</v>
      </c>
      <c r="AF734" t="str">
        <f t="shared" ca="1" si="749"/>
        <v>Plot 53-54</v>
      </c>
    </row>
    <row r="735" spans="28:32" x14ac:dyDescent="0.25">
      <c r="AB735" t="str">
        <f t="shared" ref="AB735:AC735" si="752">AB714</f>
        <v>Scaffolding Platform</v>
      </c>
      <c r="AC735" t="str">
        <f t="shared" si="752"/>
        <v>Second Floor</v>
      </c>
      <c r="AD735" t="b">
        <f t="shared" ca="1" si="751"/>
        <v>0</v>
      </c>
      <c r="AE735" s="1" t="str">
        <f t="shared" ca="1" si="705"/>
        <v>53-54</v>
      </c>
      <c r="AF735" t="str">
        <f t="shared" ca="1" si="749"/>
        <v>Plot 53-54</v>
      </c>
    </row>
    <row r="736" spans="28:32" x14ac:dyDescent="0.25">
      <c r="AB736" t="str">
        <f t="shared" ref="AB736:AC736" si="753">AB715</f>
        <v>Supporting Scaffold</v>
      </c>
      <c r="AC736" t="str">
        <f t="shared" si="753"/>
        <v>Ground Floor Prop.</v>
      </c>
      <c r="AD736" t="str">
        <f t="shared" ca="1" si="751"/>
        <v>TRUE</v>
      </c>
      <c r="AE736" s="1" t="str">
        <f t="shared" ca="1" si="705"/>
        <v>53-54</v>
      </c>
      <c r="AF736" t="str">
        <f t="shared" ca="1" si="749"/>
        <v>Plot 53-54</v>
      </c>
    </row>
    <row r="737" spans="28:32" x14ac:dyDescent="0.25">
      <c r="AB737" t="str">
        <f t="shared" ref="AB737:AC737" si="754">AB716</f>
        <v>Supporting Scaffold</v>
      </c>
      <c r="AC737" t="str">
        <f t="shared" si="754"/>
        <v>First Floor Prop.</v>
      </c>
      <c r="AD737" t="str">
        <f t="shared" ca="1" si="751"/>
        <v>FALSE</v>
      </c>
      <c r="AE737" s="1" t="str">
        <f t="shared" ca="1" si="705"/>
        <v>53-54</v>
      </c>
      <c r="AF737" t="str">
        <f t="shared" ca="1" si="749"/>
        <v>Plot 53-54</v>
      </c>
    </row>
    <row r="738" spans="28:32" x14ac:dyDescent="0.25">
      <c r="AB738" t="str">
        <f t="shared" ref="AB738:AC738" si="755">AB717</f>
        <v>Supporting Scaffold</v>
      </c>
      <c r="AC738" t="str">
        <f t="shared" si="755"/>
        <v>Second Floor Prop.</v>
      </c>
      <c r="AD738" t="str">
        <f t="shared" ca="1" si="751"/>
        <v>FALSE</v>
      </c>
      <c r="AE738" s="1" t="str">
        <f t="shared" ca="1" si="705"/>
        <v>53-54</v>
      </c>
      <c r="AF738" t="str">
        <f t="shared" ca="1" si="749"/>
        <v>Plot 53-54</v>
      </c>
    </row>
    <row r="739" spans="28:32" x14ac:dyDescent="0.25">
      <c r="AB739" t="str">
        <f t="shared" ref="AB739:AC739" si="756">AB718</f>
        <v>External Scaffolding</v>
      </c>
      <c r="AC739" t="str">
        <f t="shared" si="756"/>
        <v>Hop-ups</v>
      </c>
      <c r="AD739" t="b">
        <f t="shared" ca="1" si="751"/>
        <v>1</v>
      </c>
      <c r="AE739" s="1" t="str">
        <f t="shared" ca="1" si="705"/>
        <v>53-54</v>
      </c>
      <c r="AF739" t="str">
        <f t="shared" ca="1" si="749"/>
        <v>Plot 53-54</v>
      </c>
    </row>
    <row r="740" spans="28:32" x14ac:dyDescent="0.25">
      <c r="AB740" t="str">
        <f t="shared" ref="AB740:AC740" si="757">AB719</f>
        <v>External Scaffolding</v>
      </c>
      <c r="AC740" t="str">
        <f t="shared" si="757"/>
        <v>Adaptions</v>
      </c>
      <c r="AD740" t="b">
        <f t="shared" ca="1" si="751"/>
        <v>1</v>
      </c>
      <c r="AE740" s="1" t="str">
        <f t="shared" ca="1" si="705"/>
        <v>53-54</v>
      </c>
      <c r="AF740" t="str">
        <f t="shared" ca="1" si="749"/>
        <v>Plot 53-54</v>
      </c>
    </row>
    <row r="741" spans="28:32" x14ac:dyDescent="0.25">
      <c r="AB741" t="str">
        <f t="shared" ref="AB741:AC741" si="758">AB720</f>
        <v>External Scaffolding</v>
      </c>
      <c r="AC741" t="str">
        <f t="shared" si="758"/>
        <v>Adaption Tower</v>
      </c>
      <c r="AD741" t="b">
        <f t="shared" ca="1" si="751"/>
        <v>1</v>
      </c>
      <c r="AE741" s="1" t="str">
        <f t="shared" ca="1" si="705"/>
        <v>53-54</v>
      </c>
      <c r="AF741" t="str">
        <f t="shared" ca="1" si="749"/>
        <v>Plot 53-54</v>
      </c>
    </row>
    <row r="742" spans="28:32" x14ac:dyDescent="0.25">
      <c r="AB742" t="str">
        <f t="shared" ref="AB742:AC742" si="759">AB721</f>
        <v>External Scaffolding</v>
      </c>
      <c r="AC742" t="str">
        <f t="shared" si="759"/>
        <v>Lift 1</v>
      </c>
      <c r="AD742" t="b">
        <f t="shared" ca="1" si="751"/>
        <v>1</v>
      </c>
      <c r="AE742" s="1">
        <f t="shared" ca="1" si="705"/>
        <v>55</v>
      </c>
      <c r="AF742" t="str">
        <f t="shared" ca="1" si="749"/>
        <v>Plot 55</v>
      </c>
    </row>
    <row r="743" spans="28:32" x14ac:dyDescent="0.25">
      <c r="AB743" t="str">
        <f t="shared" ref="AB743:AC743" si="760">AB722</f>
        <v>External Scaffolding</v>
      </c>
      <c r="AC743" t="str">
        <f t="shared" si="760"/>
        <v>Lift 2</v>
      </c>
      <c r="AD743" t="b">
        <f t="shared" ca="1" si="751"/>
        <v>1</v>
      </c>
      <c r="AE743" s="1">
        <f t="shared" ca="1" si="705"/>
        <v>55</v>
      </c>
      <c r="AF743" t="str">
        <f t="shared" ca="1" si="749"/>
        <v>Plot 55</v>
      </c>
    </row>
    <row r="744" spans="28:32" x14ac:dyDescent="0.25">
      <c r="AB744" t="str">
        <f t="shared" ref="AB744:AC744" si="761">AB723</f>
        <v>External Scaffolding</v>
      </c>
      <c r="AC744" t="str">
        <f t="shared" si="761"/>
        <v>Lift 3</v>
      </c>
      <c r="AD744" t="b">
        <f t="shared" ca="1" si="751"/>
        <v>1</v>
      </c>
      <c r="AE744" s="1">
        <f t="shared" ca="1" si="705"/>
        <v>55</v>
      </c>
      <c r="AF744" t="str">
        <f t="shared" ca="1" si="749"/>
        <v>Plot 55</v>
      </c>
    </row>
    <row r="745" spans="28:32" x14ac:dyDescent="0.25">
      <c r="AB745" t="str">
        <f t="shared" ref="AB745:AC745" si="762">AB724</f>
        <v>External Scaffolding</v>
      </c>
      <c r="AC745" t="str">
        <f t="shared" si="762"/>
        <v>Lift 4</v>
      </c>
      <c r="AD745" t="b">
        <f t="shared" ca="1" si="751"/>
        <v>0</v>
      </c>
      <c r="AE745" s="1">
        <f t="shared" ca="1" si="705"/>
        <v>55</v>
      </c>
      <c r="AF745" t="str">
        <f t="shared" ca="1" si="749"/>
        <v>Plot 55</v>
      </c>
    </row>
    <row r="746" spans="28:32" x14ac:dyDescent="0.25">
      <c r="AB746" t="str">
        <f t="shared" ref="AB746:AC746" si="763">AB725</f>
        <v>External Scaffolding</v>
      </c>
      <c r="AC746" t="str">
        <f t="shared" si="763"/>
        <v>Lift 5</v>
      </c>
      <c r="AD746" t="b">
        <f t="shared" ca="1" si="751"/>
        <v>0</v>
      </c>
      <c r="AE746" s="1">
        <f t="shared" ca="1" si="705"/>
        <v>55</v>
      </c>
      <c r="AF746" t="str">
        <f t="shared" ca="1" si="749"/>
        <v>Plot 55</v>
      </c>
    </row>
    <row r="747" spans="28:32" x14ac:dyDescent="0.25">
      <c r="AB747" t="str">
        <f t="shared" ref="AB747:AC747" si="764">AB726</f>
        <v>External Scaffolding</v>
      </c>
      <c r="AC747" t="str">
        <f t="shared" si="764"/>
        <v>Lift 6</v>
      </c>
      <c r="AD747" t="b">
        <f t="shared" ca="1" si="751"/>
        <v>0</v>
      </c>
      <c r="AE747" s="1">
        <f t="shared" ca="1" si="705"/>
        <v>55</v>
      </c>
      <c r="AF747" t="str">
        <f t="shared" ca="1" si="749"/>
        <v>Plot 55</v>
      </c>
    </row>
    <row r="748" spans="28:32" x14ac:dyDescent="0.25">
      <c r="AB748" t="str">
        <f t="shared" ref="AB748:AC748" si="765">AB727</f>
        <v>Loading Bay</v>
      </c>
      <c r="AC748" t="str">
        <f t="shared" si="765"/>
        <v>Lift 1</v>
      </c>
      <c r="AD748" t="b">
        <f t="shared" ca="1" si="751"/>
        <v>1</v>
      </c>
      <c r="AE748" s="1">
        <f t="shared" ca="1" si="705"/>
        <v>55</v>
      </c>
      <c r="AF748" t="str">
        <f t="shared" ca="1" si="749"/>
        <v>Plot 55</v>
      </c>
    </row>
    <row r="749" spans="28:32" x14ac:dyDescent="0.25">
      <c r="AB749" t="str">
        <f t="shared" ref="AB749:AC749" si="766">AB728</f>
        <v>Loading Bay</v>
      </c>
      <c r="AC749" t="str">
        <f t="shared" si="766"/>
        <v>Lift 2</v>
      </c>
      <c r="AD749" t="b">
        <f t="shared" ca="1" si="751"/>
        <v>1</v>
      </c>
      <c r="AE749" s="1">
        <f t="shared" ca="1" si="705"/>
        <v>55</v>
      </c>
      <c r="AF749" t="str">
        <f t="shared" ca="1" si="749"/>
        <v>Plot 55</v>
      </c>
    </row>
    <row r="750" spans="28:32" x14ac:dyDescent="0.25">
      <c r="AB750" t="str">
        <f t="shared" ref="AB750:AC750" si="767">AB729</f>
        <v>Loading Bay</v>
      </c>
      <c r="AC750" t="str">
        <f t="shared" si="767"/>
        <v>Lift 3</v>
      </c>
      <c r="AD750" t="b">
        <f t="shared" ca="1" si="751"/>
        <v>1</v>
      </c>
      <c r="AE750" s="1">
        <f t="shared" ca="1" si="705"/>
        <v>55</v>
      </c>
      <c r="AF750" t="str">
        <f t="shared" ca="1" si="749"/>
        <v>Plot 55</v>
      </c>
    </row>
    <row r="751" spans="28:32" x14ac:dyDescent="0.25">
      <c r="AB751" t="str">
        <f t="shared" ref="AB751:AC751" si="768">AB730</f>
        <v>Loading Bay</v>
      </c>
      <c r="AC751" t="str">
        <f t="shared" si="768"/>
        <v>Lift 4</v>
      </c>
      <c r="AD751" t="b">
        <f t="shared" ca="1" si="751"/>
        <v>0</v>
      </c>
      <c r="AE751" s="1">
        <f t="shared" ca="1" si="705"/>
        <v>55</v>
      </c>
      <c r="AF751" t="str">
        <f t="shared" ca="1" si="749"/>
        <v>Plot 55</v>
      </c>
    </row>
    <row r="752" spans="28:32" x14ac:dyDescent="0.25">
      <c r="AB752" t="str">
        <f t="shared" ref="AB752:AC752" si="769">AB731</f>
        <v>Loading Bay</v>
      </c>
      <c r="AC752" t="str">
        <f t="shared" si="769"/>
        <v>Lift 5</v>
      </c>
      <c r="AD752" t="b">
        <f t="shared" ca="1" si="751"/>
        <v>0</v>
      </c>
      <c r="AE752" s="1">
        <f t="shared" ca="1" si="705"/>
        <v>55</v>
      </c>
      <c r="AF752" t="str">
        <f t="shared" ca="1" si="749"/>
        <v>Plot 55</v>
      </c>
    </row>
    <row r="753" spans="28:32" x14ac:dyDescent="0.25">
      <c r="AB753" t="str">
        <f t="shared" ref="AB753:AC753" si="770">AB732</f>
        <v>Loading Bay</v>
      </c>
      <c r="AC753" t="str">
        <f t="shared" si="770"/>
        <v>Lift 6</v>
      </c>
      <c r="AD753" t="b">
        <f t="shared" ca="1" si="751"/>
        <v>0</v>
      </c>
      <c r="AE753" s="1">
        <f t="shared" ca="1" si="705"/>
        <v>55</v>
      </c>
      <c r="AF753" t="str">
        <f t="shared" ca="1" si="749"/>
        <v>Plot 55</v>
      </c>
    </row>
    <row r="754" spans="28:32" x14ac:dyDescent="0.25">
      <c r="AB754" t="str">
        <f t="shared" ref="AB754:AC754" si="771">AB733</f>
        <v>Scaffolding Platform</v>
      </c>
      <c r="AC754" t="str">
        <f t="shared" si="771"/>
        <v>Ground Floor</v>
      </c>
      <c r="AD754" t="b">
        <f t="shared" ca="1" si="751"/>
        <v>1</v>
      </c>
      <c r="AE754" s="1">
        <f t="shared" ref="AE754:AE817" ca="1" si="772">OFFSET($AD$1,0,FLOOR(ROW(B726)/21,1))</f>
        <v>55</v>
      </c>
      <c r="AF754" t="str">
        <f t="shared" ca="1" si="749"/>
        <v>Plot 55</v>
      </c>
    </row>
    <row r="755" spans="28:32" x14ac:dyDescent="0.25">
      <c r="AB755" t="str">
        <f t="shared" ref="AB755:AC755" si="773">AB734</f>
        <v>Scaffolding Platform</v>
      </c>
      <c r="AC755" t="str">
        <f t="shared" si="773"/>
        <v>First Floor</v>
      </c>
      <c r="AD755" t="b">
        <f t="shared" ca="1" si="751"/>
        <v>1</v>
      </c>
      <c r="AE755" s="1">
        <f t="shared" ca="1" si="772"/>
        <v>55</v>
      </c>
      <c r="AF755" t="str">
        <f t="shared" ca="1" si="749"/>
        <v>Plot 55</v>
      </c>
    </row>
    <row r="756" spans="28:32" x14ac:dyDescent="0.25">
      <c r="AB756" t="str">
        <f t="shared" ref="AB756:AC756" si="774">AB735</f>
        <v>Scaffolding Platform</v>
      </c>
      <c r="AC756" t="str">
        <f t="shared" si="774"/>
        <v>Second Floor</v>
      </c>
      <c r="AD756" t="b">
        <f t="shared" ca="1" si="751"/>
        <v>0</v>
      </c>
      <c r="AE756" s="1">
        <f t="shared" ca="1" si="772"/>
        <v>55</v>
      </c>
      <c r="AF756" t="str">
        <f t="shared" ca="1" si="749"/>
        <v>Plot 55</v>
      </c>
    </row>
    <row r="757" spans="28:32" x14ac:dyDescent="0.25">
      <c r="AB757" t="str">
        <f t="shared" ref="AB757:AC757" si="775">AB736</f>
        <v>Supporting Scaffold</v>
      </c>
      <c r="AC757" t="str">
        <f t="shared" si="775"/>
        <v>Ground Floor Prop.</v>
      </c>
      <c r="AD757" t="str">
        <f t="shared" ca="1" si="751"/>
        <v>TRUE</v>
      </c>
      <c r="AE757" s="1">
        <f t="shared" ca="1" si="772"/>
        <v>55</v>
      </c>
      <c r="AF757" t="str">
        <f t="shared" ca="1" si="749"/>
        <v>Plot 55</v>
      </c>
    </row>
    <row r="758" spans="28:32" x14ac:dyDescent="0.25">
      <c r="AB758" t="str">
        <f t="shared" ref="AB758:AC758" si="776">AB737</f>
        <v>Supporting Scaffold</v>
      </c>
      <c r="AC758" t="str">
        <f t="shared" si="776"/>
        <v>First Floor Prop.</v>
      </c>
      <c r="AD758" t="str">
        <f t="shared" ca="1" si="751"/>
        <v>FALSE</v>
      </c>
      <c r="AE758" s="1">
        <f t="shared" ca="1" si="772"/>
        <v>55</v>
      </c>
      <c r="AF758" t="str">
        <f t="shared" ca="1" si="749"/>
        <v>Plot 55</v>
      </c>
    </row>
    <row r="759" spans="28:32" x14ac:dyDescent="0.25">
      <c r="AB759" t="str">
        <f t="shared" ref="AB759:AC759" si="777">AB738</f>
        <v>Supporting Scaffold</v>
      </c>
      <c r="AC759" t="str">
        <f t="shared" si="777"/>
        <v>Second Floor Prop.</v>
      </c>
      <c r="AD759" t="str">
        <f t="shared" ca="1" si="751"/>
        <v>FALSE</v>
      </c>
      <c r="AE759" s="1">
        <f t="shared" ca="1" si="772"/>
        <v>55</v>
      </c>
      <c r="AF759" t="str">
        <f t="shared" ca="1" si="749"/>
        <v>Plot 55</v>
      </c>
    </row>
    <row r="760" spans="28:32" x14ac:dyDescent="0.25">
      <c r="AB760" t="str">
        <f t="shared" ref="AB760:AC760" si="778">AB739</f>
        <v>External Scaffolding</v>
      </c>
      <c r="AC760" t="str">
        <f t="shared" si="778"/>
        <v>Hop-ups</v>
      </c>
      <c r="AD760" t="b">
        <f t="shared" ca="1" si="751"/>
        <v>1</v>
      </c>
      <c r="AE760" s="1">
        <f t="shared" ca="1" si="772"/>
        <v>55</v>
      </c>
      <c r="AF760" t="str">
        <f t="shared" ca="1" si="749"/>
        <v>Plot 55</v>
      </c>
    </row>
    <row r="761" spans="28:32" x14ac:dyDescent="0.25">
      <c r="AB761" t="str">
        <f t="shared" ref="AB761:AC761" si="779">AB740</f>
        <v>External Scaffolding</v>
      </c>
      <c r="AC761" t="str">
        <f t="shared" si="779"/>
        <v>Adaptions</v>
      </c>
      <c r="AD761" t="b">
        <f t="shared" ca="1" si="751"/>
        <v>1</v>
      </c>
      <c r="AE761" s="1">
        <f t="shared" ca="1" si="772"/>
        <v>55</v>
      </c>
      <c r="AF761" t="str">
        <f t="shared" ca="1" si="749"/>
        <v>Plot 55</v>
      </c>
    </row>
    <row r="762" spans="28:32" x14ac:dyDescent="0.25">
      <c r="AB762" t="str">
        <f t="shared" ref="AB762:AC762" si="780">AB741</f>
        <v>External Scaffolding</v>
      </c>
      <c r="AC762" t="str">
        <f t="shared" si="780"/>
        <v>Adaption Tower</v>
      </c>
      <c r="AD762" t="b">
        <f t="shared" ca="1" si="751"/>
        <v>1</v>
      </c>
      <c r="AE762" s="1">
        <f t="shared" ca="1" si="772"/>
        <v>55</v>
      </c>
      <c r="AF762" t="str">
        <f t="shared" ca="1" si="749"/>
        <v>Plot 55</v>
      </c>
    </row>
    <row r="763" spans="28:32" x14ac:dyDescent="0.25">
      <c r="AB763" t="str">
        <f t="shared" ref="AB763:AC763" si="781">AB742</f>
        <v>External Scaffolding</v>
      </c>
      <c r="AC763" t="str">
        <f t="shared" si="781"/>
        <v>Lift 1</v>
      </c>
      <c r="AD763" t="b">
        <f t="shared" ca="1" si="751"/>
        <v>1</v>
      </c>
      <c r="AE763" s="1">
        <f t="shared" ca="1" si="772"/>
        <v>56</v>
      </c>
      <c r="AF763" t="str">
        <f t="shared" ca="1" si="749"/>
        <v>Plot 56</v>
      </c>
    </row>
    <row r="764" spans="28:32" x14ac:dyDescent="0.25">
      <c r="AB764" t="str">
        <f t="shared" ref="AB764:AC764" si="782">AB743</f>
        <v>External Scaffolding</v>
      </c>
      <c r="AC764" t="str">
        <f t="shared" si="782"/>
        <v>Lift 2</v>
      </c>
      <c r="AD764" t="b">
        <f t="shared" ca="1" si="751"/>
        <v>1</v>
      </c>
      <c r="AE764" s="1">
        <f t="shared" ca="1" si="772"/>
        <v>56</v>
      </c>
      <c r="AF764" t="str">
        <f t="shared" ca="1" si="749"/>
        <v>Plot 56</v>
      </c>
    </row>
    <row r="765" spans="28:32" x14ac:dyDescent="0.25">
      <c r="AB765" t="str">
        <f t="shared" ref="AB765:AC765" si="783">AB744</f>
        <v>External Scaffolding</v>
      </c>
      <c r="AC765" t="str">
        <f t="shared" si="783"/>
        <v>Lift 3</v>
      </c>
      <c r="AD765" t="b">
        <f t="shared" ca="1" si="751"/>
        <v>1</v>
      </c>
      <c r="AE765" s="1">
        <f t="shared" ca="1" si="772"/>
        <v>56</v>
      </c>
      <c r="AF765" t="str">
        <f t="shared" ca="1" si="749"/>
        <v>Plot 56</v>
      </c>
    </row>
    <row r="766" spans="28:32" x14ac:dyDescent="0.25">
      <c r="AB766" t="str">
        <f t="shared" ref="AB766:AC766" si="784">AB745</f>
        <v>External Scaffolding</v>
      </c>
      <c r="AC766" t="str">
        <f t="shared" si="784"/>
        <v>Lift 4</v>
      </c>
      <c r="AD766" t="b">
        <f t="shared" ca="1" si="751"/>
        <v>0</v>
      </c>
      <c r="AE766" s="1">
        <f t="shared" ca="1" si="772"/>
        <v>56</v>
      </c>
      <c r="AF766" t="str">
        <f t="shared" ca="1" si="749"/>
        <v>Plot 56</v>
      </c>
    </row>
    <row r="767" spans="28:32" x14ac:dyDescent="0.25">
      <c r="AB767" t="str">
        <f t="shared" ref="AB767:AC767" si="785">AB746</f>
        <v>External Scaffolding</v>
      </c>
      <c r="AC767" t="str">
        <f t="shared" si="785"/>
        <v>Lift 5</v>
      </c>
      <c r="AD767" t="b">
        <f t="shared" ca="1" si="751"/>
        <v>0</v>
      </c>
      <c r="AE767" s="1">
        <f t="shared" ca="1" si="772"/>
        <v>56</v>
      </c>
      <c r="AF767" t="str">
        <f t="shared" ca="1" si="749"/>
        <v>Plot 56</v>
      </c>
    </row>
    <row r="768" spans="28:32" x14ac:dyDescent="0.25">
      <c r="AB768" t="str">
        <f t="shared" ref="AB768:AC768" si="786">AB747</f>
        <v>External Scaffolding</v>
      </c>
      <c r="AC768" t="str">
        <f t="shared" si="786"/>
        <v>Lift 6</v>
      </c>
      <c r="AD768" t="b">
        <f t="shared" ca="1" si="751"/>
        <v>0</v>
      </c>
      <c r="AE768" s="1">
        <f t="shared" ca="1" si="772"/>
        <v>56</v>
      </c>
      <c r="AF768" t="str">
        <f t="shared" ca="1" si="749"/>
        <v>Plot 56</v>
      </c>
    </row>
    <row r="769" spans="28:32" x14ac:dyDescent="0.25">
      <c r="AB769" t="str">
        <f t="shared" ref="AB769:AC769" si="787">AB748</f>
        <v>Loading Bay</v>
      </c>
      <c r="AC769" t="str">
        <f t="shared" si="787"/>
        <v>Lift 1</v>
      </c>
      <c r="AD769" t="b">
        <f t="shared" ca="1" si="751"/>
        <v>1</v>
      </c>
      <c r="AE769" s="1">
        <f t="shared" ca="1" si="772"/>
        <v>56</v>
      </c>
      <c r="AF769" t="str">
        <f t="shared" ca="1" si="749"/>
        <v>Plot 56</v>
      </c>
    </row>
    <row r="770" spans="28:32" x14ac:dyDescent="0.25">
      <c r="AB770" t="str">
        <f t="shared" ref="AB770:AC770" si="788">AB749</f>
        <v>Loading Bay</v>
      </c>
      <c r="AC770" t="str">
        <f t="shared" si="788"/>
        <v>Lift 2</v>
      </c>
      <c r="AD770" t="b">
        <f t="shared" ca="1" si="751"/>
        <v>1</v>
      </c>
      <c r="AE770" s="1">
        <f t="shared" ca="1" si="772"/>
        <v>56</v>
      </c>
      <c r="AF770" t="str">
        <f t="shared" ca="1" si="749"/>
        <v>Plot 56</v>
      </c>
    </row>
    <row r="771" spans="28:32" x14ac:dyDescent="0.25">
      <c r="AB771" t="str">
        <f t="shared" ref="AB771:AC771" si="789">AB750</f>
        <v>Loading Bay</v>
      </c>
      <c r="AC771" t="str">
        <f t="shared" si="789"/>
        <v>Lift 3</v>
      </c>
      <c r="AD771" t="b">
        <f t="shared" ca="1" si="751"/>
        <v>1</v>
      </c>
      <c r="AE771" s="1">
        <f t="shared" ca="1" si="772"/>
        <v>56</v>
      </c>
      <c r="AF771" t="str">
        <f t="shared" ca="1" si="749"/>
        <v>Plot 56</v>
      </c>
    </row>
    <row r="772" spans="28:32" x14ac:dyDescent="0.25">
      <c r="AB772" t="str">
        <f t="shared" ref="AB772:AC772" si="790">AB751</f>
        <v>Loading Bay</v>
      </c>
      <c r="AC772" t="str">
        <f t="shared" si="790"/>
        <v>Lift 4</v>
      </c>
      <c r="AD772" t="b">
        <f t="shared" ca="1" si="751"/>
        <v>0</v>
      </c>
      <c r="AE772" s="1">
        <f t="shared" ca="1" si="772"/>
        <v>56</v>
      </c>
      <c r="AF772" t="str">
        <f t="shared" ca="1" si="749"/>
        <v>Plot 56</v>
      </c>
    </row>
    <row r="773" spans="28:32" x14ac:dyDescent="0.25">
      <c r="AB773" t="str">
        <f t="shared" ref="AB773:AC773" si="791">AB752</f>
        <v>Loading Bay</v>
      </c>
      <c r="AC773" t="str">
        <f t="shared" si="791"/>
        <v>Lift 5</v>
      </c>
      <c r="AD773" t="b">
        <f t="shared" ca="1" si="751"/>
        <v>0</v>
      </c>
      <c r="AE773" s="1">
        <f t="shared" ca="1" si="772"/>
        <v>56</v>
      </c>
      <c r="AF773" t="str">
        <f t="shared" ca="1" si="749"/>
        <v>Plot 56</v>
      </c>
    </row>
    <row r="774" spans="28:32" x14ac:dyDescent="0.25">
      <c r="AB774" t="str">
        <f t="shared" ref="AB774:AC774" si="792">AB753</f>
        <v>Loading Bay</v>
      </c>
      <c r="AC774" t="str">
        <f t="shared" si="792"/>
        <v>Lift 6</v>
      </c>
      <c r="AD774" t="b">
        <f t="shared" ca="1" si="751"/>
        <v>0</v>
      </c>
      <c r="AE774" s="1">
        <f t="shared" ca="1" si="772"/>
        <v>56</v>
      </c>
      <c r="AF774" t="str">
        <f t="shared" ca="1" si="749"/>
        <v>Plot 56</v>
      </c>
    </row>
    <row r="775" spans="28:32" x14ac:dyDescent="0.25">
      <c r="AB775" t="str">
        <f t="shared" ref="AB775:AC775" si="793">AB754</f>
        <v>Scaffolding Platform</v>
      </c>
      <c r="AC775" t="str">
        <f t="shared" si="793"/>
        <v>Ground Floor</v>
      </c>
      <c r="AD775" t="b">
        <f t="shared" ca="1" si="751"/>
        <v>1</v>
      </c>
      <c r="AE775" s="1">
        <f t="shared" ca="1" si="772"/>
        <v>56</v>
      </c>
      <c r="AF775" t="str">
        <f t="shared" ca="1" si="749"/>
        <v>Plot 56</v>
      </c>
    </row>
    <row r="776" spans="28:32" x14ac:dyDescent="0.25">
      <c r="AB776" t="str">
        <f t="shared" ref="AB776:AC776" si="794">AB755</f>
        <v>Scaffolding Platform</v>
      </c>
      <c r="AC776" t="str">
        <f t="shared" si="794"/>
        <v>First Floor</v>
      </c>
      <c r="AD776" t="b">
        <f t="shared" ca="1" si="751"/>
        <v>1</v>
      </c>
      <c r="AE776" s="1">
        <f t="shared" ca="1" si="772"/>
        <v>56</v>
      </c>
      <c r="AF776" t="str">
        <f t="shared" ca="1" si="749"/>
        <v>Plot 56</v>
      </c>
    </row>
    <row r="777" spans="28:32" x14ac:dyDescent="0.25">
      <c r="AB777" t="str">
        <f t="shared" ref="AB777:AC777" si="795">AB756</f>
        <v>Scaffolding Platform</v>
      </c>
      <c r="AC777" t="str">
        <f t="shared" si="795"/>
        <v>Second Floor</v>
      </c>
      <c r="AD777" t="b">
        <f t="shared" ca="1" si="751"/>
        <v>0</v>
      </c>
      <c r="AE777" s="1">
        <f t="shared" ca="1" si="772"/>
        <v>56</v>
      </c>
      <c r="AF777" t="str">
        <f t="shared" ca="1" si="749"/>
        <v>Plot 56</v>
      </c>
    </row>
    <row r="778" spans="28:32" x14ac:dyDescent="0.25">
      <c r="AB778" t="str">
        <f t="shared" ref="AB778:AC778" si="796">AB757</f>
        <v>Supporting Scaffold</v>
      </c>
      <c r="AC778" t="str">
        <f t="shared" si="796"/>
        <v>Ground Floor Prop.</v>
      </c>
      <c r="AD778" t="str">
        <f t="shared" ca="1" si="751"/>
        <v>TRUE</v>
      </c>
      <c r="AE778" s="1">
        <f t="shared" ca="1" si="772"/>
        <v>56</v>
      </c>
      <c r="AF778" t="str">
        <f t="shared" ca="1" si="749"/>
        <v>Plot 56</v>
      </c>
    </row>
    <row r="779" spans="28:32" x14ac:dyDescent="0.25">
      <c r="AB779" t="str">
        <f t="shared" ref="AB779:AC779" si="797">AB758</f>
        <v>Supporting Scaffold</v>
      </c>
      <c r="AC779" t="str">
        <f t="shared" si="797"/>
        <v>First Floor Prop.</v>
      </c>
      <c r="AD779" t="str">
        <f t="shared" ca="1" si="751"/>
        <v>FALSE</v>
      </c>
      <c r="AE779" s="1">
        <f t="shared" ca="1" si="772"/>
        <v>56</v>
      </c>
      <c r="AF779" t="str">
        <f t="shared" ca="1" si="749"/>
        <v>Plot 56</v>
      </c>
    </row>
    <row r="780" spans="28:32" x14ac:dyDescent="0.25">
      <c r="AB780" t="str">
        <f t="shared" ref="AB780:AC780" si="798">AB759</f>
        <v>Supporting Scaffold</v>
      </c>
      <c r="AC780" t="str">
        <f t="shared" si="798"/>
        <v>Second Floor Prop.</v>
      </c>
      <c r="AD780" t="str">
        <f t="shared" ca="1" si="751"/>
        <v>FALSE</v>
      </c>
      <c r="AE780" s="1">
        <f t="shared" ca="1" si="772"/>
        <v>56</v>
      </c>
      <c r="AF780" t="str">
        <f t="shared" ca="1" si="749"/>
        <v>Plot 56</v>
      </c>
    </row>
    <row r="781" spans="28:32" x14ac:dyDescent="0.25">
      <c r="AB781" t="str">
        <f t="shared" ref="AB781:AC781" si="799">AB760</f>
        <v>External Scaffolding</v>
      </c>
      <c r="AC781" t="str">
        <f t="shared" si="799"/>
        <v>Hop-ups</v>
      </c>
      <c r="AD781" t="b">
        <f t="shared" ca="1" si="751"/>
        <v>1</v>
      </c>
      <c r="AE781" s="1">
        <f t="shared" ca="1" si="772"/>
        <v>56</v>
      </c>
      <c r="AF781" t="str">
        <f t="shared" ca="1" si="749"/>
        <v>Plot 56</v>
      </c>
    </row>
    <row r="782" spans="28:32" x14ac:dyDescent="0.25">
      <c r="AB782" t="str">
        <f t="shared" ref="AB782:AC782" si="800">AB761</f>
        <v>External Scaffolding</v>
      </c>
      <c r="AC782" t="str">
        <f t="shared" si="800"/>
        <v>Adaptions</v>
      </c>
      <c r="AD782" t="b">
        <f t="shared" ca="1" si="751"/>
        <v>1</v>
      </c>
      <c r="AE782" s="1">
        <f t="shared" ca="1" si="772"/>
        <v>56</v>
      </c>
      <c r="AF782" t="str">
        <f t="shared" ca="1" si="749"/>
        <v>Plot 56</v>
      </c>
    </row>
    <row r="783" spans="28:32" x14ac:dyDescent="0.25">
      <c r="AB783" t="str">
        <f t="shared" ref="AB783:AC783" si="801">AB762</f>
        <v>External Scaffolding</v>
      </c>
      <c r="AC783" t="str">
        <f t="shared" si="801"/>
        <v>Adaption Tower</v>
      </c>
      <c r="AD783" t="b">
        <f t="shared" ca="1" si="751"/>
        <v>1</v>
      </c>
      <c r="AE783" s="1">
        <f t="shared" ca="1" si="772"/>
        <v>56</v>
      </c>
      <c r="AF783" t="str">
        <f t="shared" ca="1" si="749"/>
        <v>Plot 56</v>
      </c>
    </row>
    <row r="784" spans="28:32" x14ac:dyDescent="0.25">
      <c r="AB784" t="str">
        <f t="shared" ref="AB784:AC784" si="802">AB763</f>
        <v>External Scaffolding</v>
      </c>
      <c r="AC784" t="str">
        <f t="shared" si="802"/>
        <v>Lift 1</v>
      </c>
      <c r="AD784" t="b">
        <f t="shared" ca="1" si="751"/>
        <v>1</v>
      </c>
      <c r="AE784" s="1">
        <f t="shared" ca="1" si="772"/>
        <v>57</v>
      </c>
      <c r="AF784" t="str">
        <f t="shared" ca="1" si="749"/>
        <v>Plot 57</v>
      </c>
    </row>
    <row r="785" spans="28:32" x14ac:dyDescent="0.25">
      <c r="AB785" t="str">
        <f t="shared" ref="AB785:AC785" si="803">AB764</f>
        <v>External Scaffolding</v>
      </c>
      <c r="AC785" t="str">
        <f t="shared" si="803"/>
        <v>Lift 2</v>
      </c>
      <c r="AD785" t="b">
        <f t="shared" ca="1" si="751"/>
        <v>1</v>
      </c>
      <c r="AE785" s="1">
        <f t="shared" ca="1" si="772"/>
        <v>57</v>
      </c>
      <c r="AF785" t="str">
        <f t="shared" ca="1" si="749"/>
        <v>Plot 57</v>
      </c>
    </row>
    <row r="786" spans="28:32" x14ac:dyDescent="0.25">
      <c r="AB786" t="str">
        <f t="shared" ref="AB786:AC786" si="804">AB765</f>
        <v>External Scaffolding</v>
      </c>
      <c r="AC786" t="str">
        <f t="shared" si="804"/>
        <v>Lift 3</v>
      </c>
      <c r="AD786" t="b">
        <f t="shared" ca="1" si="751"/>
        <v>1</v>
      </c>
      <c r="AE786" s="1">
        <f t="shared" ca="1" si="772"/>
        <v>57</v>
      </c>
      <c r="AF786" t="str">
        <f t="shared" ca="1" si="749"/>
        <v>Plot 57</v>
      </c>
    </row>
    <row r="787" spans="28:32" x14ac:dyDescent="0.25">
      <c r="AB787" t="str">
        <f t="shared" ref="AB787:AC787" si="805">AB766</f>
        <v>External Scaffolding</v>
      </c>
      <c r="AC787" t="str">
        <f t="shared" si="805"/>
        <v>Lift 4</v>
      </c>
      <c r="AD787" t="b">
        <f t="shared" ca="1" si="751"/>
        <v>0</v>
      </c>
      <c r="AE787" s="1">
        <f t="shared" ca="1" si="772"/>
        <v>57</v>
      </c>
      <c r="AF787" t="str">
        <f t="shared" ca="1" si="749"/>
        <v>Plot 57</v>
      </c>
    </row>
    <row r="788" spans="28:32" x14ac:dyDescent="0.25">
      <c r="AB788" t="str">
        <f t="shared" ref="AB788:AC788" si="806">AB767</f>
        <v>External Scaffolding</v>
      </c>
      <c r="AC788" t="str">
        <f t="shared" si="806"/>
        <v>Lift 5</v>
      </c>
      <c r="AD788" t="b">
        <f t="shared" ca="1" si="751"/>
        <v>0</v>
      </c>
      <c r="AE788" s="1">
        <f t="shared" ca="1" si="772"/>
        <v>57</v>
      </c>
      <c r="AF788" t="str">
        <f t="shared" ca="1" si="749"/>
        <v>Plot 57</v>
      </c>
    </row>
    <row r="789" spans="28:32" x14ac:dyDescent="0.25">
      <c r="AB789" t="str">
        <f t="shared" ref="AB789:AC789" si="807">AB768</f>
        <v>External Scaffolding</v>
      </c>
      <c r="AC789" t="str">
        <f t="shared" si="807"/>
        <v>Lift 6</v>
      </c>
      <c r="AD789" t="b">
        <f t="shared" ca="1" si="751"/>
        <v>0</v>
      </c>
      <c r="AE789" s="1">
        <f t="shared" ca="1" si="772"/>
        <v>57</v>
      </c>
      <c r="AF789" t="str">
        <f t="shared" ca="1" si="749"/>
        <v>Plot 57</v>
      </c>
    </row>
    <row r="790" spans="28:32" x14ac:dyDescent="0.25">
      <c r="AB790" t="str">
        <f t="shared" ref="AB790:AC790" si="808">AB769</f>
        <v>Loading Bay</v>
      </c>
      <c r="AC790" t="str">
        <f t="shared" si="808"/>
        <v>Lift 1</v>
      </c>
      <c r="AD790" t="b">
        <f t="shared" ca="1" si="751"/>
        <v>1</v>
      </c>
      <c r="AE790" s="1">
        <f t="shared" ca="1" si="772"/>
        <v>57</v>
      </c>
      <c r="AF790" t="str">
        <f t="shared" ca="1" si="749"/>
        <v>Plot 57</v>
      </c>
    </row>
    <row r="791" spans="28:32" x14ac:dyDescent="0.25">
      <c r="AB791" t="str">
        <f t="shared" ref="AB791:AC791" si="809">AB770</f>
        <v>Loading Bay</v>
      </c>
      <c r="AC791" t="str">
        <f t="shared" si="809"/>
        <v>Lift 2</v>
      </c>
      <c r="AD791" t="b">
        <f t="shared" ca="1" si="751"/>
        <v>1</v>
      </c>
      <c r="AE791" s="1">
        <f t="shared" ca="1" si="772"/>
        <v>57</v>
      </c>
      <c r="AF791" t="str">
        <f t="shared" ca="1" si="749"/>
        <v>Plot 57</v>
      </c>
    </row>
    <row r="792" spans="28:32" x14ac:dyDescent="0.25">
      <c r="AB792" t="str">
        <f t="shared" ref="AB792:AC792" si="810">AB771</f>
        <v>Loading Bay</v>
      </c>
      <c r="AC792" t="str">
        <f t="shared" si="810"/>
        <v>Lift 3</v>
      </c>
      <c r="AD792" t="b">
        <f t="shared" ca="1" si="751"/>
        <v>1</v>
      </c>
      <c r="AE792" s="1">
        <f t="shared" ca="1" si="772"/>
        <v>57</v>
      </c>
      <c r="AF792" t="str">
        <f t="shared" ca="1" si="749"/>
        <v>Plot 57</v>
      </c>
    </row>
    <row r="793" spans="28:32" x14ac:dyDescent="0.25">
      <c r="AB793" t="str">
        <f t="shared" ref="AB793:AC793" si="811">AB772</f>
        <v>Loading Bay</v>
      </c>
      <c r="AC793" t="str">
        <f t="shared" si="811"/>
        <v>Lift 4</v>
      </c>
      <c r="AD793" t="b">
        <f t="shared" ca="1" si="751"/>
        <v>0</v>
      </c>
      <c r="AE793" s="1">
        <f t="shared" ca="1" si="772"/>
        <v>57</v>
      </c>
      <c r="AF793" t="str">
        <f t="shared" ca="1" si="749"/>
        <v>Plot 57</v>
      </c>
    </row>
    <row r="794" spans="28:32" x14ac:dyDescent="0.25">
      <c r="AB794" t="str">
        <f t="shared" ref="AB794:AC794" si="812">AB773</f>
        <v>Loading Bay</v>
      </c>
      <c r="AC794" t="str">
        <f t="shared" si="812"/>
        <v>Lift 5</v>
      </c>
      <c r="AD794" t="b">
        <f t="shared" ca="1" si="751"/>
        <v>0</v>
      </c>
      <c r="AE794" s="1">
        <f t="shared" ca="1" si="772"/>
        <v>57</v>
      </c>
      <c r="AF794" t="str">
        <f t="shared" ca="1" si="749"/>
        <v>Plot 57</v>
      </c>
    </row>
    <row r="795" spans="28:32" x14ac:dyDescent="0.25">
      <c r="AB795" t="str">
        <f t="shared" ref="AB795:AC795" si="813">AB774</f>
        <v>Loading Bay</v>
      </c>
      <c r="AC795" t="str">
        <f t="shared" si="813"/>
        <v>Lift 6</v>
      </c>
      <c r="AD795" t="b">
        <f t="shared" ca="1" si="751"/>
        <v>0</v>
      </c>
      <c r="AE795" s="1">
        <f t="shared" ca="1" si="772"/>
        <v>57</v>
      </c>
      <c r="AF795" t="str">
        <f t="shared" ca="1" si="749"/>
        <v>Plot 57</v>
      </c>
    </row>
    <row r="796" spans="28:32" x14ac:dyDescent="0.25">
      <c r="AB796" t="str">
        <f t="shared" ref="AB796:AC796" si="814">AB775</f>
        <v>Scaffolding Platform</v>
      </c>
      <c r="AC796" t="str">
        <f t="shared" si="814"/>
        <v>Ground Floor</v>
      </c>
      <c r="AD796" t="b">
        <f t="shared" ca="1" si="751"/>
        <v>1</v>
      </c>
      <c r="AE796" s="1">
        <f t="shared" ca="1" si="772"/>
        <v>57</v>
      </c>
      <c r="AF796" t="str">
        <f t="shared" ca="1" si="749"/>
        <v>Plot 57</v>
      </c>
    </row>
    <row r="797" spans="28:32" x14ac:dyDescent="0.25">
      <c r="AB797" t="str">
        <f t="shared" ref="AB797:AC797" si="815">AB776</f>
        <v>Scaffolding Platform</v>
      </c>
      <c r="AC797" t="str">
        <f t="shared" si="815"/>
        <v>First Floor</v>
      </c>
      <c r="AD797" t="b">
        <f t="shared" ca="1" si="751"/>
        <v>1</v>
      </c>
      <c r="AE797" s="1">
        <f t="shared" ca="1" si="772"/>
        <v>57</v>
      </c>
      <c r="AF797" t="str">
        <f t="shared" ref="AF797:AF860" ca="1" si="816">IF(LEFT(AE797,1)="G",AE797,"Plot "&amp;AE797)</f>
        <v>Plot 57</v>
      </c>
    </row>
    <row r="798" spans="28:32" x14ac:dyDescent="0.25">
      <c r="AB798" t="str">
        <f t="shared" ref="AB798:AC798" si="817">AB777</f>
        <v>Scaffolding Platform</v>
      </c>
      <c r="AC798" t="str">
        <f t="shared" si="817"/>
        <v>Second Floor</v>
      </c>
      <c r="AD798" t="b">
        <f t="shared" ref="AD798:AD861" ca="1" si="818">INDEX($AC$1:$JH$22,MATCH(AC798,$AC$1:$AC$22,0),MATCH(AE798,$AC$1:$JH$1,0))</f>
        <v>0</v>
      </c>
      <c r="AE798" s="1">
        <f t="shared" ca="1" si="772"/>
        <v>57</v>
      </c>
      <c r="AF798" t="str">
        <f t="shared" ca="1" si="816"/>
        <v>Plot 57</v>
      </c>
    </row>
    <row r="799" spans="28:32" x14ac:dyDescent="0.25">
      <c r="AB799" t="str">
        <f t="shared" ref="AB799:AC799" si="819">AB778</f>
        <v>Supporting Scaffold</v>
      </c>
      <c r="AC799" t="str">
        <f t="shared" si="819"/>
        <v>Ground Floor Prop.</v>
      </c>
      <c r="AD799" t="str">
        <f t="shared" ca="1" si="818"/>
        <v>TRUE</v>
      </c>
      <c r="AE799" s="1">
        <f t="shared" ca="1" si="772"/>
        <v>57</v>
      </c>
      <c r="AF799" t="str">
        <f t="shared" ca="1" si="816"/>
        <v>Plot 57</v>
      </c>
    </row>
    <row r="800" spans="28:32" x14ac:dyDescent="0.25">
      <c r="AB800" t="str">
        <f t="shared" ref="AB800:AC800" si="820">AB779</f>
        <v>Supporting Scaffold</v>
      </c>
      <c r="AC800" t="str">
        <f t="shared" si="820"/>
        <v>First Floor Prop.</v>
      </c>
      <c r="AD800" t="str">
        <f t="shared" ca="1" si="818"/>
        <v>FALSE</v>
      </c>
      <c r="AE800" s="1">
        <f t="shared" ca="1" si="772"/>
        <v>57</v>
      </c>
      <c r="AF800" t="str">
        <f t="shared" ca="1" si="816"/>
        <v>Plot 57</v>
      </c>
    </row>
    <row r="801" spans="28:32" x14ac:dyDescent="0.25">
      <c r="AB801" t="str">
        <f t="shared" ref="AB801:AC801" si="821">AB780</f>
        <v>Supporting Scaffold</v>
      </c>
      <c r="AC801" t="str">
        <f t="shared" si="821"/>
        <v>Second Floor Prop.</v>
      </c>
      <c r="AD801" t="str">
        <f t="shared" ca="1" si="818"/>
        <v>FALSE</v>
      </c>
      <c r="AE801" s="1">
        <f t="shared" ca="1" si="772"/>
        <v>57</v>
      </c>
      <c r="AF801" t="str">
        <f t="shared" ca="1" si="816"/>
        <v>Plot 57</v>
      </c>
    </row>
    <row r="802" spans="28:32" x14ac:dyDescent="0.25">
      <c r="AB802" t="str">
        <f t="shared" ref="AB802:AC802" si="822">AB781</f>
        <v>External Scaffolding</v>
      </c>
      <c r="AC802" t="str">
        <f t="shared" si="822"/>
        <v>Hop-ups</v>
      </c>
      <c r="AD802" t="b">
        <f t="shared" ca="1" si="818"/>
        <v>1</v>
      </c>
      <c r="AE802" s="1">
        <f t="shared" ca="1" si="772"/>
        <v>57</v>
      </c>
      <c r="AF802" t="str">
        <f t="shared" ca="1" si="816"/>
        <v>Plot 57</v>
      </c>
    </row>
    <row r="803" spans="28:32" x14ac:dyDescent="0.25">
      <c r="AB803" t="str">
        <f t="shared" ref="AB803:AC803" si="823">AB782</f>
        <v>External Scaffolding</v>
      </c>
      <c r="AC803" t="str">
        <f t="shared" si="823"/>
        <v>Adaptions</v>
      </c>
      <c r="AD803" t="b">
        <f t="shared" ca="1" si="818"/>
        <v>1</v>
      </c>
      <c r="AE803" s="1">
        <f t="shared" ca="1" si="772"/>
        <v>57</v>
      </c>
      <c r="AF803" t="str">
        <f t="shared" ca="1" si="816"/>
        <v>Plot 57</v>
      </c>
    </row>
    <row r="804" spans="28:32" x14ac:dyDescent="0.25">
      <c r="AB804" t="str">
        <f t="shared" ref="AB804:AC804" si="824">AB783</f>
        <v>External Scaffolding</v>
      </c>
      <c r="AC804" t="str">
        <f t="shared" si="824"/>
        <v>Adaption Tower</v>
      </c>
      <c r="AD804" t="b">
        <f t="shared" ca="1" si="818"/>
        <v>1</v>
      </c>
      <c r="AE804" s="1">
        <f t="shared" ca="1" si="772"/>
        <v>57</v>
      </c>
      <c r="AF804" t="str">
        <f t="shared" ca="1" si="816"/>
        <v>Plot 57</v>
      </c>
    </row>
    <row r="805" spans="28:32" x14ac:dyDescent="0.25">
      <c r="AB805" t="str">
        <f t="shared" ref="AB805:AC805" si="825">AB784</f>
        <v>External Scaffolding</v>
      </c>
      <c r="AC805" t="str">
        <f t="shared" si="825"/>
        <v>Lift 1</v>
      </c>
      <c r="AD805" t="b">
        <f t="shared" ca="1" si="818"/>
        <v>1</v>
      </c>
      <c r="AE805" s="1">
        <f t="shared" ca="1" si="772"/>
        <v>58</v>
      </c>
      <c r="AF805" t="str">
        <f t="shared" ca="1" si="816"/>
        <v>Plot 58</v>
      </c>
    </row>
    <row r="806" spans="28:32" x14ac:dyDescent="0.25">
      <c r="AB806" t="str">
        <f t="shared" ref="AB806:AC806" si="826">AB785</f>
        <v>External Scaffolding</v>
      </c>
      <c r="AC806" t="str">
        <f t="shared" si="826"/>
        <v>Lift 2</v>
      </c>
      <c r="AD806" t="b">
        <f t="shared" ca="1" si="818"/>
        <v>1</v>
      </c>
      <c r="AE806" s="1">
        <f t="shared" ca="1" si="772"/>
        <v>58</v>
      </c>
      <c r="AF806" t="str">
        <f t="shared" ca="1" si="816"/>
        <v>Plot 58</v>
      </c>
    </row>
    <row r="807" spans="28:32" x14ac:dyDescent="0.25">
      <c r="AB807" t="str">
        <f t="shared" ref="AB807:AC807" si="827">AB786</f>
        <v>External Scaffolding</v>
      </c>
      <c r="AC807" t="str">
        <f t="shared" si="827"/>
        <v>Lift 3</v>
      </c>
      <c r="AD807" t="b">
        <f t="shared" ca="1" si="818"/>
        <v>1</v>
      </c>
      <c r="AE807" s="1">
        <f t="shared" ca="1" si="772"/>
        <v>58</v>
      </c>
      <c r="AF807" t="str">
        <f t="shared" ca="1" si="816"/>
        <v>Plot 58</v>
      </c>
    </row>
    <row r="808" spans="28:32" x14ac:dyDescent="0.25">
      <c r="AB808" t="str">
        <f t="shared" ref="AB808:AC808" si="828">AB787</f>
        <v>External Scaffolding</v>
      </c>
      <c r="AC808" t="str">
        <f t="shared" si="828"/>
        <v>Lift 4</v>
      </c>
      <c r="AD808" t="b">
        <f t="shared" ca="1" si="818"/>
        <v>0</v>
      </c>
      <c r="AE808" s="1">
        <f t="shared" ca="1" si="772"/>
        <v>58</v>
      </c>
      <c r="AF808" t="str">
        <f t="shared" ca="1" si="816"/>
        <v>Plot 58</v>
      </c>
    </row>
    <row r="809" spans="28:32" x14ac:dyDescent="0.25">
      <c r="AB809" t="str">
        <f t="shared" ref="AB809:AC809" si="829">AB788</f>
        <v>External Scaffolding</v>
      </c>
      <c r="AC809" t="str">
        <f t="shared" si="829"/>
        <v>Lift 5</v>
      </c>
      <c r="AD809" t="b">
        <f t="shared" ca="1" si="818"/>
        <v>0</v>
      </c>
      <c r="AE809" s="1">
        <f t="shared" ca="1" si="772"/>
        <v>58</v>
      </c>
      <c r="AF809" t="str">
        <f t="shared" ca="1" si="816"/>
        <v>Plot 58</v>
      </c>
    </row>
    <row r="810" spans="28:32" x14ac:dyDescent="0.25">
      <c r="AB810" t="str">
        <f t="shared" ref="AB810:AC810" si="830">AB789</f>
        <v>External Scaffolding</v>
      </c>
      <c r="AC810" t="str">
        <f t="shared" si="830"/>
        <v>Lift 6</v>
      </c>
      <c r="AD810" t="b">
        <f t="shared" ca="1" si="818"/>
        <v>0</v>
      </c>
      <c r="AE810" s="1">
        <f t="shared" ca="1" si="772"/>
        <v>58</v>
      </c>
      <c r="AF810" t="str">
        <f t="shared" ca="1" si="816"/>
        <v>Plot 58</v>
      </c>
    </row>
    <row r="811" spans="28:32" x14ac:dyDescent="0.25">
      <c r="AB811" t="str">
        <f t="shared" ref="AB811:AC811" si="831">AB790</f>
        <v>Loading Bay</v>
      </c>
      <c r="AC811" t="str">
        <f t="shared" si="831"/>
        <v>Lift 1</v>
      </c>
      <c r="AD811" t="b">
        <f t="shared" ca="1" si="818"/>
        <v>1</v>
      </c>
      <c r="AE811" s="1">
        <f t="shared" ca="1" si="772"/>
        <v>58</v>
      </c>
      <c r="AF811" t="str">
        <f t="shared" ca="1" si="816"/>
        <v>Plot 58</v>
      </c>
    </row>
    <row r="812" spans="28:32" x14ac:dyDescent="0.25">
      <c r="AB812" t="str">
        <f t="shared" ref="AB812:AC812" si="832">AB791</f>
        <v>Loading Bay</v>
      </c>
      <c r="AC812" t="str">
        <f t="shared" si="832"/>
        <v>Lift 2</v>
      </c>
      <c r="AD812" t="b">
        <f t="shared" ca="1" si="818"/>
        <v>1</v>
      </c>
      <c r="AE812" s="1">
        <f t="shared" ca="1" si="772"/>
        <v>58</v>
      </c>
      <c r="AF812" t="str">
        <f t="shared" ca="1" si="816"/>
        <v>Plot 58</v>
      </c>
    </row>
    <row r="813" spans="28:32" x14ac:dyDescent="0.25">
      <c r="AB813" t="str">
        <f t="shared" ref="AB813:AC813" si="833">AB792</f>
        <v>Loading Bay</v>
      </c>
      <c r="AC813" t="str">
        <f t="shared" si="833"/>
        <v>Lift 3</v>
      </c>
      <c r="AD813" t="b">
        <f t="shared" ca="1" si="818"/>
        <v>1</v>
      </c>
      <c r="AE813" s="1">
        <f t="shared" ca="1" si="772"/>
        <v>58</v>
      </c>
      <c r="AF813" t="str">
        <f t="shared" ca="1" si="816"/>
        <v>Plot 58</v>
      </c>
    </row>
    <row r="814" spans="28:32" x14ac:dyDescent="0.25">
      <c r="AB814" t="str">
        <f t="shared" ref="AB814:AC814" si="834">AB793</f>
        <v>Loading Bay</v>
      </c>
      <c r="AC814" t="str">
        <f t="shared" si="834"/>
        <v>Lift 4</v>
      </c>
      <c r="AD814" t="b">
        <f t="shared" ca="1" si="818"/>
        <v>0</v>
      </c>
      <c r="AE814" s="1">
        <f t="shared" ca="1" si="772"/>
        <v>58</v>
      </c>
      <c r="AF814" t="str">
        <f t="shared" ca="1" si="816"/>
        <v>Plot 58</v>
      </c>
    </row>
    <row r="815" spans="28:32" x14ac:dyDescent="0.25">
      <c r="AB815" t="str">
        <f t="shared" ref="AB815:AC815" si="835">AB794</f>
        <v>Loading Bay</v>
      </c>
      <c r="AC815" t="str">
        <f t="shared" si="835"/>
        <v>Lift 5</v>
      </c>
      <c r="AD815" t="b">
        <f t="shared" ca="1" si="818"/>
        <v>0</v>
      </c>
      <c r="AE815" s="1">
        <f t="shared" ca="1" si="772"/>
        <v>58</v>
      </c>
      <c r="AF815" t="str">
        <f t="shared" ca="1" si="816"/>
        <v>Plot 58</v>
      </c>
    </row>
    <row r="816" spans="28:32" x14ac:dyDescent="0.25">
      <c r="AB816" t="str">
        <f t="shared" ref="AB816:AC816" si="836">AB795</f>
        <v>Loading Bay</v>
      </c>
      <c r="AC816" t="str">
        <f t="shared" si="836"/>
        <v>Lift 6</v>
      </c>
      <c r="AD816" t="b">
        <f t="shared" ca="1" si="818"/>
        <v>0</v>
      </c>
      <c r="AE816" s="1">
        <f t="shared" ca="1" si="772"/>
        <v>58</v>
      </c>
      <c r="AF816" t="str">
        <f t="shared" ca="1" si="816"/>
        <v>Plot 58</v>
      </c>
    </row>
    <row r="817" spans="28:32" x14ac:dyDescent="0.25">
      <c r="AB817" t="str">
        <f t="shared" ref="AB817:AC817" si="837">AB796</f>
        <v>Scaffolding Platform</v>
      </c>
      <c r="AC817" t="str">
        <f t="shared" si="837"/>
        <v>Ground Floor</v>
      </c>
      <c r="AD817" t="b">
        <f t="shared" ca="1" si="818"/>
        <v>1</v>
      </c>
      <c r="AE817" s="1">
        <f t="shared" ca="1" si="772"/>
        <v>58</v>
      </c>
      <c r="AF817" t="str">
        <f t="shared" ca="1" si="816"/>
        <v>Plot 58</v>
      </c>
    </row>
    <row r="818" spans="28:32" x14ac:dyDescent="0.25">
      <c r="AB818" t="str">
        <f t="shared" ref="AB818:AC818" si="838">AB797</f>
        <v>Scaffolding Platform</v>
      </c>
      <c r="AC818" t="str">
        <f t="shared" si="838"/>
        <v>First Floor</v>
      </c>
      <c r="AD818" t="b">
        <f t="shared" ca="1" si="818"/>
        <v>1</v>
      </c>
      <c r="AE818" s="1">
        <f t="shared" ref="AE818:AE881" ca="1" si="839">OFFSET($AD$1,0,FLOOR(ROW(B790)/21,1))</f>
        <v>58</v>
      </c>
      <c r="AF818" t="str">
        <f t="shared" ca="1" si="816"/>
        <v>Plot 58</v>
      </c>
    </row>
    <row r="819" spans="28:32" x14ac:dyDescent="0.25">
      <c r="AB819" t="str">
        <f t="shared" ref="AB819:AC819" si="840">AB798</f>
        <v>Scaffolding Platform</v>
      </c>
      <c r="AC819" t="str">
        <f t="shared" si="840"/>
        <v>Second Floor</v>
      </c>
      <c r="AD819" t="b">
        <f t="shared" ca="1" si="818"/>
        <v>0</v>
      </c>
      <c r="AE819" s="1">
        <f t="shared" ca="1" si="839"/>
        <v>58</v>
      </c>
      <c r="AF819" t="str">
        <f t="shared" ca="1" si="816"/>
        <v>Plot 58</v>
      </c>
    </row>
    <row r="820" spans="28:32" x14ac:dyDescent="0.25">
      <c r="AB820" t="str">
        <f t="shared" ref="AB820:AC820" si="841">AB799</f>
        <v>Supporting Scaffold</v>
      </c>
      <c r="AC820" t="str">
        <f t="shared" si="841"/>
        <v>Ground Floor Prop.</v>
      </c>
      <c r="AD820" t="str">
        <f t="shared" ca="1" si="818"/>
        <v>TRUE</v>
      </c>
      <c r="AE820" s="1">
        <f t="shared" ca="1" si="839"/>
        <v>58</v>
      </c>
      <c r="AF820" t="str">
        <f t="shared" ca="1" si="816"/>
        <v>Plot 58</v>
      </c>
    </row>
    <row r="821" spans="28:32" x14ac:dyDescent="0.25">
      <c r="AB821" t="str">
        <f t="shared" ref="AB821:AC821" si="842">AB800</f>
        <v>Supporting Scaffold</v>
      </c>
      <c r="AC821" t="str">
        <f t="shared" si="842"/>
        <v>First Floor Prop.</v>
      </c>
      <c r="AD821" t="str">
        <f t="shared" ca="1" si="818"/>
        <v>FALSE</v>
      </c>
      <c r="AE821" s="1">
        <f t="shared" ca="1" si="839"/>
        <v>58</v>
      </c>
      <c r="AF821" t="str">
        <f t="shared" ca="1" si="816"/>
        <v>Plot 58</v>
      </c>
    </row>
    <row r="822" spans="28:32" x14ac:dyDescent="0.25">
      <c r="AB822" t="str">
        <f t="shared" ref="AB822:AC822" si="843">AB801</f>
        <v>Supporting Scaffold</v>
      </c>
      <c r="AC822" t="str">
        <f t="shared" si="843"/>
        <v>Second Floor Prop.</v>
      </c>
      <c r="AD822" t="str">
        <f t="shared" ca="1" si="818"/>
        <v>FALSE</v>
      </c>
      <c r="AE822" s="1">
        <f t="shared" ca="1" si="839"/>
        <v>58</v>
      </c>
      <c r="AF822" t="str">
        <f t="shared" ca="1" si="816"/>
        <v>Plot 58</v>
      </c>
    </row>
    <row r="823" spans="28:32" x14ac:dyDescent="0.25">
      <c r="AB823" t="str">
        <f t="shared" ref="AB823:AC823" si="844">AB802</f>
        <v>External Scaffolding</v>
      </c>
      <c r="AC823" t="str">
        <f t="shared" si="844"/>
        <v>Hop-ups</v>
      </c>
      <c r="AD823" t="b">
        <f t="shared" ca="1" si="818"/>
        <v>1</v>
      </c>
      <c r="AE823" s="1">
        <f t="shared" ca="1" si="839"/>
        <v>58</v>
      </c>
      <c r="AF823" t="str">
        <f t="shared" ca="1" si="816"/>
        <v>Plot 58</v>
      </c>
    </row>
    <row r="824" spans="28:32" x14ac:dyDescent="0.25">
      <c r="AB824" t="str">
        <f t="shared" ref="AB824:AC824" si="845">AB803</f>
        <v>External Scaffolding</v>
      </c>
      <c r="AC824" t="str">
        <f t="shared" si="845"/>
        <v>Adaptions</v>
      </c>
      <c r="AD824" t="b">
        <f t="shared" ca="1" si="818"/>
        <v>1</v>
      </c>
      <c r="AE824" s="1">
        <f t="shared" ca="1" si="839"/>
        <v>58</v>
      </c>
      <c r="AF824" t="str">
        <f t="shared" ca="1" si="816"/>
        <v>Plot 58</v>
      </c>
    </row>
    <row r="825" spans="28:32" x14ac:dyDescent="0.25">
      <c r="AB825" t="str">
        <f t="shared" ref="AB825:AC825" si="846">AB804</f>
        <v>External Scaffolding</v>
      </c>
      <c r="AC825" t="str">
        <f t="shared" si="846"/>
        <v>Adaption Tower</v>
      </c>
      <c r="AD825" t="b">
        <f t="shared" ca="1" si="818"/>
        <v>1</v>
      </c>
      <c r="AE825" s="1">
        <f t="shared" ca="1" si="839"/>
        <v>58</v>
      </c>
      <c r="AF825" t="str">
        <f t="shared" ca="1" si="816"/>
        <v>Plot 58</v>
      </c>
    </row>
    <row r="826" spans="28:32" x14ac:dyDescent="0.25">
      <c r="AB826" t="str">
        <f t="shared" ref="AB826:AC826" si="847">AB805</f>
        <v>External Scaffolding</v>
      </c>
      <c r="AC826" t="str">
        <f t="shared" si="847"/>
        <v>Lift 1</v>
      </c>
      <c r="AD826" t="b">
        <f t="shared" ca="1" si="818"/>
        <v>1</v>
      </c>
      <c r="AE826" s="1">
        <f t="shared" ca="1" si="839"/>
        <v>59</v>
      </c>
      <c r="AF826" t="str">
        <f t="shared" ca="1" si="816"/>
        <v>Plot 59</v>
      </c>
    </row>
    <row r="827" spans="28:32" x14ac:dyDescent="0.25">
      <c r="AB827" t="str">
        <f t="shared" ref="AB827:AC827" si="848">AB806</f>
        <v>External Scaffolding</v>
      </c>
      <c r="AC827" t="str">
        <f t="shared" si="848"/>
        <v>Lift 2</v>
      </c>
      <c r="AD827" t="b">
        <f t="shared" ca="1" si="818"/>
        <v>1</v>
      </c>
      <c r="AE827" s="1">
        <f t="shared" ca="1" si="839"/>
        <v>59</v>
      </c>
      <c r="AF827" t="str">
        <f t="shared" ca="1" si="816"/>
        <v>Plot 59</v>
      </c>
    </row>
    <row r="828" spans="28:32" x14ac:dyDescent="0.25">
      <c r="AB828" t="str">
        <f t="shared" ref="AB828:AC828" si="849">AB807</f>
        <v>External Scaffolding</v>
      </c>
      <c r="AC828" t="str">
        <f t="shared" si="849"/>
        <v>Lift 3</v>
      </c>
      <c r="AD828" t="b">
        <f t="shared" ca="1" si="818"/>
        <v>1</v>
      </c>
      <c r="AE828" s="1">
        <f t="shared" ca="1" si="839"/>
        <v>59</v>
      </c>
      <c r="AF828" t="str">
        <f t="shared" ca="1" si="816"/>
        <v>Plot 59</v>
      </c>
    </row>
    <row r="829" spans="28:32" x14ac:dyDescent="0.25">
      <c r="AB829" t="str">
        <f t="shared" ref="AB829:AC829" si="850">AB808</f>
        <v>External Scaffolding</v>
      </c>
      <c r="AC829" t="str">
        <f t="shared" si="850"/>
        <v>Lift 4</v>
      </c>
      <c r="AD829" t="b">
        <f t="shared" ca="1" si="818"/>
        <v>0</v>
      </c>
      <c r="AE829" s="1">
        <f t="shared" ca="1" si="839"/>
        <v>59</v>
      </c>
      <c r="AF829" t="str">
        <f t="shared" ca="1" si="816"/>
        <v>Plot 59</v>
      </c>
    </row>
    <row r="830" spans="28:32" x14ac:dyDescent="0.25">
      <c r="AB830" t="str">
        <f t="shared" ref="AB830:AC830" si="851">AB809</f>
        <v>External Scaffolding</v>
      </c>
      <c r="AC830" t="str">
        <f t="shared" si="851"/>
        <v>Lift 5</v>
      </c>
      <c r="AD830" t="b">
        <f t="shared" ca="1" si="818"/>
        <v>0</v>
      </c>
      <c r="AE830" s="1">
        <f t="shared" ca="1" si="839"/>
        <v>59</v>
      </c>
      <c r="AF830" t="str">
        <f t="shared" ca="1" si="816"/>
        <v>Plot 59</v>
      </c>
    </row>
    <row r="831" spans="28:32" x14ac:dyDescent="0.25">
      <c r="AB831" t="str">
        <f t="shared" ref="AB831:AC831" si="852">AB810</f>
        <v>External Scaffolding</v>
      </c>
      <c r="AC831" t="str">
        <f t="shared" si="852"/>
        <v>Lift 6</v>
      </c>
      <c r="AD831" t="b">
        <f t="shared" ca="1" si="818"/>
        <v>0</v>
      </c>
      <c r="AE831" s="1">
        <f t="shared" ca="1" si="839"/>
        <v>59</v>
      </c>
      <c r="AF831" t="str">
        <f t="shared" ca="1" si="816"/>
        <v>Plot 59</v>
      </c>
    </row>
    <row r="832" spans="28:32" x14ac:dyDescent="0.25">
      <c r="AB832" t="str">
        <f t="shared" ref="AB832:AC832" si="853">AB811</f>
        <v>Loading Bay</v>
      </c>
      <c r="AC832" t="str">
        <f t="shared" si="853"/>
        <v>Lift 1</v>
      </c>
      <c r="AD832" t="b">
        <f t="shared" ca="1" si="818"/>
        <v>1</v>
      </c>
      <c r="AE832" s="1">
        <f t="shared" ca="1" si="839"/>
        <v>59</v>
      </c>
      <c r="AF832" t="str">
        <f t="shared" ca="1" si="816"/>
        <v>Plot 59</v>
      </c>
    </row>
    <row r="833" spans="28:32" x14ac:dyDescent="0.25">
      <c r="AB833" t="str">
        <f t="shared" ref="AB833:AC833" si="854">AB812</f>
        <v>Loading Bay</v>
      </c>
      <c r="AC833" t="str">
        <f t="shared" si="854"/>
        <v>Lift 2</v>
      </c>
      <c r="AD833" t="b">
        <f t="shared" ca="1" si="818"/>
        <v>1</v>
      </c>
      <c r="AE833" s="1">
        <f t="shared" ca="1" si="839"/>
        <v>59</v>
      </c>
      <c r="AF833" t="str">
        <f t="shared" ca="1" si="816"/>
        <v>Plot 59</v>
      </c>
    </row>
    <row r="834" spans="28:32" x14ac:dyDescent="0.25">
      <c r="AB834" t="str">
        <f t="shared" ref="AB834:AC834" si="855">AB813</f>
        <v>Loading Bay</v>
      </c>
      <c r="AC834" t="str">
        <f t="shared" si="855"/>
        <v>Lift 3</v>
      </c>
      <c r="AD834" t="b">
        <f t="shared" ca="1" si="818"/>
        <v>1</v>
      </c>
      <c r="AE834" s="1">
        <f t="shared" ca="1" si="839"/>
        <v>59</v>
      </c>
      <c r="AF834" t="str">
        <f t="shared" ca="1" si="816"/>
        <v>Plot 59</v>
      </c>
    </row>
    <row r="835" spans="28:32" x14ac:dyDescent="0.25">
      <c r="AB835" t="str">
        <f t="shared" ref="AB835:AC835" si="856">AB814</f>
        <v>Loading Bay</v>
      </c>
      <c r="AC835" t="str">
        <f t="shared" si="856"/>
        <v>Lift 4</v>
      </c>
      <c r="AD835" t="b">
        <f t="shared" ca="1" si="818"/>
        <v>0</v>
      </c>
      <c r="AE835" s="1">
        <f t="shared" ca="1" si="839"/>
        <v>59</v>
      </c>
      <c r="AF835" t="str">
        <f t="shared" ca="1" si="816"/>
        <v>Plot 59</v>
      </c>
    </row>
    <row r="836" spans="28:32" x14ac:dyDescent="0.25">
      <c r="AB836" t="str">
        <f t="shared" ref="AB836:AC836" si="857">AB815</f>
        <v>Loading Bay</v>
      </c>
      <c r="AC836" t="str">
        <f t="shared" si="857"/>
        <v>Lift 5</v>
      </c>
      <c r="AD836" t="b">
        <f t="shared" ca="1" si="818"/>
        <v>0</v>
      </c>
      <c r="AE836" s="1">
        <f t="shared" ca="1" si="839"/>
        <v>59</v>
      </c>
      <c r="AF836" t="str">
        <f t="shared" ca="1" si="816"/>
        <v>Plot 59</v>
      </c>
    </row>
    <row r="837" spans="28:32" x14ac:dyDescent="0.25">
      <c r="AB837" t="str">
        <f t="shared" ref="AB837:AC837" si="858">AB816</f>
        <v>Loading Bay</v>
      </c>
      <c r="AC837" t="str">
        <f t="shared" si="858"/>
        <v>Lift 6</v>
      </c>
      <c r="AD837" t="b">
        <f t="shared" ca="1" si="818"/>
        <v>0</v>
      </c>
      <c r="AE837" s="1">
        <f t="shared" ca="1" si="839"/>
        <v>59</v>
      </c>
      <c r="AF837" t="str">
        <f t="shared" ca="1" si="816"/>
        <v>Plot 59</v>
      </c>
    </row>
    <row r="838" spans="28:32" x14ac:dyDescent="0.25">
      <c r="AB838" t="str">
        <f t="shared" ref="AB838:AC838" si="859">AB817</f>
        <v>Scaffolding Platform</v>
      </c>
      <c r="AC838" t="str">
        <f t="shared" si="859"/>
        <v>Ground Floor</v>
      </c>
      <c r="AD838" t="b">
        <f t="shared" ca="1" si="818"/>
        <v>1</v>
      </c>
      <c r="AE838" s="1">
        <f t="shared" ca="1" si="839"/>
        <v>59</v>
      </c>
      <c r="AF838" t="str">
        <f t="shared" ca="1" si="816"/>
        <v>Plot 59</v>
      </c>
    </row>
    <row r="839" spans="28:32" x14ac:dyDescent="0.25">
      <c r="AB839" t="str">
        <f t="shared" ref="AB839:AC839" si="860">AB818</f>
        <v>Scaffolding Platform</v>
      </c>
      <c r="AC839" t="str">
        <f t="shared" si="860"/>
        <v>First Floor</v>
      </c>
      <c r="AD839" t="b">
        <f t="shared" ca="1" si="818"/>
        <v>1</v>
      </c>
      <c r="AE839" s="1">
        <f t="shared" ca="1" si="839"/>
        <v>59</v>
      </c>
      <c r="AF839" t="str">
        <f t="shared" ca="1" si="816"/>
        <v>Plot 59</v>
      </c>
    </row>
    <row r="840" spans="28:32" x14ac:dyDescent="0.25">
      <c r="AB840" t="str">
        <f t="shared" ref="AB840:AC840" si="861">AB819</f>
        <v>Scaffolding Platform</v>
      </c>
      <c r="AC840" t="str">
        <f t="shared" si="861"/>
        <v>Second Floor</v>
      </c>
      <c r="AD840" t="b">
        <f t="shared" ca="1" si="818"/>
        <v>0</v>
      </c>
      <c r="AE840" s="1">
        <f t="shared" ca="1" si="839"/>
        <v>59</v>
      </c>
      <c r="AF840" t="str">
        <f t="shared" ca="1" si="816"/>
        <v>Plot 59</v>
      </c>
    </row>
    <row r="841" spans="28:32" x14ac:dyDescent="0.25">
      <c r="AB841" t="str">
        <f t="shared" ref="AB841:AC841" si="862">AB820</f>
        <v>Supporting Scaffold</v>
      </c>
      <c r="AC841" t="str">
        <f t="shared" si="862"/>
        <v>Ground Floor Prop.</v>
      </c>
      <c r="AD841" t="str">
        <f t="shared" ca="1" si="818"/>
        <v>TRUE</v>
      </c>
      <c r="AE841" s="1">
        <f t="shared" ca="1" si="839"/>
        <v>59</v>
      </c>
      <c r="AF841" t="str">
        <f t="shared" ca="1" si="816"/>
        <v>Plot 59</v>
      </c>
    </row>
    <row r="842" spans="28:32" x14ac:dyDescent="0.25">
      <c r="AB842" t="str">
        <f t="shared" ref="AB842:AC842" si="863">AB821</f>
        <v>Supporting Scaffold</v>
      </c>
      <c r="AC842" t="str">
        <f t="shared" si="863"/>
        <v>First Floor Prop.</v>
      </c>
      <c r="AD842" t="str">
        <f t="shared" ca="1" si="818"/>
        <v>FALSE</v>
      </c>
      <c r="AE842" s="1">
        <f t="shared" ca="1" si="839"/>
        <v>59</v>
      </c>
      <c r="AF842" t="str">
        <f t="shared" ca="1" si="816"/>
        <v>Plot 59</v>
      </c>
    </row>
    <row r="843" spans="28:32" x14ac:dyDescent="0.25">
      <c r="AB843" t="str">
        <f t="shared" ref="AB843:AC843" si="864">AB822</f>
        <v>Supporting Scaffold</v>
      </c>
      <c r="AC843" t="str">
        <f t="shared" si="864"/>
        <v>Second Floor Prop.</v>
      </c>
      <c r="AD843" t="str">
        <f t="shared" ca="1" si="818"/>
        <v>FALSE</v>
      </c>
      <c r="AE843" s="1">
        <f t="shared" ca="1" si="839"/>
        <v>59</v>
      </c>
      <c r="AF843" t="str">
        <f t="shared" ca="1" si="816"/>
        <v>Plot 59</v>
      </c>
    </row>
    <row r="844" spans="28:32" x14ac:dyDescent="0.25">
      <c r="AB844" t="str">
        <f t="shared" ref="AB844:AC844" si="865">AB823</f>
        <v>External Scaffolding</v>
      </c>
      <c r="AC844" t="str">
        <f t="shared" si="865"/>
        <v>Hop-ups</v>
      </c>
      <c r="AD844" t="b">
        <f t="shared" ca="1" si="818"/>
        <v>1</v>
      </c>
      <c r="AE844" s="1">
        <f t="shared" ca="1" si="839"/>
        <v>59</v>
      </c>
      <c r="AF844" t="str">
        <f t="shared" ca="1" si="816"/>
        <v>Plot 59</v>
      </c>
    </row>
    <row r="845" spans="28:32" x14ac:dyDescent="0.25">
      <c r="AB845" t="str">
        <f t="shared" ref="AB845:AC845" si="866">AB824</f>
        <v>External Scaffolding</v>
      </c>
      <c r="AC845" t="str">
        <f t="shared" si="866"/>
        <v>Adaptions</v>
      </c>
      <c r="AD845" t="b">
        <f t="shared" ca="1" si="818"/>
        <v>1</v>
      </c>
      <c r="AE845" s="1">
        <f t="shared" ca="1" si="839"/>
        <v>59</v>
      </c>
      <c r="AF845" t="str">
        <f t="shared" ca="1" si="816"/>
        <v>Plot 59</v>
      </c>
    </row>
    <row r="846" spans="28:32" x14ac:dyDescent="0.25">
      <c r="AB846" t="str">
        <f t="shared" ref="AB846:AC846" si="867">AB825</f>
        <v>External Scaffolding</v>
      </c>
      <c r="AC846" t="str">
        <f t="shared" si="867"/>
        <v>Adaption Tower</v>
      </c>
      <c r="AD846" t="b">
        <f t="shared" ca="1" si="818"/>
        <v>1</v>
      </c>
      <c r="AE846" s="1">
        <f t="shared" ca="1" si="839"/>
        <v>59</v>
      </c>
      <c r="AF846" t="str">
        <f t="shared" ca="1" si="816"/>
        <v>Plot 59</v>
      </c>
    </row>
    <row r="847" spans="28:32" x14ac:dyDescent="0.25">
      <c r="AB847" t="str">
        <f t="shared" ref="AB847:AC847" si="868">AB826</f>
        <v>External Scaffolding</v>
      </c>
      <c r="AC847" t="str">
        <f t="shared" si="868"/>
        <v>Lift 1</v>
      </c>
      <c r="AD847" t="b">
        <f t="shared" ca="1" si="818"/>
        <v>1</v>
      </c>
      <c r="AE847" s="1">
        <f t="shared" ca="1" si="839"/>
        <v>60</v>
      </c>
      <c r="AF847" t="str">
        <f t="shared" ca="1" si="816"/>
        <v>Plot 60</v>
      </c>
    </row>
    <row r="848" spans="28:32" x14ac:dyDescent="0.25">
      <c r="AB848" t="str">
        <f t="shared" ref="AB848:AC848" si="869">AB827</f>
        <v>External Scaffolding</v>
      </c>
      <c r="AC848" t="str">
        <f t="shared" si="869"/>
        <v>Lift 2</v>
      </c>
      <c r="AD848" t="b">
        <f t="shared" ca="1" si="818"/>
        <v>1</v>
      </c>
      <c r="AE848" s="1">
        <f t="shared" ca="1" si="839"/>
        <v>60</v>
      </c>
      <c r="AF848" t="str">
        <f t="shared" ca="1" si="816"/>
        <v>Plot 60</v>
      </c>
    </row>
    <row r="849" spans="28:32" x14ac:dyDescent="0.25">
      <c r="AB849" t="str">
        <f t="shared" ref="AB849:AC849" si="870">AB828</f>
        <v>External Scaffolding</v>
      </c>
      <c r="AC849" t="str">
        <f t="shared" si="870"/>
        <v>Lift 3</v>
      </c>
      <c r="AD849" t="b">
        <f t="shared" ca="1" si="818"/>
        <v>1</v>
      </c>
      <c r="AE849" s="1">
        <f t="shared" ca="1" si="839"/>
        <v>60</v>
      </c>
      <c r="AF849" t="str">
        <f t="shared" ca="1" si="816"/>
        <v>Plot 60</v>
      </c>
    </row>
    <row r="850" spans="28:32" x14ac:dyDescent="0.25">
      <c r="AB850" t="str">
        <f t="shared" ref="AB850:AC850" si="871">AB829</f>
        <v>External Scaffolding</v>
      </c>
      <c r="AC850" t="str">
        <f t="shared" si="871"/>
        <v>Lift 4</v>
      </c>
      <c r="AD850" t="b">
        <f t="shared" ca="1" si="818"/>
        <v>0</v>
      </c>
      <c r="AE850" s="1">
        <f t="shared" ca="1" si="839"/>
        <v>60</v>
      </c>
      <c r="AF850" t="str">
        <f t="shared" ca="1" si="816"/>
        <v>Plot 60</v>
      </c>
    </row>
    <row r="851" spans="28:32" x14ac:dyDescent="0.25">
      <c r="AB851" t="str">
        <f t="shared" ref="AB851:AC851" si="872">AB830</f>
        <v>External Scaffolding</v>
      </c>
      <c r="AC851" t="str">
        <f t="shared" si="872"/>
        <v>Lift 5</v>
      </c>
      <c r="AD851" t="b">
        <f t="shared" ca="1" si="818"/>
        <v>0</v>
      </c>
      <c r="AE851" s="1">
        <f t="shared" ca="1" si="839"/>
        <v>60</v>
      </c>
      <c r="AF851" t="str">
        <f t="shared" ca="1" si="816"/>
        <v>Plot 60</v>
      </c>
    </row>
    <row r="852" spans="28:32" x14ac:dyDescent="0.25">
      <c r="AB852" t="str">
        <f t="shared" ref="AB852:AC852" si="873">AB831</f>
        <v>External Scaffolding</v>
      </c>
      <c r="AC852" t="str">
        <f t="shared" si="873"/>
        <v>Lift 6</v>
      </c>
      <c r="AD852" t="b">
        <f t="shared" ca="1" si="818"/>
        <v>0</v>
      </c>
      <c r="AE852" s="1">
        <f t="shared" ca="1" si="839"/>
        <v>60</v>
      </c>
      <c r="AF852" t="str">
        <f t="shared" ca="1" si="816"/>
        <v>Plot 60</v>
      </c>
    </row>
    <row r="853" spans="28:32" x14ac:dyDescent="0.25">
      <c r="AB853" t="str">
        <f t="shared" ref="AB853:AC853" si="874">AB832</f>
        <v>Loading Bay</v>
      </c>
      <c r="AC853" t="str">
        <f t="shared" si="874"/>
        <v>Lift 1</v>
      </c>
      <c r="AD853" t="b">
        <f t="shared" ca="1" si="818"/>
        <v>1</v>
      </c>
      <c r="AE853" s="1">
        <f t="shared" ca="1" si="839"/>
        <v>60</v>
      </c>
      <c r="AF853" t="str">
        <f t="shared" ca="1" si="816"/>
        <v>Plot 60</v>
      </c>
    </row>
    <row r="854" spans="28:32" x14ac:dyDescent="0.25">
      <c r="AB854" t="str">
        <f t="shared" ref="AB854:AC854" si="875">AB833</f>
        <v>Loading Bay</v>
      </c>
      <c r="AC854" t="str">
        <f t="shared" si="875"/>
        <v>Lift 2</v>
      </c>
      <c r="AD854" t="b">
        <f t="shared" ca="1" si="818"/>
        <v>1</v>
      </c>
      <c r="AE854" s="1">
        <f t="shared" ca="1" si="839"/>
        <v>60</v>
      </c>
      <c r="AF854" t="str">
        <f t="shared" ca="1" si="816"/>
        <v>Plot 60</v>
      </c>
    </row>
    <row r="855" spans="28:32" x14ac:dyDescent="0.25">
      <c r="AB855" t="str">
        <f t="shared" ref="AB855:AC855" si="876">AB834</f>
        <v>Loading Bay</v>
      </c>
      <c r="AC855" t="str">
        <f t="shared" si="876"/>
        <v>Lift 3</v>
      </c>
      <c r="AD855" t="b">
        <f t="shared" ca="1" si="818"/>
        <v>1</v>
      </c>
      <c r="AE855" s="1">
        <f t="shared" ca="1" si="839"/>
        <v>60</v>
      </c>
      <c r="AF855" t="str">
        <f t="shared" ca="1" si="816"/>
        <v>Plot 60</v>
      </c>
    </row>
    <row r="856" spans="28:32" x14ac:dyDescent="0.25">
      <c r="AB856" t="str">
        <f t="shared" ref="AB856:AC856" si="877">AB835</f>
        <v>Loading Bay</v>
      </c>
      <c r="AC856" t="str">
        <f t="shared" si="877"/>
        <v>Lift 4</v>
      </c>
      <c r="AD856" t="b">
        <f t="shared" ca="1" si="818"/>
        <v>0</v>
      </c>
      <c r="AE856" s="1">
        <f t="shared" ca="1" si="839"/>
        <v>60</v>
      </c>
      <c r="AF856" t="str">
        <f t="shared" ca="1" si="816"/>
        <v>Plot 60</v>
      </c>
    </row>
    <row r="857" spans="28:32" x14ac:dyDescent="0.25">
      <c r="AB857" t="str">
        <f t="shared" ref="AB857:AC857" si="878">AB836</f>
        <v>Loading Bay</v>
      </c>
      <c r="AC857" t="str">
        <f t="shared" si="878"/>
        <v>Lift 5</v>
      </c>
      <c r="AD857" t="b">
        <f t="shared" ca="1" si="818"/>
        <v>0</v>
      </c>
      <c r="AE857" s="1">
        <f t="shared" ca="1" si="839"/>
        <v>60</v>
      </c>
      <c r="AF857" t="str">
        <f t="shared" ca="1" si="816"/>
        <v>Plot 60</v>
      </c>
    </row>
    <row r="858" spans="28:32" x14ac:dyDescent="0.25">
      <c r="AB858" t="str">
        <f t="shared" ref="AB858:AC858" si="879">AB837</f>
        <v>Loading Bay</v>
      </c>
      <c r="AC858" t="str">
        <f t="shared" si="879"/>
        <v>Lift 6</v>
      </c>
      <c r="AD858" t="b">
        <f t="shared" ca="1" si="818"/>
        <v>0</v>
      </c>
      <c r="AE858" s="1">
        <f t="shared" ca="1" si="839"/>
        <v>60</v>
      </c>
      <c r="AF858" t="str">
        <f t="shared" ca="1" si="816"/>
        <v>Plot 60</v>
      </c>
    </row>
    <row r="859" spans="28:32" x14ac:dyDescent="0.25">
      <c r="AB859" t="str">
        <f t="shared" ref="AB859:AC859" si="880">AB838</f>
        <v>Scaffolding Platform</v>
      </c>
      <c r="AC859" t="str">
        <f t="shared" si="880"/>
        <v>Ground Floor</v>
      </c>
      <c r="AD859" t="b">
        <f t="shared" ca="1" si="818"/>
        <v>1</v>
      </c>
      <c r="AE859" s="1">
        <f t="shared" ca="1" si="839"/>
        <v>60</v>
      </c>
      <c r="AF859" t="str">
        <f t="shared" ca="1" si="816"/>
        <v>Plot 60</v>
      </c>
    </row>
    <row r="860" spans="28:32" x14ac:dyDescent="0.25">
      <c r="AB860" t="str">
        <f t="shared" ref="AB860:AC860" si="881">AB839</f>
        <v>Scaffolding Platform</v>
      </c>
      <c r="AC860" t="str">
        <f t="shared" si="881"/>
        <v>First Floor</v>
      </c>
      <c r="AD860" t="b">
        <f t="shared" ca="1" si="818"/>
        <v>1</v>
      </c>
      <c r="AE860" s="1">
        <f t="shared" ca="1" si="839"/>
        <v>60</v>
      </c>
      <c r="AF860" t="str">
        <f t="shared" ca="1" si="816"/>
        <v>Plot 60</v>
      </c>
    </row>
    <row r="861" spans="28:32" x14ac:dyDescent="0.25">
      <c r="AB861" t="str">
        <f t="shared" ref="AB861:AC861" si="882">AB840</f>
        <v>Scaffolding Platform</v>
      </c>
      <c r="AC861" t="str">
        <f t="shared" si="882"/>
        <v>Second Floor</v>
      </c>
      <c r="AD861" t="b">
        <f t="shared" ca="1" si="818"/>
        <v>0</v>
      </c>
      <c r="AE861" s="1">
        <f t="shared" ca="1" si="839"/>
        <v>60</v>
      </c>
      <c r="AF861" t="str">
        <f t="shared" ref="AF861:AF924" ca="1" si="883">IF(LEFT(AE861,1)="G",AE861,"Plot "&amp;AE861)</f>
        <v>Plot 60</v>
      </c>
    </row>
    <row r="862" spans="28:32" x14ac:dyDescent="0.25">
      <c r="AB862" t="str">
        <f t="shared" ref="AB862:AC862" si="884">AB841</f>
        <v>Supporting Scaffold</v>
      </c>
      <c r="AC862" t="str">
        <f t="shared" si="884"/>
        <v>Ground Floor Prop.</v>
      </c>
      <c r="AD862" t="str">
        <f t="shared" ref="AD862:AD925" ca="1" si="885">INDEX($AC$1:$JH$22,MATCH(AC862,$AC$1:$AC$22,0),MATCH(AE862,$AC$1:$JH$1,0))</f>
        <v>TRUE</v>
      </c>
      <c r="AE862" s="1">
        <f t="shared" ca="1" si="839"/>
        <v>60</v>
      </c>
      <c r="AF862" t="str">
        <f t="shared" ca="1" si="883"/>
        <v>Plot 60</v>
      </c>
    </row>
    <row r="863" spans="28:32" x14ac:dyDescent="0.25">
      <c r="AB863" t="str">
        <f t="shared" ref="AB863:AC863" si="886">AB842</f>
        <v>Supporting Scaffold</v>
      </c>
      <c r="AC863" t="str">
        <f t="shared" si="886"/>
        <v>First Floor Prop.</v>
      </c>
      <c r="AD863" t="str">
        <f t="shared" ca="1" si="885"/>
        <v>FALSE</v>
      </c>
      <c r="AE863" s="1">
        <f t="shared" ca="1" si="839"/>
        <v>60</v>
      </c>
      <c r="AF863" t="str">
        <f t="shared" ca="1" si="883"/>
        <v>Plot 60</v>
      </c>
    </row>
    <row r="864" spans="28:32" x14ac:dyDescent="0.25">
      <c r="AB864" t="str">
        <f t="shared" ref="AB864:AC864" si="887">AB843</f>
        <v>Supporting Scaffold</v>
      </c>
      <c r="AC864" t="str">
        <f t="shared" si="887"/>
        <v>Second Floor Prop.</v>
      </c>
      <c r="AD864" t="str">
        <f t="shared" ca="1" si="885"/>
        <v>FALSE</v>
      </c>
      <c r="AE864" s="1">
        <f t="shared" ca="1" si="839"/>
        <v>60</v>
      </c>
      <c r="AF864" t="str">
        <f t="shared" ca="1" si="883"/>
        <v>Plot 60</v>
      </c>
    </row>
    <row r="865" spans="28:32" x14ac:dyDescent="0.25">
      <c r="AB865" t="str">
        <f t="shared" ref="AB865:AC865" si="888">AB844</f>
        <v>External Scaffolding</v>
      </c>
      <c r="AC865" t="str">
        <f t="shared" si="888"/>
        <v>Hop-ups</v>
      </c>
      <c r="AD865" t="b">
        <f t="shared" ca="1" si="885"/>
        <v>1</v>
      </c>
      <c r="AE865" s="1">
        <f t="shared" ca="1" si="839"/>
        <v>60</v>
      </c>
      <c r="AF865" t="str">
        <f t="shared" ca="1" si="883"/>
        <v>Plot 60</v>
      </c>
    </row>
    <row r="866" spans="28:32" x14ac:dyDescent="0.25">
      <c r="AB866" t="str">
        <f t="shared" ref="AB866:AC866" si="889">AB845</f>
        <v>External Scaffolding</v>
      </c>
      <c r="AC866" t="str">
        <f t="shared" si="889"/>
        <v>Adaptions</v>
      </c>
      <c r="AD866" t="b">
        <f t="shared" ca="1" si="885"/>
        <v>1</v>
      </c>
      <c r="AE866" s="1">
        <f t="shared" ca="1" si="839"/>
        <v>60</v>
      </c>
      <c r="AF866" t="str">
        <f t="shared" ca="1" si="883"/>
        <v>Plot 60</v>
      </c>
    </row>
    <row r="867" spans="28:32" x14ac:dyDescent="0.25">
      <c r="AB867" t="str">
        <f t="shared" ref="AB867:AC867" si="890">AB846</f>
        <v>External Scaffolding</v>
      </c>
      <c r="AC867" t="str">
        <f t="shared" si="890"/>
        <v>Adaption Tower</v>
      </c>
      <c r="AD867" t="b">
        <f t="shared" ca="1" si="885"/>
        <v>1</v>
      </c>
      <c r="AE867" s="1">
        <f t="shared" ca="1" si="839"/>
        <v>60</v>
      </c>
      <c r="AF867" t="str">
        <f t="shared" ca="1" si="883"/>
        <v>Plot 60</v>
      </c>
    </row>
    <row r="868" spans="28:32" x14ac:dyDescent="0.25">
      <c r="AB868" t="str">
        <f t="shared" ref="AB868:AC868" si="891">AB847</f>
        <v>External Scaffolding</v>
      </c>
      <c r="AC868" t="str">
        <f t="shared" si="891"/>
        <v>Lift 1</v>
      </c>
      <c r="AD868" t="b">
        <f t="shared" ca="1" si="885"/>
        <v>1</v>
      </c>
      <c r="AE868" s="1" t="str">
        <f t="shared" ca="1" si="839"/>
        <v>61-62</v>
      </c>
      <c r="AF868" t="str">
        <f t="shared" ca="1" si="883"/>
        <v>Plot 61-62</v>
      </c>
    </row>
    <row r="869" spans="28:32" x14ac:dyDescent="0.25">
      <c r="AB869" t="str">
        <f t="shared" ref="AB869:AC869" si="892">AB848</f>
        <v>External Scaffolding</v>
      </c>
      <c r="AC869" t="str">
        <f t="shared" si="892"/>
        <v>Lift 2</v>
      </c>
      <c r="AD869" t="b">
        <f t="shared" ca="1" si="885"/>
        <v>1</v>
      </c>
      <c r="AE869" s="1" t="str">
        <f t="shared" ca="1" si="839"/>
        <v>61-62</v>
      </c>
      <c r="AF869" t="str">
        <f t="shared" ca="1" si="883"/>
        <v>Plot 61-62</v>
      </c>
    </row>
    <row r="870" spans="28:32" x14ac:dyDescent="0.25">
      <c r="AB870" t="str">
        <f t="shared" ref="AB870:AC870" si="893">AB849</f>
        <v>External Scaffolding</v>
      </c>
      <c r="AC870" t="str">
        <f t="shared" si="893"/>
        <v>Lift 3</v>
      </c>
      <c r="AD870" t="b">
        <f t="shared" ca="1" si="885"/>
        <v>1</v>
      </c>
      <c r="AE870" s="1" t="str">
        <f t="shared" ca="1" si="839"/>
        <v>61-62</v>
      </c>
      <c r="AF870" t="str">
        <f t="shared" ca="1" si="883"/>
        <v>Plot 61-62</v>
      </c>
    </row>
    <row r="871" spans="28:32" x14ac:dyDescent="0.25">
      <c r="AB871" t="str">
        <f t="shared" ref="AB871:AC871" si="894">AB850</f>
        <v>External Scaffolding</v>
      </c>
      <c r="AC871" t="str">
        <f t="shared" si="894"/>
        <v>Lift 4</v>
      </c>
      <c r="AD871" t="b">
        <f t="shared" ca="1" si="885"/>
        <v>0</v>
      </c>
      <c r="AE871" s="1" t="str">
        <f t="shared" ca="1" si="839"/>
        <v>61-62</v>
      </c>
      <c r="AF871" t="str">
        <f t="shared" ca="1" si="883"/>
        <v>Plot 61-62</v>
      </c>
    </row>
    <row r="872" spans="28:32" x14ac:dyDescent="0.25">
      <c r="AB872" t="str">
        <f t="shared" ref="AB872:AC872" si="895">AB851</f>
        <v>External Scaffolding</v>
      </c>
      <c r="AC872" t="str">
        <f t="shared" si="895"/>
        <v>Lift 5</v>
      </c>
      <c r="AD872" t="b">
        <f t="shared" ca="1" si="885"/>
        <v>0</v>
      </c>
      <c r="AE872" s="1" t="str">
        <f t="shared" ca="1" si="839"/>
        <v>61-62</v>
      </c>
      <c r="AF872" t="str">
        <f t="shared" ca="1" si="883"/>
        <v>Plot 61-62</v>
      </c>
    </row>
    <row r="873" spans="28:32" x14ac:dyDescent="0.25">
      <c r="AB873" t="str">
        <f t="shared" ref="AB873:AC873" si="896">AB852</f>
        <v>External Scaffolding</v>
      </c>
      <c r="AC873" t="str">
        <f t="shared" si="896"/>
        <v>Lift 6</v>
      </c>
      <c r="AD873" t="b">
        <f t="shared" ca="1" si="885"/>
        <v>0</v>
      </c>
      <c r="AE873" s="1" t="str">
        <f t="shared" ca="1" si="839"/>
        <v>61-62</v>
      </c>
      <c r="AF873" t="str">
        <f t="shared" ca="1" si="883"/>
        <v>Plot 61-62</v>
      </c>
    </row>
    <row r="874" spans="28:32" x14ac:dyDescent="0.25">
      <c r="AB874" t="str">
        <f t="shared" ref="AB874:AC874" si="897">AB853</f>
        <v>Loading Bay</v>
      </c>
      <c r="AC874" t="str">
        <f t="shared" si="897"/>
        <v>Lift 1</v>
      </c>
      <c r="AD874" t="b">
        <f t="shared" ca="1" si="885"/>
        <v>1</v>
      </c>
      <c r="AE874" s="1" t="str">
        <f t="shared" ca="1" si="839"/>
        <v>61-62</v>
      </c>
      <c r="AF874" t="str">
        <f t="shared" ca="1" si="883"/>
        <v>Plot 61-62</v>
      </c>
    </row>
    <row r="875" spans="28:32" x14ac:dyDescent="0.25">
      <c r="AB875" t="str">
        <f t="shared" ref="AB875:AC875" si="898">AB854</f>
        <v>Loading Bay</v>
      </c>
      <c r="AC875" t="str">
        <f t="shared" si="898"/>
        <v>Lift 2</v>
      </c>
      <c r="AD875" t="b">
        <f t="shared" ca="1" si="885"/>
        <v>1</v>
      </c>
      <c r="AE875" s="1" t="str">
        <f t="shared" ca="1" si="839"/>
        <v>61-62</v>
      </c>
      <c r="AF875" t="str">
        <f t="shared" ca="1" si="883"/>
        <v>Plot 61-62</v>
      </c>
    </row>
    <row r="876" spans="28:32" x14ac:dyDescent="0.25">
      <c r="AB876" t="str">
        <f t="shared" ref="AB876:AC876" si="899">AB855</f>
        <v>Loading Bay</v>
      </c>
      <c r="AC876" t="str">
        <f t="shared" si="899"/>
        <v>Lift 3</v>
      </c>
      <c r="AD876" t="b">
        <f t="shared" ca="1" si="885"/>
        <v>1</v>
      </c>
      <c r="AE876" s="1" t="str">
        <f t="shared" ca="1" si="839"/>
        <v>61-62</v>
      </c>
      <c r="AF876" t="str">
        <f t="shared" ca="1" si="883"/>
        <v>Plot 61-62</v>
      </c>
    </row>
    <row r="877" spans="28:32" x14ac:dyDescent="0.25">
      <c r="AB877" t="str">
        <f t="shared" ref="AB877:AC877" si="900">AB856</f>
        <v>Loading Bay</v>
      </c>
      <c r="AC877" t="str">
        <f t="shared" si="900"/>
        <v>Lift 4</v>
      </c>
      <c r="AD877" t="b">
        <f t="shared" ca="1" si="885"/>
        <v>0</v>
      </c>
      <c r="AE877" s="1" t="str">
        <f t="shared" ca="1" si="839"/>
        <v>61-62</v>
      </c>
      <c r="AF877" t="str">
        <f t="shared" ca="1" si="883"/>
        <v>Plot 61-62</v>
      </c>
    </row>
    <row r="878" spans="28:32" x14ac:dyDescent="0.25">
      <c r="AB878" t="str">
        <f t="shared" ref="AB878:AC878" si="901">AB857</f>
        <v>Loading Bay</v>
      </c>
      <c r="AC878" t="str">
        <f t="shared" si="901"/>
        <v>Lift 5</v>
      </c>
      <c r="AD878" t="b">
        <f t="shared" ca="1" si="885"/>
        <v>0</v>
      </c>
      <c r="AE878" s="1" t="str">
        <f t="shared" ca="1" si="839"/>
        <v>61-62</v>
      </c>
      <c r="AF878" t="str">
        <f t="shared" ca="1" si="883"/>
        <v>Plot 61-62</v>
      </c>
    </row>
    <row r="879" spans="28:32" x14ac:dyDescent="0.25">
      <c r="AB879" t="str">
        <f t="shared" ref="AB879:AC879" si="902">AB858</f>
        <v>Loading Bay</v>
      </c>
      <c r="AC879" t="str">
        <f t="shared" si="902"/>
        <v>Lift 6</v>
      </c>
      <c r="AD879" t="b">
        <f t="shared" ca="1" si="885"/>
        <v>0</v>
      </c>
      <c r="AE879" s="1" t="str">
        <f t="shared" ca="1" si="839"/>
        <v>61-62</v>
      </c>
      <c r="AF879" t="str">
        <f t="shared" ca="1" si="883"/>
        <v>Plot 61-62</v>
      </c>
    </row>
    <row r="880" spans="28:32" x14ac:dyDescent="0.25">
      <c r="AB880" t="str">
        <f t="shared" ref="AB880:AC880" si="903">AB859</f>
        <v>Scaffolding Platform</v>
      </c>
      <c r="AC880" t="str">
        <f t="shared" si="903"/>
        <v>Ground Floor</v>
      </c>
      <c r="AD880" t="b">
        <f t="shared" ca="1" si="885"/>
        <v>1</v>
      </c>
      <c r="AE880" s="1" t="str">
        <f t="shared" ca="1" si="839"/>
        <v>61-62</v>
      </c>
      <c r="AF880" t="str">
        <f t="shared" ca="1" si="883"/>
        <v>Plot 61-62</v>
      </c>
    </row>
    <row r="881" spans="28:32" x14ac:dyDescent="0.25">
      <c r="AB881" t="str">
        <f t="shared" ref="AB881:AC881" si="904">AB860</f>
        <v>Scaffolding Platform</v>
      </c>
      <c r="AC881" t="str">
        <f t="shared" si="904"/>
        <v>First Floor</v>
      </c>
      <c r="AD881" t="b">
        <f t="shared" ca="1" si="885"/>
        <v>1</v>
      </c>
      <c r="AE881" s="1" t="str">
        <f t="shared" ca="1" si="839"/>
        <v>61-62</v>
      </c>
      <c r="AF881" t="str">
        <f t="shared" ca="1" si="883"/>
        <v>Plot 61-62</v>
      </c>
    </row>
    <row r="882" spans="28:32" x14ac:dyDescent="0.25">
      <c r="AB882" t="str">
        <f t="shared" ref="AB882:AC882" si="905">AB861</f>
        <v>Scaffolding Platform</v>
      </c>
      <c r="AC882" t="str">
        <f t="shared" si="905"/>
        <v>Second Floor</v>
      </c>
      <c r="AD882" t="b">
        <f t="shared" ca="1" si="885"/>
        <v>0</v>
      </c>
      <c r="AE882" s="1" t="str">
        <f t="shared" ref="AE882:AE945" ca="1" si="906">OFFSET($AD$1,0,FLOOR(ROW(B854)/21,1))</f>
        <v>61-62</v>
      </c>
      <c r="AF882" t="str">
        <f t="shared" ca="1" si="883"/>
        <v>Plot 61-62</v>
      </c>
    </row>
    <row r="883" spans="28:32" x14ac:dyDescent="0.25">
      <c r="AB883" t="str">
        <f t="shared" ref="AB883:AC883" si="907">AB862</f>
        <v>Supporting Scaffold</v>
      </c>
      <c r="AC883" t="str">
        <f t="shared" si="907"/>
        <v>Ground Floor Prop.</v>
      </c>
      <c r="AD883" t="str">
        <f t="shared" ca="1" si="885"/>
        <v>TRUE</v>
      </c>
      <c r="AE883" s="1" t="str">
        <f t="shared" ca="1" si="906"/>
        <v>61-62</v>
      </c>
      <c r="AF883" t="str">
        <f t="shared" ca="1" si="883"/>
        <v>Plot 61-62</v>
      </c>
    </row>
    <row r="884" spans="28:32" x14ac:dyDescent="0.25">
      <c r="AB884" t="str">
        <f t="shared" ref="AB884:AC884" si="908">AB863</f>
        <v>Supporting Scaffold</v>
      </c>
      <c r="AC884" t="str">
        <f t="shared" si="908"/>
        <v>First Floor Prop.</v>
      </c>
      <c r="AD884" t="str">
        <f t="shared" ca="1" si="885"/>
        <v>FALSE</v>
      </c>
      <c r="AE884" s="1" t="str">
        <f t="shared" ca="1" si="906"/>
        <v>61-62</v>
      </c>
      <c r="AF884" t="str">
        <f t="shared" ca="1" si="883"/>
        <v>Plot 61-62</v>
      </c>
    </row>
    <row r="885" spans="28:32" x14ac:dyDescent="0.25">
      <c r="AB885" t="str">
        <f t="shared" ref="AB885:AC885" si="909">AB864</f>
        <v>Supporting Scaffold</v>
      </c>
      <c r="AC885" t="str">
        <f t="shared" si="909"/>
        <v>Second Floor Prop.</v>
      </c>
      <c r="AD885" t="str">
        <f t="shared" ca="1" si="885"/>
        <v>FALSE</v>
      </c>
      <c r="AE885" s="1" t="str">
        <f t="shared" ca="1" si="906"/>
        <v>61-62</v>
      </c>
      <c r="AF885" t="str">
        <f t="shared" ca="1" si="883"/>
        <v>Plot 61-62</v>
      </c>
    </row>
    <row r="886" spans="28:32" x14ac:dyDescent="0.25">
      <c r="AB886" t="str">
        <f t="shared" ref="AB886:AC886" si="910">AB865</f>
        <v>External Scaffolding</v>
      </c>
      <c r="AC886" t="str">
        <f t="shared" si="910"/>
        <v>Hop-ups</v>
      </c>
      <c r="AD886" t="b">
        <f t="shared" ca="1" si="885"/>
        <v>1</v>
      </c>
      <c r="AE886" s="1" t="str">
        <f t="shared" ca="1" si="906"/>
        <v>61-62</v>
      </c>
      <c r="AF886" t="str">
        <f t="shared" ca="1" si="883"/>
        <v>Plot 61-62</v>
      </c>
    </row>
    <row r="887" spans="28:32" x14ac:dyDescent="0.25">
      <c r="AB887" t="str">
        <f t="shared" ref="AB887:AC887" si="911">AB866</f>
        <v>External Scaffolding</v>
      </c>
      <c r="AC887" t="str">
        <f t="shared" si="911"/>
        <v>Adaptions</v>
      </c>
      <c r="AD887" t="b">
        <f t="shared" ca="1" si="885"/>
        <v>1</v>
      </c>
      <c r="AE887" s="1" t="str">
        <f t="shared" ca="1" si="906"/>
        <v>61-62</v>
      </c>
      <c r="AF887" t="str">
        <f t="shared" ca="1" si="883"/>
        <v>Plot 61-62</v>
      </c>
    </row>
    <row r="888" spans="28:32" x14ac:dyDescent="0.25">
      <c r="AB888" t="str">
        <f t="shared" ref="AB888:AC888" si="912">AB867</f>
        <v>External Scaffolding</v>
      </c>
      <c r="AC888" t="str">
        <f t="shared" si="912"/>
        <v>Adaption Tower</v>
      </c>
      <c r="AD888" t="b">
        <f t="shared" ca="1" si="885"/>
        <v>1</v>
      </c>
      <c r="AE888" s="1" t="str">
        <f t="shared" ca="1" si="906"/>
        <v>61-62</v>
      </c>
      <c r="AF888" t="str">
        <f t="shared" ca="1" si="883"/>
        <v>Plot 61-62</v>
      </c>
    </row>
    <row r="889" spans="28:32" x14ac:dyDescent="0.25">
      <c r="AB889" t="str">
        <f t="shared" ref="AB889:AC889" si="913">AB868</f>
        <v>External Scaffolding</v>
      </c>
      <c r="AC889" t="str">
        <f t="shared" si="913"/>
        <v>Lift 1</v>
      </c>
      <c r="AD889" t="b">
        <f t="shared" ca="1" si="885"/>
        <v>1</v>
      </c>
      <c r="AE889" s="1">
        <f t="shared" ca="1" si="906"/>
        <v>63</v>
      </c>
      <c r="AF889" t="str">
        <f t="shared" ca="1" si="883"/>
        <v>Plot 63</v>
      </c>
    </row>
    <row r="890" spans="28:32" x14ac:dyDescent="0.25">
      <c r="AB890" t="str">
        <f t="shared" ref="AB890:AC890" si="914">AB869</f>
        <v>External Scaffolding</v>
      </c>
      <c r="AC890" t="str">
        <f t="shared" si="914"/>
        <v>Lift 2</v>
      </c>
      <c r="AD890" t="b">
        <f t="shared" ca="1" si="885"/>
        <v>1</v>
      </c>
      <c r="AE890" s="1">
        <f t="shared" ca="1" si="906"/>
        <v>63</v>
      </c>
      <c r="AF890" t="str">
        <f t="shared" ca="1" si="883"/>
        <v>Plot 63</v>
      </c>
    </row>
    <row r="891" spans="28:32" x14ac:dyDescent="0.25">
      <c r="AB891" t="str">
        <f t="shared" ref="AB891:AC891" si="915">AB870</f>
        <v>External Scaffolding</v>
      </c>
      <c r="AC891" t="str">
        <f t="shared" si="915"/>
        <v>Lift 3</v>
      </c>
      <c r="AD891" t="b">
        <f t="shared" ca="1" si="885"/>
        <v>1</v>
      </c>
      <c r="AE891" s="1">
        <f t="shared" ca="1" si="906"/>
        <v>63</v>
      </c>
      <c r="AF891" t="str">
        <f t="shared" ca="1" si="883"/>
        <v>Plot 63</v>
      </c>
    </row>
    <row r="892" spans="28:32" x14ac:dyDescent="0.25">
      <c r="AB892" t="str">
        <f t="shared" ref="AB892:AC892" si="916">AB871</f>
        <v>External Scaffolding</v>
      </c>
      <c r="AC892" t="str">
        <f t="shared" si="916"/>
        <v>Lift 4</v>
      </c>
      <c r="AD892" t="b">
        <f t="shared" ca="1" si="885"/>
        <v>1</v>
      </c>
      <c r="AE892" s="1">
        <f t="shared" ca="1" si="906"/>
        <v>63</v>
      </c>
      <c r="AF892" t="str">
        <f t="shared" ca="1" si="883"/>
        <v>Plot 63</v>
      </c>
    </row>
    <row r="893" spans="28:32" x14ac:dyDescent="0.25">
      <c r="AB893" t="str">
        <f t="shared" ref="AB893:AC893" si="917">AB872</f>
        <v>External Scaffolding</v>
      </c>
      <c r="AC893" t="str">
        <f t="shared" si="917"/>
        <v>Lift 5</v>
      </c>
      <c r="AD893" t="b">
        <f t="shared" ca="1" si="885"/>
        <v>0</v>
      </c>
      <c r="AE893" s="1">
        <f t="shared" ca="1" si="906"/>
        <v>63</v>
      </c>
      <c r="AF893" t="str">
        <f t="shared" ca="1" si="883"/>
        <v>Plot 63</v>
      </c>
    </row>
    <row r="894" spans="28:32" x14ac:dyDescent="0.25">
      <c r="AB894" t="str">
        <f t="shared" ref="AB894:AC894" si="918">AB873</f>
        <v>External Scaffolding</v>
      </c>
      <c r="AC894" t="str">
        <f t="shared" si="918"/>
        <v>Lift 6</v>
      </c>
      <c r="AD894" t="b">
        <f t="shared" ca="1" si="885"/>
        <v>0</v>
      </c>
      <c r="AE894" s="1">
        <f t="shared" ca="1" si="906"/>
        <v>63</v>
      </c>
      <c r="AF894" t="str">
        <f t="shared" ca="1" si="883"/>
        <v>Plot 63</v>
      </c>
    </row>
    <row r="895" spans="28:32" x14ac:dyDescent="0.25">
      <c r="AB895" t="str">
        <f t="shared" ref="AB895:AC895" si="919">AB874</f>
        <v>Loading Bay</v>
      </c>
      <c r="AC895" t="str">
        <f t="shared" si="919"/>
        <v>Lift 1</v>
      </c>
      <c r="AD895" t="b">
        <f t="shared" ca="1" si="885"/>
        <v>1</v>
      </c>
      <c r="AE895" s="1">
        <f t="shared" ca="1" si="906"/>
        <v>63</v>
      </c>
      <c r="AF895" t="str">
        <f t="shared" ca="1" si="883"/>
        <v>Plot 63</v>
      </c>
    </row>
    <row r="896" spans="28:32" x14ac:dyDescent="0.25">
      <c r="AB896" t="str">
        <f t="shared" ref="AB896:AC896" si="920">AB875</f>
        <v>Loading Bay</v>
      </c>
      <c r="AC896" t="str">
        <f t="shared" si="920"/>
        <v>Lift 2</v>
      </c>
      <c r="AD896" t="b">
        <f t="shared" ca="1" si="885"/>
        <v>1</v>
      </c>
      <c r="AE896" s="1">
        <f t="shared" ca="1" si="906"/>
        <v>63</v>
      </c>
      <c r="AF896" t="str">
        <f t="shared" ca="1" si="883"/>
        <v>Plot 63</v>
      </c>
    </row>
    <row r="897" spans="28:32" x14ac:dyDescent="0.25">
      <c r="AB897" t="str">
        <f t="shared" ref="AB897:AC897" si="921">AB876</f>
        <v>Loading Bay</v>
      </c>
      <c r="AC897" t="str">
        <f t="shared" si="921"/>
        <v>Lift 3</v>
      </c>
      <c r="AD897" t="b">
        <f t="shared" ca="1" si="885"/>
        <v>1</v>
      </c>
      <c r="AE897" s="1">
        <f t="shared" ca="1" si="906"/>
        <v>63</v>
      </c>
      <c r="AF897" t="str">
        <f t="shared" ca="1" si="883"/>
        <v>Plot 63</v>
      </c>
    </row>
    <row r="898" spans="28:32" x14ac:dyDescent="0.25">
      <c r="AB898" t="str">
        <f t="shared" ref="AB898:AC898" si="922">AB877</f>
        <v>Loading Bay</v>
      </c>
      <c r="AC898" t="str">
        <f t="shared" si="922"/>
        <v>Lift 4</v>
      </c>
      <c r="AD898" t="b">
        <f t="shared" ca="1" si="885"/>
        <v>1</v>
      </c>
      <c r="AE898" s="1">
        <f t="shared" ca="1" si="906"/>
        <v>63</v>
      </c>
      <c r="AF898" t="str">
        <f t="shared" ca="1" si="883"/>
        <v>Plot 63</v>
      </c>
    </row>
    <row r="899" spans="28:32" x14ac:dyDescent="0.25">
      <c r="AB899" t="str">
        <f t="shared" ref="AB899:AC899" si="923">AB878</f>
        <v>Loading Bay</v>
      </c>
      <c r="AC899" t="str">
        <f t="shared" si="923"/>
        <v>Lift 5</v>
      </c>
      <c r="AD899" t="b">
        <f t="shared" ca="1" si="885"/>
        <v>0</v>
      </c>
      <c r="AE899" s="1">
        <f t="shared" ca="1" si="906"/>
        <v>63</v>
      </c>
      <c r="AF899" t="str">
        <f t="shared" ca="1" si="883"/>
        <v>Plot 63</v>
      </c>
    </row>
    <row r="900" spans="28:32" x14ac:dyDescent="0.25">
      <c r="AB900" t="str">
        <f t="shared" ref="AB900:AC900" si="924">AB879</f>
        <v>Loading Bay</v>
      </c>
      <c r="AC900" t="str">
        <f t="shared" si="924"/>
        <v>Lift 6</v>
      </c>
      <c r="AD900" t="b">
        <f t="shared" ca="1" si="885"/>
        <v>0</v>
      </c>
      <c r="AE900" s="1">
        <f t="shared" ca="1" si="906"/>
        <v>63</v>
      </c>
      <c r="AF900" t="str">
        <f t="shared" ca="1" si="883"/>
        <v>Plot 63</v>
      </c>
    </row>
    <row r="901" spans="28:32" x14ac:dyDescent="0.25">
      <c r="AB901" t="str">
        <f t="shared" ref="AB901:AC901" si="925">AB880</f>
        <v>Scaffolding Platform</v>
      </c>
      <c r="AC901" t="str">
        <f t="shared" si="925"/>
        <v>Ground Floor</v>
      </c>
      <c r="AD901" t="b">
        <f t="shared" ca="1" si="885"/>
        <v>1</v>
      </c>
      <c r="AE901" s="1">
        <f t="shared" ca="1" si="906"/>
        <v>63</v>
      </c>
      <c r="AF901" t="str">
        <f t="shared" ca="1" si="883"/>
        <v>Plot 63</v>
      </c>
    </row>
    <row r="902" spans="28:32" x14ac:dyDescent="0.25">
      <c r="AB902" t="str">
        <f t="shared" ref="AB902:AC902" si="926">AB881</f>
        <v>Scaffolding Platform</v>
      </c>
      <c r="AC902" t="str">
        <f t="shared" si="926"/>
        <v>First Floor</v>
      </c>
      <c r="AD902" t="b">
        <f t="shared" ca="1" si="885"/>
        <v>1</v>
      </c>
      <c r="AE902" s="1">
        <f t="shared" ca="1" si="906"/>
        <v>63</v>
      </c>
      <c r="AF902" t="str">
        <f t="shared" ca="1" si="883"/>
        <v>Plot 63</v>
      </c>
    </row>
    <row r="903" spans="28:32" x14ac:dyDescent="0.25">
      <c r="AB903" t="str">
        <f t="shared" ref="AB903:AC903" si="927">AB882</f>
        <v>Scaffolding Platform</v>
      </c>
      <c r="AC903" t="str">
        <f t="shared" si="927"/>
        <v>Second Floor</v>
      </c>
      <c r="AD903" t="b">
        <f t="shared" ca="1" si="885"/>
        <v>1</v>
      </c>
      <c r="AE903" s="1">
        <f t="shared" ca="1" si="906"/>
        <v>63</v>
      </c>
      <c r="AF903" t="str">
        <f t="shared" ca="1" si="883"/>
        <v>Plot 63</v>
      </c>
    </row>
    <row r="904" spans="28:32" x14ac:dyDescent="0.25">
      <c r="AB904" t="str">
        <f t="shared" ref="AB904:AC904" si="928">AB883</f>
        <v>Supporting Scaffold</v>
      </c>
      <c r="AC904" t="str">
        <f t="shared" si="928"/>
        <v>Ground Floor Prop.</v>
      </c>
      <c r="AD904" t="str">
        <f t="shared" ca="1" si="885"/>
        <v>TRUE</v>
      </c>
      <c r="AE904" s="1">
        <f t="shared" ca="1" si="906"/>
        <v>63</v>
      </c>
      <c r="AF904" t="str">
        <f t="shared" ca="1" si="883"/>
        <v>Plot 63</v>
      </c>
    </row>
    <row r="905" spans="28:32" x14ac:dyDescent="0.25">
      <c r="AB905" t="str">
        <f t="shared" ref="AB905:AC905" si="929">AB884</f>
        <v>Supporting Scaffold</v>
      </c>
      <c r="AC905" t="str">
        <f t="shared" si="929"/>
        <v>First Floor Prop.</v>
      </c>
      <c r="AD905" t="str">
        <f t="shared" ca="1" si="885"/>
        <v>TRUE</v>
      </c>
      <c r="AE905" s="1">
        <f t="shared" ca="1" si="906"/>
        <v>63</v>
      </c>
      <c r="AF905" t="str">
        <f t="shared" ca="1" si="883"/>
        <v>Plot 63</v>
      </c>
    </row>
    <row r="906" spans="28:32" x14ac:dyDescent="0.25">
      <c r="AB906" t="str">
        <f t="shared" ref="AB906:AC906" si="930">AB885</f>
        <v>Supporting Scaffold</v>
      </c>
      <c r="AC906" t="str">
        <f t="shared" si="930"/>
        <v>Second Floor Prop.</v>
      </c>
      <c r="AD906" t="str">
        <f t="shared" ca="1" si="885"/>
        <v>FALSE</v>
      </c>
      <c r="AE906" s="1">
        <f t="shared" ca="1" si="906"/>
        <v>63</v>
      </c>
      <c r="AF906" t="str">
        <f t="shared" ca="1" si="883"/>
        <v>Plot 63</v>
      </c>
    </row>
    <row r="907" spans="28:32" x14ac:dyDescent="0.25">
      <c r="AB907" t="str">
        <f t="shared" ref="AB907:AC907" si="931">AB886</f>
        <v>External Scaffolding</v>
      </c>
      <c r="AC907" t="str">
        <f t="shared" si="931"/>
        <v>Hop-ups</v>
      </c>
      <c r="AD907" t="b">
        <f t="shared" ca="1" si="885"/>
        <v>1</v>
      </c>
      <c r="AE907" s="1">
        <f t="shared" ca="1" si="906"/>
        <v>63</v>
      </c>
      <c r="AF907" t="str">
        <f t="shared" ca="1" si="883"/>
        <v>Plot 63</v>
      </c>
    </row>
    <row r="908" spans="28:32" x14ac:dyDescent="0.25">
      <c r="AB908" t="str">
        <f t="shared" ref="AB908:AC908" si="932">AB887</f>
        <v>External Scaffolding</v>
      </c>
      <c r="AC908" t="str">
        <f t="shared" si="932"/>
        <v>Adaptions</v>
      </c>
      <c r="AD908" t="b">
        <f t="shared" ca="1" si="885"/>
        <v>1</v>
      </c>
      <c r="AE908" s="1">
        <f t="shared" ca="1" si="906"/>
        <v>63</v>
      </c>
      <c r="AF908" t="str">
        <f t="shared" ca="1" si="883"/>
        <v>Plot 63</v>
      </c>
    </row>
    <row r="909" spans="28:32" x14ac:dyDescent="0.25">
      <c r="AB909" t="str">
        <f t="shared" ref="AB909:AC909" si="933">AB888</f>
        <v>External Scaffolding</v>
      </c>
      <c r="AC909" t="str">
        <f t="shared" si="933"/>
        <v>Adaption Tower</v>
      </c>
      <c r="AD909" t="b">
        <f t="shared" ca="1" si="885"/>
        <v>1</v>
      </c>
      <c r="AE909" s="1">
        <f t="shared" ca="1" si="906"/>
        <v>63</v>
      </c>
      <c r="AF909" t="str">
        <f t="shared" ca="1" si="883"/>
        <v>Plot 63</v>
      </c>
    </row>
    <row r="910" spans="28:32" x14ac:dyDescent="0.25">
      <c r="AB910" t="str">
        <f t="shared" ref="AB910:AC910" si="934">AB889</f>
        <v>External Scaffolding</v>
      </c>
      <c r="AC910" t="str">
        <f t="shared" si="934"/>
        <v>Lift 1</v>
      </c>
      <c r="AD910" t="b">
        <f t="shared" ca="1" si="885"/>
        <v>1</v>
      </c>
      <c r="AE910" s="1">
        <f t="shared" ca="1" si="906"/>
        <v>64</v>
      </c>
      <c r="AF910" t="str">
        <f t="shared" ca="1" si="883"/>
        <v>Plot 64</v>
      </c>
    </row>
    <row r="911" spans="28:32" x14ac:dyDescent="0.25">
      <c r="AB911" t="str">
        <f t="shared" ref="AB911:AC911" si="935">AB890</f>
        <v>External Scaffolding</v>
      </c>
      <c r="AC911" t="str">
        <f t="shared" si="935"/>
        <v>Lift 2</v>
      </c>
      <c r="AD911" t="b">
        <f t="shared" ca="1" si="885"/>
        <v>1</v>
      </c>
      <c r="AE911" s="1">
        <f t="shared" ca="1" si="906"/>
        <v>64</v>
      </c>
      <c r="AF911" t="str">
        <f t="shared" ca="1" si="883"/>
        <v>Plot 64</v>
      </c>
    </row>
    <row r="912" spans="28:32" x14ac:dyDescent="0.25">
      <c r="AB912" t="str">
        <f t="shared" ref="AB912:AC912" si="936">AB891</f>
        <v>External Scaffolding</v>
      </c>
      <c r="AC912" t="str">
        <f t="shared" si="936"/>
        <v>Lift 3</v>
      </c>
      <c r="AD912" t="b">
        <f t="shared" ca="1" si="885"/>
        <v>1</v>
      </c>
      <c r="AE912" s="1">
        <f t="shared" ca="1" si="906"/>
        <v>64</v>
      </c>
      <c r="AF912" t="str">
        <f t="shared" ca="1" si="883"/>
        <v>Plot 64</v>
      </c>
    </row>
    <row r="913" spans="28:32" x14ac:dyDescent="0.25">
      <c r="AB913" t="str">
        <f t="shared" ref="AB913:AC913" si="937">AB892</f>
        <v>External Scaffolding</v>
      </c>
      <c r="AC913" t="str">
        <f t="shared" si="937"/>
        <v>Lift 4</v>
      </c>
      <c r="AD913" t="b">
        <f t="shared" ca="1" si="885"/>
        <v>1</v>
      </c>
      <c r="AE913" s="1">
        <f t="shared" ca="1" si="906"/>
        <v>64</v>
      </c>
      <c r="AF913" t="str">
        <f t="shared" ca="1" si="883"/>
        <v>Plot 64</v>
      </c>
    </row>
    <row r="914" spans="28:32" x14ac:dyDescent="0.25">
      <c r="AB914" t="str">
        <f t="shared" ref="AB914:AC914" si="938">AB893</f>
        <v>External Scaffolding</v>
      </c>
      <c r="AC914" t="str">
        <f t="shared" si="938"/>
        <v>Lift 5</v>
      </c>
      <c r="AD914" t="b">
        <f t="shared" ca="1" si="885"/>
        <v>0</v>
      </c>
      <c r="AE914" s="1">
        <f t="shared" ca="1" si="906"/>
        <v>64</v>
      </c>
      <c r="AF914" t="str">
        <f t="shared" ca="1" si="883"/>
        <v>Plot 64</v>
      </c>
    </row>
    <row r="915" spans="28:32" x14ac:dyDescent="0.25">
      <c r="AB915" t="str">
        <f t="shared" ref="AB915:AC915" si="939">AB894</f>
        <v>External Scaffolding</v>
      </c>
      <c r="AC915" t="str">
        <f t="shared" si="939"/>
        <v>Lift 6</v>
      </c>
      <c r="AD915" t="b">
        <f t="shared" ca="1" si="885"/>
        <v>0</v>
      </c>
      <c r="AE915" s="1">
        <f t="shared" ca="1" si="906"/>
        <v>64</v>
      </c>
      <c r="AF915" t="str">
        <f t="shared" ca="1" si="883"/>
        <v>Plot 64</v>
      </c>
    </row>
    <row r="916" spans="28:32" x14ac:dyDescent="0.25">
      <c r="AB916" t="str">
        <f t="shared" ref="AB916:AC916" si="940">AB895</f>
        <v>Loading Bay</v>
      </c>
      <c r="AC916" t="str">
        <f t="shared" si="940"/>
        <v>Lift 1</v>
      </c>
      <c r="AD916" t="b">
        <f t="shared" ca="1" si="885"/>
        <v>1</v>
      </c>
      <c r="AE916" s="1">
        <f t="shared" ca="1" si="906"/>
        <v>64</v>
      </c>
      <c r="AF916" t="str">
        <f t="shared" ca="1" si="883"/>
        <v>Plot 64</v>
      </c>
    </row>
    <row r="917" spans="28:32" x14ac:dyDescent="0.25">
      <c r="AB917" t="str">
        <f t="shared" ref="AB917:AC917" si="941">AB896</f>
        <v>Loading Bay</v>
      </c>
      <c r="AC917" t="str">
        <f t="shared" si="941"/>
        <v>Lift 2</v>
      </c>
      <c r="AD917" t="b">
        <f t="shared" ca="1" si="885"/>
        <v>1</v>
      </c>
      <c r="AE917" s="1">
        <f t="shared" ca="1" si="906"/>
        <v>64</v>
      </c>
      <c r="AF917" t="str">
        <f t="shared" ca="1" si="883"/>
        <v>Plot 64</v>
      </c>
    </row>
    <row r="918" spans="28:32" x14ac:dyDescent="0.25">
      <c r="AB918" t="str">
        <f t="shared" ref="AB918:AC918" si="942">AB897</f>
        <v>Loading Bay</v>
      </c>
      <c r="AC918" t="str">
        <f t="shared" si="942"/>
        <v>Lift 3</v>
      </c>
      <c r="AD918" t="b">
        <f t="shared" ca="1" si="885"/>
        <v>1</v>
      </c>
      <c r="AE918" s="1">
        <f t="shared" ca="1" si="906"/>
        <v>64</v>
      </c>
      <c r="AF918" t="str">
        <f t="shared" ca="1" si="883"/>
        <v>Plot 64</v>
      </c>
    </row>
    <row r="919" spans="28:32" x14ac:dyDescent="0.25">
      <c r="AB919" t="str">
        <f t="shared" ref="AB919:AC919" si="943">AB898</f>
        <v>Loading Bay</v>
      </c>
      <c r="AC919" t="str">
        <f t="shared" si="943"/>
        <v>Lift 4</v>
      </c>
      <c r="AD919" t="b">
        <f t="shared" ca="1" si="885"/>
        <v>1</v>
      </c>
      <c r="AE919" s="1">
        <f t="shared" ca="1" si="906"/>
        <v>64</v>
      </c>
      <c r="AF919" t="str">
        <f t="shared" ca="1" si="883"/>
        <v>Plot 64</v>
      </c>
    </row>
    <row r="920" spans="28:32" x14ac:dyDescent="0.25">
      <c r="AB920" t="str">
        <f t="shared" ref="AB920:AC920" si="944">AB899</f>
        <v>Loading Bay</v>
      </c>
      <c r="AC920" t="str">
        <f t="shared" si="944"/>
        <v>Lift 5</v>
      </c>
      <c r="AD920" t="b">
        <f t="shared" ca="1" si="885"/>
        <v>0</v>
      </c>
      <c r="AE920" s="1">
        <f t="shared" ca="1" si="906"/>
        <v>64</v>
      </c>
      <c r="AF920" t="str">
        <f t="shared" ca="1" si="883"/>
        <v>Plot 64</v>
      </c>
    </row>
    <row r="921" spans="28:32" x14ac:dyDescent="0.25">
      <c r="AB921" t="str">
        <f t="shared" ref="AB921:AC921" si="945">AB900</f>
        <v>Loading Bay</v>
      </c>
      <c r="AC921" t="str">
        <f t="shared" si="945"/>
        <v>Lift 6</v>
      </c>
      <c r="AD921" t="b">
        <f t="shared" ca="1" si="885"/>
        <v>0</v>
      </c>
      <c r="AE921" s="1">
        <f t="shared" ca="1" si="906"/>
        <v>64</v>
      </c>
      <c r="AF921" t="str">
        <f t="shared" ca="1" si="883"/>
        <v>Plot 64</v>
      </c>
    </row>
    <row r="922" spans="28:32" x14ac:dyDescent="0.25">
      <c r="AB922" t="str">
        <f t="shared" ref="AB922:AC922" si="946">AB901</f>
        <v>Scaffolding Platform</v>
      </c>
      <c r="AC922" t="str">
        <f t="shared" si="946"/>
        <v>Ground Floor</v>
      </c>
      <c r="AD922" t="b">
        <f t="shared" ca="1" si="885"/>
        <v>1</v>
      </c>
      <c r="AE922" s="1">
        <f t="shared" ca="1" si="906"/>
        <v>64</v>
      </c>
      <c r="AF922" t="str">
        <f t="shared" ca="1" si="883"/>
        <v>Plot 64</v>
      </c>
    </row>
    <row r="923" spans="28:32" x14ac:dyDescent="0.25">
      <c r="AB923" t="str">
        <f t="shared" ref="AB923:AC923" si="947">AB902</f>
        <v>Scaffolding Platform</v>
      </c>
      <c r="AC923" t="str">
        <f t="shared" si="947"/>
        <v>First Floor</v>
      </c>
      <c r="AD923" t="b">
        <f t="shared" ca="1" si="885"/>
        <v>1</v>
      </c>
      <c r="AE923" s="1">
        <f t="shared" ca="1" si="906"/>
        <v>64</v>
      </c>
      <c r="AF923" t="str">
        <f t="shared" ca="1" si="883"/>
        <v>Plot 64</v>
      </c>
    </row>
    <row r="924" spans="28:32" x14ac:dyDescent="0.25">
      <c r="AB924" t="str">
        <f t="shared" ref="AB924:AC924" si="948">AB903</f>
        <v>Scaffolding Platform</v>
      </c>
      <c r="AC924" t="str">
        <f t="shared" si="948"/>
        <v>Second Floor</v>
      </c>
      <c r="AD924" t="b">
        <f t="shared" ca="1" si="885"/>
        <v>1</v>
      </c>
      <c r="AE924" s="1">
        <f t="shared" ca="1" si="906"/>
        <v>64</v>
      </c>
      <c r="AF924" t="str">
        <f t="shared" ca="1" si="883"/>
        <v>Plot 64</v>
      </c>
    </row>
    <row r="925" spans="28:32" x14ac:dyDescent="0.25">
      <c r="AB925" t="str">
        <f t="shared" ref="AB925:AC925" si="949">AB904</f>
        <v>Supporting Scaffold</v>
      </c>
      <c r="AC925" t="str">
        <f t="shared" si="949"/>
        <v>Ground Floor Prop.</v>
      </c>
      <c r="AD925" t="str">
        <f t="shared" ca="1" si="885"/>
        <v>TRUE</v>
      </c>
      <c r="AE925" s="1">
        <f t="shared" ca="1" si="906"/>
        <v>64</v>
      </c>
      <c r="AF925" t="str">
        <f t="shared" ref="AF925:AF988" ca="1" si="950">IF(LEFT(AE925,1)="G",AE925,"Plot "&amp;AE925)</f>
        <v>Plot 64</v>
      </c>
    </row>
    <row r="926" spans="28:32" x14ac:dyDescent="0.25">
      <c r="AB926" t="str">
        <f t="shared" ref="AB926:AC926" si="951">AB905</f>
        <v>Supporting Scaffold</v>
      </c>
      <c r="AC926" t="str">
        <f t="shared" si="951"/>
        <v>First Floor Prop.</v>
      </c>
      <c r="AD926" t="str">
        <f t="shared" ref="AD926:AD989" ca="1" si="952">INDEX($AC$1:$JH$22,MATCH(AC926,$AC$1:$AC$22,0),MATCH(AE926,$AC$1:$JH$1,0))</f>
        <v>TRUE</v>
      </c>
      <c r="AE926" s="1">
        <f t="shared" ca="1" si="906"/>
        <v>64</v>
      </c>
      <c r="AF926" t="str">
        <f t="shared" ca="1" si="950"/>
        <v>Plot 64</v>
      </c>
    </row>
    <row r="927" spans="28:32" x14ac:dyDescent="0.25">
      <c r="AB927" t="str">
        <f t="shared" ref="AB927:AC927" si="953">AB906</f>
        <v>Supporting Scaffold</v>
      </c>
      <c r="AC927" t="str">
        <f t="shared" si="953"/>
        <v>Second Floor Prop.</v>
      </c>
      <c r="AD927" t="str">
        <f t="shared" ca="1" si="952"/>
        <v>FALSE</v>
      </c>
      <c r="AE927" s="1">
        <f t="shared" ca="1" si="906"/>
        <v>64</v>
      </c>
      <c r="AF927" t="str">
        <f t="shared" ca="1" si="950"/>
        <v>Plot 64</v>
      </c>
    </row>
    <row r="928" spans="28:32" x14ac:dyDescent="0.25">
      <c r="AB928" t="str">
        <f t="shared" ref="AB928:AC928" si="954">AB907</f>
        <v>External Scaffolding</v>
      </c>
      <c r="AC928" t="str">
        <f t="shared" si="954"/>
        <v>Hop-ups</v>
      </c>
      <c r="AD928" t="b">
        <f t="shared" ca="1" si="952"/>
        <v>1</v>
      </c>
      <c r="AE928" s="1">
        <f t="shared" ca="1" si="906"/>
        <v>64</v>
      </c>
      <c r="AF928" t="str">
        <f t="shared" ca="1" si="950"/>
        <v>Plot 64</v>
      </c>
    </row>
    <row r="929" spans="28:32" x14ac:dyDescent="0.25">
      <c r="AB929" t="str">
        <f t="shared" ref="AB929:AC929" si="955">AB908</f>
        <v>External Scaffolding</v>
      </c>
      <c r="AC929" t="str">
        <f t="shared" si="955"/>
        <v>Adaptions</v>
      </c>
      <c r="AD929" t="b">
        <f t="shared" ca="1" si="952"/>
        <v>1</v>
      </c>
      <c r="AE929" s="1">
        <f t="shared" ca="1" si="906"/>
        <v>64</v>
      </c>
      <c r="AF929" t="str">
        <f t="shared" ca="1" si="950"/>
        <v>Plot 64</v>
      </c>
    </row>
    <row r="930" spans="28:32" x14ac:dyDescent="0.25">
      <c r="AB930" t="str">
        <f t="shared" ref="AB930:AC930" si="956">AB909</f>
        <v>External Scaffolding</v>
      </c>
      <c r="AC930" t="str">
        <f t="shared" si="956"/>
        <v>Adaption Tower</v>
      </c>
      <c r="AD930" t="b">
        <f t="shared" ca="1" si="952"/>
        <v>1</v>
      </c>
      <c r="AE930" s="1">
        <f t="shared" ca="1" si="906"/>
        <v>64</v>
      </c>
      <c r="AF930" t="str">
        <f t="shared" ca="1" si="950"/>
        <v>Plot 64</v>
      </c>
    </row>
    <row r="931" spans="28:32" x14ac:dyDescent="0.25">
      <c r="AB931" t="str">
        <f t="shared" ref="AB931:AC931" si="957">AB910</f>
        <v>External Scaffolding</v>
      </c>
      <c r="AC931" t="str">
        <f t="shared" si="957"/>
        <v>Lift 1</v>
      </c>
      <c r="AD931" t="b">
        <f t="shared" ca="1" si="952"/>
        <v>1</v>
      </c>
      <c r="AE931" s="1">
        <f t="shared" ca="1" si="906"/>
        <v>65</v>
      </c>
      <c r="AF931" t="str">
        <f t="shared" ca="1" si="950"/>
        <v>Plot 65</v>
      </c>
    </row>
    <row r="932" spans="28:32" x14ac:dyDescent="0.25">
      <c r="AB932" t="str">
        <f t="shared" ref="AB932:AC932" si="958">AB911</f>
        <v>External Scaffolding</v>
      </c>
      <c r="AC932" t="str">
        <f t="shared" si="958"/>
        <v>Lift 2</v>
      </c>
      <c r="AD932" t="b">
        <f t="shared" ca="1" si="952"/>
        <v>1</v>
      </c>
      <c r="AE932" s="1">
        <f t="shared" ca="1" si="906"/>
        <v>65</v>
      </c>
      <c r="AF932" t="str">
        <f t="shared" ca="1" si="950"/>
        <v>Plot 65</v>
      </c>
    </row>
    <row r="933" spans="28:32" x14ac:dyDescent="0.25">
      <c r="AB933" t="str">
        <f t="shared" ref="AB933:AC933" si="959">AB912</f>
        <v>External Scaffolding</v>
      </c>
      <c r="AC933" t="str">
        <f t="shared" si="959"/>
        <v>Lift 3</v>
      </c>
      <c r="AD933" t="b">
        <f t="shared" ca="1" si="952"/>
        <v>1</v>
      </c>
      <c r="AE933" s="1">
        <f t="shared" ca="1" si="906"/>
        <v>65</v>
      </c>
      <c r="AF933" t="str">
        <f t="shared" ca="1" si="950"/>
        <v>Plot 65</v>
      </c>
    </row>
    <row r="934" spans="28:32" x14ac:dyDescent="0.25">
      <c r="AB934" t="str">
        <f t="shared" ref="AB934:AC934" si="960">AB913</f>
        <v>External Scaffolding</v>
      </c>
      <c r="AC934" t="str">
        <f t="shared" si="960"/>
        <v>Lift 4</v>
      </c>
      <c r="AD934" t="b">
        <f t="shared" ca="1" si="952"/>
        <v>0</v>
      </c>
      <c r="AE934" s="1">
        <f t="shared" ca="1" si="906"/>
        <v>65</v>
      </c>
      <c r="AF934" t="str">
        <f t="shared" ca="1" si="950"/>
        <v>Plot 65</v>
      </c>
    </row>
    <row r="935" spans="28:32" x14ac:dyDescent="0.25">
      <c r="AB935" t="str">
        <f t="shared" ref="AB935:AC935" si="961">AB914</f>
        <v>External Scaffolding</v>
      </c>
      <c r="AC935" t="str">
        <f t="shared" si="961"/>
        <v>Lift 5</v>
      </c>
      <c r="AD935" t="b">
        <f t="shared" ca="1" si="952"/>
        <v>0</v>
      </c>
      <c r="AE935" s="1">
        <f t="shared" ca="1" si="906"/>
        <v>65</v>
      </c>
      <c r="AF935" t="str">
        <f t="shared" ca="1" si="950"/>
        <v>Plot 65</v>
      </c>
    </row>
    <row r="936" spans="28:32" x14ac:dyDescent="0.25">
      <c r="AB936" t="str">
        <f t="shared" ref="AB936:AC936" si="962">AB915</f>
        <v>External Scaffolding</v>
      </c>
      <c r="AC936" t="str">
        <f t="shared" si="962"/>
        <v>Lift 6</v>
      </c>
      <c r="AD936" t="b">
        <f t="shared" ca="1" si="952"/>
        <v>0</v>
      </c>
      <c r="AE936" s="1">
        <f t="shared" ca="1" si="906"/>
        <v>65</v>
      </c>
      <c r="AF936" t="str">
        <f t="shared" ca="1" si="950"/>
        <v>Plot 65</v>
      </c>
    </row>
    <row r="937" spans="28:32" x14ac:dyDescent="0.25">
      <c r="AB937" t="str">
        <f t="shared" ref="AB937:AC937" si="963">AB916</f>
        <v>Loading Bay</v>
      </c>
      <c r="AC937" t="str">
        <f t="shared" si="963"/>
        <v>Lift 1</v>
      </c>
      <c r="AD937" t="b">
        <f t="shared" ca="1" si="952"/>
        <v>1</v>
      </c>
      <c r="AE937" s="1">
        <f t="shared" ca="1" si="906"/>
        <v>65</v>
      </c>
      <c r="AF937" t="str">
        <f t="shared" ca="1" si="950"/>
        <v>Plot 65</v>
      </c>
    </row>
    <row r="938" spans="28:32" x14ac:dyDescent="0.25">
      <c r="AB938" t="str">
        <f t="shared" ref="AB938:AC938" si="964">AB917</f>
        <v>Loading Bay</v>
      </c>
      <c r="AC938" t="str">
        <f t="shared" si="964"/>
        <v>Lift 2</v>
      </c>
      <c r="AD938" t="b">
        <f t="shared" ca="1" si="952"/>
        <v>1</v>
      </c>
      <c r="AE938" s="1">
        <f t="shared" ca="1" si="906"/>
        <v>65</v>
      </c>
      <c r="AF938" t="str">
        <f t="shared" ca="1" si="950"/>
        <v>Plot 65</v>
      </c>
    </row>
    <row r="939" spans="28:32" x14ac:dyDescent="0.25">
      <c r="AB939" t="str">
        <f t="shared" ref="AB939:AC939" si="965">AB918</f>
        <v>Loading Bay</v>
      </c>
      <c r="AC939" t="str">
        <f t="shared" si="965"/>
        <v>Lift 3</v>
      </c>
      <c r="AD939" t="b">
        <f t="shared" ca="1" si="952"/>
        <v>1</v>
      </c>
      <c r="AE939" s="1">
        <f t="shared" ca="1" si="906"/>
        <v>65</v>
      </c>
      <c r="AF939" t="str">
        <f t="shared" ca="1" si="950"/>
        <v>Plot 65</v>
      </c>
    </row>
    <row r="940" spans="28:32" x14ac:dyDescent="0.25">
      <c r="AB940" t="str">
        <f t="shared" ref="AB940:AC940" si="966">AB919</f>
        <v>Loading Bay</v>
      </c>
      <c r="AC940" t="str">
        <f t="shared" si="966"/>
        <v>Lift 4</v>
      </c>
      <c r="AD940" t="b">
        <f t="shared" ca="1" si="952"/>
        <v>0</v>
      </c>
      <c r="AE940" s="1">
        <f t="shared" ca="1" si="906"/>
        <v>65</v>
      </c>
      <c r="AF940" t="str">
        <f t="shared" ca="1" si="950"/>
        <v>Plot 65</v>
      </c>
    </row>
    <row r="941" spans="28:32" x14ac:dyDescent="0.25">
      <c r="AB941" t="str">
        <f t="shared" ref="AB941:AC941" si="967">AB920</f>
        <v>Loading Bay</v>
      </c>
      <c r="AC941" t="str">
        <f t="shared" si="967"/>
        <v>Lift 5</v>
      </c>
      <c r="AD941" t="b">
        <f t="shared" ca="1" si="952"/>
        <v>0</v>
      </c>
      <c r="AE941" s="1">
        <f t="shared" ca="1" si="906"/>
        <v>65</v>
      </c>
      <c r="AF941" t="str">
        <f t="shared" ca="1" si="950"/>
        <v>Plot 65</v>
      </c>
    </row>
    <row r="942" spans="28:32" x14ac:dyDescent="0.25">
      <c r="AB942" t="str">
        <f t="shared" ref="AB942:AC942" si="968">AB921</f>
        <v>Loading Bay</v>
      </c>
      <c r="AC942" t="str">
        <f t="shared" si="968"/>
        <v>Lift 6</v>
      </c>
      <c r="AD942" t="b">
        <f t="shared" ca="1" si="952"/>
        <v>0</v>
      </c>
      <c r="AE942" s="1">
        <f t="shared" ca="1" si="906"/>
        <v>65</v>
      </c>
      <c r="AF942" t="str">
        <f t="shared" ca="1" si="950"/>
        <v>Plot 65</v>
      </c>
    </row>
    <row r="943" spans="28:32" x14ac:dyDescent="0.25">
      <c r="AB943" t="str">
        <f t="shared" ref="AB943:AC943" si="969">AB922</f>
        <v>Scaffolding Platform</v>
      </c>
      <c r="AC943" t="str">
        <f t="shared" si="969"/>
        <v>Ground Floor</v>
      </c>
      <c r="AD943" t="b">
        <f t="shared" ca="1" si="952"/>
        <v>1</v>
      </c>
      <c r="AE943" s="1">
        <f t="shared" ca="1" si="906"/>
        <v>65</v>
      </c>
      <c r="AF943" t="str">
        <f t="shared" ca="1" si="950"/>
        <v>Plot 65</v>
      </c>
    </row>
    <row r="944" spans="28:32" x14ac:dyDescent="0.25">
      <c r="AB944" t="str">
        <f t="shared" ref="AB944:AC944" si="970">AB923</f>
        <v>Scaffolding Platform</v>
      </c>
      <c r="AC944" t="str">
        <f t="shared" si="970"/>
        <v>First Floor</v>
      </c>
      <c r="AD944" t="b">
        <f t="shared" ca="1" si="952"/>
        <v>1</v>
      </c>
      <c r="AE944" s="1">
        <f t="shared" ca="1" si="906"/>
        <v>65</v>
      </c>
      <c r="AF944" t="str">
        <f t="shared" ca="1" si="950"/>
        <v>Plot 65</v>
      </c>
    </row>
    <row r="945" spans="28:32" x14ac:dyDescent="0.25">
      <c r="AB945" t="str">
        <f t="shared" ref="AB945:AC945" si="971">AB924</f>
        <v>Scaffolding Platform</v>
      </c>
      <c r="AC945" t="str">
        <f t="shared" si="971"/>
        <v>Second Floor</v>
      </c>
      <c r="AD945" t="b">
        <f t="shared" ca="1" si="952"/>
        <v>0</v>
      </c>
      <c r="AE945" s="1">
        <f t="shared" ca="1" si="906"/>
        <v>65</v>
      </c>
      <c r="AF945" t="str">
        <f t="shared" ca="1" si="950"/>
        <v>Plot 65</v>
      </c>
    </row>
    <row r="946" spans="28:32" x14ac:dyDescent="0.25">
      <c r="AB946" t="str">
        <f t="shared" ref="AB946:AC946" si="972">AB925</f>
        <v>Supporting Scaffold</v>
      </c>
      <c r="AC946" t="str">
        <f t="shared" si="972"/>
        <v>Ground Floor Prop.</v>
      </c>
      <c r="AD946" t="str">
        <f t="shared" ca="1" si="952"/>
        <v>TRUE</v>
      </c>
      <c r="AE946" s="1">
        <f t="shared" ref="AE946:AE1009" ca="1" si="973">OFFSET($AD$1,0,FLOOR(ROW(B918)/21,1))</f>
        <v>65</v>
      </c>
      <c r="AF946" t="str">
        <f t="shared" ca="1" si="950"/>
        <v>Plot 65</v>
      </c>
    </row>
    <row r="947" spans="28:32" x14ac:dyDescent="0.25">
      <c r="AB947" t="str">
        <f t="shared" ref="AB947:AC947" si="974">AB926</f>
        <v>Supporting Scaffold</v>
      </c>
      <c r="AC947" t="str">
        <f t="shared" si="974"/>
        <v>First Floor Prop.</v>
      </c>
      <c r="AD947" t="str">
        <f t="shared" ca="1" si="952"/>
        <v>FALSE</v>
      </c>
      <c r="AE947" s="1">
        <f t="shared" ca="1" si="973"/>
        <v>65</v>
      </c>
      <c r="AF947" t="str">
        <f t="shared" ca="1" si="950"/>
        <v>Plot 65</v>
      </c>
    </row>
    <row r="948" spans="28:32" x14ac:dyDescent="0.25">
      <c r="AB948" t="str">
        <f t="shared" ref="AB948:AC948" si="975">AB927</f>
        <v>Supporting Scaffold</v>
      </c>
      <c r="AC948" t="str">
        <f t="shared" si="975"/>
        <v>Second Floor Prop.</v>
      </c>
      <c r="AD948" t="str">
        <f t="shared" ca="1" si="952"/>
        <v>FALSE</v>
      </c>
      <c r="AE948" s="1">
        <f t="shared" ca="1" si="973"/>
        <v>65</v>
      </c>
      <c r="AF948" t="str">
        <f t="shared" ca="1" si="950"/>
        <v>Plot 65</v>
      </c>
    </row>
    <row r="949" spans="28:32" x14ac:dyDescent="0.25">
      <c r="AB949" t="str">
        <f t="shared" ref="AB949:AC949" si="976">AB928</f>
        <v>External Scaffolding</v>
      </c>
      <c r="AC949" t="str">
        <f t="shared" si="976"/>
        <v>Hop-ups</v>
      </c>
      <c r="AD949" t="b">
        <f t="shared" ca="1" si="952"/>
        <v>1</v>
      </c>
      <c r="AE949" s="1">
        <f t="shared" ca="1" si="973"/>
        <v>65</v>
      </c>
      <c r="AF949" t="str">
        <f t="shared" ca="1" si="950"/>
        <v>Plot 65</v>
      </c>
    </row>
    <row r="950" spans="28:32" x14ac:dyDescent="0.25">
      <c r="AB950" t="str">
        <f t="shared" ref="AB950:AC950" si="977">AB929</f>
        <v>External Scaffolding</v>
      </c>
      <c r="AC950" t="str">
        <f t="shared" si="977"/>
        <v>Adaptions</v>
      </c>
      <c r="AD950" t="b">
        <f t="shared" ca="1" si="952"/>
        <v>1</v>
      </c>
      <c r="AE950" s="1">
        <f t="shared" ca="1" si="973"/>
        <v>65</v>
      </c>
      <c r="AF950" t="str">
        <f t="shared" ca="1" si="950"/>
        <v>Plot 65</v>
      </c>
    </row>
    <row r="951" spans="28:32" x14ac:dyDescent="0.25">
      <c r="AB951" t="str">
        <f t="shared" ref="AB951:AC951" si="978">AB930</f>
        <v>External Scaffolding</v>
      </c>
      <c r="AC951" t="str">
        <f t="shared" si="978"/>
        <v>Adaption Tower</v>
      </c>
      <c r="AD951" t="b">
        <f t="shared" ca="1" si="952"/>
        <v>1</v>
      </c>
      <c r="AE951" s="1">
        <f t="shared" ca="1" si="973"/>
        <v>65</v>
      </c>
      <c r="AF951" t="str">
        <f t="shared" ca="1" si="950"/>
        <v>Plot 65</v>
      </c>
    </row>
    <row r="952" spans="28:32" x14ac:dyDescent="0.25">
      <c r="AB952" t="str">
        <f t="shared" ref="AB952:AC952" si="979">AB931</f>
        <v>External Scaffolding</v>
      </c>
      <c r="AC952" t="str">
        <f t="shared" si="979"/>
        <v>Lift 1</v>
      </c>
      <c r="AD952" t="b">
        <f t="shared" ca="1" si="952"/>
        <v>1</v>
      </c>
      <c r="AE952" s="1">
        <f t="shared" ca="1" si="973"/>
        <v>66</v>
      </c>
      <c r="AF952" t="str">
        <f t="shared" ca="1" si="950"/>
        <v>Plot 66</v>
      </c>
    </row>
    <row r="953" spans="28:32" x14ac:dyDescent="0.25">
      <c r="AB953" t="str">
        <f t="shared" ref="AB953:AC953" si="980">AB932</f>
        <v>External Scaffolding</v>
      </c>
      <c r="AC953" t="str">
        <f t="shared" si="980"/>
        <v>Lift 2</v>
      </c>
      <c r="AD953" t="b">
        <f t="shared" ca="1" si="952"/>
        <v>1</v>
      </c>
      <c r="AE953" s="1">
        <f t="shared" ca="1" si="973"/>
        <v>66</v>
      </c>
      <c r="AF953" t="str">
        <f t="shared" ca="1" si="950"/>
        <v>Plot 66</v>
      </c>
    </row>
    <row r="954" spans="28:32" x14ac:dyDescent="0.25">
      <c r="AB954" t="str">
        <f t="shared" ref="AB954:AC954" si="981">AB933</f>
        <v>External Scaffolding</v>
      </c>
      <c r="AC954" t="str">
        <f t="shared" si="981"/>
        <v>Lift 3</v>
      </c>
      <c r="AD954" t="b">
        <f t="shared" ca="1" si="952"/>
        <v>1</v>
      </c>
      <c r="AE954" s="1">
        <f t="shared" ca="1" si="973"/>
        <v>66</v>
      </c>
      <c r="AF954" t="str">
        <f t="shared" ca="1" si="950"/>
        <v>Plot 66</v>
      </c>
    </row>
    <row r="955" spans="28:32" x14ac:dyDescent="0.25">
      <c r="AB955" t="str">
        <f t="shared" ref="AB955:AC955" si="982">AB934</f>
        <v>External Scaffolding</v>
      </c>
      <c r="AC955" t="str">
        <f t="shared" si="982"/>
        <v>Lift 4</v>
      </c>
      <c r="AD955" t="b">
        <f t="shared" ca="1" si="952"/>
        <v>0</v>
      </c>
      <c r="AE955" s="1">
        <f t="shared" ca="1" si="973"/>
        <v>66</v>
      </c>
      <c r="AF955" t="str">
        <f t="shared" ca="1" si="950"/>
        <v>Plot 66</v>
      </c>
    </row>
    <row r="956" spans="28:32" x14ac:dyDescent="0.25">
      <c r="AB956" t="str">
        <f t="shared" ref="AB956:AC956" si="983">AB935</f>
        <v>External Scaffolding</v>
      </c>
      <c r="AC956" t="str">
        <f t="shared" si="983"/>
        <v>Lift 5</v>
      </c>
      <c r="AD956" t="b">
        <f t="shared" ca="1" si="952"/>
        <v>0</v>
      </c>
      <c r="AE956" s="1">
        <f t="shared" ca="1" si="973"/>
        <v>66</v>
      </c>
      <c r="AF956" t="str">
        <f t="shared" ca="1" si="950"/>
        <v>Plot 66</v>
      </c>
    </row>
    <row r="957" spans="28:32" x14ac:dyDescent="0.25">
      <c r="AB957" t="str">
        <f t="shared" ref="AB957:AC957" si="984">AB936</f>
        <v>External Scaffolding</v>
      </c>
      <c r="AC957" t="str">
        <f t="shared" si="984"/>
        <v>Lift 6</v>
      </c>
      <c r="AD957" t="b">
        <f t="shared" ca="1" si="952"/>
        <v>0</v>
      </c>
      <c r="AE957" s="1">
        <f t="shared" ca="1" si="973"/>
        <v>66</v>
      </c>
      <c r="AF957" t="str">
        <f t="shared" ca="1" si="950"/>
        <v>Plot 66</v>
      </c>
    </row>
    <row r="958" spans="28:32" x14ac:dyDescent="0.25">
      <c r="AB958" t="str">
        <f t="shared" ref="AB958:AC958" si="985">AB937</f>
        <v>Loading Bay</v>
      </c>
      <c r="AC958" t="str">
        <f t="shared" si="985"/>
        <v>Lift 1</v>
      </c>
      <c r="AD958" t="b">
        <f t="shared" ca="1" si="952"/>
        <v>1</v>
      </c>
      <c r="AE958" s="1">
        <f t="shared" ca="1" si="973"/>
        <v>66</v>
      </c>
      <c r="AF958" t="str">
        <f t="shared" ca="1" si="950"/>
        <v>Plot 66</v>
      </c>
    </row>
    <row r="959" spans="28:32" x14ac:dyDescent="0.25">
      <c r="AB959" t="str">
        <f t="shared" ref="AB959:AC959" si="986">AB938</f>
        <v>Loading Bay</v>
      </c>
      <c r="AC959" t="str">
        <f t="shared" si="986"/>
        <v>Lift 2</v>
      </c>
      <c r="AD959" t="b">
        <f t="shared" ca="1" si="952"/>
        <v>1</v>
      </c>
      <c r="AE959" s="1">
        <f t="shared" ca="1" si="973"/>
        <v>66</v>
      </c>
      <c r="AF959" t="str">
        <f t="shared" ca="1" si="950"/>
        <v>Plot 66</v>
      </c>
    </row>
    <row r="960" spans="28:32" x14ac:dyDescent="0.25">
      <c r="AB960" t="str">
        <f t="shared" ref="AB960:AC960" si="987">AB939</f>
        <v>Loading Bay</v>
      </c>
      <c r="AC960" t="str">
        <f t="shared" si="987"/>
        <v>Lift 3</v>
      </c>
      <c r="AD960" t="b">
        <f t="shared" ca="1" si="952"/>
        <v>1</v>
      </c>
      <c r="AE960" s="1">
        <f t="shared" ca="1" si="973"/>
        <v>66</v>
      </c>
      <c r="AF960" t="str">
        <f t="shared" ca="1" si="950"/>
        <v>Plot 66</v>
      </c>
    </row>
    <row r="961" spans="28:32" x14ac:dyDescent="0.25">
      <c r="AB961" t="str">
        <f t="shared" ref="AB961:AC961" si="988">AB940</f>
        <v>Loading Bay</v>
      </c>
      <c r="AC961" t="str">
        <f t="shared" si="988"/>
        <v>Lift 4</v>
      </c>
      <c r="AD961" t="b">
        <f t="shared" ca="1" si="952"/>
        <v>0</v>
      </c>
      <c r="AE961" s="1">
        <f t="shared" ca="1" si="973"/>
        <v>66</v>
      </c>
      <c r="AF961" t="str">
        <f t="shared" ca="1" si="950"/>
        <v>Plot 66</v>
      </c>
    </row>
    <row r="962" spans="28:32" x14ac:dyDescent="0.25">
      <c r="AB962" t="str">
        <f t="shared" ref="AB962:AC962" si="989">AB941</f>
        <v>Loading Bay</v>
      </c>
      <c r="AC962" t="str">
        <f t="shared" si="989"/>
        <v>Lift 5</v>
      </c>
      <c r="AD962" t="b">
        <f t="shared" ca="1" si="952"/>
        <v>0</v>
      </c>
      <c r="AE962" s="1">
        <f t="shared" ca="1" si="973"/>
        <v>66</v>
      </c>
      <c r="AF962" t="str">
        <f t="shared" ca="1" si="950"/>
        <v>Plot 66</v>
      </c>
    </row>
    <row r="963" spans="28:32" x14ac:dyDescent="0.25">
      <c r="AB963" t="str">
        <f t="shared" ref="AB963:AC963" si="990">AB942</f>
        <v>Loading Bay</v>
      </c>
      <c r="AC963" t="str">
        <f t="shared" si="990"/>
        <v>Lift 6</v>
      </c>
      <c r="AD963" t="b">
        <f t="shared" ca="1" si="952"/>
        <v>0</v>
      </c>
      <c r="AE963" s="1">
        <f t="shared" ca="1" si="973"/>
        <v>66</v>
      </c>
      <c r="AF963" t="str">
        <f t="shared" ca="1" si="950"/>
        <v>Plot 66</v>
      </c>
    </row>
    <row r="964" spans="28:32" x14ac:dyDescent="0.25">
      <c r="AB964" t="str">
        <f t="shared" ref="AB964:AC964" si="991">AB943</f>
        <v>Scaffolding Platform</v>
      </c>
      <c r="AC964" t="str">
        <f t="shared" si="991"/>
        <v>Ground Floor</v>
      </c>
      <c r="AD964" t="b">
        <f t="shared" ca="1" si="952"/>
        <v>1</v>
      </c>
      <c r="AE964" s="1">
        <f t="shared" ca="1" si="973"/>
        <v>66</v>
      </c>
      <c r="AF964" t="str">
        <f t="shared" ca="1" si="950"/>
        <v>Plot 66</v>
      </c>
    </row>
    <row r="965" spans="28:32" x14ac:dyDescent="0.25">
      <c r="AB965" t="str">
        <f t="shared" ref="AB965:AC965" si="992">AB944</f>
        <v>Scaffolding Platform</v>
      </c>
      <c r="AC965" t="str">
        <f t="shared" si="992"/>
        <v>First Floor</v>
      </c>
      <c r="AD965" t="b">
        <f t="shared" ca="1" si="952"/>
        <v>1</v>
      </c>
      <c r="AE965" s="1">
        <f t="shared" ca="1" si="973"/>
        <v>66</v>
      </c>
      <c r="AF965" t="str">
        <f t="shared" ca="1" si="950"/>
        <v>Plot 66</v>
      </c>
    </row>
    <row r="966" spans="28:32" x14ac:dyDescent="0.25">
      <c r="AB966" t="str">
        <f t="shared" ref="AB966:AC966" si="993">AB945</f>
        <v>Scaffolding Platform</v>
      </c>
      <c r="AC966" t="str">
        <f t="shared" si="993"/>
        <v>Second Floor</v>
      </c>
      <c r="AD966" t="b">
        <f t="shared" ca="1" si="952"/>
        <v>0</v>
      </c>
      <c r="AE966" s="1">
        <f t="shared" ca="1" si="973"/>
        <v>66</v>
      </c>
      <c r="AF966" t="str">
        <f t="shared" ca="1" si="950"/>
        <v>Plot 66</v>
      </c>
    </row>
    <row r="967" spans="28:32" x14ac:dyDescent="0.25">
      <c r="AB967" t="str">
        <f t="shared" ref="AB967:AC967" si="994">AB946</f>
        <v>Supporting Scaffold</v>
      </c>
      <c r="AC967" t="str">
        <f t="shared" si="994"/>
        <v>Ground Floor Prop.</v>
      </c>
      <c r="AD967" t="str">
        <f t="shared" ca="1" si="952"/>
        <v>TRUE</v>
      </c>
      <c r="AE967" s="1">
        <f t="shared" ca="1" si="973"/>
        <v>66</v>
      </c>
      <c r="AF967" t="str">
        <f t="shared" ca="1" si="950"/>
        <v>Plot 66</v>
      </c>
    </row>
    <row r="968" spans="28:32" x14ac:dyDescent="0.25">
      <c r="AB968" t="str">
        <f t="shared" ref="AB968:AC968" si="995">AB947</f>
        <v>Supporting Scaffold</v>
      </c>
      <c r="AC968" t="str">
        <f t="shared" si="995"/>
        <v>First Floor Prop.</v>
      </c>
      <c r="AD968" t="str">
        <f t="shared" ca="1" si="952"/>
        <v>FALSE</v>
      </c>
      <c r="AE968" s="1">
        <f t="shared" ca="1" si="973"/>
        <v>66</v>
      </c>
      <c r="AF968" t="str">
        <f t="shared" ca="1" si="950"/>
        <v>Plot 66</v>
      </c>
    </row>
    <row r="969" spans="28:32" x14ac:dyDescent="0.25">
      <c r="AB969" t="str">
        <f t="shared" ref="AB969:AC969" si="996">AB948</f>
        <v>Supporting Scaffold</v>
      </c>
      <c r="AC969" t="str">
        <f t="shared" si="996"/>
        <v>Second Floor Prop.</v>
      </c>
      <c r="AD969" t="str">
        <f t="shared" ca="1" si="952"/>
        <v>FALSE</v>
      </c>
      <c r="AE969" s="1">
        <f t="shared" ca="1" si="973"/>
        <v>66</v>
      </c>
      <c r="AF969" t="str">
        <f t="shared" ca="1" si="950"/>
        <v>Plot 66</v>
      </c>
    </row>
    <row r="970" spans="28:32" x14ac:dyDescent="0.25">
      <c r="AB970" t="str">
        <f t="shared" ref="AB970:AC970" si="997">AB949</f>
        <v>External Scaffolding</v>
      </c>
      <c r="AC970" t="str">
        <f t="shared" si="997"/>
        <v>Hop-ups</v>
      </c>
      <c r="AD970" t="b">
        <f t="shared" ca="1" si="952"/>
        <v>1</v>
      </c>
      <c r="AE970" s="1">
        <f t="shared" ca="1" si="973"/>
        <v>66</v>
      </c>
      <c r="AF970" t="str">
        <f t="shared" ca="1" si="950"/>
        <v>Plot 66</v>
      </c>
    </row>
    <row r="971" spans="28:32" x14ac:dyDescent="0.25">
      <c r="AB971" t="str">
        <f t="shared" ref="AB971:AC971" si="998">AB950</f>
        <v>External Scaffolding</v>
      </c>
      <c r="AC971" t="str">
        <f t="shared" si="998"/>
        <v>Adaptions</v>
      </c>
      <c r="AD971" t="b">
        <f t="shared" ca="1" si="952"/>
        <v>1</v>
      </c>
      <c r="AE971" s="1">
        <f t="shared" ca="1" si="973"/>
        <v>66</v>
      </c>
      <c r="AF971" t="str">
        <f t="shared" ca="1" si="950"/>
        <v>Plot 66</v>
      </c>
    </row>
    <row r="972" spans="28:32" x14ac:dyDescent="0.25">
      <c r="AB972" t="str">
        <f t="shared" ref="AB972:AC972" si="999">AB951</f>
        <v>External Scaffolding</v>
      </c>
      <c r="AC972" t="str">
        <f t="shared" si="999"/>
        <v>Adaption Tower</v>
      </c>
      <c r="AD972" t="b">
        <f t="shared" ca="1" si="952"/>
        <v>1</v>
      </c>
      <c r="AE972" s="1">
        <f t="shared" ca="1" si="973"/>
        <v>66</v>
      </c>
      <c r="AF972" t="str">
        <f t="shared" ca="1" si="950"/>
        <v>Plot 66</v>
      </c>
    </row>
    <row r="973" spans="28:32" x14ac:dyDescent="0.25">
      <c r="AB973" t="str">
        <f t="shared" ref="AB973:AC973" si="1000">AB952</f>
        <v>External Scaffolding</v>
      </c>
      <c r="AC973" t="str">
        <f t="shared" si="1000"/>
        <v>Lift 1</v>
      </c>
      <c r="AD973" t="b">
        <f t="shared" ca="1" si="952"/>
        <v>1</v>
      </c>
      <c r="AE973" s="1">
        <f t="shared" ca="1" si="973"/>
        <v>67</v>
      </c>
      <c r="AF973" t="str">
        <f t="shared" ca="1" si="950"/>
        <v>Plot 67</v>
      </c>
    </row>
    <row r="974" spans="28:32" x14ac:dyDescent="0.25">
      <c r="AB974" t="str">
        <f t="shared" ref="AB974:AC974" si="1001">AB953</f>
        <v>External Scaffolding</v>
      </c>
      <c r="AC974" t="str">
        <f t="shared" si="1001"/>
        <v>Lift 2</v>
      </c>
      <c r="AD974" t="b">
        <f t="shared" ca="1" si="952"/>
        <v>1</v>
      </c>
      <c r="AE974" s="1">
        <f t="shared" ca="1" si="973"/>
        <v>67</v>
      </c>
      <c r="AF974" t="str">
        <f t="shared" ca="1" si="950"/>
        <v>Plot 67</v>
      </c>
    </row>
    <row r="975" spans="28:32" x14ac:dyDescent="0.25">
      <c r="AB975" t="str">
        <f t="shared" ref="AB975:AC975" si="1002">AB954</f>
        <v>External Scaffolding</v>
      </c>
      <c r="AC975" t="str">
        <f t="shared" si="1002"/>
        <v>Lift 3</v>
      </c>
      <c r="AD975" t="b">
        <f t="shared" ca="1" si="952"/>
        <v>1</v>
      </c>
      <c r="AE975" s="1">
        <f t="shared" ca="1" si="973"/>
        <v>67</v>
      </c>
      <c r="AF975" t="str">
        <f t="shared" ca="1" si="950"/>
        <v>Plot 67</v>
      </c>
    </row>
    <row r="976" spans="28:32" x14ac:dyDescent="0.25">
      <c r="AB976" t="str">
        <f t="shared" ref="AB976:AC976" si="1003">AB955</f>
        <v>External Scaffolding</v>
      </c>
      <c r="AC976" t="str">
        <f t="shared" si="1003"/>
        <v>Lift 4</v>
      </c>
      <c r="AD976" t="b">
        <f t="shared" ca="1" si="952"/>
        <v>0</v>
      </c>
      <c r="AE976" s="1">
        <f t="shared" ca="1" si="973"/>
        <v>67</v>
      </c>
      <c r="AF976" t="str">
        <f t="shared" ca="1" si="950"/>
        <v>Plot 67</v>
      </c>
    </row>
    <row r="977" spans="28:32" x14ac:dyDescent="0.25">
      <c r="AB977" t="str">
        <f t="shared" ref="AB977:AC977" si="1004">AB956</f>
        <v>External Scaffolding</v>
      </c>
      <c r="AC977" t="str">
        <f t="shared" si="1004"/>
        <v>Lift 5</v>
      </c>
      <c r="AD977" t="b">
        <f t="shared" ca="1" si="952"/>
        <v>0</v>
      </c>
      <c r="AE977" s="1">
        <f t="shared" ca="1" si="973"/>
        <v>67</v>
      </c>
      <c r="AF977" t="str">
        <f t="shared" ca="1" si="950"/>
        <v>Plot 67</v>
      </c>
    </row>
    <row r="978" spans="28:32" x14ac:dyDescent="0.25">
      <c r="AB978" t="str">
        <f t="shared" ref="AB978:AC978" si="1005">AB957</f>
        <v>External Scaffolding</v>
      </c>
      <c r="AC978" t="str">
        <f t="shared" si="1005"/>
        <v>Lift 6</v>
      </c>
      <c r="AD978" t="b">
        <f t="shared" ca="1" si="952"/>
        <v>0</v>
      </c>
      <c r="AE978" s="1">
        <f t="shared" ca="1" si="973"/>
        <v>67</v>
      </c>
      <c r="AF978" t="str">
        <f t="shared" ca="1" si="950"/>
        <v>Plot 67</v>
      </c>
    </row>
    <row r="979" spans="28:32" x14ac:dyDescent="0.25">
      <c r="AB979" t="str">
        <f t="shared" ref="AB979:AC979" si="1006">AB958</f>
        <v>Loading Bay</v>
      </c>
      <c r="AC979" t="str">
        <f t="shared" si="1006"/>
        <v>Lift 1</v>
      </c>
      <c r="AD979" t="b">
        <f t="shared" ca="1" si="952"/>
        <v>1</v>
      </c>
      <c r="AE979" s="1">
        <f t="shared" ca="1" si="973"/>
        <v>67</v>
      </c>
      <c r="AF979" t="str">
        <f t="shared" ca="1" si="950"/>
        <v>Plot 67</v>
      </c>
    </row>
    <row r="980" spans="28:32" x14ac:dyDescent="0.25">
      <c r="AB980" t="str">
        <f t="shared" ref="AB980:AC980" si="1007">AB959</f>
        <v>Loading Bay</v>
      </c>
      <c r="AC980" t="str">
        <f t="shared" si="1007"/>
        <v>Lift 2</v>
      </c>
      <c r="AD980" t="b">
        <f t="shared" ca="1" si="952"/>
        <v>1</v>
      </c>
      <c r="AE980" s="1">
        <f t="shared" ca="1" si="973"/>
        <v>67</v>
      </c>
      <c r="AF980" t="str">
        <f t="shared" ca="1" si="950"/>
        <v>Plot 67</v>
      </c>
    </row>
    <row r="981" spans="28:32" x14ac:dyDescent="0.25">
      <c r="AB981" t="str">
        <f t="shared" ref="AB981:AC981" si="1008">AB960</f>
        <v>Loading Bay</v>
      </c>
      <c r="AC981" t="str">
        <f t="shared" si="1008"/>
        <v>Lift 3</v>
      </c>
      <c r="AD981" t="b">
        <f t="shared" ca="1" si="952"/>
        <v>1</v>
      </c>
      <c r="AE981" s="1">
        <f t="shared" ca="1" si="973"/>
        <v>67</v>
      </c>
      <c r="AF981" t="str">
        <f t="shared" ca="1" si="950"/>
        <v>Plot 67</v>
      </c>
    </row>
    <row r="982" spans="28:32" x14ac:dyDescent="0.25">
      <c r="AB982" t="str">
        <f t="shared" ref="AB982:AC982" si="1009">AB961</f>
        <v>Loading Bay</v>
      </c>
      <c r="AC982" t="str">
        <f t="shared" si="1009"/>
        <v>Lift 4</v>
      </c>
      <c r="AD982" t="b">
        <f t="shared" ca="1" si="952"/>
        <v>0</v>
      </c>
      <c r="AE982" s="1">
        <f t="shared" ca="1" si="973"/>
        <v>67</v>
      </c>
      <c r="AF982" t="str">
        <f t="shared" ca="1" si="950"/>
        <v>Plot 67</v>
      </c>
    </row>
    <row r="983" spans="28:32" x14ac:dyDescent="0.25">
      <c r="AB983" t="str">
        <f t="shared" ref="AB983:AC983" si="1010">AB962</f>
        <v>Loading Bay</v>
      </c>
      <c r="AC983" t="str">
        <f t="shared" si="1010"/>
        <v>Lift 5</v>
      </c>
      <c r="AD983" t="b">
        <f t="shared" ca="1" si="952"/>
        <v>0</v>
      </c>
      <c r="AE983" s="1">
        <f t="shared" ca="1" si="973"/>
        <v>67</v>
      </c>
      <c r="AF983" t="str">
        <f t="shared" ca="1" si="950"/>
        <v>Plot 67</v>
      </c>
    </row>
    <row r="984" spans="28:32" x14ac:dyDescent="0.25">
      <c r="AB984" t="str">
        <f t="shared" ref="AB984:AC984" si="1011">AB963</f>
        <v>Loading Bay</v>
      </c>
      <c r="AC984" t="str">
        <f t="shared" si="1011"/>
        <v>Lift 6</v>
      </c>
      <c r="AD984" t="b">
        <f t="shared" ca="1" si="952"/>
        <v>0</v>
      </c>
      <c r="AE984" s="1">
        <f t="shared" ca="1" si="973"/>
        <v>67</v>
      </c>
      <c r="AF984" t="str">
        <f t="shared" ca="1" si="950"/>
        <v>Plot 67</v>
      </c>
    </row>
    <row r="985" spans="28:32" x14ac:dyDescent="0.25">
      <c r="AB985" t="str">
        <f t="shared" ref="AB985:AC985" si="1012">AB964</f>
        <v>Scaffolding Platform</v>
      </c>
      <c r="AC985" t="str">
        <f t="shared" si="1012"/>
        <v>Ground Floor</v>
      </c>
      <c r="AD985" t="b">
        <f t="shared" ca="1" si="952"/>
        <v>1</v>
      </c>
      <c r="AE985" s="1">
        <f t="shared" ca="1" si="973"/>
        <v>67</v>
      </c>
      <c r="AF985" t="str">
        <f t="shared" ca="1" si="950"/>
        <v>Plot 67</v>
      </c>
    </row>
    <row r="986" spans="28:32" x14ac:dyDescent="0.25">
      <c r="AB986" t="str">
        <f t="shared" ref="AB986:AC986" si="1013">AB965</f>
        <v>Scaffolding Platform</v>
      </c>
      <c r="AC986" t="str">
        <f t="shared" si="1013"/>
        <v>First Floor</v>
      </c>
      <c r="AD986" t="b">
        <f t="shared" ca="1" si="952"/>
        <v>1</v>
      </c>
      <c r="AE986" s="1">
        <f t="shared" ca="1" si="973"/>
        <v>67</v>
      </c>
      <c r="AF986" t="str">
        <f t="shared" ca="1" si="950"/>
        <v>Plot 67</v>
      </c>
    </row>
    <row r="987" spans="28:32" x14ac:dyDescent="0.25">
      <c r="AB987" t="str">
        <f t="shared" ref="AB987:AC987" si="1014">AB966</f>
        <v>Scaffolding Platform</v>
      </c>
      <c r="AC987" t="str">
        <f t="shared" si="1014"/>
        <v>Second Floor</v>
      </c>
      <c r="AD987" t="b">
        <f t="shared" ca="1" si="952"/>
        <v>0</v>
      </c>
      <c r="AE987" s="1">
        <f t="shared" ca="1" si="973"/>
        <v>67</v>
      </c>
      <c r="AF987" t="str">
        <f t="shared" ca="1" si="950"/>
        <v>Plot 67</v>
      </c>
    </row>
    <row r="988" spans="28:32" x14ac:dyDescent="0.25">
      <c r="AB988" t="str">
        <f t="shared" ref="AB988:AC988" si="1015">AB967</f>
        <v>Supporting Scaffold</v>
      </c>
      <c r="AC988" t="str">
        <f t="shared" si="1015"/>
        <v>Ground Floor Prop.</v>
      </c>
      <c r="AD988" t="str">
        <f t="shared" ca="1" si="952"/>
        <v>TRUE</v>
      </c>
      <c r="AE988" s="1">
        <f t="shared" ca="1" si="973"/>
        <v>67</v>
      </c>
      <c r="AF988" t="str">
        <f t="shared" ca="1" si="950"/>
        <v>Plot 67</v>
      </c>
    </row>
    <row r="989" spans="28:32" x14ac:dyDescent="0.25">
      <c r="AB989" t="str">
        <f t="shared" ref="AB989:AC989" si="1016">AB968</f>
        <v>Supporting Scaffold</v>
      </c>
      <c r="AC989" t="str">
        <f t="shared" si="1016"/>
        <v>First Floor Prop.</v>
      </c>
      <c r="AD989" t="str">
        <f t="shared" ca="1" si="952"/>
        <v>FALSE</v>
      </c>
      <c r="AE989" s="1">
        <f t="shared" ca="1" si="973"/>
        <v>67</v>
      </c>
      <c r="AF989" t="str">
        <f t="shared" ref="AF989:AF1052" ca="1" si="1017">IF(LEFT(AE989,1)="G",AE989,"Plot "&amp;AE989)</f>
        <v>Plot 67</v>
      </c>
    </row>
    <row r="990" spans="28:32" x14ac:dyDescent="0.25">
      <c r="AB990" t="str">
        <f t="shared" ref="AB990:AC990" si="1018">AB969</f>
        <v>Supporting Scaffold</v>
      </c>
      <c r="AC990" t="str">
        <f t="shared" si="1018"/>
        <v>Second Floor Prop.</v>
      </c>
      <c r="AD990" t="str">
        <f t="shared" ref="AD990:AD1053" ca="1" si="1019">INDEX($AC$1:$JH$22,MATCH(AC990,$AC$1:$AC$22,0),MATCH(AE990,$AC$1:$JH$1,0))</f>
        <v>FALSE</v>
      </c>
      <c r="AE990" s="1">
        <f t="shared" ca="1" si="973"/>
        <v>67</v>
      </c>
      <c r="AF990" t="str">
        <f t="shared" ca="1" si="1017"/>
        <v>Plot 67</v>
      </c>
    </row>
    <row r="991" spans="28:32" x14ac:dyDescent="0.25">
      <c r="AB991" t="str">
        <f t="shared" ref="AB991:AC991" si="1020">AB970</f>
        <v>External Scaffolding</v>
      </c>
      <c r="AC991" t="str">
        <f t="shared" si="1020"/>
        <v>Hop-ups</v>
      </c>
      <c r="AD991" t="b">
        <f t="shared" ca="1" si="1019"/>
        <v>1</v>
      </c>
      <c r="AE991" s="1">
        <f t="shared" ca="1" si="973"/>
        <v>67</v>
      </c>
      <c r="AF991" t="str">
        <f t="shared" ca="1" si="1017"/>
        <v>Plot 67</v>
      </c>
    </row>
    <row r="992" spans="28:32" x14ac:dyDescent="0.25">
      <c r="AB992" t="str">
        <f t="shared" ref="AB992:AC992" si="1021">AB971</f>
        <v>External Scaffolding</v>
      </c>
      <c r="AC992" t="str">
        <f t="shared" si="1021"/>
        <v>Adaptions</v>
      </c>
      <c r="AD992" t="b">
        <f t="shared" ca="1" si="1019"/>
        <v>1</v>
      </c>
      <c r="AE992" s="1">
        <f t="shared" ca="1" si="973"/>
        <v>67</v>
      </c>
      <c r="AF992" t="str">
        <f t="shared" ca="1" si="1017"/>
        <v>Plot 67</v>
      </c>
    </row>
    <row r="993" spans="28:32" x14ac:dyDescent="0.25">
      <c r="AB993" t="str">
        <f t="shared" ref="AB993:AC993" si="1022">AB972</f>
        <v>External Scaffolding</v>
      </c>
      <c r="AC993" t="str">
        <f t="shared" si="1022"/>
        <v>Adaption Tower</v>
      </c>
      <c r="AD993" t="b">
        <f t="shared" ca="1" si="1019"/>
        <v>1</v>
      </c>
      <c r="AE993" s="1">
        <f t="shared" ca="1" si="973"/>
        <v>67</v>
      </c>
      <c r="AF993" t="str">
        <f t="shared" ca="1" si="1017"/>
        <v>Plot 67</v>
      </c>
    </row>
    <row r="994" spans="28:32" x14ac:dyDescent="0.25">
      <c r="AB994" t="str">
        <f t="shared" ref="AB994:AC994" si="1023">AB973</f>
        <v>External Scaffolding</v>
      </c>
      <c r="AC994" t="str">
        <f t="shared" si="1023"/>
        <v>Lift 1</v>
      </c>
      <c r="AD994" t="b">
        <f t="shared" ca="1" si="1019"/>
        <v>1</v>
      </c>
      <c r="AE994" s="1">
        <f t="shared" ca="1" si="973"/>
        <v>68</v>
      </c>
      <c r="AF994" t="str">
        <f t="shared" ca="1" si="1017"/>
        <v>Plot 68</v>
      </c>
    </row>
    <row r="995" spans="28:32" x14ac:dyDescent="0.25">
      <c r="AB995" t="str">
        <f t="shared" ref="AB995:AC995" si="1024">AB974</f>
        <v>External Scaffolding</v>
      </c>
      <c r="AC995" t="str">
        <f t="shared" si="1024"/>
        <v>Lift 2</v>
      </c>
      <c r="AD995" t="b">
        <f t="shared" ca="1" si="1019"/>
        <v>1</v>
      </c>
      <c r="AE995" s="1">
        <f t="shared" ca="1" si="973"/>
        <v>68</v>
      </c>
      <c r="AF995" t="str">
        <f t="shared" ca="1" si="1017"/>
        <v>Plot 68</v>
      </c>
    </row>
    <row r="996" spans="28:32" x14ac:dyDescent="0.25">
      <c r="AB996" t="str">
        <f t="shared" ref="AB996:AC996" si="1025">AB975</f>
        <v>External Scaffolding</v>
      </c>
      <c r="AC996" t="str">
        <f t="shared" si="1025"/>
        <v>Lift 3</v>
      </c>
      <c r="AD996" t="b">
        <f t="shared" ca="1" si="1019"/>
        <v>1</v>
      </c>
      <c r="AE996" s="1">
        <f t="shared" ca="1" si="973"/>
        <v>68</v>
      </c>
      <c r="AF996" t="str">
        <f t="shared" ca="1" si="1017"/>
        <v>Plot 68</v>
      </c>
    </row>
    <row r="997" spans="28:32" x14ac:dyDescent="0.25">
      <c r="AB997" t="str">
        <f t="shared" ref="AB997:AC997" si="1026">AB976</f>
        <v>External Scaffolding</v>
      </c>
      <c r="AC997" t="str">
        <f t="shared" si="1026"/>
        <v>Lift 4</v>
      </c>
      <c r="AD997" t="b">
        <f t="shared" ca="1" si="1019"/>
        <v>1</v>
      </c>
      <c r="AE997" s="1">
        <f t="shared" ca="1" si="973"/>
        <v>68</v>
      </c>
      <c r="AF997" t="str">
        <f t="shared" ca="1" si="1017"/>
        <v>Plot 68</v>
      </c>
    </row>
    <row r="998" spans="28:32" x14ac:dyDescent="0.25">
      <c r="AB998" t="str">
        <f t="shared" ref="AB998:AC998" si="1027">AB977</f>
        <v>External Scaffolding</v>
      </c>
      <c r="AC998" t="str">
        <f t="shared" si="1027"/>
        <v>Lift 5</v>
      </c>
      <c r="AD998" t="b">
        <f t="shared" ca="1" si="1019"/>
        <v>0</v>
      </c>
      <c r="AE998" s="1">
        <f t="shared" ca="1" si="973"/>
        <v>68</v>
      </c>
      <c r="AF998" t="str">
        <f t="shared" ca="1" si="1017"/>
        <v>Plot 68</v>
      </c>
    </row>
    <row r="999" spans="28:32" x14ac:dyDescent="0.25">
      <c r="AB999" t="str">
        <f t="shared" ref="AB999:AC999" si="1028">AB978</f>
        <v>External Scaffolding</v>
      </c>
      <c r="AC999" t="str">
        <f t="shared" si="1028"/>
        <v>Lift 6</v>
      </c>
      <c r="AD999" t="b">
        <f t="shared" ca="1" si="1019"/>
        <v>0</v>
      </c>
      <c r="AE999" s="1">
        <f t="shared" ca="1" si="973"/>
        <v>68</v>
      </c>
      <c r="AF999" t="str">
        <f t="shared" ca="1" si="1017"/>
        <v>Plot 68</v>
      </c>
    </row>
    <row r="1000" spans="28:32" x14ac:dyDescent="0.25">
      <c r="AB1000" t="str">
        <f t="shared" ref="AB1000:AC1000" si="1029">AB979</f>
        <v>Loading Bay</v>
      </c>
      <c r="AC1000" t="str">
        <f t="shared" si="1029"/>
        <v>Lift 1</v>
      </c>
      <c r="AD1000" t="b">
        <f t="shared" ca="1" si="1019"/>
        <v>1</v>
      </c>
      <c r="AE1000" s="1">
        <f t="shared" ca="1" si="973"/>
        <v>68</v>
      </c>
      <c r="AF1000" t="str">
        <f t="shared" ca="1" si="1017"/>
        <v>Plot 68</v>
      </c>
    </row>
    <row r="1001" spans="28:32" x14ac:dyDescent="0.25">
      <c r="AB1001" t="str">
        <f t="shared" ref="AB1001:AC1001" si="1030">AB980</f>
        <v>Loading Bay</v>
      </c>
      <c r="AC1001" t="str">
        <f t="shared" si="1030"/>
        <v>Lift 2</v>
      </c>
      <c r="AD1001" t="b">
        <f t="shared" ca="1" si="1019"/>
        <v>1</v>
      </c>
      <c r="AE1001" s="1">
        <f t="shared" ca="1" si="973"/>
        <v>68</v>
      </c>
      <c r="AF1001" t="str">
        <f t="shared" ca="1" si="1017"/>
        <v>Plot 68</v>
      </c>
    </row>
    <row r="1002" spans="28:32" x14ac:dyDescent="0.25">
      <c r="AB1002" t="str">
        <f t="shared" ref="AB1002:AC1002" si="1031">AB981</f>
        <v>Loading Bay</v>
      </c>
      <c r="AC1002" t="str">
        <f t="shared" si="1031"/>
        <v>Lift 3</v>
      </c>
      <c r="AD1002" t="b">
        <f t="shared" ca="1" si="1019"/>
        <v>1</v>
      </c>
      <c r="AE1002" s="1">
        <f t="shared" ca="1" si="973"/>
        <v>68</v>
      </c>
      <c r="AF1002" t="str">
        <f t="shared" ca="1" si="1017"/>
        <v>Plot 68</v>
      </c>
    </row>
    <row r="1003" spans="28:32" x14ac:dyDescent="0.25">
      <c r="AB1003" t="str">
        <f t="shared" ref="AB1003:AC1003" si="1032">AB982</f>
        <v>Loading Bay</v>
      </c>
      <c r="AC1003" t="str">
        <f t="shared" si="1032"/>
        <v>Lift 4</v>
      </c>
      <c r="AD1003" t="b">
        <f t="shared" ca="1" si="1019"/>
        <v>1</v>
      </c>
      <c r="AE1003" s="1">
        <f t="shared" ca="1" si="973"/>
        <v>68</v>
      </c>
      <c r="AF1003" t="str">
        <f t="shared" ca="1" si="1017"/>
        <v>Plot 68</v>
      </c>
    </row>
    <row r="1004" spans="28:32" x14ac:dyDescent="0.25">
      <c r="AB1004" t="str">
        <f t="shared" ref="AB1004:AC1004" si="1033">AB983</f>
        <v>Loading Bay</v>
      </c>
      <c r="AC1004" t="str">
        <f t="shared" si="1033"/>
        <v>Lift 5</v>
      </c>
      <c r="AD1004" t="b">
        <f t="shared" ca="1" si="1019"/>
        <v>0</v>
      </c>
      <c r="AE1004" s="1">
        <f t="shared" ca="1" si="973"/>
        <v>68</v>
      </c>
      <c r="AF1004" t="str">
        <f t="shared" ca="1" si="1017"/>
        <v>Plot 68</v>
      </c>
    </row>
    <row r="1005" spans="28:32" x14ac:dyDescent="0.25">
      <c r="AB1005" t="str">
        <f t="shared" ref="AB1005:AC1005" si="1034">AB984</f>
        <v>Loading Bay</v>
      </c>
      <c r="AC1005" t="str">
        <f t="shared" si="1034"/>
        <v>Lift 6</v>
      </c>
      <c r="AD1005" t="b">
        <f t="shared" ca="1" si="1019"/>
        <v>0</v>
      </c>
      <c r="AE1005" s="1">
        <f t="shared" ca="1" si="973"/>
        <v>68</v>
      </c>
      <c r="AF1005" t="str">
        <f t="shared" ca="1" si="1017"/>
        <v>Plot 68</v>
      </c>
    </row>
    <row r="1006" spans="28:32" x14ac:dyDescent="0.25">
      <c r="AB1006" t="str">
        <f t="shared" ref="AB1006:AC1006" si="1035">AB985</f>
        <v>Scaffolding Platform</v>
      </c>
      <c r="AC1006" t="str">
        <f t="shared" si="1035"/>
        <v>Ground Floor</v>
      </c>
      <c r="AD1006" t="b">
        <f t="shared" ca="1" si="1019"/>
        <v>1</v>
      </c>
      <c r="AE1006" s="1">
        <f t="shared" ca="1" si="973"/>
        <v>68</v>
      </c>
      <c r="AF1006" t="str">
        <f t="shared" ca="1" si="1017"/>
        <v>Plot 68</v>
      </c>
    </row>
    <row r="1007" spans="28:32" x14ac:dyDescent="0.25">
      <c r="AB1007" t="str">
        <f t="shared" ref="AB1007:AC1007" si="1036">AB986</f>
        <v>Scaffolding Platform</v>
      </c>
      <c r="AC1007" t="str">
        <f t="shared" si="1036"/>
        <v>First Floor</v>
      </c>
      <c r="AD1007" t="b">
        <f t="shared" ca="1" si="1019"/>
        <v>1</v>
      </c>
      <c r="AE1007" s="1">
        <f t="shared" ca="1" si="973"/>
        <v>68</v>
      </c>
      <c r="AF1007" t="str">
        <f t="shared" ca="1" si="1017"/>
        <v>Plot 68</v>
      </c>
    </row>
    <row r="1008" spans="28:32" x14ac:dyDescent="0.25">
      <c r="AB1008" t="str">
        <f t="shared" ref="AB1008:AC1008" si="1037">AB987</f>
        <v>Scaffolding Platform</v>
      </c>
      <c r="AC1008" t="str">
        <f t="shared" si="1037"/>
        <v>Second Floor</v>
      </c>
      <c r="AD1008" t="b">
        <f t="shared" ca="1" si="1019"/>
        <v>1</v>
      </c>
      <c r="AE1008" s="1">
        <f t="shared" ca="1" si="973"/>
        <v>68</v>
      </c>
      <c r="AF1008" t="str">
        <f t="shared" ca="1" si="1017"/>
        <v>Plot 68</v>
      </c>
    </row>
    <row r="1009" spans="28:32" x14ac:dyDescent="0.25">
      <c r="AB1009" t="str">
        <f t="shared" ref="AB1009:AC1009" si="1038">AB988</f>
        <v>Supporting Scaffold</v>
      </c>
      <c r="AC1009" t="str">
        <f t="shared" si="1038"/>
        <v>Ground Floor Prop.</v>
      </c>
      <c r="AD1009" t="str">
        <f t="shared" ca="1" si="1019"/>
        <v>TRUE</v>
      </c>
      <c r="AE1009" s="1">
        <f t="shared" ca="1" si="973"/>
        <v>68</v>
      </c>
      <c r="AF1009" t="str">
        <f t="shared" ca="1" si="1017"/>
        <v>Plot 68</v>
      </c>
    </row>
    <row r="1010" spans="28:32" x14ac:dyDescent="0.25">
      <c r="AB1010" t="str">
        <f t="shared" ref="AB1010:AC1010" si="1039">AB989</f>
        <v>Supporting Scaffold</v>
      </c>
      <c r="AC1010" t="str">
        <f t="shared" si="1039"/>
        <v>First Floor Prop.</v>
      </c>
      <c r="AD1010" t="str">
        <f t="shared" ca="1" si="1019"/>
        <v>TRUE</v>
      </c>
      <c r="AE1010" s="1">
        <f t="shared" ref="AE1010:AE1073" ca="1" si="1040">OFFSET($AD$1,0,FLOOR(ROW(B982)/21,1))</f>
        <v>68</v>
      </c>
      <c r="AF1010" t="str">
        <f t="shared" ca="1" si="1017"/>
        <v>Plot 68</v>
      </c>
    </row>
    <row r="1011" spans="28:32" x14ac:dyDescent="0.25">
      <c r="AB1011" t="str">
        <f t="shared" ref="AB1011:AC1011" si="1041">AB990</f>
        <v>Supporting Scaffold</v>
      </c>
      <c r="AC1011" t="str">
        <f t="shared" si="1041"/>
        <v>Second Floor Prop.</v>
      </c>
      <c r="AD1011" t="str">
        <f t="shared" ca="1" si="1019"/>
        <v>FALSE</v>
      </c>
      <c r="AE1011" s="1">
        <f t="shared" ca="1" si="1040"/>
        <v>68</v>
      </c>
      <c r="AF1011" t="str">
        <f t="shared" ca="1" si="1017"/>
        <v>Plot 68</v>
      </c>
    </row>
    <row r="1012" spans="28:32" x14ac:dyDescent="0.25">
      <c r="AB1012" t="str">
        <f t="shared" ref="AB1012:AC1012" si="1042">AB991</f>
        <v>External Scaffolding</v>
      </c>
      <c r="AC1012" t="str">
        <f t="shared" si="1042"/>
        <v>Hop-ups</v>
      </c>
      <c r="AD1012" t="b">
        <f t="shared" ca="1" si="1019"/>
        <v>1</v>
      </c>
      <c r="AE1012" s="1">
        <f t="shared" ca="1" si="1040"/>
        <v>68</v>
      </c>
      <c r="AF1012" t="str">
        <f t="shared" ca="1" si="1017"/>
        <v>Plot 68</v>
      </c>
    </row>
    <row r="1013" spans="28:32" x14ac:dyDescent="0.25">
      <c r="AB1013" t="str">
        <f t="shared" ref="AB1013:AC1013" si="1043">AB992</f>
        <v>External Scaffolding</v>
      </c>
      <c r="AC1013" t="str">
        <f t="shared" si="1043"/>
        <v>Adaptions</v>
      </c>
      <c r="AD1013" t="b">
        <f t="shared" ca="1" si="1019"/>
        <v>1</v>
      </c>
      <c r="AE1013" s="1">
        <f t="shared" ca="1" si="1040"/>
        <v>68</v>
      </c>
      <c r="AF1013" t="str">
        <f t="shared" ca="1" si="1017"/>
        <v>Plot 68</v>
      </c>
    </row>
    <row r="1014" spans="28:32" x14ac:dyDescent="0.25">
      <c r="AB1014" t="str">
        <f t="shared" ref="AB1014:AC1014" si="1044">AB993</f>
        <v>External Scaffolding</v>
      </c>
      <c r="AC1014" t="str">
        <f t="shared" si="1044"/>
        <v>Adaption Tower</v>
      </c>
      <c r="AD1014" t="b">
        <f t="shared" ca="1" si="1019"/>
        <v>1</v>
      </c>
      <c r="AE1014" s="1">
        <f t="shared" ca="1" si="1040"/>
        <v>68</v>
      </c>
      <c r="AF1014" t="str">
        <f t="shared" ca="1" si="1017"/>
        <v>Plot 68</v>
      </c>
    </row>
    <row r="1015" spans="28:32" x14ac:dyDescent="0.25">
      <c r="AB1015" t="str">
        <f t="shared" ref="AB1015:AC1015" si="1045">AB994</f>
        <v>External Scaffolding</v>
      </c>
      <c r="AC1015" t="str">
        <f t="shared" si="1045"/>
        <v>Lift 1</v>
      </c>
      <c r="AD1015" t="b">
        <f t="shared" ca="1" si="1019"/>
        <v>1</v>
      </c>
      <c r="AE1015" s="1">
        <f t="shared" ca="1" si="1040"/>
        <v>69</v>
      </c>
      <c r="AF1015" t="str">
        <f t="shared" ca="1" si="1017"/>
        <v>Plot 69</v>
      </c>
    </row>
    <row r="1016" spans="28:32" x14ac:dyDescent="0.25">
      <c r="AB1016" t="str">
        <f t="shared" ref="AB1016:AC1016" si="1046">AB995</f>
        <v>External Scaffolding</v>
      </c>
      <c r="AC1016" t="str">
        <f t="shared" si="1046"/>
        <v>Lift 2</v>
      </c>
      <c r="AD1016" t="b">
        <f t="shared" ca="1" si="1019"/>
        <v>1</v>
      </c>
      <c r="AE1016" s="1">
        <f t="shared" ca="1" si="1040"/>
        <v>69</v>
      </c>
      <c r="AF1016" t="str">
        <f t="shared" ca="1" si="1017"/>
        <v>Plot 69</v>
      </c>
    </row>
    <row r="1017" spans="28:32" x14ac:dyDescent="0.25">
      <c r="AB1017" t="str">
        <f t="shared" ref="AB1017:AC1017" si="1047">AB996</f>
        <v>External Scaffolding</v>
      </c>
      <c r="AC1017" t="str">
        <f t="shared" si="1047"/>
        <v>Lift 3</v>
      </c>
      <c r="AD1017" t="b">
        <f t="shared" ca="1" si="1019"/>
        <v>1</v>
      </c>
      <c r="AE1017" s="1">
        <f t="shared" ca="1" si="1040"/>
        <v>69</v>
      </c>
      <c r="AF1017" t="str">
        <f t="shared" ca="1" si="1017"/>
        <v>Plot 69</v>
      </c>
    </row>
    <row r="1018" spans="28:32" x14ac:dyDescent="0.25">
      <c r="AB1018" t="str">
        <f t="shared" ref="AB1018:AC1018" si="1048">AB997</f>
        <v>External Scaffolding</v>
      </c>
      <c r="AC1018" t="str">
        <f t="shared" si="1048"/>
        <v>Lift 4</v>
      </c>
      <c r="AD1018" t="b">
        <f t="shared" ca="1" si="1019"/>
        <v>0</v>
      </c>
      <c r="AE1018" s="1">
        <f t="shared" ca="1" si="1040"/>
        <v>69</v>
      </c>
      <c r="AF1018" t="str">
        <f t="shared" ca="1" si="1017"/>
        <v>Plot 69</v>
      </c>
    </row>
    <row r="1019" spans="28:32" x14ac:dyDescent="0.25">
      <c r="AB1019" t="str">
        <f t="shared" ref="AB1019:AC1019" si="1049">AB998</f>
        <v>External Scaffolding</v>
      </c>
      <c r="AC1019" t="str">
        <f t="shared" si="1049"/>
        <v>Lift 5</v>
      </c>
      <c r="AD1019" t="b">
        <f t="shared" ca="1" si="1019"/>
        <v>0</v>
      </c>
      <c r="AE1019" s="1">
        <f t="shared" ca="1" si="1040"/>
        <v>69</v>
      </c>
      <c r="AF1019" t="str">
        <f t="shared" ca="1" si="1017"/>
        <v>Plot 69</v>
      </c>
    </row>
    <row r="1020" spans="28:32" x14ac:dyDescent="0.25">
      <c r="AB1020" t="str">
        <f t="shared" ref="AB1020:AC1020" si="1050">AB999</f>
        <v>External Scaffolding</v>
      </c>
      <c r="AC1020" t="str">
        <f t="shared" si="1050"/>
        <v>Lift 6</v>
      </c>
      <c r="AD1020" t="b">
        <f t="shared" ca="1" si="1019"/>
        <v>0</v>
      </c>
      <c r="AE1020" s="1">
        <f t="shared" ca="1" si="1040"/>
        <v>69</v>
      </c>
      <c r="AF1020" t="str">
        <f t="shared" ca="1" si="1017"/>
        <v>Plot 69</v>
      </c>
    </row>
    <row r="1021" spans="28:32" x14ac:dyDescent="0.25">
      <c r="AB1021" t="str">
        <f t="shared" ref="AB1021:AC1021" si="1051">AB1000</f>
        <v>Loading Bay</v>
      </c>
      <c r="AC1021" t="str">
        <f t="shared" si="1051"/>
        <v>Lift 1</v>
      </c>
      <c r="AD1021" t="b">
        <f t="shared" ca="1" si="1019"/>
        <v>1</v>
      </c>
      <c r="AE1021" s="1">
        <f t="shared" ca="1" si="1040"/>
        <v>69</v>
      </c>
      <c r="AF1021" t="str">
        <f t="shared" ca="1" si="1017"/>
        <v>Plot 69</v>
      </c>
    </row>
    <row r="1022" spans="28:32" x14ac:dyDescent="0.25">
      <c r="AB1022" t="str">
        <f t="shared" ref="AB1022:AC1022" si="1052">AB1001</f>
        <v>Loading Bay</v>
      </c>
      <c r="AC1022" t="str">
        <f t="shared" si="1052"/>
        <v>Lift 2</v>
      </c>
      <c r="AD1022" t="b">
        <f t="shared" ca="1" si="1019"/>
        <v>1</v>
      </c>
      <c r="AE1022" s="1">
        <f t="shared" ca="1" si="1040"/>
        <v>69</v>
      </c>
      <c r="AF1022" t="str">
        <f t="shared" ca="1" si="1017"/>
        <v>Plot 69</v>
      </c>
    </row>
    <row r="1023" spans="28:32" x14ac:dyDescent="0.25">
      <c r="AB1023" t="str">
        <f t="shared" ref="AB1023:AC1023" si="1053">AB1002</f>
        <v>Loading Bay</v>
      </c>
      <c r="AC1023" t="str">
        <f t="shared" si="1053"/>
        <v>Lift 3</v>
      </c>
      <c r="AD1023" t="b">
        <f t="shared" ca="1" si="1019"/>
        <v>1</v>
      </c>
      <c r="AE1023" s="1">
        <f t="shared" ca="1" si="1040"/>
        <v>69</v>
      </c>
      <c r="AF1023" t="str">
        <f t="shared" ca="1" si="1017"/>
        <v>Plot 69</v>
      </c>
    </row>
    <row r="1024" spans="28:32" x14ac:dyDescent="0.25">
      <c r="AB1024" t="str">
        <f t="shared" ref="AB1024:AC1024" si="1054">AB1003</f>
        <v>Loading Bay</v>
      </c>
      <c r="AC1024" t="str">
        <f t="shared" si="1054"/>
        <v>Lift 4</v>
      </c>
      <c r="AD1024" t="b">
        <f t="shared" ca="1" si="1019"/>
        <v>0</v>
      </c>
      <c r="AE1024" s="1">
        <f t="shared" ca="1" si="1040"/>
        <v>69</v>
      </c>
      <c r="AF1024" t="str">
        <f t="shared" ca="1" si="1017"/>
        <v>Plot 69</v>
      </c>
    </row>
    <row r="1025" spans="28:32" x14ac:dyDescent="0.25">
      <c r="AB1025" t="str">
        <f t="shared" ref="AB1025:AC1025" si="1055">AB1004</f>
        <v>Loading Bay</v>
      </c>
      <c r="AC1025" t="str">
        <f t="shared" si="1055"/>
        <v>Lift 5</v>
      </c>
      <c r="AD1025" t="b">
        <f t="shared" ca="1" si="1019"/>
        <v>0</v>
      </c>
      <c r="AE1025" s="1">
        <f t="shared" ca="1" si="1040"/>
        <v>69</v>
      </c>
      <c r="AF1025" t="str">
        <f t="shared" ca="1" si="1017"/>
        <v>Plot 69</v>
      </c>
    </row>
    <row r="1026" spans="28:32" x14ac:dyDescent="0.25">
      <c r="AB1026" t="str">
        <f t="shared" ref="AB1026:AC1026" si="1056">AB1005</f>
        <v>Loading Bay</v>
      </c>
      <c r="AC1026" t="str">
        <f t="shared" si="1056"/>
        <v>Lift 6</v>
      </c>
      <c r="AD1026" t="b">
        <f t="shared" ca="1" si="1019"/>
        <v>0</v>
      </c>
      <c r="AE1026" s="1">
        <f t="shared" ca="1" si="1040"/>
        <v>69</v>
      </c>
      <c r="AF1026" t="str">
        <f t="shared" ca="1" si="1017"/>
        <v>Plot 69</v>
      </c>
    </row>
    <row r="1027" spans="28:32" x14ac:dyDescent="0.25">
      <c r="AB1027" t="str">
        <f t="shared" ref="AB1027:AC1027" si="1057">AB1006</f>
        <v>Scaffolding Platform</v>
      </c>
      <c r="AC1027" t="str">
        <f t="shared" si="1057"/>
        <v>Ground Floor</v>
      </c>
      <c r="AD1027" t="b">
        <f t="shared" ca="1" si="1019"/>
        <v>1</v>
      </c>
      <c r="AE1027" s="1">
        <f t="shared" ca="1" si="1040"/>
        <v>69</v>
      </c>
      <c r="AF1027" t="str">
        <f t="shared" ca="1" si="1017"/>
        <v>Plot 69</v>
      </c>
    </row>
    <row r="1028" spans="28:32" x14ac:dyDescent="0.25">
      <c r="AB1028" t="str">
        <f t="shared" ref="AB1028:AC1028" si="1058">AB1007</f>
        <v>Scaffolding Platform</v>
      </c>
      <c r="AC1028" t="str">
        <f t="shared" si="1058"/>
        <v>First Floor</v>
      </c>
      <c r="AD1028" t="b">
        <f t="shared" ca="1" si="1019"/>
        <v>1</v>
      </c>
      <c r="AE1028" s="1">
        <f t="shared" ca="1" si="1040"/>
        <v>69</v>
      </c>
      <c r="AF1028" t="str">
        <f t="shared" ca="1" si="1017"/>
        <v>Plot 69</v>
      </c>
    </row>
    <row r="1029" spans="28:32" x14ac:dyDescent="0.25">
      <c r="AB1029" t="str">
        <f t="shared" ref="AB1029:AC1029" si="1059">AB1008</f>
        <v>Scaffolding Platform</v>
      </c>
      <c r="AC1029" t="str">
        <f t="shared" si="1059"/>
        <v>Second Floor</v>
      </c>
      <c r="AD1029" t="b">
        <f t="shared" ca="1" si="1019"/>
        <v>0</v>
      </c>
      <c r="AE1029" s="1">
        <f t="shared" ca="1" si="1040"/>
        <v>69</v>
      </c>
      <c r="AF1029" t="str">
        <f t="shared" ca="1" si="1017"/>
        <v>Plot 69</v>
      </c>
    </row>
    <row r="1030" spans="28:32" x14ac:dyDescent="0.25">
      <c r="AB1030" t="str">
        <f t="shared" ref="AB1030:AC1030" si="1060">AB1009</f>
        <v>Supporting Scaffold</v>
      </c>
      <c r="AC1030" t="str">
        <f t="shared" si="1060"/>
        <v>Ground Floor Prop.</v>
      </c>
      <c r="AD1030" t="str">
        <f t="shared" ca="1" si="1019"/>
        <v>TRUE</v>
      </c>
      <c r="AE1030" s="1">
        <f t="shared" ca="1" si="1040"/>
        <v>69</v>
      </c>
      <c r="AF1030" t="str">
        <f t="shared" ca="1" si="1017"/>
        <v>Plot 69</v>
      </c>
    </row>
    <row r="1031" spans="28:32" x14ac:dyDescent="0.25">
      <c r="AB1031" t="str">
        <f t="shared" ref="AB1031:AC1031" si="1061">AB1010</f>
        <v>Supporting Scaffold</v>
      </c>
      <c r="AC1031" t="str">
        <f t="shared" si="1061"/>
        <v>First Floor Prop.</v>
      </c>
      <c r="AD1031" t="str">
        <f t="shared" ca="1" si="1019"/>
        <v>FALSE</v>
      </c>
      <c r="AE1031" s="1">
        <f t="shared" ca="1" si="1040"/>
        <v>69</v>
      </c>
      <c r="AF1031" t="str">
        <f t="shared" ca="1" si="1017"/>
        <v>Plot 69</v>
      </c>
    </row>
    <row r="1032" spans="28:32" x14ac:dyDescent="0.25">
      <c r="AB1032" t="str">
        <f t="shared" ref="AB1032:AC1032" si="1062">AB1011</f>
        <v>Supporting Scaffold</v>
      </c>
      <c r="AC1032" t="str">
        <f t="shared" si="1062"/>
        <v>Second Floor Prop.</v>
      </c>
      <c r="AD1032" t="str">
        <f t="shared" ca="1" si="1019"/>
        <v>FALSE</v>
      </c>
      <c r="AE1032" s="1">
        <f t="shared" ca="1" si="1040"/>
        <v>69</v>
      </c>
      <c r="AF1032" t="str">
        <f t="shared" ca="1" si="1017"/>
        <v>Plot 69</v>
      </c>
    </row>
    <row r="1033" spans="28:32" x14ac:dyDescent="0.25">
      <c r="AB1033" t="str">
        <f t="shared" ref="AB1033:AC1033" si="1063">AB1012</f>
        <v>External Scaffolding</v>
      </c>
      <c r="AC1033" t="str">
        <f t="shared" si="1063"/>
        <v>Hop-ups</v>
      </c>
      <c r="AD1033" t="b">
        <f t="shared" ca="1" si="1019"/>
        <v>1</v>
      </c>
      <c r="AE1033" s="1">
        <f t="shared" ca="1" si="1040"/>
        <v>69</v>
      </c>
      <c r="AF1033" t="str">
        <f t="shared" ca="1" si="1017"/>
        <v>Plot 69</v>
      </c>
    </row>
    <row r="1034" spans="28:32" x14ac:dyDescent="0.25">
      <c r="AB1034" t="str">
        <f t="shared" ref="AB1034:AC1034" si="1064">AB1013</f>
        <v>External Scaffolding</v>
      </c>
      <c r="AC1034" t="str">
        <f t="shared" si="1064"/>
        <v>Adaptions</v>
      </c>
      <c r="AD1034" t="b">
        <f t="shared" ca="1" si="1019"/>
        <v>1</v>
      </c>
      <c r="AE1034" s="1">
        <f t="shared" ca="1" si="1040"/>
        <v>69</v>
      </c>
      <c r="AF1034" t="str">
        <f t="shared" ca="1" si="1017"/>
        <v>Plot 69</v>
      </c>
    </row>
    <row r="1035" spans="28:32" x14ac:dyDescent="0.25">
      <c r="AB1035" t="str">
        <f t="shared" ref="AB1035:AC1035" si="1065">AB1014</f>
        <v>External Scaffolding</v>
      </c>
      <c r="AC1035" t="str">
        <f t="shared" si="1065"/>
        <v>Adaption Tower</v>
      </c>
      <c r="AD1035" t="b">
        <f t="shared" ca="1" si="1019"/>
        <v>1</v>
      </c>
      <c r="AE1035" s="1">
        <f t="shared" ca="1" si="1040"/>
        <v>69</v>
      </c>
      <c r="AF1035" t="str">
        <f t="shared" ca="1" si="1017"/>
        <v>Plot 69</v>
      </c>
    </row>
    <row r="1036" spans="28:32" x14ac:dyDescent="0.25">
      <c r="AB1036" t="str">
        <f t="shared" ref="AB1036:AC1036" si="1066">AB1015</f>
        <v>External Scaffolding</v>
      </c>
      <c r="AC1036" t="str">
        <f t="shared" si="1066"/>
        <v>Lift 1</v>
      </c>
      <c r="AD1036" t="b">
        <f t="shared" ca="1" si="1019"/>
        <v>1</v>
      </c>
      <c r="AE1036" s="1">
        <f t="shared" ca="1" si="1040"/>
        <v>70</v>
      </c>
      <c r="AF1036" t="str">
        <f t="shared" ca="1" si="1017"/>
        <v>Plot 70</v>
      </c>
    </row>
    <row r="1037" spans="28:32" x14ac:dyDescent="0.25">
      <c r="AB1037" t="str">
        <f t="shared" ref="AB1037:AC1037" si="1067">AB1016</f>
        <v>External Scaffolding</v>
      </c>
      <c r="AC1037" t="str">
        <f t="shared" si="1067"/>
        <v>Lift 2</v>
      </c>
      <c r="AD1037" t="b">
        <f t="shared" ca="1" si="1019"/>
        <v>1</v>
      </c>
      <c r="AE1037" s="1">
        <f t="shared" ca="1" si="1040"/>
        <v>70</v>
      </c>
      <c r="AF1037" t="str">
        <f t="shared" ca="1" si="1017"/>
        <v>Plot 70</v>
      </c>
    </row>
    <row r="1038" spans="28:32" x14ac:dyDescent="0.25">
      <c r="AB1038" t="str">
        <f t="shared" ref="AB1038:AC1038" si="1068">AB1017</f>
        <v>External Scaffolding</v>
      </c>
      <c r="AC1038" t="str">
        <f t="shared" si="1068"/>
        <v>Lift 3</v>
      </c>
      <c r="AD1038" t="b">
        <f t="shared" ca="1" si="1019"/>
        <v>1</v>
      </c>
      <c r="AE1038" s="1">
        <f t="shared" ca="1" si="1040"/>
        <v>70</v>
      </c>
      <c r="AF1038" t="str">
        <f t="shared" ca="1" si="1017"/>
        <v>Plot 70</v>
      </c>
    </row>
    <row r="1039" spans="28:32" x14ac:dyDescent="0.25">
      <c r="AB1039" t="str">
        <f t="shared" ref="AB1039:AC1039" si="1069">AB1018</f>
        <v>External Scaffolding</v>
      </c>
      <c r="AC1039" t="str">
        <f t="shared" si="1069"/>
        <v>Lift 4</v>
      </c>
      <c r="AD1039" t="b">
        <f t="shared" ca="1" si="1019"/>
        <v>1</v>
      </c>
      <c r="AE1039" s="1">
        <f t="shared" ca="1" si="1040"/>
        <v>70</v>
      </c>
      <c r="AF1039" t="str">
        <f t="shared" ca="1" si="1017"/>
        <v>Plot 70</v>
      </c>
    </row>
    <row r="1040" spans="28:32" x14ac:dyDescent="0.25">
      <c r="AB1040" t="str">
        <f t="shared" ref="AB1040:AC1040" si="1070">AB1019</f>
        <v>External Scaffolding</v>
      </c>
      <c r="AC1040" t="str">
        <f t="shared" si="1070"/>
        <v>Lift 5</v>
      </c>
      <c r="AD1040" t="b">
        <f t="shared" ca="1" si="1019"/>
        <v>0</v>
      </c>
      <c r="AE1040" s="1">
        <f t="shared" ca="1" si="1040"/>
        <v>70</v>
      </c>
      <c r="AF1040" t="str">
        <f t="shared" ca="1" si="1017"/>
        <v>Plot 70</v>
      </c>
    </row>
    <row r="1041" spans="28:32" x14ac:dyDescent="0.25">
      <c r="AB1041" t="str">
        <f t="shared" ref="AB1041:AC1041" si="1071">AB1020</f>
        <v>External Scaffolding</v>
      </c>
      <c r="AC1041" t="str">
        <f t="shared" si="1071"/>
        <v>Lift 6</v>
      </c>
      <c r="AD1041" t="b">
        <f t="shared" ca="1" si="1019"/>
        <v>0</v>
      </c>
      <c r="AE1041" s="1">
        <f t="shared" ca="1" si="1040"/>
        <v>70</v>
      </c>
      <c r="AF1041" t="str">
        <f t="shared" ca="1" si="1017"/>
        <v>Plot 70</v>
      </c>
    </row>
    <row r="1042" spans="28:32" x14ac:dyDescent="0.25">
      <c r="AB1042" t="str">
        <f t="shared" ref="AB1042:AC1042" si="1072">AB1021</f>
        <v>Loading Bay</v>
      </c>
      <c r="AC1042" t="str">
        <f t="shared" si="1072"/>
        <v>Lift 1</v>
      </c>
      <c r="AD1042" t="b">
        <f t="shared" ca="1" si="1019"/>
        <v>1</v>
      </c>
      <c r="AE1042" s="1">
        <f t="shared" ca="1" si="1040"/>
        <v>70</v>
      </c>
      <c r="AF1042" t="str">
        <f t="shared" ca="1" si="1017"/>
        <v>Plot 70</v>
      </c>
    </row>
    <row r="1043" spans="28:32" x14ac:dyDescent="0.25">
      <c r="AB1043" t="str">
        <f t="shared" ref="AB1043:AC1043" si="1073">AB1022</f>
        <v>Loading Bay</v>
      </c>
      <c r="AC1043" t="str">
        <f t="shared" si="1073"/>
        <v>Lift 2</v>
      </c>
      <c r="AD1043" t="b">
        <f t="shared" ca="1" si="1019"/>
        <v>1</v>
      </c>
      <c r="AE1043" s="1">
        <f t="shared" ca="1" si="1040"/>
        <v>70</v>
      </c>
      <c r="AF1043" t="str">
        <f t="shared" ca="1" si="1017"/>
        <v>Plot 70</v>
      </c>
    </row>
    <row r="1044" spans="28:32" x14ac:dyDescent="0.25">
      <c r="AB1044" t="str">
        <f t="shared" ref="AB1044:AC1044" si="1074">AB1023</f>
        <v>Loading Bay</v>
      </c>
      <c r="AC1044" t="str">
        <f t="shared" si="1074"/>
        <v>Lift 3</v>
      </c>
      <c r="AD1044" t="b">
        <f t="shared" ca="1" si="1019"/>
        <v>1</v>
      </c>
      <c r="AE1044" s="1">
        <f t="shared" ca="1" si="1040"/>
        <v>70</v>
      </c>
      <c r="AF1044" t="str">
        <f t="shared" ca="1" si="1017"/>
        <v>Plot 70</v>
      </c>
    </row>
    <row r="1045" spans="28:32" x14ac:dyDescent="0.25">
      <c r="AB1045" t="str">
        <f t="shared" ref="AB1045:AC1045" si="1075">AB1024</f>
        <v>Loading Bay</v>
      </c>
      <c r="AC1045" t="str">
        <f t="shared" si="1075"/>
        <v>Lift 4</v>
      </c>
      <c r="AD1045" t="b">
        <f t="shared" ca="1" si="1019"/>
        <v>1</v>
      </c>
      <c r="AE1045" s="1">
        <f t="shared" ca="1" si="1040"/>
        <v>70</v>
      </c>
      <c r="AF1045" t="str">
        <f t="shared" ca="1" si="1017"/>
        <v>Plot 70</v>
      </c>
    </row>
    <row r="1046" spans="28:32" x14ac:dyDescent="0.25">
      <c r="AB1046" t="str">
        <f t="shared" ref="AB1046:AC1046" si="1076">AB1025</f>
        <v>Loading Bay</v>
      </c>
      <c r="AC1046" t="str">
        <f t="shared" si="1076"/>
        <v>Lift 5</v>
      </c>
      <c r="AD1046" t="b">
        <f t="shared" ca="1" si="1019"/>
        <v>0</v>
      </c>
      <c r="AE1046" s="1">
        <f t="shared" ca="1" si="1040"/>
        <v>70</v>
      </c>
      <c r="AF1046" t="str">
        <f t="shared" ca="1" si="1017"/>
        <v>Plot 70</v>
      </c>
    </row>
    <row r="1047" spans="28:32" x14ac:dyDescent="0.25">
      <c r="AB1047" t="str">
        <f t="shared" ref="AB1047:AC1047" si="1077">AB1026</f>
        <v>Loading Bay</v>
      </c>
      <c r="AC1047" t="str">
        <f t="shared" si="1077"/>
        <v>Lift 6</v>
      </c>
      <c r="AD1047" t="b">
        <f t="shared" ca="1" si="1019"/>
        <v>0</v>
      </c>
      <c r="AE1047" s="1">
        <f t="shared" ca="1" si="1040"/>
        <v>70</v>
      </c>
      <c r="AF1047" t="str">
        <f t="shared" ca="1" si="1017"/>
        <v>Plot 70</v>
      </c>
    </row>
    <row r="1048" spans="28:32" x14ac:dyDescent="0.25">
      <c r="AB1048" t="str">
        <f t="shared" ref="AB1048:AC1048" si="1078">AB1027</f>
        <v>Scaffolding Platform</v>
      </c>
      <c r="AC1048" t="str">
        <f t="shared" si="1078"/>
        <v>Ground Floor</v>
      </c>
      <c r="AD1048" t="b">
        <f t="shared" ca="1" si="1019"/>
        <v>1</v>
      </c>
      <c r="AE1048" s="1">
        <f t="shared" ca="1" si="1040"/>
        <v>70</v>
      </c>
      <c r="AF1048" t="str">
        <f t="shared" ca="1" si="1017"/>
        <v>Plot 70</v>
      </c>
    </row>
    <row r="1049" spans="28:32" x14ac:dyDescent="0.25">
      <c r="AB1049" t="str">
        <f t="shared" ref="AB1049:AC1049" si="1079">AB1028</f>
        <v>Scaffolding Platform</v>
      </c>
      <c r="AC1049" t="str">
        <f t="shared" si="1079"/>
        <v>First Floor</v>
      </c>
      <c r="AD1049" t="b">
        <f t="shared" ca="1" si="1019"/>
        <v>1</v>
      </c>
      <c r="AE1049" s="1">
        <f t="shared" ca="1" si="1040"/>
        <v>70</v>
      </c>
      <c r="AF1049" t="str">
        <f t="shared" ca="1" si="1017"/>
        <v>Plot 70</v>
      </c>
    </row>
    <row r="1050" spans="28:32" x14ac:dyDescent="0.25">
      <c r="AB1050" t="str">
        <f t="shared" ref="AB1050:AC1050" si="1080">AB1029</f>
        <v>Scaffolding Platform</v>
      </c>
      <c r="AC1050" t="str">
        <f t="shared" si="1080"/>
        <v>Second Floor</v>
      </c>
      <c r="AD1050" t="b">
        <f t="shared" ca="1" si="1019"/>
        <v>1</v>
      </c>
      <c r="AE1050" s="1">
        <f t="shared" ca="1" si="1040"/>
        <v>70</v>
      </c>
      <c r="AF1050" t="str">
        <f t="shared" ca="1" si="1017"/>
        <v>Plot 70</v>
      </c>
    </row>
    <row r="1051" spans="28:32" x14ac:dyDescent="0.25">
      <c r="AB1051" t="str">
        <f t="shared" ref="AB1051:AC1051" si="1081">AB1030</f>
        <v>Supporting Scaffold</v>
      </c>
      <c r="AC1051" t="str">
        <f t="shared" si="1081"/>
        <v>Ground Floor Prop.</v>
      </c>
      <c r="AD1051" t="str">
        <f t="shared" ca="1" si="1019"/>
        <v>TRUE</v>
      </c>
      <c r="AE1051" s="1">
        <f t="shared" ca="1" si="1040"/>
        <v>70</v>
      </c>
      <c r="AF1051" t="str">
        <f t="shared" ca="1" si="1017"/>
        <v>Plot 70</v>
      </c>
    </row>
    <row r="1052" spans="28:32" x14ac:dyDescent="0.25">
      <c r="AB1052" t="str">
        <f t="shared" ref="AB1052:AC1052" si="1082">AB1031</f>
        <v>Supporting Scaffold</v>
      </c>
      <c r="AC1052" t="str">
        <f t="shared" si="1082"/>
        <v>First Floor Prop.</v>
      </c>
      <c r="AD1052" t="str">
        <f t="shared" ca="1" si="1019"/>
        <v>TRUE</v>
      </c>
      <c r="AE1052" s="1">
        <f t="shared" ca="1" si="1040"/>
        <v>70</v>
      </c>
      <c r="AF1052" t="str">
        <f t="shared" ca="1" si="1017"/>
        <v>Plot 70</v>
      </c>
    </row>
    <row r="1053" spans="28:32" x14ac:dyDescent="0.25">
      <c r="AB1053" t="str">
        <f t="shared" ref="AB1053:AC1053" si="1083">AB1032</f>
        <v>Supporting Scaffold</v>
      </c>
      <c r="AC1053" t="str">
        <f t="shared" si="1083"/>
        <v>Second Floor Prop.</v>
      </c>
      <c r="AD1053" t="str">
        <f t="shared" ca="1" si="1019"/>
        <v>FALSE</v>
      </c>
      <c r="AE1053" s="1">
        <f t="shared" ca="1" si="1040"/>
        <v>70</v>
      </c>
      <c r="AF1053" t="str">
        <f t="shared" ref="AF1053:AF1116" ca="1" si="1084">IF(LEFT(AE1053,1)="G",AE1053,"Plot "&amp;AE1053)</f>
        <v>Plot 70</v>
      </c>
    </row>
    <row r="1054" spans="28:32" x14ac:dyDescent="0.25">
      <c r="AB1054" t="str">
        <f t="shared" ref="AB1054:AC1054" si="1085">AB1033</f>
        <v>External Scaffolding</v>
      </c>
      <c r="AC1054" t="str">
        <f t="shared" si="1085"/>
        <v>Hop-ups</v>
      </c>
      <c r="AD1054" t="b">
        <f t="shared" ref="AD1054:AD1117" ca="1" si="1086">INDEX($AC$1:$JH$22,MATCH(AC1054,$AC$1:$AC$22,0),MATCH(AE1054,$AC$1:$JH$1,0))</f>
        <v>1</v>
      </c>
      <c r="AE1054" s="1">
        <f t="shared" ca="1" si="1040"/>
        <v>70</v>
      </c>
      <c r="AF1054" t="str">
        <f t="shared" ca="1" si="1084"/>
        <v>Plot 70</v>
      </c>
    </row>
    <row r="1055" spans="28:32" x14ac:dyDescent="0.25">
      <c r="AB1055" t="str">
        <f t="shared" ref="AB1055:AC1055" si="1087">AB1034</f>
        <v>External Scaffolding</v>
      </c>
      <c r="AC1055" t="str">
        <f t="shared" si="1087"/>
        <v>Adaptions</v>
      </c>
      <c r="AD1055" t="b">
        <f t="shared" ca="1" si="1086"/>
        <v>1</v>
      </c>
      <c r="AE1055" s="1">
        <f t="shared" ca="1" si="1040"/>
        <v>70</v>
      </c>
      <c r="AF1055" t="str">
        <f t="shared" ca="1" si="1084"/>
        <v>Plot 70</v>
      </c>
    </row>
    <row r="1056" spans="28:32" x14ac:dyDescent="0.25">
      <c r="AB1056" t="str">
        <f t="shared" ref="AB1056:AC1056" si="1088">AB1035</f>
        <v>External Scaffolding</v>
      </c>
      <c r="AC1056" t="str">
        <f t="shared" si="1088"/>
        <v>Adaption Tower</v>
      </c>
      <c r="AD1056" t="b">
        <f t="shared" ca="1" si="1086"/>
        <v>1</v>
      </c>
      <c r="AE1056" s="1">
        <f t="shared" ca="1" si="1040"/>
        <v>70</v>
      </c>
      <c r="AF1056" t="str">
        <f t="shared" ca="1" si="1084"/>
        <v>Plot 70</v>
      </c>
    </row>
    <row r="1057" spans="28:32" x14ac:dyDescent="0.25">
      <c r="AB1057" t="str">
        <f t="shared" ref="AB1057:AC1057" si="1089">AB1036</f>
        <v>External Scaffolding</v>
      </c>
      <c r="AC1057" t="str">
        <f t="shared" si="1089"/>
        <v>Lift 1</v>
      </c>
      <c r="AD1057" t="b">
        <f t="shared" ca="1" si="1086"/>
        <v>1</v>
      </c>
      <c r="AE1057" s="1">
        <f t="shared" ca="1" si="1040"/>
        <v>71</v>
      </c>
      <c r="AF1057" t="str">
        <f t="shared" ca="1" si="1084"/>
        <v>Plot 71</v>
      </c>
    </row>
    <row r="1058" spans="28:32" x14ac:dyDescent="0.25">
      <c r="AB1058" t="str">
        <f t="shared" ref="AB1058:AC1058" si="1090">AB1037</f>
        <v>External Scaffolding</v>
      </c>
      <c r="AC1058" t="str">
        <f t="shared" si="1090"/>
        <v>Lift 2</v>
      </c>
      <c r="AD1058" t="b">
        <f t="shared" ca="1" si="1086"/>
        <v>1</v>
      </c>
      <c r="AE1058" s="1">
        <f t="shared" ca="1" si="1040"/>
        <v>71</v>
      </c>
      <c r="AF1058" t="str">
        <f t="shared" ca="1" si="1084"/>
        <v>Plot 71</v>
      </c>
    </row>
    <row r="1059" spans="28:32" x14ac:dyDescent="0.25">
      <c r="AB1059" t="str">
        <f t="shared" ref="AB1059:AC1059" si="1091">AB1038</f>
        <v>External Scaffolding</v>
      </c>
      <c r="AC1059" t="str">
        <f t="shared" si="1091"/>
        <v>Lift 3</v>
      </c>
      <c r="AD1059" t="b">
        <f t="shared" ca="1" si="1086"/>
        <v>1</v>
      </c>
      <c r="AE1059" s="1">
        <f t="shared" ca="1" si="1040"/>
        <v>71</v>
      </c>
      <c r="AF1059" t="str">
        <f t="shared" ca="1" si="1084"/>
        <v>Plot 71</v>
      </c>
    </row>
    <row r="1060" spans="28:32" x14ac:dyDescent="0.25">
      <c r="AB1060" t="str">
        <f t="shared" ref="AB1060:AC1060" si="1092">AB1039</f>
        <v>External Scaffolding</v>
      </c>
      <c r="AC1060" t="str">
        <f t="shared" si="1092"/>
        <v>Lift 4</v>
      </c>
      <c r="AD1060" t="b">
        <f t="shared" ca="1" si="1086"/>
        <v>1</v>
      </c>
      <c r="AE1060" s="1">
        <f t="shared" ca="1" si="1040"/>
        <v>71</v>
      </c>
      <c r="AF1060" t="str">
        <f t="shared" ca="1" si="1084"/>
        <v>Plot 71</v>
      </c>
    </row>
    <row r="1061" spans="28:32" x14ac:dyDescent="0.25">
      <c r="AB1061" t="str">
        <f t="shared" ref="AB1061:AC1061" si="1093">AB1040</f>
        <v>External Scaffolding</v>
      </c>
      <c r="AC1061" t="str">
        <f t="shared" si="1093"/>
        <v>Lift 5</v>
      </c>
      <c r="AD1061" t="b">
        <f t="shared" ca="1" si="1086"/>
        <v>0</v>
      </c>
      <c r="AE1061" s="1">
        <f t="shared" ca="1" si="1040"/>
        <v>71</v>
      </c>
      <c r="AF1061" t="str">
        <f t="shared" ca="1" si="1084"/>
        <v>Plot 71</v>
      </c>
    </row>
    <row r="1062" spans="28:32" x14ac:dyDescent="0.25">
      <c r="AB1062" t="str">
        <f t="shared" ref="AB1062:AC1062" si="1094">AB1041</f>
        <v>External Scaffolding</v>
      </c>
      <c r="AC1062" t="str">
        <f t="shared" si="1094"/>
        <v>Lift 6</v>
      </c>
      <c r="AD1062" t="b">
        <f t="shared" ca="1" si="1086"/>
        <v>0</v>
      </c>
      <c r="AE1062" s="1">
        <f t="shared" ca="1" si="1040"/>
        <v>71</v>
      </c>
      <c r="AF1062" t="str">
        <f t="shared" ca="1" si="1084"/>
        <v>Plot 71</v>
      </c>
    </row>
    <row r="1063" spans="28:32" x14ac:dyDescent="0.25">
      <c r="AB1063" t="str">
        <f t="shared" ref="AB1063:AC1063" si="1095">AB1042</f>
        <v>Loading Bay</v>
      </c>
      <c r="AC1063" t="str">
        <f t="shared" si="1095"/>
        <v>Lift 1</v>
      </c>
      <c r="AD1063" t="b">
        <f t="shared" ca="1" si="1086"/>
        <v>1</v>
      </c>
      <c r="AE1063" s="1">
        <f t="shared" ca="1" si="1040"/>
        <v>71</v>
      </c>
      <c r="AF1063" t="str">
        <f t="shared" ca="1" si="1084"/>
        <v>Plot 71</v>
      </c>
    </row>
    <row r="1064" spans="28:32" x14ac:dyDescent="0.25">
      <c r="AB1064" t="str">
        <f t="shared" ref="AB1064:AC1064" si="1096">AB1043</f>
        <v>Loading Bay</v>
      </c>
      <c r="AC1064" t="str">
        <f t="shared" si="1096"/>
        <v>Lift 2</v>
      </c>
      <c r="AD1064" t="b">
        <f t="shared" ca="1" si="1086"/>
        <v>1</v>
      </c>
      <c r="AE1064" s="1">
        <f t="shared" ca="1" si="1040"/>
        <v>71</v>
      </c>
      <c r="AF1064" t="str">
        <f t="shared" ca="1" si="1084"/>
        <v>Plot 71</v>
      </c>
    </row>
    <row r="1065" spans="28:32" x14ac:dyDescent="0.25">
      <c r="AB1065" t="str">
        <f t="shared" ref="AB1065:AC1065" si="1097">AB1044</f>
        <v>Loading Bay</v>
      </c>
      <c r="AC1065" t="str">
        <f t="shared" si="1097"/>
        <v>Lift 3</v>
      </c>
      <c r="AD1065" t="b">
        <f t="shared" ca="1" si="1086"/>
        <v>1</v>
      </c>
      <c r="AE1065" s="1">
        <f t="shared" ca="1" si="1040"/>
        <v>71</v>
      </c>
      <c r="AF1065" t="str">
        <f t="shared" ca="1" si="1084"/>
        <v>Plot 71</v>
      </c>
    </row>
    <row r="1066" spans="28:32" x14ac:dyDescent="0.25">
      <c r="AB1066" t="str">
        <f t="shared" ref="AB1066:AC1066" si="1098">AB1045</f>
        <v>Loading Bay</v>
      </c>
      <c r="AC1066" t="str">
        <f t="shared" si="1098"/>
        <v>Lift 4</v>
      </c>
      <c r="AD1066" t="b">
        <f t="shared" ca="1" si="1086"/>
        <v>1</v>
      </c>
      <c r="AE1066" s="1">
        <f t="shared" ca="1" si="1040"/>
        <v>71</v>
      </c>
      <c r="AF1066" t="str">
        <f t="shared" ca="1" si="1084"/>
        <v>Plot 71</v>
      </c>
    </row>
    <row r="1067" spans="28:32" x14ac:dyDescent="0.25">
      <c r="AB1067" t="str">
        <f t="shared" ref="AB1067:AC1067" si="1099">AB1046</f>
        <v>Loading Bay</v>
      </c>
      <c r="AC1067" t="str">
        <f t="shared" si="1099"/>
        <v>Lift 5</v>
      </c>
      <c r="AD1067" t="b">
        <f t="shared" ca="1" si="1086"/>
        <v>0</v>
      </c>
      <c r="AE1067" s="1">
        <f t="shared" ca="1" si="1040"/>
        <v>71</v>
      </c>
      <c r="AF1067" t="str">
        <f t="shared" ca="1" si="1084"/>
        <v>Plot 71</v>
      </c>
    </row>
    <row r="1068" spans="28:32" x14ac:dyDescent="0.25">
      <c r="AB1068" t="str">
        <f t="shared" ref="AB1068:AC1068" si="1100">AB1047</f>
        <v>Loading Bay</v>
      </c>
      <c r="AC1068" t="str">
        <f t="shared" si="1100"/>
        <v>Lift 6</v>
      </c>
      <c r="AD1068" t="b">
        <f t="shared" ca="1" si="1086"/>
        <v>0</v>
      </c>
      <c r="AE1068" s="1">
        <f t="shared" ca="1" si="1040"/>
        <v>71</v>
      </c>
      <c r="AF1068" t="str">
        <f t="shared" ca="1" si="1084"/>
        <v>Plot 71</v>
      </c>
    </row>
    <row r="1069" spans="28:32" x14ac:dyDescent="0.25">
      <c r="AB1069" t="str">
        <f t="shared" ref="AB1069:AC1069" si="1101">AB1048</f>
        <v>Scaffolding Platform</v>
      </c>
      <c r="AC1069" t="str">
        <f t="shared" si="1101"/>
        <v>Ground Floor</v>
      </c>
      <c r="AD1069" t="b">
        <f t="shared" ca="1" si="1086"/>
        <v>1</v>
      </c>
      <c r="AE1069" s="1">
        <f t="shared" ca="1" si="1040"/>
        <v>71</v>
      </c>
      <c r="AF1069" t="str">
        <f t="shared" ca="1" si="1084"/>
        <v>Plot 71</v>
      </c>
    </row>
    <row r="1070" spans="28:32" x14ac:dyDescent="0.25">
      <c r="AB1070" t="str">
        <f t="shared" ref="AB1070:AC1070" si="1102">AB1049</f>
        <v>Scaffolding Platform</v>
      </c>
      <c r="AC1070" t="str">
        <f t="shared" si="1102"/>
        <v>First Floor</v>
      </c>
      <c r="AD1070" t="b">
        <f t="shared" ca="1" si="1086"/>
        <v>1</v>
      </c>
      <c r="AE1070" s="1">
        <f t="shared" ca="1" si="1040"/>
        <v>71</v>
      </c>
      <c r="AF1070" t="str">
        <f t="shared" ca="1" si="1084"/>
        <v>Plot 71</v>
      </c>
    </row>
    <row r="1071" spans="28:32" x14ac:dyDescent="0.25">
      <c r="AB1071" t="str">
        <f t="shared" ref="AB1071:AC1071" si="1103">AB1050</f>
        <v>Scaffolding Platform</v>
      </c>
      <c r="AC1071" t="str">
        <f t="shared" si="1103"/>
        <v>Second Floor</v>
      </c>
      <c r="AD1071" t="b">
        <f t="shared" ca="1" si="1086"/>
        <v>1</v>
      </c>
      <c r="AE1071" s="1">
        <f t="shared" ca="1" si="1040"/>
        <v>71</v>
      </c>
      <c r="AF1071" t="str">
        <f t="shared" ca="1" si="1084"/>
        <v>Plot 71</v>
      </c>
    </row>
    <row r="1072" spans="28:32" x14ac:dyDescent="0.25">
      <c r="AB1072" t="str">
        <f t="shared" ref="AB1072:AC1072" si="1104">AB1051</f>
        <v>Supporting Scaffold</v>
      </c>
      <c r="AC1072" t="str">
        <f t="shared" si="1104"/>
        <v>Ground Floor Prop.</v>
      </c>
      <c r="AD1072" t="str">
        <f t="shared" ca="1" si="1086"/>
        <v>TRUE</v>
      </c>
      <c r="AE1072" s="1">
        <f t="shared" ca="1" si="1040"/>
        <v>71</v>
      </c>
      <c r="AF1072" t="str">
        <f t="shared" ca="1" si="1084"/>
        <v>Plot 71</v>
      </c>
    </row>
    <row r="1073" spans="28:32" x14ac:dyDescent="0.25">
      <c r="AB1073" t="str">
        <f t="shared" ref="AB1073:AC1073" si="1105">AB1052</f>
        <v>Supporting Scaffold</v>
      </c>
      <c r="AC1073" t="str">
        <f t="shared" si="1105"/>
        <v>First Floor Prop.</v>
      </c>
      <c r="AD1073" t="str">
        <f t="shared" ca="1" si="1086"/>
        <v>TRUE</v>
      </c>
      <c r="AE1073" s="1">
        <f t="shared" ca="1" si="1040"/>
        <v>71</v>
      </c>
      <c r="AF1073" t="str">
        <f t="shared" ca="1" si="1084"/>
        <v>Plot 71</v>
      </c>
    </row>
    <row r="1074" spans="28:32" x14ac:dyDescent="0.25">
      <c r="AB1074" t="str">
        <f t="shared" ref="AB1074:AC1074" si="1106">AB1053</f>
        <v>Supporting Scaffold</v>
      </c>
      <c r="AC1074" t="str">
        <f t="shared" si="1106"/>
        <v>Second Floor Prop.</v>
      </c>
      <c r="AD1074" t="str">
        <f t="shared" ca="1" si="1086"/>
        <v>FALSE</v>
      </c>
      <c r="AE1074" s="1">
        <f t="shared" ref="AE1074:AE1137" ca="1" si="1107">OFFSET($AD$1,0,FLOOR(ROW(B1046)/21,1))</f>
        <v>71</v>
      </c>
      <c r="AF1074" t="str">
        <f t="shared" ca="1" si="1084"/>
        <v>Plot 71</v>
      </c>
    </row>
    <row r="1075" spans="28:32" x14ac:dyDescent="0.25">
      <c r="AB1075" t="str">
        <f t="shared" ref="AB1075:AC1075" si="1108">AB1054</f>
        <v>External Scaffolding</v>
      </c>
      <c r="AC1075" t="str">
        <f t="shared" si="1108"/>
        <v>Hop-ups</v>
      </c>
      <c r="AD1075" t="b">
        <f t="shared" ca="1" si="1086"/>
        <v>1</v>
      </c>
      <c r="AE1075" s="1">
        <f t="shared" ca="1" si="1107"/>
        <v>71</v>
      </c>
      <c r="AF1075" t="str">
        <f t="shared" ca="1" si="1084"/>
        <v>Plot 71</v>
      </c>
    </row>
    <row r="1076" spans="28:32" x14ac:dyDescent="0.25">
      <c r="AB1076" t="str">
        <f t="shared" ref="AB1076:AC1076" si="1109">AB1055</f>
        <v>External Scaffolding</v>
      </c>
      <c r="AC1076" t="str">
        <f t="shared" si="1109"/>
        <v>Adaptions</v>
      </c>
      <c r="AD1076" t="b">
        <f t="shared" ca="1" si="1086"/>
        <v>1</v>
      </c>
      <c r="AE1076" s="1">
        <f t="shared" ca="1" si="1107"/>
        <v>71</v>
      </c>
      <c r="AF1076" t="str">
        <f t="shared" ca="1" si="1084"/>
        <v>Plot 71</v>
      </c>
    </row>
    <row r="1077" spans="28:32" x14ac:dyDescent="0.25">
      <c r="AB1077" t="str">
        <f t="shared" ref="AB1077:AC1077" si="1110">AB1056</f>
        <v>External Scaffolding</v>
      </c>
      <c r="AC1077" t="str">
        <f t="shared" si="1110"/>
        <v>Adaption Tower</v>
      </c>
      <c r="AD1077" t="b">
        <f t="shared" ca="1" si="1086"/>
        <v>1</v>
      </c>
      <c r="AE1077" s="1">
        <f t="shared" ca="1" si="1107"/>
        <v>71</v>
      </c>
      <c r="AF1077" t="str">
        <f t="shared" ca="1" si="1084"/>
        <v>Plot 71</v>
      </c>
    </row>
    <row r="1078" spans="28:32" x14ac:dyDescent="0.25">
      <c r="AB1078" t="str">
        <f t="shared" ref="AB1078:AC1078" si="1111">AB1057</f>
        <v>External Scaffolding</v>
      </c>
      <c r="AC1078" t="str">
        <f t="shared" si="1111"/>
        <v>Lift 1</v>
      </c>
      <c r="AD1078" t="b">
        <f t="shared" ca="1" si="1086"/>
        <v>1</v>
      </c>
      <c r="AE1078" s="1">
        <f t="shared" ca="1" si="1107"/>
        <v>72</v>
      </c>
      <c r="AF1078" t="str">
        <f t="shared" ca="1" si="1084"/>
        <v>Plot 72</v>
      </c>
    </row>
    <row r="1079" spans="28:32" x14ac:dyDescent="0.25">
      <c r="AB1079" t="str">
        <f t="shared" ref="AB1079:AC1079" si="1112">AB1058</f>
        <v>External Scaffolding</v>
      </c>
      <c r="AC1079" t="str">
        <f t="shared" si="1112"/>
        <v>Lift 2</v>
      </c>
      <c r="AD1079" t="b">
        <f t="shared" ca="1" si="1086"/>
        <v>1</v>
      </c>
      <c r="AE1079" s="1">
        <f t="shared" ca="1" si="1107"/>
        <v>72</v>
      </c>
      <c r="AF1079" t="str">
        <f t="shared" ca="1" si="1084"/>
        <v>Plot 72</v>
      </c>
    </row>
    <row r="1080" spans="28:32" x14ac:dyDescent="0.25">
      <c r="AB1080" t="str">
        <f t="shared" ref="AB1080:AC1080" si="1113">AB1059</f>
        <v>External Scaffolding</v>
      </c>
      <c r="AC1080" t="str">
        <f t="shared" si="1113"/>
        <v>Lift 3</v>
      </c>
      <c r="AD1080" t="b">
        <f t="shared" ca="1" si="1086"/>
        <v>1</v>
      </c>
      <c r="AE1080" s="1">
        <f t="shared" ca="1" si="1107"/>
        <v>72</v>
      </c>
      <c r="AF1080" t="str">
        <f t="shared" ca="1" si="1084"/>
        <v>Plot 72</v>
      </c>
    </row>
    <row r="1081" spans="28:32" x14ac:dyDescent="0.25">
      <c r="AB1081" t="str">
        <f t="shared" ref="AB1081:AC1081" si="1114">AB1060</f>
        <v>External Scaffolding</v>
      </c>
      <c r="AC1081" t="str">
        <f t="shared" si="1114"/>
        <v>Lift 4</v>
      </c>
      <c r="AD1081" t="b">
        <f t="shared" ca="1" si="1086"/>
        <v>0</v>
      </c>
      <c r="AE1081" s="1">
        <f t="shared" ca="1" si="1107"/>
        <v>72</v>
      </c>
      <c r="AF1081" t="str">
        <f t="shared" ca="1" si="1084"/>
        <v>Plot 72</v>
      </c>
    </row>
    <row r="1082" spans="28:32" x14ac:dyDescent="0.25">
      <c r="AB1082" t="str">
        <f t="shared" ref="AB1082:AC1082" si="1115">AB1061</f>
        <v>External Scaffolding</v>
      </c>
      <c r="AC1082" t="str">
        <f t="shared" si="1115"/>
        <v>Lift 5</v>
      </c>
      <c r="AD1082" t="b">
        <f t="shared" ca="1" si="1086"/>
        <v>0</v>
      </c>
      <c r="AE1082" s="1">
        <f t="shared" ca="1" si="1107"/>
        <v>72</v>
      </c>
      <c r="AF1082" t="str">
        <f t="shared" ca="1" si="1084"/>
        <v>Plot 72</v>
      </c>
    </row>
    <row r="1083" spans="28:32" x14ac:dyDescent="0.25">
      <c r="AB1083" t="str">
        <f t="shared" ref="AB1083:AC1083" si="1116">AB1062</f>
        <v>External Scaffolding</v>
      </c>
      <c r="AC1083" t="str">
        <f t="shared" si="1116"/>
        <v>Lift 6</v>
      </c>
      <c r="AD1083" t="b">
        <f t="shared" ca="1" si="1086"/>
        <v>0</v>
      </c>
      <c r="AE1083" s="1">
        <f t="shared" ca="1" si="1107"/>
        <v>72</v>
      </c>
      <c r="AF1083" t="str">
        <f t="shared" ca="1" si="1084"/>
        <v>Plot 72</v>
      </c>
    </row>
    <row r="1084" spans="28:32" x14ac:dyDescent="0.25">
      <c r="AB1084" t="str">
        <f t="shared" ref="AB1084:AC1084" si="1117">AB1063</f>
        <v>Loading Bay</v>
      </c>
      <c r="AC1084" t="str">
        <f t="shared" si="1117"/>
        <v>Lift 1</v>
      </c>
      <c r="AD1084" t="b">
        <f t="shared" ca="1" si="1086"/>
        <v>1</v>
      </c>
      <c r="AE1084" s="1">
        <f t="shared" ca="1" si="1107"/>
        <v>72</v>
      </c>
      <c r="AF1084" t="str">
        <f t="shared" ca="1" si="1084"/>
        <v>Plot 72</v>
      </c>
    </row>
    <row r="1085" spans="28:32" x14ac:dyDescent="0.25">
      <c r="AB1085" t="str">
        <f t="shared" ref="AB1085:AC1085" si="1118">AB1064</f>
        <v>Loading Bay</v>
      </c>
      <c r="AC1085" t="str">
        <f t="shared" si="1118"/>
        <v>Lift 2</v>
      </c>
      <c r="AD1085" t="b">
        <f t="shared" ca="1" si="1086"/>
        <v>1</v>
      </c>
      <c r="AE1085" s="1">
        <f t="shared" ca="1" si="1107"/>
        <v>72</v>
      </c>
      <c r="AF1085" t="str">
        <f t="shared" ca="1" si="1084"/>
        <v>Plot 72</v>
      </c>
    </row>
    <row r="1086" spans="28:32" x14ac:dyDescent="0.25">
      <c r="AB1086" t="str">
        <f t="shared" ref="AB1086:AC1086" si="1119">AB1065</f>
        <v>Loading Bay</v>
      </c>
      <c r="AC1086" t="str">
        <f t="shared" si="1119"/>
        <v>Lift 3</v>
      </c>
      <c r="AD1086" t="b">
        <f t="shared" ca="1" si="1086"/>
        <v>1</v>
      </c>
      <c r="AE1086" s="1">
        <f t="shared" ca="1" si="1107"/>
        <v>72</v>
      </c>
      <c r="AF1086" t="str">
        <f t="shared" ca="1" si="1084"/>
        <v>Plot 72</v>
      </c>
    </row>
    <row r="1087" spans="28:32" x14ac:dyDescent="0.25">
      <c r="AB1087" t="str">
        <f t="shared" ref="AB1087:AC1087" si="1120">AB1066</f>
        <v>Loading Bay</v>
      </c>
      <c r="AC1087" t="str">
        <f t="shared" si="1120"/>
        <v>Lift 4</v>
      </c>
      <c r="AD1087" t="b">
        <f t="shared" ca="1" si="1086"/>
        <v>0</v>
      </c>
      <c r="AE1087" s="1">
        <f t="shared" ca="1" si="1107"/>
        <v>72</v>
      </c>
      <c r="AF1087" t="str">
        <f t="shared" ca="1" si="1084"/>
        <v>Plot 72</v>
      </c>
    </row>
    <row r="1088" spans="28:32" x14ac:dyDescent="0.25">
      <c r="AB1088" t="str">
        <f t="shared" ref="AB1088:AC1088" si="1121">AB1067</f>
        <v>Loading Bay</v>
      </c>
      <c r="AC1088" t="str">
        <f t="shared" si="1121"/>
        <v>Lift 5</v>
      </c>
      <c r="AD1088" t="b">
        <f t="shared" ca="1" si="1086"/>
        <v>0</v>
      </c>
      <c r="AE1088" s="1">
        <f t="shared" ca="1" si="1107"/>
        <v>72</v>
      </c>
      <c r="AF1088" t="str">
        <f t="shared" ca="1" si="1084"/>
        <v>Plot 72</v>
      </c>
    </row>
    <row r="1089" spans="28:32" x14ac:dyDescent="0.25">
      <c r="AB1089" t="str">
        <f t="shared" ref="AB1089:AC1089" si="1122">AB1068</f>
        <v>Loading Bay</v>
      </c>
      <c r="AC1089" t="str">
        <f t="shared" si="1122"/>
        <v>Lift 6</v>
      </c>
      <c r="AD1089" t="b">
        <f t="shared" ca="1" si="1086"/>
        <v>0</v>
      </c>
      <c r="AE1089" s="1">
        <f t="shared" ca="1" si="1107"/>
        <v>72</v>
      </c>
      <c r="AF1089" t="str">
        <f t="shared" ca="1" si="1084"/>
        <v>Plot 72</v>
      </c>
    </row>
    <row r="1090" spans="28:32" x14ac:dyDescent="0.25">
      <c r="AB1090" t="str">
        <f t="shared" ref="AB1090:AC1090" si="1123">AB1069</f>
        <v>Scaffolding Platform</v>
      </c>
      <c r="AC1090" t="str">
        <f t="shared" si="1123"/>
        <v>Ground Floor</v>
      </c>
      <c r="AD1090" t="b">
        <f t="shared" ca="1" si="1086"/>
        <v>1</v>
      </c>
      <c r="AE1090" s="1">
        <f t="shared" ca="1" si="1107"/>
        <v>72</v>
      </c>
      <c r="AF1090" t="str">
        <f t="shared" ca="1" si="1084"/>
        <v>Plot 72</v>
      </c>
    </row>
    <row r="1091" spans="28:32" x14ac:dyDescent="0.25">
      <c r="AB1091" t="str">
        <f t="shared" ref="AB1091:AC1091" si="1124">AB1070</f>
        <v>Scaffolding Platform</v>
      </c>
      <c r="AC1091" t="str">
        <f t="shared" si="1124"/>
        <v>First Floor</v>
      </c>
      <c r="AD1091" t="b">
        <f t="shared" ca="1" si="1086"/>
        <v>1</v>
      </c>
      <c r="AE1091" s="1">
        <f t="shared" ca="1" si="1107"/>
        <v>72</v>
      </c>
      <c r="AF1091" t="str">
        <f t="shared" ca="1" si="1084"/>
        <v>Plot 72</v>
      </c>
    </row>
    <row r="1092" spans="28:32" x14ac:dyDescent="0.25">
      <c r="AB1092" t="str">
        <f t="shared" ref="AB1092:AC1092" si="1125">AB1071</f>
        <v>Scaffolding Platform</v>
      </c>
      <c r="AC1092" t="str">
        <f t="shared" si="1125"/>
        <v>Second Floor</v>
      </c>
      <c r="AD1092" t="b">
        <f t="shared" ca="1" si="1086"/>
        <v>0</v>
      </c>
      <c r="AE1092" s="1">
        <f t="shared" ca="1" si="1107"/>
        <v>72</v>
      </c>
      <c r="AF1092" t="str">
        <f t="shared" ca="1" si="1084"/>
        <v>Plot 72</v>
      </c>
    </row>
    <row r="1093" spans="28:32" x14ac:dyDescent="0.25">
      <c r="AB1093" t="str">
        <f t="shared" ref="AB1093:AC1093" si="1126">AB1072</f>
        <v>Supporting Scaffold</v>
      </c>
      <c r="AC1093" t="str">
        <f t="shared" si="1126"/>
        <v>Ground Floor Prop.</v>
      </c>
      <c r="AD1093" t="str">
        <f t="shared" ca="1" si="1086"/>
        <v>TRUE</v>
      </c>
      <c r="AE1093" s="1">
        <f t="shared" ca="1" si="1107"/>
        <v>72</v>
      </c>
      <c r="AF1093" t="str">
        <f t="shared" ca="1" si="1084"/>
        <v>Plot 72</v>
      </c>
    </row>
    <row r="1094" spans="28:32" x14ac:dyDescent="0.25">
      <c r="AB1094" t="str">
        <f t="shared" ref="AB1094:AC1094" si="1127">AB1073</f>
        <v>Supporting Scaffold</v>
      </c>
      <c r="AC1094" t="str">
        <f t="shared" si="1127"/>
        <v>First Floor Prop.</v>
      </c>
      <c r="AD1094" t="str">
        <f t="shared" ca="1" si="1086"/>
        <v>FALSE</v>
      </c>
      <c r="AE1094" s="1">
        <f t="shared" ca="1" si="1107"/>
        <v>72</v>
      </c>
      <c r="AF1094" t="str">
        <f t="shared" ca="1" si="1084"/>
        <v>Plot 72</v>
      </c>
    </row>
    <row r="1095" spans="28:32" x14ac:dyDescent="0.25">
      <c r="AB1095" t="str">
        <f t="shared" ref="AB1095:AC1095" si="1128">AB1074</f>
        <v>Supporting Scaffold</v>
      </c>
      <c r="AC1095" t="str">
        <f t="shared" si="1128"/>
        <v>Second Floor Prop.</v>
      </c>
      <c r="AD1095" t="str">
        <f t="shared" ca="1" si="1086"/>
        <v>FALSE</v>
      </c>
      <c r="AE1095" s="1">
        <f t="shared" ca="1" si="1107"/>
        <v>72</v>
      </c>
      <c r="AF1095" t="str">
        <f t="shared" ca="1" si="1084"/>
        <v>Plot 72</v>
      </c>
    </row>
    <row r="1096" spans="28:32" x14ac:dyDescent="0.25">
      <c r="AB1096" t="str">
        <f t="shared" ref="AB1096:AC1096" si="1129">AB1075</f>
        <v>External Scaffolding</v>
      </c>
      <c r="AC1096" t="str">
        <f t="shared" si="1129"/>
        <v>Hop-ups</v>
      </c>
      <c r="AD1096" t="b">
        <f t="shared" ca="1" si="1086"/>
        <v>1</v>
      </c>
      <c r="AE1096" s="1">
        <f t="shared" ca="1" si="1107"/>
        <v>72</v>
      </c>
      <c r="AF1096" t="str">
        <f t="shared" ca="1" si="1084"/>
        <v>Plot 72</v>
      </c>
    </row>
    <row r="1097" spans="28:32" x14ac:dyDescent="0.25">
      <c r="AB1097" t="str">
        <f t="shared" ref="AB1097:AC1097" si="1130">AB1076</f>
        <v>External Scaffolding</v>
      </c>
      <c r="AC1097" t="str">
        <f t="shared" si="1130"/>
        <v>Adaptions</v>
      </c>
      <c r="AD1097" t="b">
        <f t="shared" ca="1" si="1086"/>
        <v>1</v>
      </c>
      <c r="AE1097" s="1">
        <f t="shared" ca="1" si="1107"/>
        <v>72</v>
      </c>
      <c r="AF1097" t="str">
        <f t="shared" ca="1" si="1084"/>
        <v>Plot 72</v>
      </c>
    </row>
    <row r="1098" spans="28:32" x14ac:dyDescent="0.25">
      <c r="AB1098" t="str">
        <f t="shared" ref="AB1098:AC1098" si="1131">AB1077</f>
        <v>External Scaffolding</v>
      </c>
      <c r="AC1098" t="str">
        <f t="shared" si="1131"/>
        <v>Adaption Tower</v>
      </c>
      <c r="AD1098" t="b">
        <f t="shared" ca="1" si="1086"/>
        <v>1</v>
      </c>
      <c r="AE1098" s="1">
        <f t="shared" ca="1" si="1107"/>
        <v>72</v>
      </c>
      <c r="AF1098" t="str">
        <f t="shared" ca="1" si="1084"/>
        <v>Plot 72</v>
      </c>
    </row>
    <row r="1099" spans="28:32" x14ac:dyDescent="0.25">
      <c r="AB1099" t="str">
        <f t="shared" ref="AB1099:AC1099" si="1132">AB1078</f>
        <v>External Scaffolding</v>
      </c>
      <c r="AC1099" t="str">
        <f t="shared" si="1132"/>
        <v>Lift 1</v>
      </c>
      <c r="AD1099" t="b">
        <f t="shared" ca="1" si="1086"/>
        <v>1</v>
      </c>
      <c r="AE1099" s="1">
        <f t="shared" ca="1" si="1107"/>
        <v>73</v>
      </c>
      <c r="AF1099" t="str">
        <f t="shared" ca="1" si="1084"/>
        <v>Plot 73</v>
      </c>
    </row>
    <row r="1100" spans="28:32" x14ac:dyDescent="0.25">
      <c r="AB1100" t="str">
        <f t="shared" ref="AB1100:AC1100" si="1133">AB1079</f>
        <v>External Scaffolding</v>
      </c>
      <c r="AC1100" t="str">
        <f t="shared" si="1133"/>
        <v>Lift 2</v>
      </c>
      <c r="AD1100" t="b">
        <f t="shared" ca="1" si="1086"/>
        <v>1</v>
      </c>
      <c r="AE1100" s="1">
        <f t="shared" ca="1" si="1107"/>
        <v>73</v>
      </c>
      <c r="AF1100" t="str">
        <f t="shared" ca="1" si="1084"/>
        <v>Plot 73</v>
      </c>
    </row>
    <row r="1101" spans="28:32" x14ac:dyDescent="0.25">
      <c r="AB1101" t="str">
        <f t="shared" ref="AB1101:AC1101" si="1134">AB1080</f>
        <v>External Scaffolding</v>
      </c>
      <c r="AC1101" t="str">
        <f t="shared" si="1134"/>
        <v>Lift 3</v>
      </c>
      <c r="AD1101" t="b">
        <f t="shared" ca="1" si="1086"/>
        <v>1</v>
      </c>
      <c r="AE1101" s="1">
        <f t="shared" ca="1" si="1107"/>
        <v>73</v>
      </c>
      <c r="AF1101" t="str">
        <f t="shared" ca="1" si="1084"/>
        <v>Plot 73</v>
      </c>
    </row>
    <row r="1102" spans="28:32" x14ac:dyDescent="0.25">
      <c r="AB1102" t="str">
        <f t="shared" ref="AB1102:AC1102" si="1135">AB1081</f>
        <v>External Scaffolding</v>
      </c>
      <c r="AC1102" t="str">
        <f t="shared" si="1135"/>
        <v>Lift 4</v>
      </c>
      <c r="AD1102" t="b">
        <f t="shared" ca="1" si="1086"/>
        <v>1</v>
      </c>
      <c r="AE1102" s="1">
        <f t="shared" ca="1" si="1107"/>
        <v>73</v>
      </c>
      <c r="AF1102" t="str">
        <f t="shared" ca="1" si="1084"/>
        <v>Plot 73</v>
      </c>
    </row>
    <row r="1103" spans="28:32" x14ac:dyDescent="0.25">
      <c r="AB1103" t="str">
        <f t="shared" ref="AB1103:AC1103" si="1136">AB1082</f>
        <v>External Scaffolding</v>
      </c>
      <c r="AC1103" t="str">
        <f t="shared" si="1136"/>
        <v>Lift 5</v>
      </c>
      <c r="AD1103" t="b">
        <f t="shared" ca="1" si="1086"/>
        <v>0</v>
      </c>
      <c r="AE1103" s="1">
        <f t="shared" ca="1" si="1107"/>
        <v>73</v>
      </c>
      <c r="AF1103" t="str">
        <f t="shared" ca="1" si="1084"/>
        <v>Plot 73</v>
      </c>
    </row>
    <row r="1104" spans="28:32" x14ac:dyDescent="0.25">
      <c r="AB1104" t="str">
        <f t="shared" ref="AB1104:AC1104" si="1137">AB1083</f>
        <v>External Scaffolding</v>
      </c>
      <c r="AC1104" t="str">
        <f t="shared" si="1137"/>
        <v>Lift 6</v>
      </c>
      <c r="AD1104" t="b">
        <f t="shared" ca="1" si="1086"/>
        <v>0</v>
      </c>
      <c r="AE1104" s="1">
        <f t="shared" ca="1" si="1107"/>
        <v>73</v>
      </c>
      <c r="AF1104" t="str">
        <f t="shared" ca="1" si="1084"/>
        <v>Plot 73</v>
      </c>
    </row>
    <row r="1105" spans="28:32" x14ac:dyDescent="0.25">
      <c r="AB1105" t="str">
        <f t="shared" ref="AB1105:AC1105" si="1138">AB1084</f>
        <v>Loading Bay</v>
      </c>
      <c r="AC1105" t="str">
        <f t="shared" si="1138"/>
        <v>Lift 1</v>
      </c>
      <c r="AD1105" t="b">
        <f t="shared" ca="1" si="1086"/>
        <v>1</v>
      </c>
      <c r="AE1105" s="1">
        <f t="shared" ca="1" si="1107"/>
        <v>73</v>
      </c>
      <c r="AF1105" t="str">
        <f t="shared" ca="1" si="1084"/>
        <v>Plot 73</v>
      </c>
    </row>
    <row r="1106" spans="28:32" x14ac:dyDescent="0.25">
      <c r="AB1106" t="str">
        <f t="shared" ref="AB1106:AC1106" si="1139">AB1085</f>
        <v>Loading Bay</v>
      </c>
      <c r="AC1106" t="str">
        <f t="shared" si="1139"/>
        <v>Lift 2</v>
      </c>
      <c r="AD1106" t="b">
        <f t="shared" ca="1" si="1086"/>
        <v>1</v>
      </c>
      <c r="AE1106" s="1">
        <f t="shared" ca="1" si="1107"/>
        <v>73</v>
      </c>
      <c r="AF1106" t="str">
        <f t="shared" ca="1" si="1084"/>
        <v>Plot 73</v>
      </c>
    </row>
    <row r="1107" spans="28:32" x14ac:dyDescent="0.25">
      <c r="AB1107" t="str">
        <f t="shared" ref="AB1107:AC1107" si="1140">AB1086</f>
        <v>Loading Bay</v>
      </c>
      <c r="AC1107" t="str">
        <f t="shared" si="1140"/>
        <v>Lift 3</v>
      </c>
      <c r="AD1107" t="b">
        <f t="shared" ca="1" si="1086"/>
        <v>1</v>
      </c>
      <c r="AE1107" s="1">
        <f t="shared" ca="1" si="1107"/>
        <v>73</v>
      </c>
      <c r="AF1107" t="str">
        <f t="shared" ca="1" si="1084"/>
        <v>Plot 73</v>
      </c>
    </row>
    <row r="1108" spans="28:32" x14ac:dyDescent="0.25">
      <c r="AB1108" t="str">
        <f t="shared" ref="AB1108:AC1108" si="1141">AB1087</f>
        <v>Loading Bay</v>
      </c>
      <c r="AC1108" t="str">
        <f t="shared" si="1141"/>
        <v>Lift 4</v>
      </c>
      <c r="AD1108" t="b">
        <f t="shared" ca="1" si="1086"/>
        <v>1</v>
      </c>
      <c r="AE1108" s="1">
        <f t="shared" ca="1" si="1107"/>
        <v>73</v>
      </c>
      <c r="AF1108" t="str">
        <f t="shared" ca="1" si="1084"/>
        <v>Plot 73</v>
      </c>
    </row>
    <row r="1109" spans="28:32" x14ac:dyDescent="0.25">
      <c r="AB1109" t="str">
        <f t="shared" ref="AB1109:AC1109" si="1142">AB1088</f>
        <v>Loading Bay</v>
      </c>
      <c r="AC1109" t="str">
        <f t="shared" si="1142"/>
        <v>Lift 5</v>
      </c>
      <c r="AD1109" t="b">
        <f t="shared" ca="1" si="1086"/>
        <v>0</v>
      </c>
      <c r="AE1109" s="1">
        <f t="shared" ca="1" si="1107"/>
        <v>73</v>
      </c>
      <c r="AF1109" t="str">
        <f t="shared" ca="1" si="1084"/>
        <v>Plot 73</v>
      </c>
    </row>
    <row r="1110" spans="28:32" x14ac:dyDescent="0.25">
      <c r="AB1110" t="str">
        <f t="shared" ref="AB1110:AC1110" si="1143">AB1089</f>
        <v>Loading Bay</v>
      </c>
      <c r="AC1110" t="str">
        <f t="shared" si="1143"/>
        <v>Lift 6</v>
      </c>
      <c r="AD1110" t="b">
        <f t="shared" ca="1" si="1086"/>
        <v>0</v>
      </c>
      <c r="AE1110" s="1">
        <f t="shared" ca="1" si="1107"/>
        <v>73</v>
      </c>
      <c r="AF1110" t="str">
        <f t="shared" ca="1" si="1084"/>
        <v>Plot 73</v>
      </c>
    </row>
    <row r="1111" spans="28:32" x14ac:dyDescent="0.25">
      <c r="AB1111" t="str">
        <f t="shared" ref="AB1111:AC1111" si="1144">AB1090</f>
        <v>Scaffolding Platform</v>
      </c>
      <c r="AC1111" t="str">
        <f t="shared" si="1144"/>
        <v>Ground Floor</v>
      </c>
      <c r="AD1111" t="b">
        <f t="shared" ca="1" si="1086"/>
        <v>1</v>
      </c>
      <c r="AE1111" s="1">
        <f t="shared" ca="1" si="1107"/>
        <v>73</v>
      </c>
      <c r="AF1111" t="str">
        <f t="shared" ca="1" si="1084"/>
        <v>Plot 73</v>
      </c>
    </row>
    <row r="1112" spans="28:32" x14ac:dyDescent="0.25">
      <c r="AB1112" t="str">
        <f t="shared" ref="AB1112:AC1112" si="1145">AB1091</f>
        <v>Scaffolding Platform</v>
      </c>
      <c r="AC1112" t="str">
        <f t="shared" si="1145"/>
        <v>First Floor</v>
      </c>
      <c r="AD1112" t="b">
        <f t="shared" ca="1" si="1086"/>
        <v>1</v>
      </c>
      <c r="AE1112" s="1">
        <f t="shared" ca="1" si="1107"/>
        <v>73</v>
      </c>
      <c r="AF1112" t="str">
        <f t="shared" ca="1" si="1084"/>
        <v>Plot 73</v>
      </c>
    </row>
    <row r="1113" spans="28:32" x14ac:dyDescent="0.25">
      <c r="AB1113" t="str">
        <f t="shared" ref="AB1113:AC1113" si="1146">AB1092</f>
        <v>Scaffolding Platform</v>
      </c>
      <c r="AC1113" t="str">
        <f t="shared" si="1146"/>
        <v>Second Floor</v>
      </c>
      <c r="AD1113" t="b">
        <f t="shared" ca="1" si="1086"/>
        <v>1</v>
      </c>
      <c r="AE1113" s="1">
        <f t="shared" ca="1" si="1107"/>
        <v>73</v>
      </c>
      <c r="AF1113" t="str">
        <f t="shared" ca="1" si="1084"/>
        <v>Plot 73</v>
      </c>
    </row>
    <row r="1114" spans="28:32" x14ac:dyDescent="0.25">
      <c r="AB1114" t="str">
        <f t="shared" ref="AB1114:AC1114" si="1147">AB1093</f>
        <v>Supporting Scaffold</v>
      </c>
      <c r="AC1114" t="str">
        <f t="shared" si="1147"/>
        <v>Ground Floor Prop.</v>
      </c>
      <c r="AD1114" t="str">
        <f t="shared" ca="1" si="1086"/>
        <v>TRUE</v>
      </c>
      <c r="AE1114" s="1">
        <f t="shared" ca="1" si="1107"/>
        <v>73</v>
      </c>
      <c r="AF1114" t="str">
        <f t="shared" ca="1" si="1084"/>
        <v>Plot 73</v>
      </c>
    </row>
    <row r="1115" spans="28:32" x14ac:dyDescent="0.25">
      <c r="AB1115" t="str">
        <f t="shared" ref="AB1115:AC1115" si="1148">AB1094</f>
        <v>Supporting Scaffold</v>
      </c>
      <c r="AC1115" t="str">
        <f t="shared" si="1148"/>
        <v>First Floor Prop.</v>
      </c>
      <c r="AD1115" t="str">
        <f t="shared" ca="1" si="1086"/>
        <v>TRUE</v>
      </c>
      <c r="AE1115" s="1">
        <f t="shared" ca="1" si="1107"/>
        <v>73</v>
      </c>
      <c r="AF1115" t="str">
        <f t="shared" ca="1" si="1084"/>
        <v>Plot 73</v>
      </c>
    </row>
    <row r="1116" spans="28:32" x14ac:dyDescent="0.25">
      <c r="AB1116" t="str">
        <f t="shared" ref="AB1116:AC1116" si="1149">AB1095</f>
        <v>Supporting Scaffold</v>
      </c>
      <c r="AC1116" t="str">
        <f t="shared" si="1149"/>
        <v>Second Floor Prop.</v>
      </c>
      <c r="AD1116" t="str">
        <f t="shared" ca="1" si="1086"/>
        <v>FALSE</v>
      </c>
      <c r="AE1116" s="1">
        <f t="shared" ca="1" si="1107"/>
        <v>73</v>
      </c>
      <c r="AF1116" t="str">
        <f t="shared" ca="1" si="1084"/>
        <v>Plot 73</v>
      </c>
    </row>
    <row r="1117" spans="28:32" x14ac:dyDescent="0.25">
      <c r="AB1117" t="str">
        <f t="shared" ref="AB1117:AC1117" si="1150">AB1096</f>
        <v>External Scaffolding</v>
      </c>
      <c r="AC1117" t="str">
        <f t="shared" si="1150"/>
        <v>Hop-ups</v>
      </c>
      <c r="AD1117" t="b">
        <f t="shared" ca="1" si="1086"/>
        <v>1</v>
      </c>
      <c r="AE1117" s="1">
        <f t="shared" ca="1" si="1107"/>
        <v>73</v>
      </c>
      <c r="AF1117" t="str">
        <f t="shared" ref="AF1117:AF1180" ca="1" si="1151">IF(LEFT(AE1117,1)="G",AE1117,"Plot "&amp;AE1117)</f>
        <v>Plot 73</v>
      </c>
    </row>
    <row r="1118" spans="28:32" x14ac:dyDescent="0.25">
      <c r="AB1118" t="str">
        <f t="shared" ref="AB1118:AC1118" si="1152">AB1097</f>
        <v>External Scaffolding</v>
      </c>
      <c r="AC1118" t="str">
        <f t="shared" si="1152"/>
        <v>Adaptions</v>
      </c>
      <c r="AD1118" t="b">
        <f t="shared" ref="AD1118:AD1181" ca="1" si="1153">INDEX($AC$1:$JH$22,MATCH(AC1118,$AC$1:$AC$22,0),MATCH(AE1118,$AC$1:$JH$1,0))</f>
        <v>1</v>
      </c>
      <c r="AE1118" s="1">
        <f t="shared" ca="1" si="1107"/>
        <v>73</v>
      </c>
      <c r="AF1118" t="str">
        <f t="shared" ca="1" si="1151"/>
        <v>Plot 73</v>
      </c>
    </row>
    <row r="1119" spans="28:32" x14ac:dyDescent="0.25">
      <c r="AB1119" t="str">
        <f t="shared" ref="AB1119:AC1119" si="1154">AB1098</f>
        <v>External Scaffolding</v>
      </c>
      <c r="AC1119" t="str">
        <f t="shared" si="1154"/>
        <v>Adaption Tower</v>
      </c>
      <c r="AD1119" t="b">
        <f t="shared" ca="1" si="1153"/>
        <v>1</v>
      </c>
      <c r="AE1119" s="1">
        <f t="shared" ca="1" si="1107"/>
        <v>73</v>
      </c>
      <c r="AF1119" t="str">
        <f t="shared" ca="1" si="1151"/>
        <v>Plot 73</v>
      </c>
    </row>
    <row r="1120" spans="28:32" x14ac:dyDescent="0.25">
      <c r="AB1120" t="str">
        <f t="shared" ref="AB1120:AC1120" si="1155">AB1099</f>
        <v>External Scaffolding</v>
      </c>
      <c r="AC1120" t="str">
        <f t="shared" si="1155"/>
        <v>Lift 1</v>
      </c>
      <c r="AD1120" t="b">
        <f t="shared" ca="1" si="1153"/>
        <v>1</v>
      </c>
      <c r="AE1120" s="1">
        <f t="shared" ca="1" si="1107"/>
        <v>74</v>
      </c>
      <c r="AF1120" t="str">
        <f t="shared" ca="1" si="1151"/>
        <v>Plot 74</v>
      </c>
    </row>
    <row r="1121" spans="28:32" x14ac:dyDescent="0.25">
      <c r="AB1121" t="str">
        <f t="shared" ref="AB1121:AC1121" si="1156">AB1100</f>
        <v>External Scaffolding</v>
      </c>
      <c r="AC1121" t="str">
        <f t="shared" si="1156"/>
        <v>Lift 2</v>
      </c>
      <c r="AD1121" t="b">
        <f t="shared" ca="1" si="1153"/>
        <v>1</v>
      </c>
      <c r="AE1121" s="1">
        <f t="shared" ca="1" si="1107"/>
        <v>74</v>
      </c>
      <c r="AF1121" t="str">
        <f t="shared" ca="1" si="1151"/>
        <v>Plot 74</v>
      </c>
    </row>
    <row r="1122" spans="28:32" x14ac:dyDescent="0.25">
      <c r="AB1122" t="str">
        <f t="shared" ref="AB1122:AC1122" si="1157">AB1101</f>
        <v>External Scaffolding</v>
      </c>
      <c r="AC1122" t="str">
        <f t="shared" si="1157"/>
        <v>Lift 3</v>
      </c>
      <c r="AD1122" t="b">
        <f t="shared" ca="1" si="1153"/>
        <v>1</v>
      </c>
      <c r="AE1122" s="1">
        <f t="shared" ca="1" si="1107"/>
        <v>74</v>
      </c>
      <c r="AF1122" t="str">
        <f t="shared" ca="1" si="1151"/>
        <v>Plot 74</v>
      </c>
    </row>
    <row r="1123" spans="28:32" x14ac:dyDescent="0.25">
      <c r="AB1123" t="str">
        <f t="shared" ref="AB1123:AC1123" si="1158">AB1102</f>
        <v>External Scaffolding</v>
      </c>
      <c r="AC1123" t="str">
        <f t="shared" si="1158"/>
        <v>Lift 4</v>
      </c>
      <c r="AD1123" t="b">
        <f t="shared" ca="1" si="1153"/>
        <v>0</v>
      </c>
      <c r="AE1123" s="1">
        <f t="shared" ca="1" si="1107"/>
        <v>74</v>
      </c>
      <c r="AF1123" t="str">
        <f t="shared" ca="1" si="1151"/>
        <v>Plot 74</v>
      </c>
    </row>
    <row r="1124" spans="28:32" x14ac:dyDescent="0.25">
      <c r="AB1124" t="str">
        <f t="shared" ref="AB1124:AC1124" si="1159">AB1103</f>
        <v>External Scaffolding</v>
      </c>
      <c r="AC1124" t="str">
        <f t="shared" si="1159"/>
        <v>Lift 5</v>
      </c>
      <c r="AD1124" t="b">
        <f t="shared" ca="1" si="1153"/>
        <v>0</v>
      </c>
      <c r="AE1124" s="1">
        <f t="shared" ca="1" si="1107"/>
        <v>74</v>
      </c>
      <c r="AF1124" t="str">
        <f t="shared" ca="1" si="1151"/>
        <v>Plot 74</v>
      </c>
    </row>
    <row r="1125" spans="28:32" x14ac:dyDescent="0.25">
      <c r="AB1125" t="str">
        <f t="shared" ref="AB1125:AC1125" si="1160">AB1104</f>
        <v>External Scaffolding</v>
      </c>
      <c r="AC1125" t="str">
        <f t="shared" si="1160"/>
        <v>Lift 6</v>
      </c>
      <c r="AD1125" t="b">
        <f t="shared" ca="1" si="1153"/>
        <v>0</v>
      </c>
      <c r="AE1125" s="1">
        <f t="shared" ca="1" si="1107"/>
        <v>74</v>
      </c>
      <c r="AF1125" t="str">
        <f t="shared" ca="1" si="1151"/>
        <v>Plot 74</v>
      </c>
    </row>
    <row r="1126" spans="28:32" x14ac:dyDescent="0.25">
      <c r="AB1126" t="str">
        <f t="shared" ref="AB1126:AC1126" si="1161">AB1105</f>
        <v>Loading Bay</v>
      </c>
      <c r="AC1126" t="str">
        <f t="shared" si="1161"/>
        <v>Lift 1</v>
      </c>
      <c r="AD1126" t="b">
        <f t="shared" ca="1" si="1153"/>
        <v>1</v>
      </c>
      <c r="AE1126" s="1">
        <f t="shared" ca="1" si="1107"/>
        <v>74</v>
      </c>
      <c r="AF1126" t="str">
        <f t="shared" ca="1" si="1151"/>
        <v>Plot 74</v>
      </c>
    </row>
    <row r="1127" spans="28:32" x14ac:dyDescent="0.25">
      <c r="AB1127" t="str">
        <f t="shared" ref="AB1127:AC1127" si="1162">AB1106</f>
        <v>Loading Bay</v>
      </c>
      <c r="AC1127" t="str">
        <f t="shared" si="1162"/>
        <v>Lift 2</v>
      </c>
      <c r="AD1127" t="b">
        <f t="shared" ca="1" si="1153"/>
        <v>1</v>
      </c>
      <c r="AE1127" s="1">
        <f t="shared" ca="1" si="1107"/>
        <v>74</v>
      </c>
      <c r="AF1127" t="str">
        <f t="shared" ca="1" si="1151"/>
        <v>Plot 74</v>
      </c>
    </row>
    <row r="1128" spans="28:32" x14ac:dyDescent="0.25">
      <c r="AB1128" t="str">
        <f t="shared" ref="AB1128:AC1128" si="1163">AB1107</f>
        <v>Loading Bay</v>
      </c>
      <c r="AC1128" t="str">
        <f t="shared" si="1163"/>
        <v>Lift 3</v>
      </c>
      <c r="AD1128" t="b">
        <f t="shared" ca="1" si="1153"/>
        <v>1</v>
      </c>
      <c r="AE1128" s="1">
        <f t="shared" ca="1" si="1107"/>
        <v>74</v>
      </c>
      <c r="AF1128" t="str">
        <f t="shared" ca="1" si="1151"/>
        <v>Plot 74</v>
      </c>
    </row>
    <row r="1129" spans="28:32" x14ac:dyDescent="0.25">
      <c r="AB1129" t="str">
        <f t="shared" ref="AB1129:AC1129" si="1164">AB1108</f>
        <v>Loading Bay</v>
      </c>
      <c r="AC1129" t="str">
        <f t="shared" si="1164"/>
        <v>Lift 4</v>
      </c>
      <c r="AD1129" t="b">
        <f t="shared" ca="1" si="1153"/>
        <v>0</v>
      </c>
      <c r="AE1129" s="1">
        <f t="shared" ca="1" si="1107"/>
        <v>74</v>
      </c>
      <c r="AF1129" t="str">
        <f t="shared" ca="1" si="1151"/>
        <v>Plot 74</v>
      </c>
    </row>
    <row r="1130" spans="28:32" x14ac:dyDescent="0.25">
      <c r="AB1130" t="str">
        <f t="shared" ref="AB1130:AC1130" si="1165">AB1109</f>
        <v>Loading Bay</v>
      </c>
      <c r="AC1130" t="str">
        <f t="shared" si="1165"/>
        <v>Lift 5</v>
      </c>
      <c r="AD1130" t="b">
        <f t="shared" ca="1" si="1153"/>
        <v>0</v>
      </c>
      <c r="AE1130" s="1">
        <f t="shared" ca="1" si="1107"/>
        <v>74</v>
      </c>
      <c r="AF1130" t="str">
        <f t="shared" ca="1" si="1151"/>
        <v>Plot 74</v>
      </c>
    </row>
    <row r="1131" spans="28:32" x14ac:dyDescent="0.25">
      <c r="AB1131" t="str">
        <f t="shared" ref="AB1131:AC1131" si="1166">AB1110</f>
        <v>Loading Bay</v>
      </c>
      <c r="AC1131" t="str">
        <f t="shared" si="1166"/>
        <v>Lift 6</v>
      </c>
      <c r="AD1131" t="b">
        <f t="shared" ca="1" si="1153"/>
        <v>0</v>
      </c>
      <c r="AE1131" s="1">
        <f t="shared" ca="1" si="1107"/>
        <v>74</v>
      </c>
      <c r="AF1131" t="str">
        <f t="shared" ca="1" si="1151"/>
        <v>Plot 74</v>
      </c>
    </row>
    <row r="1132" spans="28:32" x14ac:dyDescent="0.25">
      <c r="AB1132" t="str">
        <f t="shared" ref="AB1132:AC1132" si="1167">AB1111</f>
        <v>Scaffolding Platform</v>
      </c>
      <c r="AC1132" t="str">
        <f t="shared" si="1167"/>
        <v>Ground Floor</v>
      </c>
      <c r="AD1132" t="b">
        <f t="shared" ca="1" si="1153"/>
        <v>1</v>
      </c>
      <c r="AE1132" s="1">
        <f t="shared" ca="1" si="1107"/>
        <v>74</v>
      </c>
      <c r="AF1132" t="str">
        <f t="shared" ca="1" si="1151"/>
        <v>Plot 74</v>
      </c>
    </row>
    <row r="1133" spans="28:32" x14ac:dyDescent="0.25">
      <c r="AB1133" t="str">
        <f t="shared" ref="AB1133:AC1133" si="1168">AB1112</f>
        <v>Scaffolding Platform</v>
      </c>
      <c r="AC1133" t="str">
        <f t="shared" si="1168"/>
        <v>First Floor</v>
      </c>
      <c r="AD1133" t="b">
        <f t="shared" ca="1" si="1153"/>
        <v>1</v>
      </c>
      <c r="AE1133" s="1">
        <f t="shared" ca="1" si="1107"/>
        <v>74</v>
      </c>
      <c r="AF1133" t="str">
        <f t="shared" ca="1" si="1151"/>
        <v>Plot 74</v>
      </c>
    </row>
    <row r="1134" spans="28:32" x14ac:dyDescent="0.25">
      <c r="AB1134" t="str">
        <f t="shared" ref="AB1134:AC1134" si="1169">AB1113</f>
        <v>Scaffolding Platform</v>
      </c>
      <c r="AC1134" t="str">
        <f t="shared" si="1169"/>
        <v>Second Floor</v>
      </c>
      <c r="AD1134" t="b">
        <f t="shared" ca="1" si="1153"/>
        <v>0</v>
      </c>
      <c r="AE1134" s="1">
        <f t="shared" ca="1" si="1107"/>
        <v>74</v>
      </c>
      <c r="AF1134" t="str">
        <f t="shared" ca="1" si="1151"/>
        <v>Plot 74</v>
      </c>
    </row>
    <row r="1135" spans="28:32" x14ac:dyDescent="0.25">
      <c r="AB1135" t="str">
        <f t="shared" ref="AB1135:AC1135" si="1170">AB1114</f>
        <v>Supporting Scaffold</v>
      </c>
      <c r="AC1135" t="str">
        <f t="shared" si="1170"/>
        <v>Ground Floor Prop.</v>
      </c>
      <c r="AD1135" t="str">
        <f t="shared" ca="1" si="1153"/>
        <v>TRUE</v>
      </c>
      <c r="AE1135" s="1">
        <f t="shared" ca="1" si="1107"/>
        <v>74</v>
      </c>
      <c r="AF1135" t="str">
        <f t="shared" ca="1" si="1151"/>
        <v>Plot 74</v>
      </c>
    </row>
    <row r="1136" spans="28:32" x14ac:dyDescent="0.25">
      <c r="AB1136" t="str">
        <f t="shared" ref="AB1136:AC1136" si="1171">AB1115</f>
        <v>Supporting Scaffold</v>
      </c>
      <c r="AC1136" t="str">
        <f t="shared" si="1171"/>
        <v>First Floor Prop.</v>
      </c>
      <c r="AD1136" t="str">
        <f t="shared" ca="1" si="1153"/>
        <v>FALSE</v>
      </c>
      <c r="AE1136" s="1">
        <f t="shared" ca="1" si="1107"/>
        <v>74</v>
      </c>
      <c r="AF1136" t="str">
        <f t="shared" ca="1" si="1151"/>
        <v>Plot 74</v>
      </c>
    </row>
    <row r="1137" spans="28:32" x14ac:dyDescent="0.25">
      <c r="AB1137" t="str">
        <f t="shared" ref="AB1137:AC1137" si="1172">AB1116</f>
        <v>Supporting Scaffold</v>
      </c>
      <c r="AC1137" t="str">
        <f t="shared" si="1172"/>
        <v>Second Floor Prop.</v>
      </c>
      <c r="AD1137" t="str">
        <f t="shared" ca="1" si="1153"/>
        <v>FALSE</v>
      </c>
      <c r="AE1137" s="1">
        <f t="shared" ca="1" si="1107"/>
        <v>74</v>
      </c>
      <c r="AF1137" t="str">
        <f t="shared" ca="1" si="1151"/>
        <v>Plot 74</v>
      </c>
    </row>
    <row r="1138" spans="28:32" x14ac:dyDescent="0.25">
      <c r="AB1138" t="str">
        <f t="shared" ref="AB1138:AC1138" si="1173">AB1117</f>
        <v>External Scaffolding</v>
      </c>
      <c r="AC1138" t="str">
        <f t="shared" si="1173"/>
        <v>Hop-ups</v>
      </c>
      <c r="AD1138" t="b">
        <f t="shared" ca="1" si="1153"/>
        <v>1</v>
      </c>
      <c r="AE1138" s="1">
        <f t="shared" ref="AE1138:AE1201" ca="1" si="1174">OFFSET($AD$1,0,FLOOR(ROW(B1110)/21,1))</f>
        <v>74</v>
      </c>
      <c r="AF1138" t="str">
        <f t="shared" ca="1" si="1151"/>
        <v>Plot 74</v>
      </c>
    </row>
    <row r="1139" spans="28:32" x14ac:dyDescent="0.25">
      <c r="AB1139" t="str">
        <f t="shared" ref="AB1139:AC1139" si="1175">AB1118</f>
        <v>External Scaffolding</v>
      </c>
      <c r="AC1139" t="str">
        <f t="shared" si="1175"/>
        <v>Adaptions</v>
      </c>
      <c r="AD1139" t="b">
        <f t="shared" ca="1" si="1153"/>
        <v>1</v>
      </c>
      <c r="AE1139" s="1">
        <f t="shared" ca="1" si="1174"/>
        <v>74</v>
      </c>
      <c r="AF1139" t="str">
        <f t="shared" ca="1" si="1151"/>
        <v>Plot 74</v>
      </c>
    </row>
    <row r="1140" spans="28:32" x14ac:dyDescent="0.25">
      <c r="AB1140" t="str">
        <f t="shared" ref="AB1140:AC1140" si="1176">AB1119</f>
        <v>External Scaffolding</v>
      </c>
      <c r="AC1140" t="str">
        <f t="shared" si="1176"/>
        <v>Adaption Tower</v>
      </c>
      <c r="AD1140" t="b">
        <f t="shared" ca="1" si="1153"/>
        <v>1</v>
      </c>
      <c r="AE1140" s="1">
        <f t="shared" ca="1" si="1174"/>
        <v>74</v>
      </c>
      <c r="AF1140" t="str">
        <f t="shared" ca="1" si="1151"/>
        <v>Plot 74</v>
      </c>
    </row>
    <row r="1141" spans="28:32" x14ac:dyDescent="0.25">
      <c r="AB1141" t="str">
        <f t="shared" ref="AB1141:AC1141" si="1177">AB1120</f>
        <v>External Scaffolding</v>
      </c>
      <c r="AC1141" t="str">
        <f t="shared" si="1177"/>
        <v>Lift 1</v>
      </c>
      <c r="AD1141" t="b">
        <f t="shared" ca="1" si="1153"/>
        <v>1</v>
      </c>
      <c r="AE1141" s="1">
        <f t="shared" ca="1" si="1174"/>
        <v>75</v>
      </c>
      <c r="AF1141" t="str">
        <f t="shared" ca="1" si="1151"/>
        <v>Plot 75</v>
      </c>
    </row>
    <row r="1142" spans="28:32" x14ac:dyDescent="0.25">
      <c r="AB1142" t="str">
        <f t="shared" ref="AB1142:AC1142" si="1178">AB1121</f>
        <v>External Scaffolding</v>
      </c>
      <c r="AC1142" t="str">
        <f t="shared" si="1178"/>
        <v>Lift 2</v>
      </c>
      <c r="AD1142" t="b">
        <f t="shared" ca="1" si="1153"/>
        <v>1</v>
      </c>
      <c r="AE1142" s="1">
        <f t="shared" ca="1" si="1174"/>
        <v>75</v>
      </c>
      <c r="AF1142" t="str">
        <f t="shared" ca="1" si="1151"/>
        <v>Plot 75</v>
      </c>
    </row>
    <row r="1143" spans="28:32" x14ac:dyDescent="0.25">
      <c r="AB1143" t="str">
        <f t="shared" ref="AB1143:AC1143" si="1179">AB1122</f>
        <v>External Scaffolding</v>
      </c>
      <c r="AC1143" t="str">
        <f t="shared" si="1179"/>
        <v>Lift 3</v>
      </c>
      <c r="AD1143" t="b">
        <f t="shared" ca="1" si="1153"/>
        <v>1</v>
      </c>
      <c r="AE1143" s="1">
        <f t="shared" ca="1" si="1174"/>
        <v>75</v>
      </c>
      <c r="AF1143" t="str">
        <f t="shared" ca="1" si="1151"/>
        <v>Plot 75</v>
      </c>
    </row>
    <row r="1144" spans="28:32" x14ac:dyDescent="0.25">
      <c r="AB1144" t="str">
        <f t="shared" ref="AB1144:AC1144" si="1180">AB1123</f>
        <v>External Scaffolding</v>
      </c>
      <c r="AC1144" t="str">
        <f t="shared" si="1180"/>
        <v>Lift 4</v>
      </c>
      <c r="AD1144" t="b">
        <f t="shared" ca="1" si="1153"/>
        <v>0</v>
      </c>
      <c r="AE1144" s="1">
        <f t="shared" ca="1" si="1174"/>
        <v>75</v>
      </c>
      <c r="AF1144" t="str">
        <f t="shared" ca="1" si="1151"/>
        <v>Plot 75</v>
      </c>
    </row>
    <row r="1145" spans="28:32" x14ac:dyDescent="0.25">
      <c r="AB1145" t="str">
        <f t="shared" ref="AB1145:AC1145" si="1181">AB1124</f>
        <v>External Scaffolding</v>
      </c>
      <c r="AC1145" t="str">
        <f t="shared" si="1181"/>
        <v>Lift 5</v>
      </c>
      <c r="AD1145" t="b">
        <f t="shared" ca="1" si="1153"/>
        <v>0</v>
      </c>
      <c r="AE1145" s="1">
        <f t="shared" ca="1" si="1174"/>
        <v>75</v>
      </c>
      <c r="AF1145" t="str">
        <f t="shared" ca="1" si="1151"/>
        <v>Plot 75</v>
      </c>
    </row>
    <row r="1146" spans="28:32" x14ac:dyDescent="0.25">
      <c r="AB1146" t="str">
        <f t="shared" ref="AB1146:AC1146" si="1182">AB1125</f>
        <v>External Scaffolding</v>
      </c>
      <c r="AC1146" t="str">
        <f t="shared" si="1182"/>
        <v>Lift 6</v>
      </c>
      <c r="AD1146" t="b">
        <f t="shared" ca="1" si="1153"/>
        <v>0</v>
      </c>
      <c r="AE1146" s="1">
        <f t="shared" ca="1" si="1174"/>
        <v>75</v>
      </c>
      <c r="AF1146" t="str">
        <f t="shared" ca="1" si="1151"/>
        <v>Plot 75</v>
      </c>
    </row>
    <row r="1147" spans="28:32" x14ac:dyDescent="0.25">
      <c r="AB1147" t="str">
        <f t="shared" ref="AB1147:AC1147" si="1183">AB1126</f>
        <v>Loading Bay</v>
      </c>
      <c r="AC1147" t="str">
        <f t="shared" si="1183"/>
        <v>Lift 1</v>
      </c>
      <c r="AD1147" t="b">
        <f t="shared" ca="1" si="1153"/>
        <v>1</v>
      </c>
      <c r="AE1147" s="1">
        <f t="shared" ca="1" si="1174"/>
        <v>75</v>
      </c>
      <c r="AF1147" t="str">
        <f t="shared" ca="1" si="1151"/>
        <v>Plot 75</v>
      </c>
    </row>
    <row r="1148" spans="28:32" x14ac:dyDescent="0.25">
      <c r="AB1148" t="str">
        <f t="shared" ref="AB1148:AC1148" si="1184">AB1127</f>
        <v>Loading Bay</v>
      </c>
      <c r="AC1148" t="str">
        <f t="shared" si="1184"/>
        <v>Lift 2</v>
      </c>
      <c r="AD1148" t="b">
        <f t="shared" ca="1" si="1153"/>
        <v>1</v>
      </c>
      <c r="AE1148" s="1">
        <f t="shared" ca="1" si="1174"/>
        <v>75</v>
      </c>
      <c r="AF1148" t="str">
        <f t="shared" ca="1" si="1151"/>
        <v>Plot 75</v>
      </c>
    </row>
    <row r="1149" spans="28:32" x14ac:dyDescent="0.25">
      <c r="AB1149" t="str">
        <f t="shared" ref="AB1149:AC1149" si="1185">AB1128</f>
        <v>Loading Bay</v>
      </c>
      <c r="AC1149" t="str">
        <f t="shared" si="1185"/>
        <v>Lift 3</v>
      </c>
      <c r="AD1149" t="b">
        <f t="shared" ca="1" si="1153"/>
        <v>1</v>
      </c>
      <c r="AE1149" s="1">
        <f t="shared" ca="1" si="1174"/>
        <v>75</v>
      </c>
      <c r="AF1149" t="str">
        <f t="shared" ca="1" si="1151"/>
        <v>Plot 75</v>
      </c>
    </row>
    <row r="1150" spans="28:32" x14ac:dyDescent="0.25">
      <c r="AB1150" t="str">
        <f t="shared" ref="AB1150:AC1150" si="1186">AB1129</f>
        <v>Loading Bay</v>
      </c>
      <c r="AC1150" t="str">
        <f t="shared" si="1186"/>
        <v>Lift 4</v>
      </c>
      <c r="AD1150" t="b">
        <f t="shared" ca="1" si="1153"/>
        <v>0</v>
      </c>
      <c r="AE1150" s="1">
        <f t="shared" ca="1" si="1174"/>
        <v>75</v>
      </c>
      <c r="AF1150" t="str">
        <f t="shared" ca="1" si="1151"/>
        <v>Plot 75</v>
      </c>
    </row>
    <row r="1151" spans="28:32" x14ac:dyDescent="0.25">
      <c r="AB1151" t="str">
        <f t="shared" ref="AB1151:AC1151" si="1187">AB1130</f>
        <v>Loading Bay</v>
      </c>
      <c r="AC1151" t="str">
        <f t="shared" si="1187"/>
        <v>Lift 5</v>
      </c>
      <c r="AD1151" t="b">
        <f t="shared" ca="1" si="1153"/>
        <v>0</v>
      </c>
      <c r="AE1151" s="1">
        <f t="shared" ca="1" si="1174"/>
        <v>75</v>
      </c>
      <c r="AF1151" t="str">
        <f t="shared" ca="1" si="1151"/>
        <v>Plot 75</v>
      </c>
    </row>
    <row r="1152" spans="28:32" x14ac:dyDescent="0.25">
      <c r="AB1152" t="str">
        <f t="shared" ref="AB1152:AC1152" si="1188">AB1131</f>
        <v>Loading Bay</v>
      </c>
      <c r="AC1152" t="str">
        <f t="shared" si="1188"/>
        <v>Lift 6</v>
      </c>
      <c r="AD1152" t="b">
        <f t="shared" ca="1" si="1153"/>
        <v>0</v>
      </c>
      <c r="AE1152" s="1">
        <f t="shared" ca="1" si="1174"/>
        <v>75</v>
      </c>
      <c r="AF1152" t="str">
        <f t="shared" ca="1" si="1151"/>
        <v>Plot 75</v>
      </c>
    </row>
    <row r="1153" spans="28:32" x14ac:dyDescent="0.25">
      <c r="AB1153" t="str">
        <f t="shared" ref="AB1153:AC1153" si="1189">AB1132</f>
        <v>Scaffolding Platform</v>
      </c>
      <c r="AC1153" t="str">
        <f t="shared" si="1189"/>
        <v>Ground Floor</v>
      </c>
      <c r="AD1153" t="b">
        <f t="shared" ca="1" si="1153"/>
        <v>1</v>
      </c>
      <c r="AE1153" s="1">
        <f t="shared" ca="1" si="1174"/>
        <v>75</v>
      </c>
      <c r="AF1153" t="str">
        <f t="shared" ca="1" si="1151"/>
        <v>Plot 75</v>
      </c>
    </row>
    <row r="1154" spans="28:32" x14ac:dyDescent="0.25">
      <c r="AB1154" t="str">
        <f t="shared" ref="AB1154:AC1154" si="1190">AB1133</f>
        <v>Scaffolding Platform</v>
      </c>
      <c r="AC1154" t="str">
        <f t="shared" si="1190"/>
        <v>First Floor</v>
      </c>
      <c r="AD1154" t="b">
        <f t="shared" ca="1" si="1153"/>
        <v>1</v>
      </c>
      <c r="AE1154" s="1">
        <f t="shared" ca="1" si="1174"/>
        <v>75</v>
      </c>
      <c r="AF1154" t="str">
        <f t="shared" ca="1" si="1151"/>
        <v>Plot 75</v>
      </c>
    </row>
    <row r="1155" spans="28:32" x14ac:dyDescent="0.25">
      <c r="AB1155" t="str">
        <f t="shared" ref="AB1155:AC1155" si="1191">AB1134</f>
        <v>Scaffolding Platform</v>
      </c>
      <c r="AC1155" t="str">
        <f t="shared" si="1191"/>
        <v>Second Floor</v>
      </c>
      <c r="AD1155" t="b">
        <f t="shared" ca="1" si="1153"/>
        <v>0</v>
      </c>
      <c r="AE1155" s="1">
        <f t="shared" ca="1" si="1174"/>
        <v>75</v>
      </c>
      <c r="AF1155" t="str">
        <f t="shared" ca="1" si="1151"/>
        <v>Plot 75</v>
      </c>
    </row>
    <row r="1156" spans="28:32" x14ac:dyDescent="0.25">
      <c r="AB1156" t="str">
        <f t="shared" ref="AB1156:AC1156" si="1192">AB1135</f>
        <v>Supporting Scaffold</v>
      </c>
      <c r="AC1156" t="str">
        <f t="shared" si="1192"/>
        <v>Ground Floor Prop.</v>
      </c>
      <c r="AD1156" t="str">
        <f t="shared" ca="1" si="1153"/>
        <v>TRUE</v>
      </c>
      <c r="AE1156" s="1">
        <f t="shared" ca="1" si="1174"/>
        <v>75</v>
      </c>
      <c r="AF1156" t="str">
        <f t="shared" ca="1" si="1151"/>
        <v>Plot 75</v>
      </c>
    </row>
    <row r="1157" spans="28:32" x14ac:dyDescent="0.25">
      <c r="AB1157" t="str">
        <f t="shared" ref="AB1157:AC1157" si="1193">AB1136</f>
        <v>Supporting Scaffold</v>
      </c>
      <c r="AC1157" t="str">
        <f t="shared" si="1193"/>
        <v>First Floor Prop.</v>
      </c>
      <c r="AD1157" t="str">
        <f t="shared" ca="1" si="1153"/>
        <v>FALSE</v>
      </c>
      <c r="AE1157" s="1">
        <f t="shared" ca="1" si="1174"/>
        <v>75</v>
      </c>
      <c r="AF1157" t="str">
        <f t="shared" ca="1" si="1151"/>
        <v>Plot 75</v>
      </c>
    </row>
    <row r="1158" spans="28:32" x14ac:dyDescent="0.25">
      <c r="AB1158" t="str">
        <f t="shared" ref="AB1158:AC1158" si="1194">AB1137</f>
        <v>Supporting Scaffold</v>
      </c>
      <c r="AC1158" t="str">
        <f t="shared" si="1194"/>
        <v>Second Floor Prop.</v>
      </c>
      <c r="AD1158" t="str">
        <f t="shared" ca="1" si="1153"/>
        <v>FALSE</v>
      </c>
      <c r="AE1158" s="1">
        <f t="shared" ca="1" si="1174"/>
        <v>75</v>
      </c>
      <c r="AF1158" t="str">
        <f t="shared" ca="1" si="1151"/>
        <v>Plot 75</v>
      </c>
    </row>
    <row r="1159" spans="28:32" x14ac:dyDescent="0.25">
      <c r="AB1159" t="str">
        <f t="shared" ref="AB1159:AC1159" si="1195">AB1138</f>
        <v>External Scaffolding</v>
      </c>
      <c r="AC1159" t="str">
        <f t="shared" si="1195"/>
        <v>Hop-ups</v>
      </c>
      <c r="AD1159" t="b">
        <f t="shared" ca="1" si="1153"/>
        <v>1</v>
      </c>
      <c r="AE1159" s="1">
        <f t="shared" ca="1" si="1174"/>
        <v>75</v>
      </c>
      <c r="AF1159" t="str">
        <f t="shared" ca="1" si="1151"/>
        <v>Plot 75</v>
      </c>
    </row>
    <row r="1160" spans="28:32" x14ac:dyDescent="0.25">
      <c r="AB1160" t="str">
        <f t="shared" ref="AB1160:AC1160" si="1196">AB1139</f>
        <v>External Scaffolding</v>
      </c>
      <c r="AC1160" t="str">
        <f t="shared" si="1196"/>
        <v>Adaptions</v>
      </c>
      <c r="AD1160" t="b">
        <f t="shared" ca="1" si="1153"/>
        <v>1</v>
      </c>
      <c r="AE1160" s="1">
        <f t="shared" ca="1" si="1174"/>
        <v>75</v>
      </c>
      <c r="AF1160" t="str">
        <f t="shared" ca="1" si="1151"/>
        <v>Plot 75</v>
      </c>
    </row>
    <row r="1161" spans="28:32" x14ac:dyDescent="0.25">
      <c r="AB1161" t="str">
        <f t="shared" ref="AB1161:AC1161" si="1197">AB1140</f>
        <v>External Scaffolding</v>
      </c>
      <c r="AC1161" t="str">
        <f t="shared" si="1197"/>
        <v>Adaption Tower</v>
      </c>
      <c r="AD1161" t="b">
        <f t="shared" ca="1" si="1153"/>
        <v>1</v>
      </c>
      <c r="AE1161" s="1">
        <f t="shared" ca="1" si="1174"/>
        <v>75</v>
      </c>
      <c r="AF1161" t="str">
        <f t="shared" ca="1" si="1151"/>
        <v>Plot 75</v>
      </c>
    </row>
    <row r="1162" spans="28:32" x14ac:dyDescent="0.25">
      <c r="AB1162" t="str">
        <f t="shared" ref="AB1162:AC1162" si="1198">AB1141</f>
        <v>External Scaffolding</v>
      </c>
      <c r="AC1162" t="str">
        <f t="shared" si="1198"/>
        <v>Lift 1</v>
      </c>
      <c r="AD1162" t="b">
        <f t="shared" ca="1" si="1153"/>
        <v>1</v>
      </c>
      <c r="AE1162" s="1">
        <f t="shared" ca="1" si="1174"/>
        <v>76</v>
      </c>
      <c r="AF1162" t="str">
        <f t="shared" ca="1" si="1151"/>
        <v>Plot 76</v>
      </c>
    </row>
    <row r="1163" spans="28:32" x14ac:dyDescent="0.25">
      <c r="AB1163" t="str">
        <f t="shared" ref="AB1163:AC1163" si="1199">AB1142</f>
        <v>External Scaffolding</v>
      </c>
      <c r="AC1163" t="str">
        <f t="shared" si="1199"/>
        <v>Lift 2</v>
      </c>
      <c r="AD1163" t="b">
        <f t="shared" ca="1" si="1153"/>
        <v>1</v>
      </c>
      <c r="AE1163" s="1">
        <f t="shared" ca="1" si="1174"/>
        <v>76</v>
      </c>
      <c r="AF1163" t="str">
        <f t="shared" ca="1" si="1151"/>
        <v>Plot 76</v>
      </c>
    </row>
    <row r="1164" spans="28:32" x14ac:dyDescent="0.25">
      <c r="AB1164" t="str">
        <f t="shared" ref="AB1164:AC1164" si="1200">AB1143</f>
        <v>External Scaffolding</v>
      </c>
      <c r="AC1164" t="str">
        <f t="shared" si="1200"/>
        <v>Lift 3</v>
      </c>
      <c r="AD1164" t="b">
        <f t="shared" ca="1" si="1153"/>
        <v>1</v>
      </c>
      <c r="AE1164" s="1">
        <f t="shared" ca="1" si="1174"/>
        <v>76</v>
      </c>
      <c r="AF1164" t="str">
        <f t="shared" ca="1" si="1151"/>
        <v>Plot 76</v>
      </c>
    </row>
    <row r="1165" spans="28:32" x14ac:dyDescent="0.25">
      <c r="AB1165" t="str">
        <f t="shared" ref="AB1165:AC1165" si="1201">AB1144</f>
        <v>External Scaffolding</v>
      </c>
      <c r="AC1165" t="str">
        <f t="shared" si="1201"/>
        <v>Lift 4</v>
      </c>
      <c r="AD1165" t="b">
        <f t="shared" ca="1" si="1153"/>
        <v>0</v>
      </c>
      <c r="AE1165" s="1">
        <f t="shared" ca="1" si="1174"/>
        <v>76</v>
      </c>
      <c r="AF1165" t="str">
        <f t="shared" ca="1" si="1151"/>
        <v>Plot 76</v>
      </c>
    </row>
    <row r="1166" spans="28:32" x14ac:dyDescent="0.25">
      <c r="AB1166" t="str">
        <f t="shared" ref="AB1166:AC1166" si="1202">AB1145</f>
        <v>External Scaffolding</v>
      </c>
      <c r="AC1166" t="str">
        <f t="shared" si="1202"/>
        <v>Lift 5</v>
      </c>
      <c r="AD1166" t="b">
        <f t="shared" ca="1" si="1153"/>
        <v>0</v>
      </c>
      <c r="AE1166" s="1">
        <f t="shared" ca="1" si="1174"/>
        <v>76</v>
      </c>
      <c r="AF1166" t="str">
        <f t="shared" ca="1" si="1151"/>
        <v>Plot 76</v>
      </c>
    </row>
    <row r="1167" spans="28:32" x14ac:dyDescent="0.25">
      <c r="AB1167" t="str">
        <f t="shared" ref="AB1167:AC1167" si="1203">AB1146</f>
        <v>External Scaffolding</v>
      </c>
      <c r="AC1167" t="str">
        <f t="shared" si="1203"/>
        <v>Lift 6</v>
      </c>
      <c r="AD1167" t="b">
        <f t="shared" ca="1" si="1153"/>
        <v>0</v>
      </c>
      <c r="AE1167" s="1">
        <f t="shared" ca="1" si="1174"/>
        <v>76</v>
      </c>
      <c r="AF1167" t="str">
        <f t="shared" ca="1" si="1151"/>
        <v>Plot 76</v>
      </c>
    </row>
    <row r="1168" spans="28:32" x14ac:dyDescent="0.25">
      <c r="AB1168" t="str">
        <f t="shared" ref="AB1168:AC1168" si="1204">AB1147</f>
        <v>Loading Bay</v>
      </c>
      <c r="AC1168" t="str">
        <f t="shared" si="1204"/>
        <v>Lift 1</v>
      </c>
      <c r="AD1168" t="b">
        <f t="shared" ca="1" si="1153"/>
        <v>1</v>
      </c>
      <c r="AE1168" s="1">
        <f t="shared" ca="1" si="1174"/>
        <v>76</v>
      </c>
      <c r="AF1168" t="str">
        <f t="shared" ca="1" si="1151"/>
        <v>Plot 76</v>
      </c>
    </row>
    <row r="1169" spans="28:32" x14ac:dyDescent="0.25">
      <c r="AB1169" t="str">
        <f t="shared" ref="AB1169:AC1169" si="1205">AB1148</f>
        <v>Loading Bay</v>
      </c>
      <c r="AC1169" t="str">
        <f t="shared" si="1205"/>
        <v>Lift 2</v>
      </c>
      <c r="AD1169" t="b">
        <f t="shared" ca="1" si="1153"/>
        <v>1</v>
      </c>
      <c r="AE1169" s="1">
        <f t="shared" ca="1" si="1174"/>
        <v>76</v>
      </c>
      <c r="AF1169" t="str">
        <f t="shared" ca="1" si="1151"/>
        <v>Plot 76</v>
      </c>
    </row>
    <row r="1170" spans="28:32" x14ac:dyDescent="0.25">
      <c r="AB1170" t="str">
        <f t="shared" ref="AB1170:AC1170" si="1206">AB1149</f>
        <v>Loading Bay</v>
      </c>
      <c r="AC1170" t="str">
        <f t="shared" si="1206"/>
        <v>Lift 3</v>
      </c>
      <c r="AD1170" t="b">
        <f t="shared" ca="1" si="1153"/>
        <v>1</v>
      </c>
      <c r="AE1170" s="1">
        <f t="shared" ca="1" si="1174"/>
        <v>76</v>
      </c>
      <c r="AF1170" t="str">
        <f t="shared" ca="1" si="1151"/>
        <v>Plot 76</v>
      </c>
    </row>
    <row r="1171" spans="28:32" x14ac:dyDescent="0.25">
      <c r="AB1171" t="str">
        <f t="shared" ref="AB1171:AC1171" si="1207">AB1150</f>
        <v>Loading Bay</v>
      </c>
      <c r="AC1171" t="str">
        <f t="shared" si="1207"/>
        <v>Lift 4</v>
      </c>
      <c r="AD1171" t="b">
        <f t="shared" ca="1" si="1153"/>
        <v>0</v>
      </c>
      <c r="AE1171" s="1">
        <f t="shared" ca="1" si="1174"/>
        <v>76</v>
      </c>
      <c r="AF1171" t="str">
        <f t="shared" ca="1" si="1151"/>
        <v>Plot 76</v>
      </c>
    </row>
    <row r="1172" spans="28:32" x14ac:dyDescent="0.25">
      <c r="AB1172" t="str">
        <f t="shared" ref="AB1172:AC1172" si="1208">AB1151</f>
        <v>Loading Bay</v>
      </c>
      <c r="AC1172" t="str">
        <f t="shared" si="1208"/>
        <v>Lift 5</v>
      </c>
      <c r="AD1172" t="b">
        <f t="shared" ca="1" si="1153"/>
        <v>0</v>
      </c>
      <c r="AE1172" s="1">
        <f t="shared" ca="1" si="1174"/>
        <v>76</v>
      </c>
      <c r="AF1172" t="str">
        <f t="shared" ca="1" si="1151"/>
        <v>Plot 76</v>
      </c>
    </row>
    <row r="1173" spans="28:32" x14ac:dyDescent="0.25">
      <c r="AB1173" t="str">
        <f t="shared" ref="AB1173:AC1173" si="1209">AB1152</f>
        <v>Loading Bay</v>
      </c>
      <c r="AC1173" t="str">
        <f t="shared" si="1209"/>
        <v>Lift 6</v>
      </c>
      <c r="AD1173" t="b">
        <f t="shared" ca="1" si="1153"/>
        <v>0</v>
      </c>
      <c r="AE1173" s="1">
        <f t="shared" ca="1" si="1174"/>
        <v>76</v>
      </c>
      <c r="AF1173" t="str">
        <f t="shared" ca="1" si="1151"/>
        <v>Plot 76</v>
      </c>
    </row>
    <row r="1174" spans="28:32" x14ac:dyDescent="0.25">
      <c r="AB1174" t="str">
        <f t="shared" ref="AB1174:AC1174" si="1210">AB1153</f>
        <v>Scaffolding Platform</v>
      </c>
      <c r="AC1174" t="str">
        <f t="shared" si="1210"/>
        <v>Ground Floor</v>
      </c>
      <c r="AD1174" t="b">
        <f t="shared" ca="1" si="1153"/>
        <v>1</v>
      </c>
      <c r="AE1174" s="1">
        <f t="shared" ca="1" si="1174"/>
        <v>76</v>
      </c>
      <c r="AF1174" t="str">
        <f t="shared" ca="1" si="1151"/>
        <v>Plot 76</v>
      </c>
    </row>
    <row r="1175" spans="28:32" x14ac:dyDescent="0.25">
      <c r="AB1175" t="str">
        <f t="shared" ref="AB1175:AC1175" si="1211">AB1154</f>
        <v>Scaffolding Platform</v>
      </c>
      <c r="AC1175" t="str">
        <f t="shared" si="1211"/>
        <v>First Floor</v>
      </c>
      <c r="AD1175" t="b">
        <f t="shared" ca="1" si="1153"/>
        <v>1</v>
      </c>
      <c r="AE1175" s="1">
        <f t="shared" ca="1" si="1174"/>
        <v>76</v>
      </c>
      <c r="AF1175" t="str">
        <f t="shared" ca="1" si="1151"/>
        <v>Plot 76</v>
      </c>
    </row>
    <row r="1176" spans="28:32" x14ac:dyDescent="0.25">
      <c r="AB1176" t="str">
        <f t="shared" ref="AB1176:AC1176" si="1212">AB1155</f>
        <v>Scaffolding Platform</v>
      </c>
      <c r="AC1176" t="str">
        <f t="shared" si="1212"/>
        <v>Second Floor</v>
      </c>
      <c r="AD1176" t="b">
        <f t="shared" ca="1" si="1153"/>
        <v>0</v>
      </c>
      <c r="AE1176" s="1">
        <f t="shared" ca="1" si="1174"/>
        <v>76</v>
      </c>
      <c r="AF1176" t="str">
        <f t="shared" ca="1" si="1151"/>
        <v>Plot 76</v>
      </c>
    </row>
    <row r="1177" spans="28:32" x14ac:dyDescent="0.25">
      <c r="AB1177" t="str">
        <f t="shared" ref="AB1177:AC1177" si="1213">AB1156</f>
        <v>Supporting Scaffold</v>
      </c>
      <c r="AC1177" t="str">
        <f t="shared" si="1213"/>
        <v>Ground Floor Prop.</v>
      </c>
      <c r="AD1177" t="str">
        <f t="shared" ca="1" si="1153"/>
        <v>TRUE</v>
      </c>
      <c r="AE1177" s="1">
        <f t="shared" ca="1" si="1174"/>
        <v>76</v>
      </c>
      <c r="AF1177" t="str">
        <f t="shared" ca="1" si="1151"/>
        <v>Plot 76</v>
      </c>
    </row>
    <row r="1178" spans="28:32" x14ac:dyDescent="0.25">
      <c r="AB1178" t="str">
        <f t="shared" ref="AB1178:AC1178" si="1214">AB1157</f>
        <v>Supporting Scaffold</v>
      </c>
      <c r="AC1178" t="str">
        <f t="shared" si="1214"/>
        <v>First Floor Prop.</v>
      </c>
      <c r="AD1178" t="str">
        <f t="shared" ca="1" si="1153"/>
        <v>FALSE</v>
      </c>
      <c r="AE1178" s="1">
        <f t="shared" ca="1" si="1174"/>
        <v>76</v>
      </c>
      <c r="AF1178" t="str">
        <f t="shared" ca="1" si="1151"/>
        <v>Plot 76</v>
      </c>
    </row>
    <row r="1179" spans="28:32" x14ac:dyDescent="0.25">
      <c r="AB1179" t="str">
        <f t="shared" ref="AB1179:AC1179" si="1215">AB1158</f>
        <v>Supporting Scaffold</v>
      </c>
      <c r="AC1179" t="str">
        <f t="shared" si="1215"/>
        <v>Second Floor Prop.</v>
      </c>
      <c r="AD1179" t="str">
        <f t="shared" ca="1" si="1153"/>
        <v>FALSE</v>
      </c>
      <c r="AE1179" s="1">
        <f t="shared" ca="1" si="1174"/>
        <v>76</v>
      </c>
      <c r="AF1179" t="str">
        <f t="shared" ca="1" si="1151"/>
        <v>Plot 76</v>
      </c>
    </row>
    <row r="1180" spans="28:32" x14ac:dyDescent="0.25">
      <c r="AB1180" t="str">
        <f t="shared" ref="AB1180:AC1180" si="1216">AB1159</f>
        <v>External Scaffolding</v>
      </c>
      <c r="AC1180" t="str">
        <f t="shared" si="1216"/>
        <v>Hop-ups</v>
      </c>
      <c r="AD1180" t="b">
        <f t="shared" ca="1" si="1153"/>
        <v>1</v>
      </c>
      <c r="AE1180" s="1">
        <f t="shared" ca="1" si="1174"/>
        <v>76</v>
      </c>
      <c r="AF1180" t="str">
        <f t="shared" ca="1" si="1151"/>
        <v>Plot 76</v>
      </c>
    </row>
    <row r="1181" spans="28:32" x14ac:dyDescent="0.25">
      <c r="AB1181" t="str">
        <f t="shared" ref="AB1181:AC1181" si="1217">AB1160</f>
        <v>External Scaffolding</v>
      </c>
      <c r="AC1181" t="str">
        <f t="shared" si="1217"/>
        <v>Adaptions</v>
      </c>
      <c r="AD1181" t="b">
        <f t="shared" ca="1" si="1153"/>
        <v>1</v>
      </c>
      <c r="AE1181" s="1">
        <f t="shared" ca="1" si="1174"/>
        <v>76</v>
      </c>
      <c r="AF1181" t="str">
        <f t="shared" ref="AF1181:AF1244" ca="1" si="1218">IF(LEFT(AE1181,1)="G",AE1181,"Plot "&amp;AE1181)</f>
        <v>Plot 76</v>
      </c>
    </row>
    <row r="1182" spans="28:32" x14ac:dyDescent="0.25">
      <c r="AB1182" t="str">
        <f t="shared" ref="AB1182:AC1182" si="1219">AB1161</f>
        <v>External Scaffolding</v>
      </c>
      <c r="AC1182" t="str">
        <f t="shared" si="1219"/>
        <v>Adaption Tower</v>
      </c>
      <c r="AD1182" t="b">
        <f t="shared" ref="AD1182:AD1245" ca="1" si="1220">INDEX($AC$1:$JH$22,MATCH(AC1182,$AC$1:$AC$22,0),MATCH(AE1182,$AC$1:$JH$1,0))</f>
        <v>1</v>
      </c>
      <c r="AE1182" s="1">
        <f t="shared" ca="1" si="1174"/>
        <v>76</v>
      </c>
      <c r="AF1182" t="str">
        <f t="shared" ca="1" si="1218"/>
        <v>Plot 76</v>
      </c>
    </row>
    <row r="1183" spans="28:32" x14ac:dyDescent="0.25">
      <c r="AB1183" t="str">
        <f t="shared" ref="AB1183:AC1183" si="1221">AB1162</f>
        <v>External Scaffolding</v>
      </c>
      <c r="AC1183" t="str">
        <f t="shared" si="1221"/>
        <v>Lift 1</v>
      </c>
      <c r="AD1183" t="b">
        <f t="shared" ca="1" si="1220"/>
        <v>1</v>
      </c>
      <c r="AE1183" s="1">
        <f t="shared" ca="1" si="1174"/>
        <v>77</v>
      </c>
      <c r="AF1183" t="str">
        <f t="shared" ca="1" si="1218"/>
        <v>Plot 77</v>
      </c>
    </row>
    <row r="1184" spans="28:32" x14ac:dyDescent="0.25">
      <c r="AB1184" t="str">
        <f t="shared" ref="AB1184:AC1184" si="1222">AB1163</f>
        <v>External Scaffolding</v>
      </c>
      <c r="AC1184" t="str">
        <f t="shared" si="1222"/>
        <v>Lift 2</v>
      </c>
      <c r="AD1184" t="b">
        <f t="shared" ca="1" si="1220"/>
        <v>1</v>
      </c>
      <c r="AE1184" s="1">
        <f t="shared" ca="1" si="1174"/>
        <v>77</v>
      </c>
      <c r="AF1184" t="str">
        <f t="shared" ca="1" si="1218"/>
        <v>Plot 77</v>
      </c>
    </row>
    <row r="1185" spans="28:32" x14ac:dyDescent="0.25">
      <c r="AB1185" t="str">
        <f t="shared" ref="AB1185:AC1185" si="1223">AB1164</f>
        <v>External Scaffolding</v>
      </c>
      <c r="AC1185" t="str">
        <f t="shared" si="1223"/>
        <v>Lift 3</v>
      </c>
      <c r="AD1185" t="b">
        <f t="shared" ca="1" si="1220"/>
        <v>1</v>
      </c>
      <c r="AE1185" s="1">
        <f t="shared" ca="1" si="1174"/>
        <v>77</v>
      </c>
      <c r="AF1185" t="str">
        <f t="shared" ca="1" si="1218"/>
        <v>Plot 77</v>
      </c>
    </row>
    <row r="1186" spans="28:32" x14ac:dyDescent="0.25">
      <c r="AB1186" t="str">
        <f t="shared" ref="AB1186:AC1186" si="1224">AB1165</f>
        <v>External Scaffolding</v>
      </c>
      <c r="AC1186" t="str">
        <f t="shared" si="1224"/>
        <v>Lift 4</v>
      </c>
      <c r="AD1186" t="b">
        <f t="shared" ca="1" si="1220"/>
        <v>1</v>
      </c>
      <c r="AE1186" s="1">
        <f t="shared" ca="1" si="1174"/>
        <v>77</v>
      </c>
      <c r="AF1186" t="str">
        <f t="shared" ca="1" si="1218"/>
        <v>Plot 77</v>
      </c>
    </row>
    <row r="1187" spans="28:32" x14ac:dyDescent="0.25">
      <c r="AB1187" t="str">
        <f t="shared" ref="AB1187:AC1187" si="1225">AB1166</f>
        <v>External Scaffolding</v>
      </c>
      <c r="AC1187" t="str">
        <f t="shared" si="1225"/>
        <v>Lift 5</v>
      </c>
      <c r="AD1187" t="b">
        <f t="shared" ca="1" si="1220"/>
        <v>0</v>
      </c>
      <c r="AE1187" s="1">
        <f t="shared" ca="1" si="1174"/>
        <v>77</v>
      </c>
      <c r="AF1187" t="str">
        <f t="shared" ca="1" si="1218"/>
        <v>Plot 77</v>
      </c>
    </row>
    <row r="1188" spans="28:32" x14ac:dyDescent="0.25">
      <c r="AB1188" t="str">
        <f t="shared" ref="AB1188:AC1188" si="1226">AB1167</f>
        <v>External Scaffolding</v>
      </c>
      <c r="AC1188" t="str">
        <f t="shared" si="1226"/>
        <v>Lift 6</v>
      </c>
      <c r="AD1188" t="b">
        <f t="shared" ca="1" si="1220"/>
        <v>0</v>
      </c>
      <c r="AE1188" s="1">
        <f t="shared" ca="1" si="1174"/>
        <v>77</v>
      </c>
      <c r="AF1188" t="str">
        <f t="shared" ca="1" si="1218"/>
        <v>Plot 77</v>
      </c>
    </row>
    <row r="1189" spans="28:32" x14ac:dyDescent="0.25">
      <c r="AB1189" t="str">
        <f t="shared" ref="AB1189:AC1189" si="1227">AB1168</f>
        <v>Loading Bay</v>
      </c>
      <c r="AC1189" t="str">
        <f t="shared" si="1227"/>
        <v>Lift 1</v>
      </c>
      <c r="AD1189" t="b">
        <f t="shared" ca="1" si="1220"/>
        <v>1</v>
      </c>
      <c r="AE1189" s="1">
        <f t="shared" ca="1" si="1174"/>
        <v>77</v>
      </c>
      <c r="AF1189" t="str">
        <f t="shared" ca="1" si="1218"/>
        <v>Plot 77</v>
      </c>
    </row>
    <row r="1190" spans="28:32" x14ac:dyDescent="0.25">
      <c r="AB1190" t="str">
        <f t="shared" ref="AB1190:AC1190" si="1228">AB1169</f>
        <v>Loading Bay</v>
      </c>
      <c r="AC1190" t="str">
        <f t="shared" si="1228"/>
        <v>Lift 2</v>
      </c>
      <c r="AD1190" t="b">
        <f t="shared" ca="1" si="1220"/>
        <v>1</v>
      </c>
      <c r="AE1190" s="1">
        <f t="shared" ca="1" si="1174"/>
        <v>77</v>
      </c>
      <c r="AF1190" t="str">
        <f t="shared" ca="1" si="1218"/>
        <v>Plot 77</v>
      </c>
    </row>
    <row r="1191" spans="28:32" x14ac:dyDescent="0.25">
      <c r="AB1191" t="str">
        <f t="shared" ref="AB1191:AC1191" si="1229">AB1170</f>
        <v>Loading Bay</v>
      </c>
      <c r="AC1191" t="str">
        <f t="shared" si="1229"/>
        <v>Lift 3</v>
      </c>
      <c r="AD1191" t="b">
        <f t="shared" ca="1" si="1220"/>
        <v>1</v>
      </c>
      <c r="AE1191" s="1">
        <f t="shared" ca="1" si="1174"/>
        <v>77</v>
      </c>
      <c r="AF1191" t="str">
        <f t="shared" ca="1" si="1218"/>
        <v>Plot 77</v>
      </c>
    </row>
    <row r="1192" spans="28:32" x14ac:dyDescent="0.25">
      <c r="AB1192" t="str">
        <f t="shared" ref="AB1192:AC1192" si="1230">AB1171</f>
        <v>Loading Bay</v>
      </c>
      <c r="AC1192" t="str">
        <f t="shared" si="1230"/>
        <v>Lift 4</v>
      </c>
      <c r="AD1192" t="b">
        <f t="shared" ca="1" si="1220"/>
        <v>1</v>
      </c>
      <c r="AE1192" s="1">
        <f t="shared" ca="1" si="1174"/>
        <v>77</v>
      </c>
      <c r="AF1192" t="str">
        <f t="shared" ca="1" si="1218"/>
        <v>Plot 77</v>
      </c>
    </row>
    <row r="1193" spans="28:32" x14ac:dyDescent="0.25">
      <c r="AB1193" t="str">
        <f t="shared" ref="AB1193:AC1193" si="1231">AB1172</f>
        <v>Loading Bay</v>
      </c>
      <c r="AC1193" t="str">
        <f t="shared" si="1231"/>
        <v>Lift 5</v>
      </c>
      <c r="AD1193" t="b">
        <f t="shared" ca="1" si="1220"/>
        <v>0</v>
      </c>
      <c r="AE1193" s="1">
        <f t="shared" ca="1" si="1174"/>
        <v>77</v>
      </c>
      <c r="AF1193" t="str">
        <f t="shared" ca="1" si="1218"/>
        <v>Plot 77</v>
      </c>
    </row>
    <row r="1194" spans="28:32" x14ac:dyDescent="0.25">
      <c r="AB1194" t="str">
        <f t="shared" ref="AB1194:AC1194" si="1232">AB1173</f>
        <v>Loading Bay</v>
      </c>
      <c r="AC1194" t="str">
        <f t="shared" si="1232"/>
        <v>Lift 6</v>
      </c>
      <c r="AD1194" t="b">
        <f t="shared" ca="1" si="1220"/>
        <v>0</v>
      </c>
      <c r="AE1194" s="1">
        <f t="shared" ca="1" si="1174"/>
        <v>77</v>
      </c>
      <c r="AF1194" t="str">
        <f t="shared" ca="1" si="1218"/>
        <v>Plot 77</v>
      </c>
    </row>
    <row r="1195" spans="28:32" x14ac:dyDescent="0.25">
      <c r="AB1195" t="str">
        <f t="shared" ref="AB1195:AC1195" si="1233">AB1174</f>
        <v>Scaffolding Platform</v>
      </c>
      <c r="AC1195" t="str">
        <f t="shared" si="1233"/>
        <v>Ground Floor</v>
      </c>
      <c r="AD1195" t="b">
        <f t="shared" ca="1" si="1220"/>
        <v>1</v>
      </c>
      <c r="AE1195" s="1">
        <f t="shared" ca="1" si="1174"/>
        <v>77</v>
      </c>
      <c r="AF1195" t="str">
        <f t="shared" ca="1" si="1218"/>
        <v>Plot 77</v>
      </c>
    </row>
    <row r="1196" spans="28:32" x14ac:dyDescent="0.25">
      <c r="AB1196" t="str">
        <f t="shared" ref="AB1196:AC1196" si="1234">AB1175</f>
        <v>Scaffolding Platform</v>
      </c>
      <c r="AC1196" t="str">
        <f t="shared" si="1234"/>
        <v>First Floor</v>
      </c>
      <c r="AD1196" t="b">
        <f t="shared" ca="1" si="1220"/>
        <v>1</v>
      </c>
      <c r="AE1196" s="1">
        <f t="shared" ca="1" si="1174"/>
        <v>77</v>
      </c>
      <c r="AF1196" t="str">
        <f t="shared" ca="1" si="1218"/>
        <v>Plot 77</v>
      </c>
    </row>
    <row r="1197" spans="28:32" x14ac:dyDescent="0.25">
      <c r="AB1197" t="str">
        <f t="shared" ref="AB1197:AC1197" si="1235">AB1176</f>
        <v>Scaffolding Platform</v>
      </c>
      <c r="AC1197" t="str">
        <f t="shared" si="1235"/>
        <v>Second Floor</v>
      </c>
      <c r="AD1197" t="b">
        <f t="shared" ca="1" si="1220"/>
        <v>1</v>
      </c>
      <c r="AE1197" s="1">
        <f t="shared" ca="1" si="1174"/>
        <v>77</v>
      </c>
      <c r="AF1197" t="str">
        <f t="shared" ca="1" si="1218"/>
        <v>Plot 77</v>
      </c>
    </row>
    <row r="1198" spans="28:32" x14ac:dyDescent="0.25">
      <c r="AB1198" t="str">
        <f t="shared" ref="AB1198:AC1198" si="1236">AB1177</f>
        <v>Supporting Scaffold</v>
      </c>
      <c r="AC1198" t="str">
        <f t="shared" si="1236"/>
        <v>Ground Floor Prop.</v>
      </c>
      <c r="AD1198" t="str">
        <f t="shared" ca="1" si="1220"/>
        <v>TRUE</v>
      </c>
      <c r="AE1198" s="1">
        <f t="shared" ca="1" si="1174"/>
        <v>77</v>
      </c>
      <c r="AF1198" t="str">
        <f t="shared" ca="1" si="1218"/>
        <v>Plot 77</v>
      </c>
    </row>
    <row r="1199" spans="28:32" x14ac:dyDescent="0.25">
      <c r="AB1199" t="str">
        <f t="shared" ref="AB1199:AC1199" si="1237">AB1178</f>
        <v>Supporting Scaffold</v>
      </c>
      <c r="AC1199" t="str">
        <f t="shared" si="1237"/>
        <v>First Floor Prop.</v>
      </c>
      <c r="AD1199" t="str">
        <f t="shared" ca="1" si="1220"/>
        <v>TRUE</v>
      </c>
      <c r="AE1199" s="1">
        <f t="shared" ca="1" si="1174"/>
        <v>77</v>
      </c>
      <c r="AF1199" t="str">
        <f t="shared" ca="1" si="1218"/>
        <v>Plot 77</v>
      </c>
    </row>
    <row r="1200" spans="28:32" x14ac:dyDescent="0.25">
      <c r="AB1200" t="str">
        <f t="shared" ref="AB1200:AC1200" si="1238">AB1179</f>
        <v>Supporting Scaffold</v>
      </c>
      <c r="AC1200" t="str">
        <f t="shared" si="1238"/>
        <v>Second Floor Prop.</v>
      </c>
      <c r="AD1200" t="str">
        <f t="shared" ca="1" si="1220"/>
        <v>FALSE</v>
      </c>
      <c r="AE1200" s="1">
        <f t="shared" ca="1" si="1174"/>
        <v>77</v>
      </c>
      <c r="AF1200" t="str">
        <f t="shared" ca="1" si="1218"/>
        <v>Plot 77</v>
      </c>
    </row>
    <row r="1201" spans="28:32" x14ac:dyDescent="0.25">
      <c r="AB1201" t="str">
        <f t="shared" ref="AB1201:AC1201" si="1239">AB1180</f>
        <v>External Scaffolding</v>
      </c>
      <c r="AC1201" t="str">
        <f t="shared" si="1239"/>
        <v>Hop-ups</v>
      </c>
      <c r="AD1201" t="b">
        <f t="shared" ca="1" si="1220"/>
        <v>1</v>
      </c>
      <c r="AE1201" s="1">
        <f t="shared" ca="1" si="1174"/>
        <v>77</v>
      </c>
      <c r="AF1201" t="str">
        <f t="shared" ca="1" si="1218"/>
        <v>Plot 77</v>
      </c>
    </row>
    <row r="1202" spans="28:32" x14ac:dyDescent="0.25">
      <c r="AB1202" t="str">
        <f t="shared" ref="AB1202:AC1202" si="1240">AB1181</f>
        <v>External Scaffolding</v>
      </c>
      <c r="AC1202" t="str">
        <f t="shared" si="1240"/>
        <v>Adaptions</v>
      </c>
      <c r="AD1202" t="b">
        <f t="shared" ca="1" si="1220"/>
        <v>1</v>
      </c>
      <c r="AE1202" s="1">
        <f t="shared" ref="AE1202:AE1265" ca="1" si="1241">OFFSET($AD$1,0,FLOOR(ROW(B1174)/21,1))</f>
        <v>77</v>
      </c>
      <c r="AF1202" t="str">
        <f t="shared" ca="1" si="1218"/>
        <v>Plot 77</v>
      </c>
    </row>
    <row r="1203" spans="28:32" x14ac:dyDescent="0.25">
      <c r="AB1203" t="str">
        <f t="shared" ref="AB1203:AC1203" si="1242">AB1182</f>
        <v>External Scaffolding</v>
      </c>
      <c r="AC1203" t="str">
        <f t="shared" si="1242"/>
        <v>Adaption Tower</v>
      </c>
      <c r="AD1203" t="b">
        <f t="shared" ca="1" si="1220"/>
        <v>1</v>
      </c>
      <c r="AE1203" s="1">
        <f t="shared" ca="1" si="1241"/>
        <v>77</v>
      </c>
      <c r="AF1203" t="str">
        <f t="shared" ca="1" si="1218"/>
        <v>Plot 77</v>
      </c>
    </row>
    <row r="1204" spans="28:32" x14ac:dyDescent="0.25">
      <c r="AB1204" t="str">
        <f t="shared" ref="AB1204:AC1204" si="1243">AB1183</f>
        <v>External Scaffolding</v>
      </c>
      <c r="AC1204" t="str">
        <f t="shared" si="1243"/>
        <v>Lift 1</v>
      </c>
      <c r="AD1204" t="b">
        <f t="shared" ca="1" si="1220"/>
        <v>1</v>
      </c>
      <c r="AE1204" s="1">
        <f t="shared" ca="1" si="1241"/>
        <v>78</v>
      </c>
      <c r="AF1204" t="str">
        <f t="shared" ca="1" si="1218"/>
        <v>Plot 78</v>
      </c>
    </row>
    <row r="1205" spans="28:32" x14ac:dyDescent="0.25">
      <c r="AB1205" t="str">
        <f t="shared" ref="AB1205:AC1205" si="1244">AB1184</f>
        <v>External Scaffolding</v>
      </c>
      <c r="AC1205" t="str">
        <f t="shared" si="1244"/>
        <v>Lift 2</v>
      </c>
      <c r="AD1205" t="b">
        <f t="shared" ca="1" si="1220"/>
        <v>1</v>
      </c>
      <c r="AE1205" s="1">
        <f t="shared" ca="1" si="1241"/>
        <v>78</v>
      </c>
      <c r="AF1205" t="str">
        <f t="shared" ca="1" si="1218"/>
        <v>Plot 78</v>
      </c>
    </row>
    <row r="1206" spans="28:32" x14ac:dyDescent="0.25">
      <c r="AB1206" t="str">
        <f t="shared" ref="AB1206:AC1206" si="1245">AB1185</f>
        <v>External Scaffolding</v>
      </c>
      <c r="AC1206" t="str">
        <f t="shared" si="1245"/>
        <v>Lift 3</v>
      </c>
      <c r="AD1206" t="b">
        <f t="shared" ca="1" si="1220"/>
        <v>1</v>
      </c>
      <c r="AE1206" s="1">
        <f t="shared" ca="1" si="1241"/>
        <v>78</v>
      </c>
      <c r="AF1206" t="str">
        <f t="shared" ca="1" si="1218"/>
        <v>Plot 78</v>
      </c>
    </row>
    <row r="1207" spans="28:32" x14ac:dyDescent="0.25">
      <c r="AB1207" t="str">
        <f t="shared" ref="AB1207:AC1207" si="1246">AB1186</f>
        <v>External Scaffolding</v>
      </c>
      <c r="AC1207" t="str">
        <f t="shared" si="1246"/>
        <v>Lift 4</v>
      </c>
      <c r="AD1207" t="b">
        <f t="shared" ca="1" si="1220"/>
        <v>0</v>
      </c>
      <c r="AE1207" s="1">
        <f t="shared" ca="1" si="1241"/>
        <v>78</v>
      </c>
      <c r="AF1207" t="str">
        <f t="shared" ca="1" si="1218"/>
        <v>Plot 78</v>
      </c>
    </row>
    <row r="1208" spans="28:32" x14ac:dyDescent="0.25">
      <c r="AB1208" t="str">
        <f t="shared" ref="AB1208:AC1208" si="1247">AB1187</f>
        <v>External Scaffolding</v>
      </c>
      <c r="AC1208" t="str">
        <f t="shared" si="1247"/>
        <v>Lift 5</v>
      </c>
      <c r="AD1208" t="b">
        <f t="shared" ca="1" si="1220"/>
        <v>0</v>
      </c>
      <c r="AE1208" s="1">
        <f t="shared" ca="1" si="1241"/>
        <v>78</v>
      </c>
      <c r="AF1208" t="str">
        <f t="shared" ca="1" si="1218"/>
        <v>Plot 78</v>
      </c>
    </row>
    <row r="1209" spans="28:32" x14ac:dyDescent="0.25">
      <c r="AB1209" t="str">
        <f t="shared" ref="AB1209:AC1209" si="1248">AB1188</f>
        <v>External Scaffolding</v>
      </c>
      <c r="AC1209" t="str">
        <f t="shared" si="1248"/>
        <v>Lift 6</v>
      </c>
      <c r="AD1209" t="b">
        <f t="shared" ca="1" si="1220"/>
        <v>0</v>
      </c>
      <c r="AE1209" s="1">
        <f t="shared" ca="1" si="1241"/>
        <v>78</v>
      </c>
      <c r="AF1209" t="str">
        <f t="shared" ca="1" si="1218"/>
        <v>Plot 78</v>
      </c>
    </row>
    <row r="1210" spans="28:32" x14ac:dyDescent="0.25">
      <c r="AB1210" t="str">
        <f t="shared" ref="AB1210:AC1210" si="1249">AB1189</f>
        <v>Loading Bay</v>
      </c>
      <c r="AC1210" t="str">
        <f t="shared" si="1249"/>
        <v>Lift 1</v>
      </c>
      <c r="AD1210" t="b">
        <f t="shared" ca="1" si="1220"/>
        <v>1</v>
      </c>
      <c r="AE1210" s="1">
        <f t="shared" ca="1" si="1241"/>
        <v>78</v>
      </c>
      <c r="AF1210" t="str">
        <f t="shared" ca="1" si="1218"/>
        <v>Plot 78</v>
      </c>
    </row>
    <row r="1211" spans="28:32" x14ac:dyDescent="0.25">
      <c r="AB1211" t="str">
        <f t="shared" ref="AB1211:AC1211" si="1250">AB1190</f>
        <v>Loading Bay</v>
      </c>
      <c r="AC1211" t="str">
        <f t="shared" si="1250"/>
        <v>Lift 2</v>
      </c>
      <c r="AD1211" t="b">
        <f t="shared" ca="1" si="1220"/>
        <v>1</v>
      </c>
      <c r="AE1211" s="1">
        <f t="shared" ca="1" si="1241"/>
        <v>78</v>
      </c>
      <c r="AF1211" t="str">
        <f t="shared" ca="1" si="1218"/>
        <v>Plot 78</v>
      </c>
    </row>
    <row r="1212" spans="28:32" x14ac:dyDescent="0.25">
      <c r="AB1212" t="str">
        <f t="shared" ref="AB1212:AC1212" si="1251">AB1191</f>
        <v>Loading Bay</v>
      </c>
      <c r="AC1212" t="str">
        <f t="shared" si="1251"/>
        <v>Lift 3</v>
      </c>
      <c r="AD1212" t="b">
        <f t="shared" ca="1" si="1220"/>
        <v>1</v>
      </c>
      <c r="AE1212" s="1">
        <f t="shared" ca="1" si="1241"/>
        <v>78</v>
      </c>
      <c r="AF1212" t="str">
        <f t="shared" ca="1" si="1218"/>
        <v>Plot 78</v>
      </c>
    </row>
    <row r="1213" spans="28:32" x14ac:dyDescent="0.25">
      <c r="AB1213" t="str">
        <f t="shared" ref="AB1213:AC1213" si="1252">AB1192</f>
        <v>Loading Bay</v>
      </c>
      <c r="AC1213" t="str">
        <f t="shared" si="1252"/>
        <v>Lift 4</v>
      </c>
      <c r="AD1213" t="b">
        <f t="shared" ca="1" si="1220"/>
        <v>0</v>
      </c>
      <c r="AE1213" s="1">
        <f t="shared" ca="1" si="1241"/>
        <v>78</v>
      </c>
      <c r="AF1213" t="str">
        <f t="shared" ca="1" si="1218"/>
        <v>Plot 78</v>
      </c>
    </row>
    <row r="1214" spans="28:32" x14ac:dyDescent="0.25">
      <c r="AB1214" t="str">
        <f t="shared" ref="AB1214:AC1214" si="1253">AB1193</f>
        <v>Loading Bay</v>
      </c>
      <c r="AC1214" t="str">
        <f t="shared" si="1253"/>
        <v>Lift 5</v>
      </c>
      <c r="AD1214" t="b">
        <f t="shared" ca="1" si="1220"/>
        <v>0</v>
      </c>
      <c r="AE1214" s="1">
        <f t="shared" ca="1" si="1241"/>
        <v>78</v>
      </c>
      <c r="AF1214" t="str">
        <f t="shared" ca="1" si="1218"/>
        <v>Plot 78</v>
      </c>
    </row>
    <row r="1215" spans="28:32" x14ac:dyDescent="0.25">
      <c r="AB1215" t="str">
        <f t="shared" ref="AB1215:AC1215" si="1254">AB1194</f>
        <v>Loading Bay</v>
      </c>
      <c r="AC1215" t="str">
        <f t="shared" si="1254"/>
        <v>Lift 6</v>
      </c>
      <c r="AD1215" t="b">
        <f t="shared" ca="1" si="1220"/>
        <v>0</v>
      </c>
      <c r="AE1215" s="1">
        <f t="shared" ca="1" si="1241"/>
        <v>78</v>
      </c>
      <c r="AF1215" t="str">
        <f t="shared" ca="1" si="1218"/>
        <v>Plot 78</v>
      </c>
    </row>
    <row r="1216" spans="28:32" x14ac:dyDescent="0.25">
      <c r="AB1216" t="str">
        <f t="shared" ref="AB1216:AC1216" si="1255">AB1195</f>
        <v>Scaffolding Platform</v>
      </c>
      <c r="AC1216" t="str">
        <f t="shared" si="1255"/>
        <v>Ground Floor</v>
      </c>
      <c r="AD1216" t="b">
        <f t="shared" ca="1" si="1220"/>
        <v>1</v>
      </c>
      <c r="AE1216" s="1">
        <f t="shared" ca="1" si="1241"/>
        <v>78</v>
      </c>
      <c r="AF1216" t="str">
        <f t="shared" ca="1" si="1218"/>
        <v>Plot 78</v>
      </c>
    </row>
    <row r="1217" spans="28:32" x14ac:dyDescent="0.25">
      <c r="AB1217" t="str">
        <f t="shared" ref="AB1217:AC1217" si="1256">AB1196</f>
        <v>Scaffolding Platform</v>
      </c>
      <c r="AC1217" t="str">
        <f t="shared" si="1256"/>
        <v>First Floor</v>
      </c>
      <c r="AD1217" t="b">
        <f t="shared" ca="1" si="1220"/>
        <v>1</v>
      </c>
      <c r="AE1217" s="1">
        <f t="shared" ca="1" si="1241"/>
        <v>78</v>
      </c>
      <c r="AF1217" t="str">
        <f t="shared" ca="1" si="1218"/>
        <v>Plot 78</v>
      </c>
    </row>
    <row r="1218" spans="28:32" x14ac:dyDescent="0.25">
      <c r="AB1218" t="str">
        <f t="shared" ref="AB1218:AC1218" si="1257">AB1197</f>
        <v>Scaffolding Platform</v>
      </c>
      <c r="AC1218" t="str">
        <f t="shared" si="1257"/>
        <v>Second Floor</v>
      </c>
      <c r="AD1218" t="b">
        <f t="shared" ca="1" si="1220"/>
        <v>0</v>
      </c>
      <c r="AE1218" s="1">
        <f t="shared" ca="1" si="1241"/>
        <v>78</v>
      </c>
      <c r="AF1218" t="str">
        <f t="shared" ca="1" si="1218"/>
        <v>Plot 78</v>
      </c>
    </row>
    <row r="1219" spans="28:32" x14ac:dyDescent="0.25">
      <c r="AB1219" t="str">
        <f t="shared" ref="AB1219:AC1219" si="1258">AB1198</f>
        <v>Supporting Scaffold</v>
      </c>
      <c r="AC1219" t="str">
        <f t="shared" si="1258"/>
        <v>Ground Floor Prop.</v>
      </c>
      <c r="AD1219" t="str">
        <f t="shared" ca="1" si="1220"/>
        <v>TRUE</v>
      </c>
      <c r="AE1219" s="1">
        <f t="shared" ca="1" si="1241"/>
        <v>78</v>
      </c>
      <c r="AF1219" t="str">
        <f t="shared" ca="1" si="1218"/>
        <v>Plot 78</v>
      </c>
    </row>
    <row r="1220" spans="28:32" x14ac:dyDescent="0.25">
      <c r="AB1220" t="str">
        <f t="shared" ref="AB1220:AC1220" si="1259">AB1199</f>
        <v>Supporting Scaffold</v>
      </c>
      <c r="AC1220" t="str">
        <f t="shared" si="1259"/>
        <v>First Floor Prop.</v>
      </c>
      <c r="AD1220" t="str">
        <f t="shared" ca="1" si="1220"/>
        <v>FALSE</v>
      </c>
      <c r="AE1220" s="1">
        <f t="shared" ca="1" si="1241"/>
        <v>78</v>
      </c>
      <c r="AF1220" t="str">
        <f t="shared" ca="1" si="1218"/>
        <v>Plot 78</v>
      </c>
    </row>
    <row r="1221" spans="28:32" x14ac:dyDescent="0.25">
      <c r="AB1221" t="str">
        <f t="shared" ref="AB1221:AC1221" si="1260">AB1200</f>
        <v>Supporting Scaffold</v>
      </c>
      <c r="AC1221" t="str">
        <f t="shared" si="1260"/>
        <v>Second Floor Prop.</v>
      </c>
      <c r="AD1221" t="str">
        <f t="shared" ca="1" si="1220"/>
        <v>FALSE</v>
      </c>
      <c r="AE1221" s="1">
        <f t="shared" ca="1" si="1241"/>
        <v>78</v>
      </c>
      <c r="AF1221" t="str">
        <f t="shared" ca="1" si="1218"/>
        <v>Plot 78</v>
      </c>
    </row>
    <row r="1222" spans="28:32" x14ac:dyDescent="0.25">
      <c r="AB1222" t="str">
        <f t="shared" ref="AB1222:AC1222" si="1261">AB1201</f>
        <v>External Scaffolding</v>
      </c>
      <c r="AC1222" t="str">
        <f t="shared" si="1261"/>
        <v>Hop-ups</v>
      </c>
      <c r="AD1222" t="b">
        <f t="shared" ca="1" si="1220"/>
        <v>1</v>
      </c>
      <c r="AE1222" s="1">
        <f t="shared" ca="1" si="1241"/>
        <v>78</v>
      </c>
      <c r="AF1222" t="str">
        <f t="shared" ca="1" si="1218"/>
        <v>Plot 78</v>
      </c>
    </row>
    <row r="1223" spans="28:32" x14ac:dyDescent="0.25">
      <c r="AB1223" t="str">
        <f t="shared" ref="AB1223:AC1223" si="1262">AB1202</f>
        <v>External Scaffolding</v>
      </c>
      <c r="AC1223" t="str">
        <f t="shared" si="1262"/>
        <v>Adaptions</v>
      </c>
      <c r="AD1223" t="b">
        <f t="shared" ca="1" si="1220"/>
        <v>1</v>
      </c>
      <c r="AE1223" s="1">
        <f t="shared" ca="1" si="1241"/>
        <v>78</v>
      </c>
      <c r="AF1223" t="str">
        <f t="shared" ca="1" si="1218"/>
        <v>Plot 78</v>
      </c>
    </row>
    <row r="1224" spans="28:32" x14ac:dyDescent="0.25">
      <c r="AB1224" t="str">
        <f t="shared" ref="AB1224:AC1224" si="1263">AB1203</f>
        <v>External Scaffolding</v>
      </c>
      <c r="AC1224" t="str">
        <f t="shared" si="1263"/>
        <v>Adaption Tower</v>
      </c>
      <c r="AD1224" t="b">
        <f t="shared" ca="1" si="1220"/>
        <v>1</v>
      </c>
      <c r="AE1224" s="1">
        <f t="shared" ca="1" si="1241"/>
        <v>78</v>
      </c>
      <c r="AF1224" t="str">
        <f t="shared" ca="1" si="1218"/>
        <v>Plot 78</v>
      </c>
    </row>
    <row r="1225" spans="28:32" x14ac:dyDescent="0.25">
      <c r="AB1225" t="str">
        <f t="shared" ref="AB1225:AC1225" si="1264">AB1204</f>
        <v>External Scaffolding</v>
      </c>
      <c r="AC1225" t="str">
        <f t="shared" si="1264"/>
        <v>Lift 1</v>
      </c>
      <c r="AD1225" t="b">
        <f t="shared" ca="1" si="1220"/>
        <v>1</v>
      </c>
      <c r="AE1225" s="1" t="str">
        <f t="shared" ca="1" si="1241"/>
        <v>79-80</v>
      </c>
      <c r="AF1225" t="str">
        <f t="shared" ca="1" si="1218"/>
        <v>Plot 79-80</v>
      </c>
    </row>
    <row r="1226" spans="28:32" x14ac:dyDescent="0.25">
      <c r="AB1226" t="str">
        <f t="shared" ref="AB1226:AC1226" si="1265">AB1205</f>
        <v>External Scaffolding</v>
      </c>
      <c r="AC1226" t="str">
        <f t="shared" si="1265"/>
        <v>Lift 2</v>
      </c>
      <c r="AD1226" t="b">
        <f t="shared" ca="1" si="1220"/>
        <v>1</v>
      </c>
      <c r="AE1226" s="1" t="str">
        <f t="shared" ca="1" si="1241"/>
        <v>79-80</v>
      </c>
      <c r="AF1226" t="str">
        <f t="shared" ca="1" si="1218"/>
        <v>Plot 79-80</v>
      </c>
    </row>
    <row r="1227" spans="28:32" x14ac:dyDescent="0.25">
      <c r="AB1227" t="str">
        <f t="shared" ref="AB1227:AC1227" si="1266">AB1206</f>
        <v>External Scaffolding</v>
      </c>
      <c r="AC1227" t="str">
        <f t="shared" si="1266"/>
        <v>Lift 3</v>
      </c>
      <c r="AD1227" t="b">
        <f t="shared" ca="1" si="1220"/>
        <v>1</v>
      </c>
      <c r="AE1227" s="1" t="str">
        <f t="shared" ca="1" si="1241"/>
        <v>79-80</v>
      </c>
      <c r="AF1227" t="str">
        <f t="shared" ca="1" si="1218"/>
        <v>Plot 79-80</v>
      </c>
    </row>
    <row r="1228" spans="28:32" x14ac:dyDescent="0.25">
      <c r="AB1228" t="str">
        <f t="shared" ref="AB1228:AC1228" si="1267">AB1207</f>
        <v>External Scaffolding</v>
      </c>
      <c r="AC1228" t="str">
        <f t="shared" si="1267"/>
        <v>Lift 4</v>
      </c>
      <c r="AD1228" t="b">
        <f t="shared" ca="1" si="1220"/>
        <v>0</v>
      </c>
      <c r="AE1228" s="1" t="str">
        <f t="shared" ca="1" si="1241"/>
        <v>79-80</v>
      </c>
      <c r="AF1228" t="str">
        <f t="shared" ca="1" si="1218"/>
        <v>Plot 79-80</v>
      </c>
    </row>
    <row r="1229" spans="28:32" x14ac:dyDescent="0.25">
      <c r="AB1229" t="str">
        <f t="shared" ref="AB1229:AC1229" si="1268">AB1208</f>
        <v>External Scaffolding</v>
      </c>
      <c r="AC1229" t="str">
        <f t="shared" si="1268"/>
        <v>Lift 5</v>
      </c>
      <c r="AD1229" t="b">
        <f t="shared" ca="1" si="1220"/>
        <v>0</v>
      </c>
      <c r="AE1229" s="1" t="str">
        <f t="shared" ca="1" si="1241"/>
        <v>79-80</v>
      </c>
      <c r="AF1229" t="str">
        <f t="shared" ca="1" si="1218"/>
        <v>Plot 79-80</v>
      </c>
    </row>
    <row r="1230" spans="28:32" x14ac:dyDescent="0.25">
      <c r="AB1230" t="str">
        <f t="shared" ref="AB1230:AC1230" si="1269">AB1209</f>
        <v>External Scaffolding</v>
      </c>
      <c r="AC1230" t="str">
        <f t="shared" si="1269"/>
        <v>Lift 6</v>
      </c>
      <c r="AD1230" t="b">
        <f t="shared" ca="1" si="1220"/>
        <v>0</v>
      </c>
      <c r="AE1230" s="1" t="str">
        <f t="shared" ca="1" si="1241"/>
        <v>79-80</v>
      </c>
      <c r="AF1230" t="str">
        <f t="shared" ca="1" si="1218"/>
        <v>Plot 79-80</v>
      </c>
    </row>
    <row r="1231" spans="28:32" x14ac:dyDescent="0.25">
      <c r="AB1231" t="str">
        <f t="shared" ref="AB1231:AC1231" si="1270">AB1210</f>
        <v>Loading Bay</v>
      </c>
      <c r="AC1231" t="str">
        <f t="shared" si="1270"/>
        <v>Lift 1</v>
      </c>
      <c r="AD1231" t="b">
        <f t="shared" ca="1" si="1220"/>
        <v>1</v>
      </c>
      <c r="AE1231" s="1" t="str">
        <f t="shared" ca="1" si="1241"/>
        <v>79-80</v>
      </c>
      <c r="AF1231" t="str">
        <f t="shared" ca="1" si="1218"/>
        <v>Plot 79-80</v>
      </c>
    </row>
    <row r="1232" spans="28:32" x14ac:dyDescent="0.25">
      <c r="AB1232" t="str">
        <f t="shared" ref="AB1232:AC1232" si="1271">AB1211</f>
        <v>Loading Bay</v>
      </c>
      <c r="AC1232" t="str">
        <f t="shared" si="1271"/>
        <v>Lift 2</v>
      </c>
      <c r="AD1232" t="b">
        <f t="shared" ca="1" si="1220"/>
        <v>1</v>
      </c>
      <c r="AE1232" s="1" t="str">
        <f t="shared" ca="1" si="1241"/>
        <v>79-80</v>
      </c>
      <c r="AF1232" t="str">
        <f t="shared" ca="1" si="1218"/>
        <v>Plot 79-80</v>
      </c>
    </row>
    <row r="1233" spans="28:32" x14ac:dyDescent="0.25">
      <c r="AB1233" t="str">
        <f t="shared" ref="AB1233:AC1233" si="1272">AB1212</f>
        <v>Loading Bay</v>
      </c>
      <c r="AC1233" t="str">
        <f t="shared" si="1272"/>
        <v>Lift 3</v>
      </c>
      <c r="AD1233" t="b">
        <f t="shared" ca="1" si="1220"/>
        <v>1</v>
      </c>
      <c r="AE1233" s="1" t="str">
        <f t="shared" ca="1" si="1241"/>
        <v>79-80</v>
      </c>
      <c r="AF1233" t="str">
        <f t="shared" ca="1" si="1218"/>
        <v>Plot 79-80</v>
      </c>
    </row>
    <row r="1234" spans="28:32" x14ac:dyDescent="0.25">
      <c r="AB1234" t="str">
        <f t="shared" ref="AB1234:AC1234" si="1273">AB1213</f>
        <v>Loading Bay</v>
      </c>
      <c r="AC1234" t="str">
        <f t="shared" si="1273"/>
        <v>Lift 4</v>
      </c>
      <c r="AD1234" t="b">
        <f t="shared" ca="1" si="1220"/>
        <v>0</v>
      </c>
      <c r="AE1234" s="1" t="str">
        <f t="shared" ca="1" si="1241"/>
        <v>79-80</v>
      </c>
      <c r="AF1234" t="str">
        <f t="shared" ca="1" si="1218"/>
        <v>Plot 79-80</v>
      </c>
    </row>
    <row r="1235" spans="28:32" x14ac:dyDescent="0.25">
      <c r="AB1235" t="str">
        <f t="shared" ref="AB1235:AC1235" si="1274">AB1214</f>
        <v>Loading Bay</v>
      </c>
      <c r="AC1235" t="str">
        <f t="shared" si="1274"/>
        <v>Lift 5</v>
      </c>
      <c r="AD1235" t="b">
        <f t="shared" ca="1" si="1220"/>
        <v>0</v>
      </c>
      <c r="AE1235" s="1" t="str">
        <f t="shared" ca="1" si="1241"/>
        <v>79-80</v>
      </c>
      <c r="AF1235" t="str">
        <f t="shared" ca="1" si="1218"/>
        <v>Plot 79-80</v>
      </c>
    </row>
    <row r="1236" spans="28:32" x14ac:dyDescent="0.25">
      <c r="AB1236" t="str">
        <f t="shared" ref="AB1236:AC1236" si="1275">AB1215</f>
        <v>Loading Bay</v>
      </c>
      <c r="AC1236" t="str">
        <f t="shared" si="1275"/>
        <v>Lift 6</v>
      </c>
      <c r="AD1236" t="b">
        <f t="shared" ca="1" si="1220"/>
        <v>0</v>
      </c>
      <c r="AE1236" s="1" t="str">
        <f t="shared" ca="1" si="1241"/>
        <v>79-80</v>
      </c>
      <c r="AF1236" t="str">
        <f t="shared" ca="1" si="1218"/>
        <v>Plot 79-80</v>
      </c>
    </row>
    <row r="1237" spans="28:32" x14ac:dyDescent="0.25">
      <c r="AB1237" t="str">
        <f t="shared" ref="AB1237:AC1237" si="1276">AB1216</f>
        <v>Scaffolding Platform</v>
      </c>
      <c r="AC1237" t="str">
        <f t="shared" si="1276"/>
        <v>Ground Floor</v>
      </c>
      <c r="AD1237" t="b">
        <f t="shared" ca="1" si="1220"/>
        <v>1</v>
      </c>
      <c r="AE1237" s="1" t="str">
        <f t="shared" ca="1" si="1241"/>
        <v>79-80</v>
      </c>
      <c r="AF1237" t="str">
        <f t="shared" ca="1" si="1218"/>
        <v>Plot 79-80</v>
      </c>
    </row>
    <row r="1238" spans="28:32" x14ac:dyDescent="0.25">
      <c r="AB1238" t="str">
        <f t="shared" ref="AB1238:AC1238" si="1277">AB1217</f>
        <v>Scaffolding Platform</v>
      </c>
      <c r="AC1238" t="str">
        <f t="shared" si="1277"/>
        <v>First Floor</v>
      </c>
      <c r="AD1238" t="b">
        <f t="shared" ca="1" si="1220"/>
        <v>1</v>
      </c>
      <c r="AE1238" s="1" t="str">
        <f t="shared" ca="1" si="1241"/>
        <v>79-80</v>
      </c>
      <c r="AF1238" t="str">
        <f t="shared" ca="1" si="1218"/>
        <v>Plot 79-80</v>
      </c>
    </row>
    <row r="1239" spans="28:32" x14ac:dyDescent="0.25">
      <c r="AB1239" t="str">
        <f t="shared" ref="AB1239:AC1239" si="1278">AB1218</f>
        <v>Scaffolding Platform</v>
      </c>
      <c r="AC1239" t="str">
        <f t="shared" si="1278"/>
        <v>Second Floor</v>
      </c>
      <c r="AD1239" t="b">
        <f t="shared" ca="1" si="1220"/>
        <v>0</v>
      </c>
      <c r="AE1239" s="1" t="str">
        <f t="shared" ca="1" si="1241"/>
        <v>79-80</v>
      </c>
      <c r="AF1239" t="str">
        <f t="shared" ca="1" si="1218"/>
        <v>Plot 79-80</v>
      </c>
    </row>
    <row r="1240" spans="28:32" x14ac:dyDescent="0.25">
      <c r="AB1240" t="str">
        <f t="shared" ref="AB1240:AC1240" si="1279">AB1219</f>
        <v>Supporting Scaffold</v>
      </c>
      <c r="AC1240" t="str">
        <f t="shared" si="1279"/>
        <v>Ground Floor Prop.</v>
      </c>
      <c r="AD1240" t="str">
        <f t="shared" ca="1" si="1220"/>
        <v>TRUE</v>
      </c>
      <c r="AE1240" s="1" t="str">
        <f t="shared" ca="1" si="1241"/>
        <v>79-80</v>
      </c>
      <c r="AF1240" t="str">
        <f t="shared" ca="1" si="1218"/>
        <v>Plot 79-80</v>
      </c>
    </row>
    <row r="1241" spans="28:32" x14ac:dyDescent="0.25">
      <c r="AB1241" t="str">
        <f t="shared" ref="AB1241:AC1241" si="1280">AB1220</f>
        <v>Supporting Scaffold</v>
      </c>
      <c r="AC1241" t="str">
        <f t="shared" si="1280"/>
        <v>First Floor Prop.</v>
      </c>
      <c r="AD1241" t="str">
        <f t="shared" ca="1" si="1220"/>
        <v>FALSE</v>
      </c>
      <c r="AE1241" s="1" t="str">
        <f t="shared" ca="1" si="1241"/>
        <v>79-80</v>
      </c>
      <c r="AF1241" t="str">
        <f t="shared" ca="1" si="1218"/>
        <v>Plot 79-80</v>
      </c>
    </row>
    <row r="1242" spans="28:32" x14ac:dyDescent="0.25">
      <c r="AB1242" t="str">
        <f t="shared" ref="AB1242:AC1242" si="1281">AB1221</f>
        <v>Supporting Scaffold</v>
      </c>
      <c r="AC1242" t="str">
        <f t="shared" si="1281"/>
        <v>Second Floor Prop.</v>
      </c>
      <c r="AD1242" t="str">
        <f t="shared" ca="1" si="1220"/>
        <v>FALSE</v>
      </c>
      <c r="AE1242" s="1" t="str">
        <f t="shared" ca="1" si="1241"/>
        <v>79-80</v>
      </c>
      <c r="AF1242" t="str">
        <f t="shared" ca="1" si="1218"/>
        <v>Plot 79-80</v>
      </c>
    </row>
    <row r="1243" spans="28:32" x14ac:dyDescent="0.25">
      <c r="AB1243" t="str">
        <f t="shared" ref="AB1243:AC1243" si="1282">AB1222</f>
        <v>External Scaffolding</v>
      </c>
      <c r="AC1243" t="str">
        <f t="shared" si="1282"/>
        <v>Hop-ups</v>
      </c>
      <c r="AD1243" t="b">
        <f t="shared" ca="1" si="1220"/>
        <v>1</v>
      </c>
      <c r="AE1243" s="1" t="str">
        <f t="shared" ca="1" si="1241"/>
        <v>79-80</v>
      </c>
      <c r="AF1243" t="str">
        <f t="shared" ca="1" si="1218"/>
        <v>Plot 79-80</v>
      </c>
    </row>
    <row r="1244" spans="28:32" x14ac:dyDescent="0.25">
      <c r="AB1244" t="str">
        <f t="shared" ref="AB1244:AC1244" si="1283">AB1223</f>
        <v>External Scaffolding</v>
      </c>
      <c r="AC1244" t="str">
        <f t="shared" si="1283"/>
        <v>Adaptions</v>
      </c>
      <c r="AD1244" t="b">
        <f t="shared" ca="1" si="1220"/>
        <v>1</v>
      </c>
      <c r="AE1244" s="1" t="str">
        <f t="shared" ca="1" si="1241"/>
        <v>79-80</v>
      </c>
      <c r="AF1244" t="str">
        <f t="shared" ca="1" si="1218"/>
        <v>Plot 79-80</v>
      </c>
    </row>
    <row r="1245" spans="28:32" x14ac:dyDescent="0.25">
      <c r="AB1245" t="str">
        <f t="shared" ref="AB1245:AC1245" si="1284">AB1224</f>
        <v>External Scaffolding</v>
      </c>
      <c r="AC1245" t="str">
        <f t="shared" si="1284"/>
        <v>Adaption Tower</v>
      </c>
      <c r="AD1245" t="b">
        <f t="shared" ca="1" si="1220"/>
        <v>1</v>
      </c>
      <c r="AE1245" s="1" t="str">
        <f t="shared" ca="1" si="1241"/>
        <v>79-80</v>
      </c>
      <c r="AF1245" t="str">
        <f t="shared" ref="AF1245:AF1308" ca="1" si="1285">IF(LEFT(AE1245,1)="G",AE1245,"Plot "&amp;AE1245)</f>
        <v>Plot 79-80</v>
      </c>
    </row>
    <row r="1246" spans="28:32" x14ac:dyDescent="0.25">
      <c r="AB1246" t="str">
        <f t="shared" ref="AB1246:AC1246" si="1286">AB1225</f>
        <v>External Scaffolding</v>
      </c>
      <c r="AC1246" t="str">
        <f t="shared" si="1286"/>
        <v>Lift 1</v>
      </c>
      <c r="AD1246" t="b">
        <f t="shared" ref="AD1246:AD1309" ca="1" si="1287">INDEX($AC$1:$JH$22,MATCH(AC1246,$AC$1:$AC$22,0),MATCH(AE1246,$AC$1:$JH$1,0))</f>
        <v>1</v>
      </c>
      <c r="AE1246" s="1" t="str">
        <f t="shared" ca="1" si="1241"/>
        <v>81-82</v>
      </c>
      <c r="AF1246" t="str">
        <f t="shared" ca="1" si="1285"/>
        <v>Plot 81-82</v>
      </c>
    </row>
    <row r="1247" spans="28:32" x14ac:dyDescent="0.25">
      <c r="AB1247" t="str">
        <f t="shared" ref="AB1247:AC1247" si="1288">AB1226</f>
        <v>External Scaffolding</v>
      </c>
      <c r="AC1247" t="str">
        <f t="shared" si="1288"/>
        <v>Lift 2</v>
      </c>
      <c r="AD1247" t="b">
        <f t="shared" ca="1" si="1287"/>
        <v>1</v>
      </c>
      <c r="AE1247" s="1" t="str">
        <f t="shared" ca="1" si="1241"/>
        <v>81-82</v>
      </c>
      <c r="AF1247" t="str">
        <f t="shared" ca="1" si="1285"/>
        <v>Plot 81-82</v>
      </c>
    </row>
    <row r="1248" spans="28:32" x14ac:dyDescent="0.25">
      <c r="AB1248" t="str">
        <f t="shared" ref="AB1248:AC1248" si="1289">AB1227</f>
        <v>External Scaffolding</v>
      </c>
      <c r="AC1248" t="str">
        <f t="shared" si="1289"/>
        <v>Lift 3</v>
      </c>
      <c r="AD1248" t="b">
        <f t="shared" ca="1" si="1287"/>
        <v>1</v>
      </c>
      <c r="AE1248" s="1" t="str">
        <f t="shared" ca="1" si="1241"/>
        <v>81-82</v>
      </c>
      <c r="AF1248" t="str">
        <f t="shared" ca="1" si="1285"/>
        <v>Plot 81-82</v>
      </c>
    </row>
    <row r="1249" spans="28:32" x14ac:dyDescent="0.25">
      <c r="AB1249" t="str">
        <f t="shared" ref="AB1249:AC1249" si="1290">AB1228</f>
        <v>External Scaffolding</v>
      </c>
      <c r="AC1249" t="str">
        <f t="shared" si="1290"/>
        <v>Lift 4</v>
      </c>
      <c r="AD1249" t="b">
        <f t="shared" ca="1" si="1287"/>
        <v>0</v>
      </c>
      <c r="AE1249" s="1" t="str">
        <f t="shared" ca="1" si="1241"/>
        <v>81-82</v>
      </c>
      <c r="AF1249" t="str">
        <f t="shared" ca="1" si="1285"/>
        <v>Plot 81-82</v>
      </c>
    </row>
    <row r="1250" spans="28:32" x14ac:dyDescent="0.25">
      <c r="AB1250" t="str">
        <f t="shared" ref="AB1250:AC1250" si="1291">AB1229</f>
        <v>External Scaffolding</v>
      </c>
      <c r="AC1250" t="str">
        <f t="shared" si="1291"/>
        <v>Lift 5</v>
      </c>
      <c r="AD1250" t="b">
        <f t="shared" ca="1" si="1287"/>
        <v>0</v>
      </c>
      <c r="AE1250" s="1" t="str">
        <f t="shared" ca="1" si="1241"/>
        <v>81-82</v>
      </c>
      <c r="AF1250" t="str">
        <f t="shared" ca="1" si="1285"/>
        <v>Plot 81-82</v>
      </c>
    </row>
    <row r="1251" spans="28:32" x14ac:dyDescent="0.25">
      <c r="AB1251" t="str">
        <f t="shared" ref="AB1251:AC1251" si="1292">AB1230</f>
        <v>External Scaffolding</v>
      </c>
      <c r="AC1251" t="str">
        <f t="shared" si="1292"/>
        <v>Lift 6</v>
      </c>
      <c r="AD1251" t="b">
        <f t="shared" ca="1" si="1287"/>
        <v>0</v>
      </c>
      <c r="AE1251" s="1" t="str">
        <f t="shared" ca="1" si="1241"/>
        <v>81-82</v>
      </c>
      <c r="AF1251" t="str">
        <f t="shared" ca="1" si="1285"/>
        <v>Plot 81-82</v>
      </c>
    </row>
    <row r="1252" spans="28:32" x14ac:dyDescent="0.25">
      <c r="AB1252" t="str">
        <f t="shared" ref="AB1252:AC1252" si="1293">AB1231</f>
        <v>Loading Bay</v>
      </c>
      <c r="AC1252" t="str">
        <f t="shared" si="1293"/>
        <v>Lift 1</v>
      </c>
      <c r="AD1252" t="b">
        <f t="shared" ca="1" si="1287"/>
        <v>1</v>
      </c>
      <c r="AE1252" s="1" t="str">
        <f t="shared" ca="1" si="1241"/>
        <v>81-82</v>
      </c>
      <c r="AF1252" t="str">
        <f t="shared" ca="1" si="1285"/>
        <v>Plot 81-82</v>
      </c>
    </row>
    <row r="1253" spans="28:32" x14ac:dyDescent="0.25">
      <c r="AB1253" t="str">
        <f t="shared" ref="AB1253:AC1253" si="1294">AB1232</f>
        <v>Loading Bay</v>
      </c>
      <c r="AC1253" t="str">
        <f t="shared" si="1294"/>
        <v>Lift 2</v>
      </c>
      <c r="AD1253" t="b">
        <f t="shared" ca="1" si="1287"/>
        <v>1</v>
      </c>
      <c r="AE1253" s="1" t="str">
        <f t="shared" ca="1" si="1241"/>
        <v>81-82</v>
      </c>
      <c r="AF1253" t="str">
        <f t="shared" ca="1" si="1285"/>
        <v>Plot 81-82</v>
      </c>
    </row>
    <row r="1254" spans="28:32" x14ac:dyDescent="0.25">
      <c r="AB1254" t="str">
        <f t="shared" ref="AB1254:AC1254" si="1295">AB1233</f>
        <v>Loading Bay</v>
      </c>
      <c r="AC1254" t="str">
        <f t="shared" si="1295"/>
        <v>Lift 3</v>
      </c>
      <c r="AD1254" t="b">
        <f t="shared" ca="1" si="1287"/>
        <v>1</v>
      </c>
      <c r="AE1254" s="1" t="str">
        <f t="shared" ca="1" si="1241"/>
        <v>81-82</v>
      </c>
      <c r="AF1254" t="str">
        <f t="shared" ca="1" si="1285"/>
        <v>Plot 81-82</v>
      </c>
    </row>
    <row r="1255" spans="28:32" x14ac:dyDescent="0.25">
      <c r="AB1255" t="str">
        <f t="shared" ref="AB1255:AC1255" si="1296">AB1234</f>
        <v>Loading Bay</v>
      </c>
      <c r="AC1255" t="str">
        <f t="shared" si="1296"/>
        <v>Lift 4</v>
      </c>
      <c r="AD1255" t="b">
        <f t="shared" ca="1" si="1287"/>
        <v>0</v>
      </c>
      <c r="AE1255" s="1" t="str">
        <f t="shared" ca="1" si="1241"/>
        <v>81-82</v>
      </c>
      <c r="AF1255" t="str">
        <f t="shared" ca="1" si="1285"/>
        <v>Plot 81-82</v>
      </c>
    </row>
    <row r="1256" spans="28:32" x14ac:dyDescent="0.25">
      <c r="AB1256" t="str">
        <f t="shared" ref="AB1256:AC1256" si="1297">AB1235</f>
        <v>Loading Bay</v>
      </c>
      <c r="AC1256" t="str">
        <f t="shared" si="1297"/>
        <v>Lift 5</v>
      </c>
      <c r="AD1256" t="b">
        <f t="shared" ca="1" si="1287"/>
        <v>0</v>
      </c>
      <c r="AE1256" s="1" t="str">
        <f t="shared" ca="1" si="1241"/>
        <v>81-82</v>
      </c>
      <c r="AF1256" t="str">
        <f t="shared" ca="1" si="1285"/>
        <v>Plot 81-82</v>
      </c>
    </row>
    <row r="1257" spans="28:32" x14ac:dyDescent="0.25">
      <c r="AB1257" t="str">
        <f t="shared" ref="AB1257:AC1257" si="1298">AB1236</f>
        <v>Loading Bay</v>
      </c>
      <c r="AC1257" t="str">
        <f t="shared" si="1298"/>
        <v>Lift 6</v>
      </c>
      <c r="AD1257" t="b">
        <f t="shared" ca="1" si="1287"/>
        <v>0</v>
      </c>
      <c r="AE1257" s="1" t="str">
        <f t="shared" ca="1" si="1241"/>
        <v>81-82</v>
      </c>
      <c r="AF1257" t="str">
        <f t="shared" ca="1" si="1285"/>
        <v>Plot 81-82</v>
      </c>
    </row>
    <row r="1258" spans="28:32" x14ac:dyDescent="0.25">
      <c r="AB1258" t="str">
        <f t="shared" ref="AB1258:AC1258" si="1299">AB1237</f>
        <v>Scaffolding Platform</v>
      </c>
      <c r="AC1258" t="str">
        <f t="shared" si="1299"/>
        <v>Ground Floor</v>
      </c>
      <c r="AD1258" t="b">
        <f t="shared" ca="1" si="1287"/>
        <v>1</v>
      </c>
      <c r="AE1258" s="1" t="str">
        <f t="shared" ca="1" si="1241"/>
        <v>81-82</v>
      </c>
      <c r="AF1258" t="str">
        <f t="shared" ca="1" si="1285"/>
        <v>Plot 81-82</v>
      </c>
    </row>
    <row r="1259" spans="28:32" x14ac:dyDescent="0.25">
      <c r="AB1259" t="str">
        <f t="shared" ref="AB1259:AC1259" si="1300">AB1238</f>
        <v>Scaffolding Platform</v>
      </c>
      <c r="AC1259" t="str">
        <f t="shared" si="1300"/>
        <v>First Floor</v>
      </c>
      <c r="AD1259" t="b">
        <f t="shared" ca="1" si="1287"/>
        <v>1</v>
      </c>
      <c r="AE1259" s="1" t="str">
        <f t="shared" ca="1" si="1241"/>
        <v>81-82</v>
      </c>
      <c r="AF1259" t="str">
        <f t="shared" ca="1" si="1285"/>
        <v>Plot 81-82</v>
      </c>
    </row>
    <row r="1260" spans="28:32" x14ac:dyDescent="0.25">
      <c r="AB1260" t="str">
        <f t="shared" ref="AB1260:AC1260" si="1301">AB1239</f>
        <v>Scaffolding Platform</v>
      </c>
      <c r="AC1260" t="str">
        <f t="shared" si="1301"/>
        <v>Second Floor</v>
      </c>
      <c r="AD1260" t="b">
        <f t="shared" ca="1" si="1287"/>
        <v>0</v>
      </c>
      <c r="AE1260" s="1" t="str">
        <f t="shared" ca="1" si="1241"/>
        <v>81-82</v>
      </c>
      <c r="AF1260" t="str">
        <f t="shared" ca="1" si="1285"/>
        <v>Plot 81-82</v>
      </c>
    </row>
    <row r="1261" spans="28:32" x14ac:dyDescent="0.25">
      <c r="AB1261" t="str">
        <f t="shared" ref="AB1261:AC1261" si="1302">AB1240</f>
        <v>Supporting Scaffold</v>
      </c>
      <c r="AC1261" t="str">
        <f t="shared" si="1302"/>
        <v>Ground Floor Prop.</v>
      </c>
      <c r="AD1261" t="str">
        <f t="shared" ca="1" si="1287"/>
        <v>TRUE</v>
      </c>
      <c r="AE1261" s="1" t="str">
        <f t="shared" ca="1" si="1241"/>
        <v>81-82</v>
      </c>
      <c r="AF1261" t="str">
        <f t="shared" ca="1" si="1285"/>
        <v>Plot 81-82</v>
      </c>
    </row>
    <row r="1262" spans="28:32" x14ac:dyDescent="0.25">
      <c r="AB1262" t="str">
        <f t="shared" ref="AB1262:AC1262" si="1303">AB1241</f>
        <v>Supporting Scaffold</v>
      </c>
      <c r="AC1262" t="str">
        <f t="shared" si="1303"/>
        <v>First Floor Prop.</v>
      </c>
      <c r="AD1262" t="str">
        <f t="shared" ca="1" si="1287"/>
        <v>FALSE</v>
      </c>
      <c r="AE1262" s="1" t="str">
        <f t="shared" ca="1" si="1241"/>
        <v>81-82</v>
      </c>
      <c r="AF1262" t="str">
        <f t="shared" ca="1" si="1285"/>
        <v>Plot 81-82</v>
      </c>
    </row>
    <row r="1263" spans="28:32" x14ac:dyDescent="0.25">
      <c r="AB1263" t="str">
        <f t="shared" ref="AB1263:AC1263" si="1304">AB1242</f>
        <v>Supporting Scaffold</v>
      </c>
      <c r="AC1263" t="str">
        <f t="shared" si="1304"/>
        <v>Second Floor Prop.</v>
      </c>
      <c r="AD1263" t="str">
        <f t="shared" ca="1" si="1287"/>
        <v>FALSE</v>
      </c>
      <c r="AE1263" s="1" t="str">
        <f t="shared" ca="1" si="1241"/>
        <v>81-82</v>
      </c>
      <c r="AF1263" t="str">
        <f t="shared" ca="1" si="1285"/>
        <v>Plot 81-82</v>
      </c>
    </row>
    <row r="1264" spans="28:32" x14ac:dyDescent="0.25">
      <c r="AB1264" t="str">
        <f t="shared" ref="AB1264:AC1264" si="1305">AB1243</f>
        <v>External Scaffolding</v>
      </c>
      <c r="AC1264" t="str">
        <f t="shared" si="1305"/>
        <v>Hop-ups</v>
      </c>
      <c r="AD1264" t="b">
        <f t="shared" ca="1" si="1287"/>
        <v>1</v>
      </c>
      <c r="AE1264" s="1" t="str">
        <f t="shared" ca="1" si="1241"/>
        <v>81-82</v>
      </c>
      <c r="AF1264" t="str">
        <f t="shared" ca="1" si="1285"/>
        <v>Plot 81-82</v>
      </c>
    </row>
    <row r="1265" spans="28:32" x14ac:dyDescent="0.25">
      <c r="AB1265" t="str">
        <f t="shared" ref="AB1265:AC1265" si="1306">AB1244</f>
        <v>External Scaffolding</v>
      </c>
      <c r="AC1265" t="str">
        <f t="shared" si="1306"/>
        <v>Adaptions</v>
      </c>
      <c r="AD1265" t="b">
        <f t="shared" ca="1" si="1287"/>
        <v>1</v>
      </c>
      <c r="AE1265" s="1" t="str">
        <f t="shared" ca="1" si="1241"/>
        <v>81-82</v>
      </c>
      <c r="AF1265" t="str">
        <f t="shared" ca="1" si="1285"/>
        <v>Plot 81-82</v>
      </c>
    </row>
    <row r="1266" spans="28:32" x14ac:dyDescent="0.25">
      <c r="AB1266" t="str">
        <f t="shared" ref="AB1266:AC1266" si="1307">AB1245</f>
        <v>External Scaffolding</v>
      </c>
      <c r="AC1266" t="str">
        <f t="shared" si="1307"/>
        <v>Adaption Tower</v>
      </c>
      <c r="AD1266" t="b">
        <f t="shared" ca="1" si="1287"/>
        <v>1</v>
      </c>
      <c r="AE1266" s="1" t="str">
        <f t="shared" ref="AE1266:AE1329" ca="1" si="1308">OFFSET($AD$1,0,FLOOR(ROW(B1238)/21,1))</f>
        <v>81-82</v>
      </c>
      <c r="AF1266" t="str">
        <f t="shared" ca="1" si="1285"/>
        <v>Plot 81-82</v>
      </c>
    </row>
    <row r="1267" spans="28:32" x14ac:dyDescent="0.25">
      <c r="AB1267" t="str">
        <f t="shared" ref="AB1267:AC1267" si="1309">AB1246</f>
        <v>External Scaffolding</v>
      </c>
      <c r="AC1267" t="str">
        <f t="shared" si="1309"/>
        <v>Lift 1</v>
      </c>
      <c r="AD1267" t="b">
        <f t="shared" ca="1" si="1287"/>
        <v>1</v>
      </c>
      <c r="AE1267" s="1">
        <f t="shared" ca="1" si="1308"/>
        <v>83</v>
      </c>
      <c r="AF1267" t="str">
        <f t="shared" ca="1" si="1285"/>
        <v>Plot 83</v>
      </c>
    </row>
    <row r="1268" spans="28:32" x14ac:dyDescent="0.25">
      <c r="AB1268" t="str">
        <f t="shared" ref="AB1268:AC1268" si="1310">AB1247</f>
        <v>External Scaffolding</v>
      </c>
      <c r="AC1268" t="str">
        <f t="shared" si="1310"/>
        <v>Lift 2</v>
      </c>
      <c r="AD1268" t="b">
        <f t="shared" ca="1" si="1287"/>
        <v>1</v>
      </c>
      <c r="AE1268" s="1">
        <f t="shared" ca="1" si="1308"/>
        <v>83</v>
      </c>
      <c r="AF1268" t="str">
        <f t="shared" ca="1" si="1285"/>
        <v>Plot 83</v>
      </c>
    </row>
    <row r="1269" spans="28:32" x14ac:dyDescent="0.25">
      <c r="AB1269" t="str">
        <f t="shared" ref="AB1269:AC1269" si="1311">AB1248</f>
        <v>External Scaffolding</v>
      </c>
      <c r="AC1269" t="str">
        <f t="shared" si="1311"/>
        <v>Lift 3</v>
      </c>
      <c r="AD1269" t="b">
        <f t="shared" ca="1" si="1287"/>
        <v>1</v>
      </c>
      <c r="AE1269" s="1">
        <f t="shared" ca="1" si="1308"/>
        <v>83</v>
      </c>
      <c r="AF1269" t="str">
        <f t="shared" ca="1" si="1285"/>
        <v>Plot 83</v>
      </c>
    </row>
    <row r="1270" spans="28:32" x14ac:dyDescent="0.25">
      <c r="AB1270" t="str">
        <f t="shared" ref="AB1270:AC1270" si="1312">AB1249</f>
        <v>External Scaffolding</v>
      </c>
      <c r="AC1270" t="str">
        <f t="shared" si="1312"/>
        <v>Lift 4</v>
      </c>
      <c r="AD1270" t="b">
        <f t="shared" ca="1" si="1287"/>
        <v>0</v>
      </c>
      <c r="AE1270" s="1">
        <f t="shared" ca="1" si="1308"/>
        <v>83</v>
      </c>
      <c r="AF1270" t="str">
        <f t="shared" ca="1" si="1285"/>
        <v>Plot 83</v>
      </c>
    </row>
    <row r="1271" spans="28:32" x14ac:dyDescent="0.25">
      <c r="AB1271" t="str">
        <f t="shared" ref="AB1271:AC1271" si="1313">AB1250</f>
        <v>External Scaffolding</v>
      </c>
      <c r="AC1271" t="str">
        <f t="shared" si="1313"/>
        <v>Lift 5</v>
      </c>
      <c r="AD1271" t="b">
        <f t="shared" ca="1" si="1287"/>
        <v>0</v>
      </c>
      <c r="AE1271" s="1">
        <f t="shared" ca="1" si="1308"/>
        <v>83</v>
      </c>
      <c r="AF1271" t="str">
        <f t="shared" ca="1" si="1285"/>
        <v>Plot 83</v>
      </c>
    </row>
    <row r="1272" spans="28:32" x14ac:dyDescent="0.25">
      <c r="AB1272" t="str">
        <f t="shared" ref="AB1272:AC1272" si="1314">AB1251</f>
        <v>External Scaffolding</v>
      </c>
      <c r="AC1272" t="str">
        <f t="shared" si="1314"/>
        <v>Lift 6</v>
      </c>
      <c r="AD1272" t="b">
        <f t="shared" ca="1" si="1287"/>
        <v>0</v>
      </c>
      <c r="AE1272" s="1">
        <f t="shared" ca="1" si="1308"/>
        <v>83</v>
      </c>
      <c r="AF1272" t="str">
        <f t="shared" ca="1" si="1285"/>
        <v>Plot 83</v>
      </c>
    </row>
    <row r="1273" spans="28:32" x14ac:dyDescent="0.25">
      <c r="AB1273" t="str">
        <f t="shared" ref="AB1273:AC1273" si="1315">AB1252</f>
        <v>Loading Bay</v>
      </c>
      <c r="AC1273" t="str">
        <f t="shared" si="1315"/>
        <v>Lift 1</v>
      </c>
      <c r="AD1273" t="b">
        <f t="shared" ca="1" si="1287"/>
        <v>1</v>
      </c>
      <c r="AE1273" s="1">
        <f t="shared" ca="1" si="1308"/>
        <v>83</v>
      </c>
      <c r="AF1273" t="str">
        <f t="shared" ca="1" si="1285"/>
        <v>Plot 83</v>
      </c>
    </row>
    <row r="1274" spans="28:32" x14ac:dyDescent="0.25">
      <c r="AB1274" t="str">
        <f t="shared" ref="AB1274:AC1274" si="1316">AB1253</f>
        <v>Loading Bay</v>
      </c>
      <c r="AC1274" t="str">
        <f t="shared" si="1316"/>
        <v>Lift 2</v>
      </c>
      <c r="AD1274" t="b">
        <f t="shared" ca="1" si="1287"/>
        <v>1</v>
      </c>
      <c r="AE1274" s="1">
        <f t="shared" ca="1" si="1308"/>
        <v>83</v>
      </c>
      <c r="AF1274" t="str">
        <f t="shared" ca="1" si="1285"/>
        <v>Plot 83</v>
      </c>
    </row>
    <row r="1275" spans="28:32" x14ac:dyDescent="0.25">
      <c r="AB1275" t="str">
        <f t="shared" ref="AB1275:AC1275" si="1317">AB1254</f>
        <v>Loading Bay</v>
      </c>
      <c r="AC1275" t="str">
        <f t="shared" si="1317"/>
        <v>Lift 3</v>
      </c>
      <c r="AD1275" t="b">
        <f t="shared" ca="1" si="1287"/>
        <v>1</v>
      </c>
      <c r="AE1275" s="1">
        <f t="shared" ca="1" si="1308"/>
        <v>83</v>
      </c>
      <c r="AF1275" t="str">
        <f t="shared" ca="1" si="1285"/>
        <v>Plot 83</v>
      </c>
    </row>
    <row r="1276" spans="28:32" x14ac:dyDescent="0.25">
      <c r="AB1276" t="str">
        <f t="shared" ref="AB1276:AC1276" si="1318">AB1255</f>
        <v>Loading Bay</v>
      </c>
      <c r="AC1276" t="str">
        <f t="shared" si="1318"/>
        <v>Lift 4</v>
      </c>
      <c r="AD1276" t="b">
        <f t="shared" ca="1" si="1287"/>
        <v>0</v>
      </c>
      <c r="AE1276" s="1">
        <f t="shared" ca="1" si="1308"/>
        <v>83</v>
      </c>
      <c r="AF1276" t="str">
        <f t="shared" ca="1" si="1285"/>
        <v>Plot 83</v>
      </c>
    </row>
    <row r="1277" spans="28:32" x14ac:dyDescent="0.25">
      <c r="AB1277" t="str">
        <f t="shared" ref="AB1277:AC1277" si="1319">AB1256</f>
        <v>Loading Bay</v>
      </c>
      <c r="AC1277" t="str">
        <f t="shared" si="1319"/>
        <v>Lift 5</v>
      </c>
      <c r="AD1277" t="b">
        <f t="shared" ca="1" si="1287"/>
        <v>0</v>
      </c>
      <c r="AE1277" s="1">
        <f t="shared" ca="1" si="1308"/>
        <v>83</v>
      </c>
      <c r="AF1277" t="str">
        <f t="shared" ca="1" si="1285"/>
        <v>Plot 83</v>
      </c>
    </row>
    <row r="1278" spans="28:32" x14ac:dyDescent="0.25">
      <c r="AB1278" t="str">
        <f t="shared" ref="AB1278:AC1278" si="1320">AB1257</f>
        <v>Loading Bay</v>
      </c>
      <c r="AC1278" t="str">
        <f t="shared" si="1320"/>
        <v>Lift 6</v>
      </c>
      <c r="AD1278" t="b">
        <f t="shared" ca="1" si="1287"/>
        <v>0</v>
      </c>
      <c r="AE1278" s="1">
        <f t="shared" ca="1" si="1308"/>
        <v>83</v>
      </c>
      <c r="AF1278" t="str">
        <f t="shared" ca="1" si="1285"/>
        <v>Plot 83</v>
      </c>
    </row>
    <row r="1279" spans="28:32" x14ac:dyDescent="0.25">
      <c r="AB1279" t="str">
        <f t="shared" ref="AB1279:AC1279" si="1321">AB1258</f>
        <v>Scaffolding Platform</v>
      </c>
      <c r="AC1279" t="str">
        <f t="shared" si="1321"/>
        <v>Ground Floor</v>
      </c>
      <c r="AD1279" t="b">
        <f t="shared" ca="1" si="1287"/>
        <v>1</v>
      </c>
      <c r="AE1279" s="1">
        <f t="shared" ca="1" si="1308"/>
        <v>83</v>
      </c>
      <c r="AF1279" t="str">
        <f t="shared" ca="1" si="1285"/>
        <v>Plot 83</v>
      </c>
    </row>
    <row r="1280" spans="28:32" x14ac:dyDescent="0.25">
      <c r="AB1280" t="str">
        <f t="shared" ref="AB1280:AC1280" si="1322">AB1259</f>
        <v>Scaffolding Platform</v>
      </c>
      <c r="AC1280" t="str">
        <f t="shared" si="1322"/>
        <v>First Floor</v>
      </c>
      <c r="AD1280" t="b">
        <f t="shared" ca="1" si="1287"/>
        <v>1</v>
      </c>
      <c r="AE1280" s="1">
        <f t="shared" ca="1" si="1308"/>
        <v>83</v>
      </c>
      <c r="AF1280" t="str">
        <f t="shared" ca="1" si="1285"/>
        <v>Plot 83</v>
      </c>
    </row>
    <row r="1281" spans="28:32" x14ac:dyDescent="0.25">
      <c r="AB1281" t="str">
        <f t="shared" ref="AB1281:AC1281" si="1323">AB1260</f>
        <v>Scaffolding Platform</v>
      </c>
      <c r="AC1281" t="str">
        <f t="shared" si="1323"/>
        <v>Second Floor</v>
      </c>
      <c r="AD1281" t="b">
        <f t="shared" ca="1" si="1287"/>
        <v>0</v>
      </c>
      <c r="AE1281" s="1">
        <f t="shared" ca="1" si="1308"/>
        <v>83</v>
      </c>
      <c r="AF1281" t="str">
        <f t="shared" ca="1" si="1285"/>
        <v>Plot 83</v>
      </c>
    </row>
    <row r="1282" spans="28:32" x14ac:dyDescent="0.25">
      <c r="AB1282" t="str">
        <f t="shared" ref="AB1282:AC1282" si="1324">AB1261</f>
        <v>Supporting Scaffold</v>
      </c>
      <c r="AC1282" t="str">
        <f t="shared" si="1324"/>
        <v>Ground Floor Prop.</v>
      </c>
      <c r="AD1282" t="str">
        <f t="shared" ca="1" si="1287"/>
        <v>TRUE</v>
      </c>
      <c r="AE1282" s="1">
        <f t="shared" ca="1" si="1308"/>
        <v>83</v>
      </c>
      <c r="AF1282" t="str">
        <f t="shared" ca="1" si="1285"/>
        <v>Plot 83</v>
      </c>
    </row>
    <row r="1283" spans="28:32" x14ac:dyDescent="0.25">
      <c r="AB1283" t="str">
        <f t="shared" ref="AB1283:AC1283" si="1325">AB1262</f>
        <v>Supporting Scaffold</v>
      </c>
      <c r="AC1283" t="str">
        <f t="shared" si="1325"/>
        <v>First Floor Prop.</v>
      </c>
      <c r="AD1283" t="str">
        <f t="shared" ca="1" si="1287"/>
        <v>FALSE</v>
      </c>
      <c r="AE1283" s="1">
        <f t="shared" ca="1" si="1308"/>
        <v>83</v>
      </c>
      <c r="AF1283" t="str">
        <f t="shared" ca="1" si="1285"/>
        <v>Plot 83</v>
      </c>
    </row>
    <row r="1284" spans="28:32" x14ac:dyDescent="0.25">
      <c r="AB1284" t="str">
        <f t="shared" ref="AB1284:AC1284" si="1326">AB1263</f>
        <v>Supporting Scaffold</v>
      </c>
      <c r="AC1284" t="str">
        <f t="shared" si="1326"/>
        <v>Second Floor Prop.</v>
      </c>
      <c r="AD1284" t="str">
        <f t="shared" ca="1" si="1287"/>
        <v>FALSE</v>
      </c>
      <c r="AE1284" s="1">
        <f t="shared" ca="1" si="1308"/>
        <v>83</v>
      </c>
      <c r="AF1284" t="str">
        <f t="shared" ca="1" si="1285"/>
        <v>Plot 83</v>
      </c>
    </row>
    <row r="1285" spans="28:32" x14ac:dyDescent="0.25">
      <c r="AB1285" t="str">
        <f t="shared" ref="AB1285:AC1285" si="1327">AB1264</f>
        <v>External Scaffolding</v>
      </c>
      <c r="AC1285" t="str">
        <f t="shared" si="1327"/>
        <v>Hop-ups</v>
      </c>
      <c r="AD1285" t="b">
        <f t="shared" ca="1" si="1287"/>
        <v>1</v>
      </c>
      <c r="AE1285" s="1">
        <f t="shared" ca="1" si="1308"/>
        <v>83</v>
      </c>
      <c r="AF1285" t="str">
        <f t="shared" ca="1" si="1285"/>
        <v>Plot 83</v>
      </c>
    </row>
    <row r="1286" spans="28:32" x14ac:dyDescent="0.25">
      <c r="AB1286" t="str">
        <f t="shared" ref="AB1286:AC1286" si="1328">AB1265</f>
        <v>External Scaffolding</v>
      </c>
      <c r="AC1286" t="str">
        <f t="shared" si="1328"/>
        <v>Adaptions</v>
      </c>
      <c r="AD1286" t="b">
        <f t="shared" ca="1" si="1287"/>
        <v>1</v>
      </c>
      <c r="AE1286" s="1">
        <f t="shared" ca="1" si="1308"/>
        <v>83</v>
      </c>
      <c r="AF1286" t="str">
        <f t="shared" ca="1" si="1285"/>
        <v>Plot 83</v>
      </c>
    </row>
    <row r="1287" spans="28:32" x14ac:dyDescent="0.25">
      <c r="AB1287" t="str">
        <f t="shared" ref="AB1287:AC1287" si="1329">AB1266</f>
        <v>External Scaffolding</v>
      </c>
      <c r="AC1287" t="str">
        <f t="shared" si="1329"/>
        <v>Adaption Tower</v>
      </c>
      <c r="AD1287" t="b">
        <f t="shared" ca="1" si="1287"/>
        <v>1</v>
      </c>
      <c r="AE1287" s="1">
        <f t="shared" ca="1" si="1308"/>
        <v>83</v>
      </c>
      <c r="AF1287" t="str">
        <f t="shared" ca="1" si="1285"/>
        <v>Plot 83</v>
      </c>
    </row>
    <row r="1288" spans="28:32" x14ac:dyDescent="0.25">
      <c r="AB1288" t="str">
        <f t="shared" ref="AB1288:AC1288" si="1330">AB1267</f>
        <v>External Scaffolding</v>
      </c>
      <c r="AC1288" t="str">
        <f t="shared" si="1330"/>
        <v>Lift 1</v>
      </c>
      <c r="AD1288" t="b">
        <f t="shared" ca="1" si="1287"/>
        <v>1</v>
      </c>
      <c r="AE1288" s="1">
        <f t="shared" ca="1" si="1308"/>
        <v>84</v>
      </c>
      <c r="AF1288" t="str">
        <f t="shared" ca="1" si="1285"/>
        <v>Plot 84</v>
      </c>
    </row>
    <row r="1289" spans="28:32" x14ac:dyDescent="0.25">
      <c r="AB1289" t="str">
        <f t="shared" ref="AB1289:AC1289" si="1331">AB1268</f>
        <v>External Scaffolding</v>
      </c>
      <c r="AC1289" t="str">
        <f t="shared" si="1331"/>
        <v>Lift 2</v>
      </c>
      <c r="AD1289" t="b">
        <f t="shared" ca="1" si="1287"/>
        <v>1</v>
      </c>
      <c r="AE1289" s="1">
        <f t="shared" ca="1" si="1308"/>
        <v>84</v>
      </c>
      <c r="AF1289" t="str">
        <f t="shared" ca="1" si="1285"/>
        <v>Plot 84</v>
      </c>
    </row>
    <row r="1290" spans="28:32" x14ac:dyDescent="0.25">
      <c r="AB1290" t="str">
        <f t="shared" ref="AB1290:AC1290" si="1332">AB1269</f>
        <v>External Scaffolding</v>
      </c>
      <c r="AC1290" t="str">
        <f t="shared" si="1332"/>
        <v>Lift 3</v>
      </c>
      <c r="AD1290" t="b">
        <f t="shared" ca="1" si="1287"/>
        <v>1</v>
      </c>
      <c r="AE1290" s="1">
        <f t="shared" ca="1" si="1308"/>
        <v>84</v>
      </c>
      <c r="AF1290" t="str">
        <f t="shared" ca="1" si="1285"/>
        <v>Plot 84</v>
      </c>
    </row>
    <row r="1291" spans="28:32" x14ac:dyDescent="0.25">
      <c r="AB1291" t="str">
        <f t="shared" ref="AB1291:AC1291" si="1333">AB1270</f>
        <v>External Scaffolding</v>
      </c>
      <c r="AC1291" t="str">
        <f t="shared" si="1333"/>
        <v>Lift 4</v>
      </c>
      <c r="AD1291" t="b">
        <f t="shared" ca="1" si="1287"/>
        <v>0</v>
      </c>
      <c r="AE1291" s="1">
        <f t="shared" ca="1" si="1308"/>
        <v>84</v>
      </c>
      <c r="AF1291" t="str">
        <f t="shared" ca="1" si="1285"/>
        <v>Plot 84</v>
      </c>
    </row>
    <row r="1292" spans="28:32" x14ac:dyDescent="0.25">
      <c r="AB1292" t="str">
        <f t="shared" ref="AB1292:AC1292" si="1334">AB1271</f>
        <v>External Scaffolding</v>
      </c>
      <c r="AC1292" t="str">
        <f t="shared" si="1334"/>
        <v>Lift 5</v>
      </c>
      <c r="AD1292" t="b">
        <f t="shared" ca="1" si="1287"/>
        <v>0</v>
      </c>
      <c r="AE1292" s="1">
        <f t="shared" ca="1" si="1308"/>
        <v>84</v>
      </c>
      <c r="AF1292" t="str">
        <f t="shared" ca="1" si="1285"/>
        <v>Plot 84</v>
      </c>
    </row>
    <row r="1293" spans="28:32" x14ac:dyDescent="0.25">
      <c r="AB1293" t="str">
        <f t="shared" ref="AB1293:AC1293" si="1335">AB1272</f>
        <v>External Scaffolding</v>
      </c>
      <c r="AC1293" t="str">
        <f t="shared" si="1335"/>
        <v>Lift 6</v>
      </c>
      <c r="AD1293" t="b">
        <f t="shared" ca="1" si="1287"/>
        <v>0</v>
      </c>
      <c r="AE1293" s="1">
        <f t="shared" ca="1" si="1308"/>
        <v>84</v>
      </c>
      <c r="AF1293" t="str">
        <f t="shared" ca="1" si="1285"/>
        <v>Plot 84</v>
      </c>
    </row>
    <row r="1294" spans="28:32" x14ac:dyDescent="0.25">
      <c r="AB1294" t="str">
        <f t="shared" ref="AB1294:AC1294" si="1336">AB1273</f>
        <v>Loading Bay</v>
      </c>
      <c r="AC1294" t="str">
        <f t="shared" si="1336"/>
        <v>Lift 1</v>
      </c>
      <c r="AD1294" t="b">
        <f t="shared" ca="1" si="1287"/>
        <v>1</v>
      </c>
      <c r="AE1294" s="1">
        <f t="shared" ca="1" si="1308"/>
        <v>84</v>
      </c>
      <c r="AF1294" t="str">
        <f t="shared" ca="1" si="1285"/>
        <v>Plot 84</v>
      </c>
    </row>
    <row r="1295" spans="28:32" x14ac:dyDescent="0.25">
      <c r="AB1295" t="str">
        <f t="shared" ref="AB1295:AC1295" si="1337">AB1274</f>
        <v>Loading Bay</v>
      </c>
      <c r="AC1295" t="str">
        <f t="shared" si="1337"/>
        <v>Lift 2</v>
      </c>
      <c r="AD1295" t="b">
        <f t="shared" ca="1" si="1287"/>
        <v>1</v>
      </c>
      <c r="AE1295" s="1">
        <f t="shared" ca="1" si="1308"/>
        <v>84</v>
      </c>
      <c r="AF1295" t="str">
        <f t="shared" ca="1" si="1285"/>
        <v>Plot 84</v>
      </c>
    </row>
    <row r="1296" spans="28:32" x14ac:dyDescent="0.25">
      <c r="AB1296" t="str">
        <f t="shared" ref="AB1296:AC1296" si="1338">AB1275</f>
        <v>Loading Bay</v>
      </c>
      <c r="AC1296" t="str">
        <f t="shared" si="1338"/>
        <v>Lift 3</v>
      </c>
      <c r="AD1296" t="b">
        <f t="shared" ca="1" si="1287"/>
        <v>1</v>
      </c>
      <c r="AE1296" s="1">
        <f t="shared" ca="1" si="1308"/>
        <v>84</v>
      </c>
      <c r="AF1296" t="str">
        <f t="shared" ca="1" si="1285"/>
        <v>Plot 84</v>
      </c>
    </row>
    <row r="1297" spans="28:32" x14ac:dyDescent="0.25">
      <c r="AB1297" t="str">
        <f t="shared" ref="AB1297:AC1297" si="1339">AB1276</f>
        <v>Loading Bay</v>
      </c>
      <c r="AC1297" t="str">
        <f t="shared" si="1339"/>
        <v>Lift 4</v>
      </c>
      <c r="AD1297" t="b">
        <f t="shared" ca="1" si="1287"/>
        <v>0</v>
      </c>
      <c r="AE1297" s="1">
        <f t="shared" ca="1" si="1308"/>
        <v>84</v>
      </c>
      <c r="AF1297" t="str">
        <f t="shared" ca="1" si="1285"/>
        <v>Plot 84</v>
      </c>
    </row>
    <row r="1298" spans="28:32" x14ac:dyDescent="0.25">
      <c r="AB1298" t="str">
        <f t="shared" ref="AB1298:AC1298" si="1340">AB1277</f>
        <v>Loading Bay</v>
      </c>
      <c r="AC1298" t="str">
        <f t="shared" si="1340"/>
        <v>Lift 5</v>
      </c>
      <c r="AD1298" t="b">
        <f t="shared" ca="1" si="1287"/>
        <v>0</v>
      </c>
      <c r="AE1298" s="1">
        <f t="shared" ca="1" si="1308"/>
        <v>84</v>
      </c>
      <c r="AF1298" t="str">
        <f t="shared" ca="1" si="1285"/>
        <v>Plot 84</v>
      </c>
    </row>
    <row r="1299" spans="28:32" x14ac:dyDescent="0.25">
      <c r="AB1299" t="str">
        <f t="shared" ref="AB1299:AC1299" si="1341">AB1278</f>
        <v>Loading Bay</v>
      </c>
      <c r="AC1299" t="str">
        <f t="shared" si="1341"/>
        <v>Lift 6</v>
      </c>
      <c r="AD1299" t="b">
        <f t="shared" ca="1" si="1287"/>
        <v>0</v>
      </c>
      <c r="AE1299" s="1">
        <f t="shared" ca="1" si="1308"/>
        <v>84</v>
      </c>
      <c r="AF1299" t="str">
        <f t="shared" ca="1" si="1285"/>
        <v>Plot 84</v>
      </c>
    </row>
    <row r="1300" spans="28:32" x14ac:dyDescent="0.25">
      <c r="AB1300" t="str">
        <f t="shared" ref="AB1300:AC1300" si="1342">AB1279</f>
        <v>Scaffolding Platform</v>
      </c>
      <c r="AC1300" t="str">
        <f t="shared" si="1342"/>
        <v>Ground Floor</v>
      </c>
      <c r="AD1300" t="b">
        <f t="shared" ca="1" si="1287"/>
        <v>1</v>
      </c>
      <c r="AE1300" s="1">
        <f t="shared" ca="1" si="1308"/>
        <v>84</v>
      </c>
      <c r="AF1300" t="str">
        <f t="shared" ca="1" si="1285"/>
        <v>Plot 84</v>
      </c>
    </row>
    <row r="1301" spans="28:32" x14ac:dyDescent="0.25">
      <c r="AB1301" t="str">
        <f t="shared" ref="AB1301:AC1301" si="1343">AB1280</f>
        <v>Scaffolding Platform</v>
      </c>
      <c r="AC1301" t="str">
        <f t="shared" si="1343"/>
        <v>First Floor</v>
      </c>
      <c r="AD1301" t="b">
        <f t="shared" ca="1" si="1287"/>
        <v>1</v>
      </c>
      <c r="AE1301" s="1">
        <f t="shared" ca="1" si="1308"/>
        <v>84</v>
      </c>
      <c r="AF1301" t="str">
        <f t="shared" ca="1" si="1285"/>
        <v>Plot 84</v>
      </c>
    </row>
    <row r="1302" spans="28:32" x14ac:dyDescent="0.25">
      <c r="AB1302" t="str">
        <f t="shared" ref="AB1302:AC1302" si="1344">AB1281</f>
        <v>Scaffolding Platform</v>
      </c>
      <c r="AC1302" t="str">
        <f t="shared" si="1344"/>
        <v>Second Floor</v>
      </c>
      <c r="AD1302" t="b">
        <f t="shared" ca="1" si="1287"/>
        <v>0</v>
      </c>
      <c r="AE1302" s="1">
        <f t="shared" ca="1" si="1308"/>
        <v>84</v>
      </c>
      <c r="AF1302" t="str">
        <f t="shared" ca="1" si="1285"/>
        <v>Plot 84</v>
      </c>
    </row>
    <row r="1303" spans="28:32" x14ac:dyDescent="0.25">
      <c r="AB1303" t="str">
        <f t="shared" ref="AB1303:AC1303" si="1345">AB1282</f>
        <v>Supporting Scaffold</v>
      </c>
      <c r="AC1303" t="str">
        <f t="shared" si="1345"/>
        <v>Ground Floor Prop.</v>
      </c>
      <c r="AD1303" t="str">
        <f t="shared" ca="1" si="1287"/>
        <v>TRUE</v>
      </c>
      <c r="AE1303" s="1">
        <f t="shared" ca="1" si="1308"/>
        <v>84</v>
      </c>
      <c r="AF1303" t="str">
        <f t="shared" ca="1" si="1285"/>
        <v>Plot 84</v>
      </c>
    </row>
    <row r="1304" spans="28:32" x14ac:dyDescent="0.25">
      <c r="AB1304" t="str">
        <f t="shared" ref="AB1304:AC1304" si="1346">AB1283</f>
        <v>Supporting Scaffold</v>
      </c>
      <c r="AC1304" t="str">
        <f t="shared" si="1346"/>
        <v>First Floor Prop.</v>
      </c>
      <c r="AD1304" t="str">
        <f t="shared" ca="1" si="1287"/>
        <v>FALSE</v>
      </c>
      <c r="AE1304" s="1">
        <f t="shared" ca="1" si="1308"/>
        <v>84</v>
      </c>
      <c r="AF1304" t="str">
        <f t="shared" ca="1" si="1285"/>
        <v>Plot 84</v>
      </c>
    </row>
    <row r="1305" spans="28:32" x14ac:dyDescent="0.25">
      <c r="AB1305" t="str">
        <f t="shared" ref="AB1305:AC1305" si="1347">AB1284</f>
        <v>Supporting Scaffold</v>
      </c>
      <c r="AC1305" t="str">
        <f t="shared" si="1347"/>
        <v>Second Floor Prop.</v>
      </c>
      <c r="AD1305" t="str">
        <f t="shared" ca="1" si="1287"/>
        <v>FALSE</v>
      </c>
      <c r="AE1305" s="1">
        <f t="shared" ca="1" si="1308"/>
        <v>84</v>
      </c>
      <c r="AF1305" t="str">
        <f t="shared" ca="1" si="1285"/>
        <v>Plot 84</v>
      </c>
    </row>
    <row r="1306" spans="28:32" x14ac:dyDescent="0.25">
      <c r="AB1306" t="str">
        <f t="shared" ref="AB1306:AC1306" si="1348">AB1285</f>
        <v>External Scaffolding</v>
      </c>
      <c r="AC1306" t="str">
        <f t="shared" si="1348"/>
        <v>Hop-ups</v>
      </c>
      <c r="AD1306" t="b">
        <f t="shared" ca="1" si="1287"/>
        <v>1</v>
      </c>
      <c r="AE1306" s="1">
        <f t="shared" ca="1" si="1308"/>
        <v>84</v>
      </c>
      <c r="AF1306" t="str">
        <f t="shared" ca="1" si="1285"/>
        <v>Plot 84</v>
      </c>
    </row>
    <row r="1307" spans="28:32" x14ac:dyDescent="0.25">
      <c r="AB1307" t="str">
        <f t="shared" ref="AB1307:AC1307" si="1349">AB1286</f>
        <v>External Scaffolding</v>
      </c>
      <c r="AC1307" t="str">
        <f t="shared" si="1349"/>
        <v>Adaptions</v>
      </c>
      <c r="AD1307" t="b">
        <f t="shared" ca="1" si="1287"/>
        <v>1</v>
      </c>
      <c r="AE1307" s="1">
        <f t="shared" ca="1" si="1308"/>
        <v>84</v>
      </c>
      <c r="AF1307" t="str">
        <f t="shared" ca="1" si="1285"/>
        <v>Plot 84</v>
      </c>
    </row>
    <row r="1308" spans="28:32" x14ac:dyDescent="0.25">
      <c r="AB1308" t="str">
        <f t="shared" ref="AB1308:AC1308" si="1350">AB1287</f>
        <v>External Scaffolding</v>
      </c>
      <c r="AC1308" t="str">
        <f t="shared" si="1350"/>
        <v>Adaption Tower</v>
      </c>
      <c r="AD1308" t="b">
        <f t="shared" ca="1" si="1287"/>
        <v>1</v>
      </c>
      <c r="AE1308" s="1">
        <f t="shared" ca="1" si="1308"/>
        <v>84</v>
      </c>
      <c r="AF1308" t="str">
        <f t="shared" ca="1" si="1285"/>
        <v>Plot 84</v>
      </c>
    </row>
    <row r="1309" spans="28:32" x14ac:dyDescent="0.25">
      <c r="AB1309" t="str">
        <f t="shared" ref="AB1309:AC1309" si="1351">AB1288</f>
        <v>External Scaffolding</v>
      </c>
      <c r="AC1309" t="str">
        <f t="shared" si="1351"/>
        <v>Lift 1</v>
      </c>
      <c r="AD1309" t="b">
        <f t="shared" ca="1" si="1287"/>
        <v>1</v>
      </c>
      <c r="AE1309" s="1">
        <f t="shared" ca="1" si="1308"/>
        <v>85</v>
      </c>
      <c r="AF1309" t="str">
        <f t="shared" ref="AF1309:AF1372" ca="1" si="1352">IF(LEFT(AE1309,1)="G",AE1309,"Plot "&amp;AE1309)</f>
        <v>Plot 85</v>
      </c>
    </row>
    <row r="1310" spans="28:32" x14ac:dyDescent="0.25">
      <c r="AB1310" t="str">
        <f t="shared" ref="AB1310:AC1310" si="1353">AB1289</f>
        <v>External Scaffolding</v>
      </c>
      <c r="AC1310" t="str">
        <f t="shared" si="1353"/>
        <v>Lift 2</v>
      </c>
      <c r="AD1310" t="b">
        <f t="shared" ref="AD1310:AD1373" ca="1" si="1354">INDEX($AC$1:$JH$22,MATCH(AC1310,$AC$1:$AC$22,0),MATCH(AE1310,$AC$1:$JH$1,0))</f>
        <v>1</v>
      </c>
      <c r="AE1310" s="1">
        <f t="shared" ca="1" si="1308"/>
        <v>85</v>
      </c>
      <c r="AF1310" t="str">
        <f t="shared" ca="1" si="1352"/>
        <v>Plot 85</v>
      </c>
    </row>
    <row r="1311" spans="28:32" x14ac:dyDescent="0.25">
      <c r="AB1311" t="str">
        <f t="shared" ref="AB1311:AC1311" si="1355">AB1290</f>
        <v>External Scaffolding</v>
      </c>
      <c r="AC1311" t="str">
        <f t="shared" si="1355"/>
        <v>Lift 3</v>
      </c>
      <c r="AD1311" t="b">
        <f t="shared" ca="1" si="1354"/>
        <v>1</v>
      </c>
      <c r="AE1311" s="1">
        <f t="shared" ca="1" si="1308"/>
        <v>85</v>
      </c>
      <c r="AF1311" t="str">
        <f t="shared" ca="1" si="1352"/>
        <v>Plot 85</v>
      </c>
    </row>
    <row r="1312" spans="28:32" x14ac:dyDescent="0.25">
      <c r="AB1312" t="str">
        <f t="shared" ref="AB1312:AC1312" si="1356">AB1291</f>
        <v>External Scaffolding</v>
      </c>
      <c r="AC1312" t="str">
        <f t="shared" si="1356"/>
        <v>Lift 4</v>
      </c>
      <c r="AD1312" t="b">
        <f t="shared" ca="1" si="1354"/>
        <v>0</v>
      </c>
      <c r="AE1312" s="1">
        <f t="shared" ca="1" si="1308"/>
        <v>85</v>
      </c>
      <c r="AF1312" t="str">
        <f t="shared" ca="1" si="1352"/>
        <v>Plot 85</v>
      </c>
    </row>
    <row r="1313" spans="28:32" x14ac:dyDescent="0.25">
      <c r="AB1313" t="str">
        <f t="shared" ref="AB1313:AC1313" si="1357">AB1292</f>
        <v>External Scaffolding</v>
      </c>
      <c r="AC1313" t="str">
        <f t="shared" si="1357"/>
        <v>Lift 5</v>
      </c>
      <c r="AD1313" t="b">
        <f t="shared" ca="1" si="1354"/>
        <v>0</v>
      </c>
      <c r="AE1313" s="1">
        <f t="shared" ca="1" si="1308"/>
        <v>85</v>
      </c>
      <c r="AF1313" t="str">
        <f t="shared" ca="1" si="1352"/>
        <v>Plot 85</v>
      </c>
    </row>
    <row r="1314" spans="28:32" x14ac:dyDescent="0.25">
      <c r="AB1314" t="str">
        <f t="shared" ref="AB1314:AC1314" si="1358">AB1293</f>
        <v>External Scaffolding</v>
      </c>
      <c r="AC1314" t="str">
        <f t="shared" si="1358"/>
        <v>Lift 6</v>
      </c>
      <c r="AD1314" t="b">
        <f t="shared" ca="1" si="1354"/>
        <v>0</v>
      </c>
      <c r="AE1314" s="1">
        <f t="shared" ca="1" si="1308"/>
        <v>85</v>
      </c>
      <c r="AF1314" t="str">
        <f t="shared" ca="1" si="1352"/>
        <v>Plot 85</v>
      </c>
    </row>
    <row r="1315" spans="28:32" x14ac:dyDescent="0.25">
      <c r="AB1315" t="str">
        <f t="shared" ref="AB1315:AC1315" si="1359">AB1294</f>
        <v>Loading Bay</v>
      </c>
      <c r="AC1315" t="str">
        <f t="shared" si="1359"/>
        <v>Lift 1</v>
      </c>
      <c r="AD1315" t="b">
        <f t="shared" ca="1" si="1354"/>
        <v>1</v>
      </c>
      <c r="AE1315" s="1">
        <f t="shared" ca="1" si="1308"/>
        <v>85</v>
      </c>
      <c r="AF1315" t="str">
        <f t="shared" ca="1" si="1352"/>
        <v>Plot 85</v>
      </c>
    </row>
    <row r="1316" spans="28:32" x14ac:dyDescent="0.25">
      <c r="AB1316" t="str">
        <f t="shared" ref="AB1316:AC1316" si="1360">AB1295</f>
        <v>Loading Bay</v>
      </c>
      <c r="AC1316" t="str">
        <f t="shared" si="1360"/>
        <v>Lift 2</v>
      </c>
      <c r="AD1316" t="b">
        <f t="shared" ca="1" si="1354"/>
        <v>1</v>
      </c>
      <c r="AE1316" s="1">
        <f t="shared" ca="1" si="1308"/>
        <v>85</v>
      </c>
      <c r="AF1316" t="str">
        <f t="shared" ca="1" si="1352"/>
        <v>Plot 85</v>
      </c>
    </row>
    <row r="1317" spans="28:32" x14ac:dyDescent="0.25">
      <c r="AB1317" t="str">
        <f t="shared" ref="AB1317:AC1317" si="1361">AB1296</f>
        <v>Loading Bay</v>
      </c>
      <c r="AC1317" t="str">
        <f t="shared" si="1361"/>
        <v>Lift 3</v>
      </c>
      <c r="AD1317" t="b">
        <f t="shared" ca="1" si="1354"/>
        <v>1</v>
      </c>
      <c r="AE1317" s="1">
        <f t="shared" ca="1" si="1308"/>
        <v>85</v>
      </c>
      <c r="AF1317" t="str">
        <f t="shared" ca="1" si="1352"/>
        <v>Plot 85</v>
      </c>
    </row>
    <row r="1318" spans="28:32" x14ac:dyDescent="0.25">
      <c r="AB1318" t="str">
        <f t="shared" ref="AB1318:AC1318" si="1362">AB1297</f>
        <v>Loading Bay</v>
      </c>
      <c r="AC1318" t="str">
        <f t="shared" si="1362"/>
        <v>Lift 4</v>
      </c>
      <c r="AD1318" t="b">
        <f t="shared" ca="1" si="1354"/>
        <v>0</v>
      </c>
      <c r="AE1318" s="1">
        <f t="shared" ca="1" si="1308"/>
        <v>85</v>
      </c>
      <c r="AF1318" t="str">
        <f t="shared" ca="1" si="1352"/>
        <v>Plot 85</v>
      </c>
    </row>
    <row r="1319" spans="28:32" x14ac:dyDescent="0.25">
      <c r="AB1319" t="str">
        <f t="shared" ref="AB1319:AC1319" si="1363">AB1298</f>
        <v>Loading Bay</v>
      </c>
      <c r="AC1319" t="str">
        <f t="shared" si="1363"/>
        <v>Lift 5</v>
      </c>
      <c r="AD1319" t="b">
        <f t="shared" ca="1" si="1354"/>
        <v>0</v>
      </c>
      <c r="AE1319" s="1">
        <f t="shared" ca="1" si="1308"/>
        <v>85</v>
      </c>
      <c r="AF1319" t="str">
        <f t="shared" ca="1" si="1352"/>
        <v>Plot 85</v>
      </c>
    </row>
    <row r="1320" spans="28:32" x14ac:dyDescent="0.25">
      <c r="AB1320" t="str">
        <f t="shared" ref="AB1320:AC1320" si="1364">AB1299</f>
        <v>Loading Bay</v>
      </c>
      <c r="AC1320" t="str">
        <f t="shared" si="1364"/>
        <v>Lift 6</v>
      </c>
      <c r="AD1320" t="b">
        <f t="shared" ca="1" si="1354"/>
        <v>0</v>
      </c>
      <c r="AE1320" s="1">
        <f t="shared" ca="1" si="1308"/>
        <v>85</v>
      </c>
      <c r="AF1320" t="str">
        <f t="shared" ca="1" si="1352"/>
        <v>Plot 85</v>
      </c>
    </row>
    <row r="1321" spans="28:32" x14ac:dyDescent="0.25">
      <c r="AB1321" t="str">
        <f t="shared" ref="AB1321:AC1321" si="1365">AB1300</f>
        <v>Scaffolding Platform</v>
      </c>
      <c r="AC1321" t="str">
        <f t="shared" si="1365"/>
        <v>Ground Floor</v>
      </c>
      <c r="AD1321" t="b">
        <f t="shared" ca="1" si="1354"/>
        <v>1</v>
      </c>
      <c r="AE1321" s="1">
        <f t="shared" ca="1" si="1308"/>
        <v>85</v>
      </c>
      <c r="AF1321" t="str">
        <f t="shared" ca="1" si="1352"/>
        <v>Plot 85</v>
      </c>
    </row>
    <row r="1322" spans="28:32" x14ac:dyDescent="0.25">
      <c r="AB1322" t="str">
        <f t="shared" ref="AB1322:AC1322" si="1366">AB1301</f>
        <v>Scaffolding Platform</v>
      </c>
      <c r="AC1322" t="str">
        <f t="shared" si="1366"/>
        <v>First Floor</v>
      </c>
      <c r="AD1322" t="b">
        <f t="shared" ca="1" si="1354"/>
        <v>1</v>
      </c>
      <c r="AE1322" s="1">
        <f t="shared" ca="1" si="1308"/>
        <v>85</v>
      </c>
      <c r="AF1322" t="str">
        <f t="shared" ca="1" si="1352"/>
        <v>Plot 85</v>
      </c>
    </row>
    <row r="1323" spans="28:32" x14ac:dyDescent="0.25">
      <c r="AB1323" t="str">
        <f t="shared" ref="AB1323:AC1323" si="1367">AB1302</f>
        <v>Scaffolding Platform</v>
      </c>
      <c r="AC1323" t="str">
        <f t="shared" si="1367"/>
        <v>Second Floor</v>
      </c>
      <c r="AD1323" t="b">
        <f t="shared" ca="1" si="1354"/>
        <v>0</v>
      </c>
      <c r="AE1323" s="1">
        <f t="shared" ca="1" si="1308"/>
        <v>85</v>
      </c>
      <c r="AF1323" t="str">
        <f t="shared" ca="1" si="1352"/>
        <v>Plot 85</v>
      </c>
    </row>
    <row r="1324" spans="28:32" x14ac:dyDescent="0.25">
      <c r="AB1324" t="str">
        <f t="shared" ref="AB1324:AC1324" si="1368">AB1303</f>
        <v>Supporting Scaffold</v>
      </c>
      <c r="AC1324" t="str">
        <f t="shared" si="1368"/>
        <v>Ground Floor Prop.</v>
      </c>
      <c r="AD1324" t="str">
        <f t="shared" ca="1" si="1354"/>
        <v>TRUE</v>
      </c>
      <c r="AE1324" s="1">
        <f t="shared" ca="1" si="1308"/>
        <v>85</v>
      </c>
      <c r="AF1324" t="str">
        <f t="shared" ca="1" si="1352"/>
        <v>Plot 85</v>
      </c>
    </row>
    <row r="1325" spans="28:32" x14ac:dyDescent="0.25">
      <c r="AB1325" t="str">
        <f t="shared" ref="AB1325:AC1325" si="1369">AB1304</f>
        <v>Supporting Scaffold</v>
      </c>
      <c r="AC1325" t="str">
        <f t="shared" si="1369"/>
        <v>First Floor Prop.</v>
      </c>
      <c r="AD1325" t="str">
        <f t="shared" ca="1" si="1354"/>
        <v>FALSE</v>
      </c>
      <c r="AE1325" s="1">
        <f t="shared" ca="1" si="1308"/>
        <v>85</v>
      </c>
      <c r="AF1325" t="str">
        <f t="shared" ca="1" si="1352"/>
        <v>Plot 85</v>
      </c>
    </row>
    <row r="1326" spans="28:32" x14ac:dyDescent="0.25">
      <c r="AB1326" t="str">
        <f t="shared" ref="AB1326:AC1326" si="1370">AB1305</f>
        <v>Supporting Scaffold</v>
      </c>
      <c r="AC1326" t="str">
        <f t="shared" si="1370"/>
        <v>Second Floor Prop.</v>
      </c>
      <c r="AD1326" t="str">
        <f t="shared" ca="1" si="1354"/>
        <v>FALSE</v>
      </c>
      <c r="AE1326" s="1">
        <f t="shared" ca="1" si="1308"/>
        <v>85</v>
      </c>
      <c r="AF1326" t="str">
        <f t="shared" ca="1" si="1352"/>
        <v>Plot 85</v>
      </c>
    </row>
    <row r="1327" spans="28:32" x14ac:dyDescent="0.25">
      <c r="AB1327" t="str">
        <f t="shared" ref="AB1327:AC1327" si="1371">AB1306</f>
        <v>External Scaffolding</v>
      </c>
      <c r="AC1327" t="str">
        <f t="shared" si="1371"/>
        <v>Hop-ups</v>
      </c>
      <c r="AD1327" t="b">
        <f t="shared" ca="1" si="1354"/>
        <v>1</v>
      </c>
      <c r="AE1327" s="1">
        <f t="shared" ca="1" si="1308"/>
        <v>85</v>
      </c>
      <c r="AF1327" t="str">
        <f t="shared" ca="1" si="1352"/>
        <v>Plot 85</v>
      </c>
    </row>
    <row r="1328" spans="28:32" x14ac:dyDescent="0.25">
      <c r="AB1328" t="str">
        <f t="shared" ref="AB1328:AC1328" si="1372">AB1307</f>
        <v>External Scaffolding</v>
      </c>
      <c r="AC1328" t="str">
        <f t="shared" si="1372"/>
        <v>Adaptions</v>
      </c>
      <c r="AD1328" t="b">
        <f t="shared" ca="1" si="1354"/>
        <v>1</v>
      </c>
      <c r="AE1328" s="1">
        <f t="shared" ca="1" si="1308"/>
        <v>85</v>
      </c>
      <c r="AF1328" t="str">
        <f t="shared" ca="1" si="1352"/>
        <v>Plot 85</v>
      </c>
    </row>
    <row r="1329" spans="28:32" x14ac:dyDescent="0.25">
      <c r="AB1329" t="str">
        <f t="shared" ref="AB1329:AC1329" si="1373">AB1308</f>
        <v>External Scaffolding</v>
      </c>
      <c r="AC1329" t="str">
        <f t="shared" si="1373"/>
        <v>Adaption Tower</v>
      </c>
      <c r="AD1329" t="b">
        <f t="shared" ca="1" si="1354"/>
        <v>1</v>
      </c>
      <c r="AE1329" s="1">
        <f t="shared" ca="1" si="1308"/>
        <v>85</v>
      </c>
      <c r="AF1329" t="str">
        <f t="shared" ca="1" si="1352"/>
        <v>Plot 85</v>
      </c>
    </row>
    <row r="1330" spans="28:32" x14ac:dyDescent="0.25">
      <c r="AB1330" t="str">
        <f t="shared" ref="AB1330:AC1330" si="1374">AB1309</f>
        <v>External Scaffolding</v>
      </c>
      <c r="AC1330" t="str">
        <f t="shared" si="1374"/>
        <v>Lift 1</v>
      </c>
      <c r="AD1330" t="b">
        <f t="shared" ca="1" si="1354"/>
        <v>1</v>
      </c>
      <c r="AE1330" s="1" t="str">
        <f t="shared" ref="AE1330:AE1393" ca="1" si="1375">OFFSET($AD$1,0,FLOOR(ROW(B1302)/21,1))</f>
        <v>86-87</v>
      </c>
      <c r="AF1330" t="str">
        <f t="shared" ca="1" si="1352"/>
        <v>Plot 86-87</v>
      </c>
    </row>
    <row r="1331" spans="28:32" x14ac:dyDescent="0.25">
      <c r="AB1331" t="str">
        <f t="shared" ref="AB1331:AC1331" si="1376">AB1310</f>
        <v>External Scaffolding</v>
      </c>
      <c r="AC1331" t="str">
        <f t="shared" si="1376"/>
        <v>Lift 2</v>
      </c>
      <c r="AD1331" t="b">
        <f t="shared" ca="1" si="1354"/>
        <v>1</v>
      </c>
      <c r="AE1331" s="1" t="str">
        <f t="shared" ca="1" si="1375"/>
        <v>86-87</v>
      </c>
      <c r="AF1331" t="str">
        <f t="shared" ca="1" si="1352"/>
        <v>Plot 86-87</v>
      </c>
    </row>
    <row r="1332" spans="28:32" x14ac:dyDescent="0.25">
      <c r="AB1332" t="str">
        <f t="shared" ref="AB1332:AC1332" si="1377">AB1311</f>
        <v>External Scaffolding</v>
      </c>
      <c r="AC1332" t="str">
        <f t="shared" si="1377"/>
        <v>Lift 3</v>
      </c>
      <c r="AD1332" t="b">
        <f t="shared" ca="1" si="1354"/>
        <v>1</v>
      </c>
      <c r="AE1332" s="1" t="str">
        <f t="shared" ca="1" si="1375"/>
        <v>86-87</v>
      </c>
      <c r="AF1332" t="str">
        <f t="shared" ca="1" si="1352"/>
        <v>Plot 86-87</v>
      </c>
    </row>
    <row r="1333" spans="28:32" x14ac:dyDescent="0.25">
      <c r="AB1333" t="str">
        <f t="shared" ref="AB1333:AC1333" si="1378">AB1312</f>
        <v>External Scaffolding</v>
      </c>
      <c r="AC1333" t="str">
        <f t="shared" si="1378"/>
        <v>Lift 4</v>
      </c>
      <c r="AD1333" t="b">
        <f t="shared" ca="1" si="1354"/>
        <v>0</v>
      </c>
      <c r="AE1333" s="1" t="str">
        <f t="shared" ca="1" si="1375"/>
        <v>86-87</v>
      </c>
      <c r="AF1333" t="str">
        <f t="shared" ca="1" si="1352"/>
        <v>Plot 86-87</v>
      </c>
    </row>
    <row r="1334" spans="28:32" x14ac:dyDescent="0.25">
      <c r="AB1334" t="str">
        <f t="shared" ref="AB1334:AC1334" si="1379">AB1313</f>
        <v>External Scaffolding</v>
      </c>
      <c r="AC1334" t="str">
        <f t="shared" si="1379"/>
        <v>Lift 5</v>
      </c>
      <c r="AD1334" t="b">
        <f t="shared" ca="1" si="1354"/>
        <v>0</v>
      </c>
      <c r="AE1334" s="1" t="str">
        <f t="shared" ca="1" si="1375"/>
        <v>86-87</v>
      </c>
      <c r="AF1334" t="str">
        <f t="shared" ca="1" si="1352"/>
        <v>Plot 86-87</v>
      </c>
    </row>
    <row r="1335" spans="28:32" x14ac:dyDescent="0.25">
      <c r="AB1335" t="str">
        <f t="shared" ref="AB1335:AC1335" si="1380">AB1314</f>
        <v>External Scaffolding</v>
      </c>
      <c r="AC1335" t="str">
        <f t="shared" si="1380"/>
        <v>Lift 6</v>
      </c>
      <c r="AD1335" t="b">
        <f t="shared" ca="1" si="1354"/>
        <v>0</v>
      </c>
      <c r="AE1335" s="1" t="str">
        <f t="shared" ca="1" si="1375"/>
        <v>86-87</v>
      </c>
      <c r="AF1335" t="str">
        <f t="shared" ca="1" si="1352"/>
        <v>Plot 86-87</v>
      </c>
    </row>
    <row r="1336" spans="28:32" x14ac:dyDescent="0.25">
      <c r="AB1336" t="str">
        <f t="shared" ref="AB1336:AC1336" si="1381">AB1315</f>
        <v>Loading Bay</v>
      </c>
      <c r="AC1336" t="str">
        <f t="shared" si="1381"/>
        <v>Lift 1</v>
      </c>
      <c r="AD1336" t="b">
        <f t="shared" ca="1" si="1354"/>
        <v>1</v>
      </c>
      <c r="AE1336" s="1" t="str">
        <f t="shared" ca="1" si="1375"/>
        <v>86-87</v>
      </c>
      <c r="AF1336" t="str">
        <f t="shared" ca="1" si="1352"/>
        <v>Plot 86-87</v>
      </c>
    </row>
    <row r="1337" spans="28:32" x14ac:dyDescent="0.25">
      <c r="AB1337" t="str">
        <f t="shared" ref="AB1337:AC1337" si="1382">AB1316</f>
        <v>Loading Bay</v>
      </c>
      <c r="AC1337" t="str">
        <f t="shared" si="1382"/>
        <v>Lift 2</v>
      </c>
      <c r="AD1337" t="b">
        <f t="shared" ca="1" si="1354"/>
        <v>1</v>
      </c>
      <c r="AE1337" s="1" t="str">
        <f t="shared" ca="1" si="1375"/>
        <v>86-87</v>
      </c>
      <c r="AF1337" t="str">
        <f t="shared" ca="1" si="1352"/>
        <v>Plot 86-87</v>
      </c>
    </row>
    <row r="1338" spans="28:32" x14ac:dyDescent="0.25">
      <c r="AB1338" t="str">
        <f t="shared" ref="AB1338:AC1338" si="1383">AB1317</f>
        <v>Loading Bay</v>
      </c>
      <c r="AC1338" t="str">
        <f t="shared" si="1383"/>
        <v>Lift 3</v>
      </c>
      <c r="AD1338" t="b">
        <f t="shared" ca="1" si="1354"/>
        <v>1</v>
      </c>
      <c r="AE1338" s="1" t="str">
        <f t="shared" ca="1" si="1375"/>
        <v>86-87</v>
      </c>
      <c r="AF1338" t="str">
        <f t="shared" ca="1" si="1352"/>
        <v>Plot 86-87</v>
      </c>
    </row>
    <row r="1339" spans="28:32" x14ac:dyDescent="0.25">
      <c r="AB1339" t="str">
        <f t="shared" ref="AB1339:AC1339" si="1384">AB1318</f>
        <v>Loading Bay</v>
      </c>
      <c r="AC1339" t="str">
        <f t="shared" si="1384"/>
        <v>Lift 4</v>
      </c>
      <c r="AD1339" t="b">
        <f t="shared" ca="1" si="1354"/>
        <v>0</v>
      </c>
      <c r="AE1339" s="1" t="str">
        <f t="shared" ca="1" si="1375"/>
        <v>86-87</v>
      </c>
      <c r="AF1339" t="str">
        <f t="shared" ca="1" si="1352"/>
        <v>Plot 86-87</v>
      </c>
    </row>
    <row r="1340" spans="28:32" x14ac:dyDescent="0.25">
      <c r="AB1340" t="str">
        <f t="shared" ref="AB1340:AC1340" si="1385">AB1319</f>
        <v>Loading Bay</v>
      </c>
      <c r="AC1340" t="str">
        <f t="shared" si="1385"/>
        <v>Lift 5</v>
      </c>
      <c r="AD1340" t="b">
        <f t="shared" ca="1" si="1354"/>
        <v>0</v>
      </c>
      <c r="AE1340" s="1" t="str">
        <f t="shared" ca="1" si="1375"/>
        <v>86-87</v>
      </c>
      <c r="AF1340" t="str">
        <f t="shared" ca="1" si="1352"/>
        <v>Plot 86-87</v>
      </c>
    </row>
    <row r="1341" spans="28:32" x14ac:dyDescent="0.25">
      <c r="AB1341" t="str">
        <f t="shared" ref="AB1341:AC1341" si="1386">AB1320</f>
        <v>Loading Bay</v>
      </c>
      <c r="AC1341" t="str">
        <f t="shared" si="1386"/>
        <v>Lift 6</v>
      </c>
      <c r="AD1341" t="b">
        <f t="shared" ca="1" si="1354"/>
        <v>0</v>
      </c>
      <c r="AE1341" s="1" t="str">
        <f t="shared" ca="1" si="1375"/>
        <v>86-87</v>
      </c>
      <c r="AF1341" t="str">
        <f t="shared" ca="1" si="1352"/>
        <v>Plot 86-87</v>
      </c>
    </row>
    <row r="1342" spans="28:32" x14ac:dyDescent="0.25">
      <c r="AB1342" t="str">
        <f t="shared" ref="AB1342:AC1342" si="1387">AB1321</f>
        <v>Scaffolding Platform</v>
      </c>
      <c r="AC1342" t="str">
        <f t="shared" si="1387"/>
        <v>Ground Floor</v>
      </c>
      <c r="AD1342" t="b">
        <f t="shared" ca="1" si="1354"/>
        <v>1</v>
      </c>
      <c r="AE1342" s="1" t="str">
        <f t="shared" ca="1" si="1375"/>
        <v>86-87</v>
      </c>
      <c r="AF1342" t="str">
        <f t="shared" ca="1" si="1352"/>
        <v>Plot 86-87</v>
      </c>
    </row>
    <row r="1343" spans="28:32" x14ac:dyDescent="0.25">
      <c r="AB1343" t="str">
        <f t="shared" ref="AB1343:AC1343" si="1388">AB1322</f>
        <v>Scaffolding Platform</v>
      </c>
      <c r="AC1343" t="str">
        <f t="shared" si="1388"/>
        <v>First Floor</v>
      </c>
      <c r="AD1343" t="b">
        <f t="shared" ca="1" si="1354"/>
        <v>1</v>
      </c>
      <c r="AE1343" s="1" t="str">
        <f t="shared" ca="1" si="1375"/>
        <v>86-87</v>
      </c>
      <c r="AF1343" t="str">
        <f t="shared" ca="1" si="1352"/>
        <v>Plot 86-87</v>
      </c>
    </row>
    <row r="1344" spans="28:32" x14ac:dyDescent="0.25">
      <c r="AB1344" t="str">
        <f t="shared" ref="AB1344:AC1344" si="1389">AB1323</f>
        <v>Scaffolding Platform</v>
      </c>
      <c r="AC1344" t="str">
        <f t="shared" si="1389"/>
        <v>Second Floor</v>
      </c>
      <c r="AD1344" t="b">
        <f t="shared" ca="1" si="1354"/>
        <v>0</v>
      </c>
      <c r="AE1344" s="1" t="str">
        <f t="shared" ca="1" si="1375"/>
        <v>86-87</v>
      </c>
      <c r="AF1344" t="str">
        <f t="shared" ca="1" si="1352"/>
        <v>Plot 86-87</v>
      </c>
    </row>
    <row r="1345" spans="28:32" x14ac:dyDescent="0.25">
      <c r="AB1345" t="str">
        <f t="shared" ref="AB1345:AC1345" si="1390">AB1324</f>
        <v>Supporting Scaffold</v>
      </c>
      <c r="AC1345" t="str">
        <f t="shared" si="1390"/>
        <v>Ground Floor Prop.</v>
      </c>
      <c r="AD1345" t="str">
        <f t="shared" ca="1" si="1354"/>
        <v>TRUE</v>
      </c>
      <c r="AE1345" s="1" t="str">
        <f t="shared" ca="1" si="1375"/>
        <v>86-87</v>
      </c>
      <c r="AF1345" t="str">
        <f t="shared" ca="1" si="1352"/>
        <v>Plot 86-87</v>
      </c>
    </row>
    <row r="1346" spans="28:32" x14ac:dyDescent="0.25">
      <c r="AB1346" t="str">
        <f t="shared" ref="AB1346:AC1346" si="1391">AB1325</f>
        <v>Supporting Scaffold</v>
      </c>
      <c r="AC1346" t="str">
        <f t="shared" si="1391"/>
        <v>First Floor Prop.</v>
      </c>
      <c r="AD1346" t="str">
        <f t="shared" ca="1" si="1354"/>
        <v>FALSE</v>
      </c>
      <c r="AE1346" s="1" t="str">
        <f t="shared" ca="1" si="1375"/>
        <v>86-87</v>
      </c>
      <c r="AF1346" t="str">
        <f t="shared" ca="1" si="1352"/>
        <v>Plot 86-87</v>
      </c>
    </row>
    <row r="1347" spans="28:32" x14ac:dyDescent="0.25">
      <c r="AB1347" t="str">
        <f t="shared" ref="AB1347:AC1347" si="1392">AB1326</f>
        <v>Supporting Scaffold</v>
      </c>
      <c r="AC1347" t="str">
        <f t="shared" si="1392"/>
        <v>Second Floor Prop.</v>
      </c>
      <c r="AD1347" t="str">
        <f t="shared" ca="1" si="1354"/>
        <v>FALSE</v>
      </c>
      <c r="AE1347" s="1" t="str">
        <f t="shared" ca="1" si="1375"/>
        <v>86-87</v>
      </c>
      <c r="AF1347" t="str">
        <f t="shared" ca="1" si="1352"/>
        <v>Plot 86-87</v>
      </c>
    </row>
    <row r="1348" spans="28:32" x14ac:dyDescent="0.25">
      <c r="AB1348" t="str">
        <f t="shared" ref="AB1348:AC1348" si="1393">AB1327</f>
        <v>External Scaffolding</v>
      </c>
      <c r="AC1348" t="str">
        <f t="shared" si="1393"/>
        <v>Hop-ups</v>
      </c>
      <c r="AD1348" t="b">
        <f t="shared" ca="1" si="1354"/>
        <v>1</v>
      </c>
      <c r="AE1348" s="1" t="str">
        <f t="shared" ca="1" si="1375"/>
        <v>86-87</v>
      </c>
      <c r="AF1348" t="str">
        <f t="shared" ca="1" si="1352"/>
        <v>Plot 86-87</v>
      </c>
    </row>
    <row r="1349" spans="28:32" x14ac:dyDescent="0.25">
      <c r="AB1349" t="str">
        <f t="shared" ref="AB1349:AC1349" si="1394">AB1328</f>
        <v>External Scaffolding</v>
      </c>
      <c r="AC1349" t="str">
        <f t="shared" si="1394"/>
        <v>Adaptions</v>
      </c>
      <c r="AD1349" t="b">
        <f t="shared" ca="1" si="1354"/>
        <v>1</v>
      </c>
      <c r="AE1349" s="1" t="str">
        <f t="shared" ca="1" si="1375"/>
        <v>86-87</v>
      </c>
      <c r="AF1349" t="str">
        <f t="shared" ca="1" si="1352"/>
        <v>Plot 86-87</v>
      </c>
    </row>
    <row r="1350" spans="28:32" x14ac:dyDescent="0.25">
      <c r="AB1350" t="str">
        <f t="shared" ref="AB1350:AC1350" si="1395">AB1329</f>
        <v>External Scaffolding</v>
      </c>
      <c r="AC1350" t="str">
        <f t="shared" si="1395"/>
        <v>Adaption Tower</v>
      </c>
      <c r="AD1350" t="b">
        <f t="shared" ca="1" si="1354"/>
        <v>1</v>
      </c>
      <c r="AE1350" s="1" t="str">
        <f t="shared" ca="1" si="1375"/>
        <v>86-87</v>
      </c>
      <c r="AF1350" t="str">
        <f t="shared" ca="1" si="1352"/>
        <v>Plot 86-87</v>
      </c>
    </row>
    <row r="1351" spans="28:32" x14ac:dyDescent="0.25">
      <c r="AB1351" t="str">
        <f t="shared" ref="AB1351:AC1351" si="1396">AB1330</f>
        <v>External Scaffolding</v>
      </c>
      <c r="AC1351" t="str">
        <f t="shared" si="1396"/>
        <v>Lift 1</v>
      </c>
      <c r="AD1351" t="b">
        <f t="shared" ca="1" si="1354"/>
        <v>1</v>
      </c>
      <c r="AE1351" s="1">
        <f t="shared" ca="1" si="1375"/>
        <v>88</v>
      </c>
      <c r="AF1351" t="str">
        <f t="shared" ca="1" si="1352"/>
        <v>Plot 88</v>
      </c>
    </row>
    <row r="1352" spans="28:32" x14ac:dyDescent="0.25">
      <c r="AB1352" t="str">
        <f t="shared" ref="AB1352:AC1352" si="1397">AB1331</f>
        <v>External Scaffolding</v>
      </c>
      <c r="AC1352" t="str">
        <f t="shared" si="1397"/>
        <v>Lift 2</v>
      </c>
      <c r="AD1352" t="b">
        <f t="shared" ca="1" si="1354"/>
        <v>1</v>
      </c>
      <c r="AE1352" s="1">
        <f t="shared" ca="1" si="1375"/>
        <v>88</v>
      </c>
      <c r="AF1352" t="str">
        <f t="shared" ca="1" si="1352"/>
        <v>Plot 88</v>
      </c>
    </row>
    <row r="1353" spans="28:32" x14ac:dyDescent="0.25">
      <c r="AB1353" t="str">
        <f t="shared" ref="AB1353:AC1353" si="1398">AB1332</f>
        <v>External Scaffolding</v>
      </c>
      <c r="AC1353" t="str">
        <f t="shared" si="1398"/>
        <v>Lift 3</v>
      </c>
      <c r="AD1353" t="b">
        <f t="shared" ca="1" si="1354"/>
        <v>1</v>
      </c>
      <c r="AE1353" s="1">
        <f t="shared" ca="1" si="1375"/>
        <v>88</v>
      </c>
      <c r="AF1353" t="str">
        <f t="shared" ca="1" si="1352"/>
        <v>Plot 88</v>
      </c>
    </row>
    <row r="1354" spans="28:32" x14ac:dyDescent="0.25">
      <c r="AB1354" t="str">
        <f t="shared" ref="AB1354:AC1354" si="1399">AB1333</f>
        <v>External Scaffolding</v>
      </c>
      <c r="AC1354" t="str">
        <f t="shared" si="1399"/>
        <v>Lift 4</v>
      </c>
      <c r="AD1354" t="b">
        <f t="shared" ca="1" si="1354"/>
        <v>1</v>
      </c>
      <c r="AE1354" s="1">
        <f t="shared" ca="1" si="1375"/>
        <v>88</v>
      </c>
      <c r="AF1354" t="str">
        <f t="shared" ca="1" si="1352"/>
        <v>Plot 88</v>
      </c>
    </row>
    <row r="1355" spans="28:32" x14ac:dyDescent="0.25">
      <c r="AB1355" t="str">
        <f t="shared" ref="AB1355:AC1355" si="1400">AB1334</f>
        <v>External Scaffolding</v>
      </c>
      <c r="AC1355" t="str">
        <f t="shared" si="1400"/>
        <v>Lift 5</v>
      </c>
      <c r="AD1355" t="b">
        <f t="shared" ca="1" si="1354"/>
        <v>0</v>
      </c>
      <c r="AE1355" s="1">
        <f t="shared" ca="1" si="1375"/>
        <v>88</v>
      </c>
      <c r="AF1355" t="str">
        <f t="shared" ca="1" si="1352"/>
        <v>Plot 88</v>
      </c>
    </row>
    <row r="1356" spans="28:32" x14ac:dyDescent="0.25">
      <c r="AB1356" t="str">
        <f t="shared" ref="AB1356:AC1356" si="1401">AB1335</f>
        <v>External Scaffolding</v>
      </c>
      <c r="AC1356" t="str">
        <f t="shared" si="1401"/>
        <v>Lift 6</v>
      </c>
      <c r="AD1356" t="b">
        <f t="shared" ca="1" si="1354"/>
        <v>0</v>
      </c>
      <c r="AE1356" s="1">
        <f t="shared" ca="1" si="1375"/>
        <v>88</v>
      </c>
      <c r="AF1356" t="str">
        <f t="shared" ca="1" si="1352"/>
        <v>Plot 88</v>
      </c>
    </row>
    <row r="1357" spans="28:32" x14ac:dyDescent="0.25">
      <c r="AB1357" t="str">
        <f t="shared" ref="AB1357:AC1357" si="1402">AB1336</f>
        <v>Loading Bay</v>
      </c>
      <c r="AC1357" t="str">
        <f t="shared" si="1402"/>
        <v>Lift 1</v>
      </c>
      <c r="AD1357" t="b">
        <f t="shared" ca="1" si="1354"/>
        <v>1</v>
      </c>
      <c r="AE1357" s="1">
        <f t="shared" ca="1" si="1375"/>
        <v>88</v>
      </c>
      <c r="AF1357" t="str">
        <f t="shared" ca="1" si="1352"/>
        <v>Plot 88</v>
      </c>
    </row>
    <row r="1358" spans="28:32" x14ac:dyDescent="0.25">
      <c r="AB1358" t="str">
        <f t="shared" ref="AB1358:AC1358" si="1403">AB1337</f>
        <v>Loading Bay</v>
      </c>
      <c r="AC1358" t="str">
        <f t="shared" si="1403"/>
        <v>Lift 2</v>
      </c>
      <c r="AD1358" t="b">
        <f t="shared" ca="1" si="1354"/>
        <v>1</v>
      </c>
      <c r="AE1358" s="1">
        <f t="shared" ca="1" si="1375"/>
        <v>88</v>
      </c>
      <c r="AF1358" t="str">
        <f t="shared" ca="1" si="1352"/>
        <v>Plot 88</v>
      </c>
    </row>
    <row r="1359" spans="28:32" x14ac:dyDescent="0.25">
      <c r="AB1359" t="str">
        <f t="shared" ref="AB1359:AC1359" si="1404">AB1338</f>
        <v>Loading Bay</v>
      </c>
      <c r="AC1359" t="str">
        <f t="shared" si="1404"/>
        <v>Lift 3</v>
      </c>
      <c r="AD1359" t="b">
        <f t="shared" ca="1" si="1354"/>
        <v>1</v>
      </c>
      <c r="AE1359" s="1">
        <f t="shared" ca="1" si="1375"/>
        <v>88</v>
      </c>
      <c r="AF1359" t="str">
        <f t="shared" ca="1" si="1352"/>
        <v>Plot 88</v>
      </c>
    </row>
    <row r="1360" spans="28:32" x14ac:dyDescent="0.25">
      <c r="AB1360" t="str">
        <f t="shared" ref="AB1360:AC1360" si="1405">AB1339</f>
        <v>Loading Bay</v>
      </c>
      <c r="AC1360" t="str">
        <f t="shared" si="1405"/>
        <v>Lift 4</v>
      </c>
      <c r="AD1360" t="b">
        <f t="shared" ca="1" si="1354"/>
        <v>1</v>
      </c>
      <c r="AE1360" s="1">
        <f t="shared" ca="1" si="1375"/>
        <v>88</v>
      </c>
      <c r="AF1360" t="str">
        <f t="shared" ca="1" si="1352"/>
        <v>Plot 88</v>
      </c>
    </row>
    <row r="1361" spans="28:32" x14ac:dyDescent="0.25">
      <c r="AB1361" t="str">
        <f t="shared" ref="AB1361:AC1361" si="1406">AB1340</f>
        <v>Loading Bay</v>
      </c>
      <c r="AC1361" t="str">
        <f t="shared" si="1406"/>
        <v>Lift 5</v>
      </c>
      <c r="AD1361" t="b">
        <f t="shared" ca="1" si="1354"/>
        <v>0</v>
      </c>
      <c r="AE1361" s="1">
        <f t="shared" ca="1" si="1375"/>
        <v>88</v>
      </c>
      <c r="AF1361" t="str">
        <f t="shared" ca="1" si="1352"/>
        <v>Plot 88</v>
      </c>
    </row>
    <row r="1362" spans="28:32" x14ac:dyDescent="0.25">
      <c r="AB1362" t="str">
        <f t="shared" ref="AB1362:AC1362" si="1407">AB1341</f>
        <v>Loading Bay</v>
      </c>
      <c r="AC1362" t="str">
        <f t="shared" si="1407"/>
        <v>Lift 6</v>
      </c>
      <c r="AD1362" t="b">
        <f t="shared" ca="1" si="1354"/>
        <v>0</v>
      </c>
      <c r="AE1362" s="1">
        <f t="shared" ca="1" si="1375"/>
        <v>88</v>
      </c>
      <c r="AF1362" t="str">
        <f t="shared" ca="1" si="1352"/>
        <v>Plot 88</v>
      </c>
    </row>
    <row r="1363" spans="28:32" x14ac:dyDescent="0.25">
      <c r="AB1363" t="str">
        <f t="shared" ref="AB1363:AC1363" si="1408">AB1342</f>
        <v>Scaffolding Platform</v>
      </c>
      <c r="AC1363" t="str">
        <f t="shared" si="1408"/>
        <v>Ground Floor</v>
      </c>
      <c r="AD1363" t="b">
        <f t="shared" ca="1" si="1354"/>
        <v>1</v>
      </c>
      <c r="AE1363" s="1">
        <f t="shared" ca="1" si="1375"/>
        <v>88</v>
      </c>
      <c r="AF1363" t="str">
        <f t="shared" ca="1" si="1352"/>
        <v>Plot 88</v>
      </c>
    </row>
    <row r="1364" spans="28:32" x14ac:dyDescent="0.25">
      <c r="AB1364" t="str">
        <f t="shared" ref="AB1364:AC1364" si="1409">AB1343</f>
        <v>Scaffolding Platform</v>
      </c>
      <c r="AC1364" t="str">
        <f t="shared" si="1409"/>
        <v>First Floor</v>
      </c>
      <c r="AD1364" t="b">
        <f t="shared" ca="1" si="1354"/>
        <v>1</v>
      </c>
      <c r="AE1364" s="1">
        <f t="shared" ca="1" si="1375"/>
        <v>88</v>
      </c>
      <c r="AF1364" t="str">
        <f t="shared" ca="1" si="1352"/>
        <v>Plot 88</v>
      </c>
    </row>
    <row r="1365" spans="28:32" x14ac:dyDescent="0.25">
      <c r="AB1365" t="str">
        <f t="shared" ref="AB1365:AC1365" si="1410">AB1344</f>
        <v>Scaffolding Platform</v>
      </c>
      <c r="AC1365" t="str">
        <f t="shared" si="1410"/>
        <v>Second Floor</v>
      </c>
      <c r="AD1365" t="b">
        <f t="shared" ca="1" si="1354"/>
        <v>1</v>
      </c>
      <c r="AE1365" s="1">
        <f t="shared" ca="1" si="1375"/>
        <v>88</v>
      </c>
      <c r="AF1365" t="str">
        <f t="shared" ca="1" si="1352"/>
        <v>Plot 88</v>
      </c>
    </row>
    <row r="1366" spans="28:32" x14ac:dyDescent="0.25">
      <c r="AB1366" t="str">
        <f t="shared" ref="AB1366:AC1366" si="1411">AB1345</f>
        <v>Supporting Scaffold</v>
      </c>
      <c r="AC1366" t="str">
        <f t="shared" si="1411"/>
        <v>Ground Floor Prop.</v>
      </c>
      <c r="AD1366" t="str">
        <f t="shared" ca="1" si="1354"/>
        <v>TRUE</v>
      </c>
      <c r="AE1366" s="1">
        <f t="shared" ca="1" si="1375"/>
        <v>88</v>
      </c>
      <c r="AF1366" t="str">
        <f t="shared" ca="1" si="1352"/>
        <v>Plot 88</v>
      </c>
    </row>
    <row r="1367" spans="28:32" x14ac:dyDescent="0.25">
      <c r="AB1367" t="str">
        <f t="shared" ref="AB1367:AC1367" si="1412">AB1346</f>
        <v>Supporting Scaffold</v>
      </c>
      <c r="AC1367" t="str">
        <f t="shared" si="1412"/>
        <v>First Floor Prop.</v>
      </c>
      <c r="AD1367" t="str">
        <f t="shared" ca="1" si="1354"/>
        <v>TRUE</v>
      </c>
      <c r="AE1367" s="1">
        <f t="shared" ca="1" si="1375"/>
        <v>88</v>
      </c>
      <c r="AF1367" t="str">
        <f t="shared" ca="1" si="1352"/>
        <v>Plot 88</v>
      </c>
    </row>
    <row r="1368" spans="28:32" x14ac:dyDescent="0.25">
      <c r="AB1368" t="str">
        <f t="shared" ref="AB1368:AC1368" si="1413">AB1347</f>
        <v>Supporting Scaffold</v>
      </c>
      <c r="AC1368" t="str">
        <f t="shared" si="1413"/>
        <v>Second Floor Prop.</v>
      </c>
      <c r="AD1368" t="str">
        <f t="shared" ca="1" si="1354"/>
        <v>FALSE</v>
      </c>
      <c r="AE1368" s="1">
        <f t="shared" ca="1" si="1375"/>
        <v>88</v>
      </c>
      <c r="AF1368" t="str">
        <f t="shared" ca="1" si="1352"/>
        <v>Plot 88</v>
      </c>
    </row>
    <row r="1369" spans="28:32" x14ac:dyDescent="0.25">
      <c r="AB1369" t="str">
        <f t="shared" ref="AB1369:AC1369" si="1414">AB1348</f>
        <v>External Scaffolding</v>
      </c>
      <c r="AC1369" t="str">
        <f t="shared" si="1414"/>
        <v>Hop-ups</v>
      </c>
      <c r="AD1369" t="b">
        <f t="shared" ca="1" si="1354"/>
        <v>1</v>
      </c>
      <c r="AE1369" s="1">
        <f t="shared" ca="1" si="1375"/>
        <v>88</v>
      </c>
      <c r="AF1369" t="str">
        <f t="shared" ca="1" si="1352"/>
        <v>Plot 88</v>
      </c>
    </row>
    <row r="1370" spans="28:32" x14ac:dyDescent="0.25">
      <c r="AB1370" t="str">
        <f t="shared" ref="AB1370:AC1370" si="1415">AB1349</f>
        <v>External Scaffolding</v>
      </c>
      <c r="AC1370" t="str">
        <f t="shared" si="1415"/>
        <v>Adaptions</v>
      </c>
      <c r="AD1370" t="b">
        <f t="shared" ca="1" si="1354"/>
        <v>1</v>
      </c>
      <c r="AE1370" s="1">
        <f t="shared" ca="1" si="1375"/>
        <v>88</v>
      </c>
      <c r="AF1370" t="str">
        <f t="shared" ca="1" si="1352"/>
        <v>Plot 88</v>
      </c>
    </row>
    <row r="1371" spans="28:32" x14ac:dyDescent="0.25">
      <c r="AB1371" t="str">
        <f t="shared" ref="AB1371:AC1371" si="1416">AB1350</f>
        <v>External Scaffolding</v>
      </c>
      <c r="AC1371" t="str">
        <f t="shared" si="1416"/>
        <v>Adaption Tower</v>
      </c>
      <c r="AD1371" t="b">
        <f t="shared" ca="1" si="1354"/>
        <v>1</v>
      </c>
      <c r="AE1371" s="1">
        <f t="shared" ca="1" si="1375"/>
        <v>88</v>
      </c>
      <c r="AF1371" t="str">
        <f t="shared" ca="1" si="1352"/>
        <v>Plot 88</v>
      </c>
    </row>
    <row r="1372" spans="28:32" x14ac:dyDescent="0.25">
      <c r="AB1372" t="str">
        <f t="shared" ref="AB1372:AC1372" si="1417">AB1351</f>
        <v>External Scaffolding</v>
      </c>
      <c r="AC1372" t="str">
        <f t="shared" si="1417"/>
        <v>Lift 1</v>
      </c>
      <c r="AD1372" t="b">
        <f t="shared" ca="1" si="1354"/>
        <v>1</v>
      </c>
      <c r="AE1372" s="1">
        <f t="shared" ca="1" si="1375"/>
        <v>89</v>
      </c>
      <c r="AF1372" t="str">
        <f t="shared" ca="1" si="1352"/>
        <v>Plot 89</v>
      </c>
    </row>
    <row r="1373" spans="28:32" x14ac:dyDescent="0.25">
      <c r="AB1373" t="str">
        <f t="shared" ref="AB1373:AC1373" si="1418">AB1352</f>
        <v>External Scaffolding</v>
      </c>
      <c r="AC1373" t="str">
        <f t="shared" si="1418"/>
        <v>Lift 2</v>
      </c>
      <c r="AD1373" t="b">
        <f t="shared" ca="1" si="1354"/>
        <v>1</v>
      </c>
      <c r="AE1373" s="1">
        <f t="shared" ca="1" si="1375"/>
        <v>89</v>
      </c>
      <c r="AF1373" t="str">
        <f t="shared" ref="AF1373:AF1436" ca="1" si="1419">IF(LEFT(AE1373,1)="G",AE1373,"Plot "&amp;AE1373)</f>
        <v>Plot 89</v>
      </c>
    </row>
    <row r="1374" spans="28:32" x14ac:dyDescent="0.25">
      <c r="AB1374" t="str">
        <f t="shared" ref="AB1374:AC1374" si="1420">AB1353</f>
        <v>External Scaffolding</v>
      </c>
      <c r="AC1374" t="str">
        <f t="shared" si="1420"/>
        <v>Lift 3</v>
      </c>
      <c r="AD1374" t="b">
        <f t="shared" ref="AD1374:AD1437" ca="1" si="1421">INDEX($AC$1:$JH$22,MATCH(AC1374,$AC$1:$AC$22,0),MATCH(AE1374,$AC$1:$JH$1,0))</f>
        <v>1</v>
      </c>
      <c r="AE1374" s="1">
        <f t="shared" ca="1" si="1375"/>
        <v>89</v>
      </c>
      <c r="AF1374" t="str">
        <f t="shared" ca="1" si="1419"/>
        <v>Plot 89</v>
      </c>
    </row>
    <row r="1375" spans="28:32" x14ac:dyDescent="0.25">
      <c r="AB1375" t="str">
        <f t="shared" ref="AB1375:AC1375" si="1422">AB1354</f>
        <v>External Scaffolding</v>
      </c>
      <c r="AC1375" t="str">
        <f t="shared" si="1422"/>
        <v>Lift 4</v>
      </c>
      <c r="AD1375" t="b">
        <f t="shared" ca="1" si="1421"/>
        <v>0</v>
      </c>
      <c r="AE1375" s="1">
        <f t="shared" ca="1" si="1375"/>
        <v>89</v>
      </c>
      <c r="AF1375" t="str">
        <f t="shared" ca="1" si="1419"/>
        <v>Plot 89</v>
      </c>
    </row>
    <row r="1376" spans="28:32" x14ac:dyDescent="0.25">
      <c r="AB1376" t="str">
        <f t="shared" ref="AB1376:AC1376" si="1423">AB1355</f>
        <v>External Scaffolding</v>
      </c>
      <c r="AC1376" t="str">
        <f t="shared" si="1423"/>
        <v>Lift 5</v>
      </c>
      <c r="AD1376" t="b">
        <f t="shared" ca="1" si="1421"/>
        <v>0</v>
      </c>
      <c r="AE1376" s="1">
        <f t="shared" ca="1" si="1375"/>
        <v>89</v>
      </c>
      <c r="AF1376" t="str">
        <f t="shared" ca="1" si="1419"/>
        <v>Plot 89</v>
      </c>
    </row>
    <row r="1377" spans="28:32" x14ac:dyDescent="0.25">
      <c r="AB1377" t="str">
        <f t="shared" ref="AB1377:AC1377" si="1424">AB1356</f>
        <v>External Scaffolding</v>
      </c>
      <c r="AC1377" t="str">
        <f t="shared" si="1424"/>
        <v>Lift 6</v>
      </c>
      <c r="AD1377" t="b">
        <f t="shared" ca="1" si="1421"/>
        <v>0</v>
      </c>
      <c r="AE1377" s="1">
        <f t="shared" ca="1" si="1375"/>
        <v>89</v>
      </c>
      <c r="AF1377" t="str">
        <f t="shared" ca="1" si="1419"/>
        <v>Plot 89</v>
      </c>
    </row>
    <row r="1378" spans="28:32" x14ac:dyDescent="0.25">
      <c r="AB1378" t="str">
        <f t="shared" ref="AB1378:AC1378" si="1425">AB1357</f>
        <v>Loading Bay</v>
      </c>
      <c r="AC1378" t="str">
        <f t="shared" si="1425"/>
        <v>Lift 1</v>
      </c>
      <c r="AD1378" t="b">
        <f t="shared" ca="1" si="1421"/>
        <v>1</v>
      </c>
      <c r="AE1378" s="1">
        <f t="shared" ca="1" si="1375"/>
        <v>89</v>
      </c>
      <c r="AF1378" t="str">
        <f t="shared" ca="1" si="1419"/>
        <v>Plot 89</v>
      </c>
    </row>
    <row r="1379" spans="28:32" x14ac:dyDescent="0.25">
      <c r="AB1379" t="str">
        <f t="shared" ref="AB1379:AC1379" si="1426">AB1358</f>
        <v>Loading Bay</v>
      </c>
      <c r="AC1379" t="str">
        <f t="shared" si="1426"/>
        <v>Lift 2</v>
      </c>
      <c r="AD1379" t="b">
        <f t="shared" ca="1" si="1421"/>
        <v>1</v>
      </c>
      <c r="AE1379" s="1">
        <f t="shared" ca="1" si="1375"/>
        <v>89</v>
      </c>
      <c r="AF1379" t="str">
        <f t="shared" ca="1" si="1419"/>
        <v>Plot 89</v>
      </c>
    </row>
    <row r="1380" spans="28:32" x14ac:dyDescent="0.25">
      <c r="AB1380" t="str">
        <f t="shared" ref="AB1380:AC1380" si="1427">AB1359</f>
        <v>Loading Bay</v>
      </c>
      <c r="AC1380" t="str">
        <f t="shared" si="1427"/>
        <v>Lift 3</v>
      </c>
      <c r="AD1380" t="b">
        <f t="shared" ca="1" si="1421"/>
        <v>1</v>
      </c>
      <c r="AE1380" s="1">
        <f t="shared" ca="1" si="1375"/>
        <v>89</v>
      </c>
      <c r="AF1380" t="str">
        <f t="shared" ca="1" si="1419"/>
        <v>Plot 89</v>
      </c>
    </row>
    <row r="1381" spans="28:32" x14ac:dyDescent="0.25">
      <c r="AB1381" t="str">
        <f t="shared" ref="AB1381:AC1381" si="1428">AB1360</f>
        <v>Loading Bay</v>
      </c>
      <c r="AC1381" t="str">
        <f t="shared" si="1428"/>
        <v>Lift 4</v>
      </c>
      <c r="AD1381" t="b">
        <f t="shared" ca="1" si="1421"/>
        <v>0</v>
      </c>
      <c r="AE1381" s="1">
        <f t="shared" ca="1" si="1375"/>
        <v>89</v>
      </c>
      <c r="AF1381" t="str">
        <f t="shared" ca="1" si="1419"/>
        <v>Plot 89</v>
      </c>
    </row>
    <row r="1382" spans="28:32" x14ac:dyDescent="0.25">
      <c r="AB1382" t="str">
        <f t="shared" ref="AB1382:AC1382" si="1429">AB1361</f>
        <v>Loading Bay</v>
      </c>
      <c r="AC1382" t="str">
        <f t="shared" si="1429"/>
        <v>Lift 5</v>
      </c>
      <c r="AD1382" t="b">
        <f t="shared" ca="1" si="1421"/>
        <v>0</v>
      </c>
      <c r="AE1382" s="1">
        <f t="shared" ca="1" si="1375"/>
        <v>89</v>
      </c>
      <c r="AF1382" t="str">
        <f t="shared" ca="1" si="1419"/>
        <v>Plot 89</v>
      </c>
    </row>
    <row r="1383" spans="28:32" x14ac:dyDescent="0.25">
      <c r="AB1383" t="str">
        <f t="shared" ref="AB1383:AC1383" si="1430">AB1362</f>
        <v>Loading Bay</v>
      </c>
      <c r="AC1383" t="str">
        <f t="shared" si="1430"/>
        <v>Lift 6</v>
      </c>
      <c r="AD1383" t="b">
        <f t="shared" ca="1" si="1421"/>
        <v>0</v>
      </c>
      <c r="AE1383" s="1">
        <f t="shared" ca="1" si="1375"/>
        <v>89</v>
      </c>
      <c r="AF1383" t="str">
        <f t="shared" ca="1" si="1419"/>
        <v>Plot 89</v>
      </c>
    </row>
    <row r="1384" spans="28:32" x14ac:dyDescent="0.25">
      <c r="AB1384" t="str">
        <f t="shared" ref="AB1384:AC1384" si="1431">AB1363</f>
        <v>Scaffolding Platform</v>
      </c>
      <c r="AC1384" t="str">
        <f t="shared" si="1431"/>
        <v>Ground Floor</v>
      </c>
      <c r="AD1384" t="b">
        <f t="shared" ca="1" si="1421"/>
        <v>1</v>
      </c>
      <c r="AE1384" s="1">
        <f t="shared" ca="1" si="1375"/>
        <v>89</v>
      </c>
      <c r="AF1384" t="str">
        <f t="shared" ca="1" si="1419"/>
        <v>Plot 89</v>
      </c>
    </row>
    <row r="1385" spans="28:32" x14ac:dyDescent="0.25">
      <c r="AB1385" t="str">
        <f t="shared" ref="AB1385:AC1385" si="1432">AB1364</f>
        <v>Scaffolding Platform</v>
      </c>
      <c r="AC1385" t="str">
        <f t="shared" si="1432"/>
        <v>First Floor</v>
      </c>
      <c r="AD1385" t="b">
        <f t="shared" ca="1" si="1421"/>
        <v>1</v>
      </c>
      <c r="AE1385" s="1">
        <f t="shared" ca="1" si="1375"/>
        <v>89</v>
      </c>
      <c r="AF1385" t="str">
        <f t="shared" ca="1" si="1419"/>
        <v>Plot 89</v>
      </c>
    </row>
    <row r="1386" spans="28:32" x14ac:dyDescent="0.25">
      <c r="AB1386" t="str">
        <f t="shared" ref="AB1386:AC1386" si="1433">AB1365</f>
        <v>Scaffolding Platform</v>
      </c>
      <c r="AC1386" t="str">
        <f t="shared" si="1433"/>
        <v>Second Floor</v>
      </c>
      <c r="AD1386" t="b">
        <f t="shared" ca="1" si="1421"/>
        <v>0</v>
      </c>
      <c r="AE1386" s="1">
        <f t="shared" ca="1" si="1375"/>
        <v>89</v>
      </c>
      <c r="AF1386" t="str">
        <f t="shared" ca="1" si="1419"/>
        <v>Plot 89</v>
      </c>
    </row>
    <row r="1387" spans="28:32" x14ac:dyDescent="0.25">
      <c r="AB1387" t="str">
        <f t="shared" ref="AB1387:AC1387" si="1434">AB1366</f>
        <v>Supporting Scaffold</v>
      </c>
      <c r="AC1387" t="str">
        <f t="shared" si="1434"/>
        <v>Ground Floor Prop.</v>
      </c>
      <c r="AD1387" t="str">
        <f t="shared" ca="1" si="1421"/>
        <v>TRUE</v>
      </c>
      <c r="AE1387" s="1">
        <f t="shared" ca="1" si="1375"/>
        <v>89</v>
      </c>
      <c r="AF1387" t="str">
        <f t="shared" ca="1" si="1419"/>
        <v>Plot 89</v>
      </c>
    </row>
    <row r="1388" spans="28:32" x14ac:dyDescent="0.25">
      <c r="AB1388" t="str">
        <f t="shared" ref="AB1388:AC1388" si="1435">AB1367</f>
        <v>Supporting Scaffold</v>
      </c>
      <c r="AC1388" t="str">
        <f t="shared" si="1435"/>
        <v>First Floor Prop.</v>
      </c>
      <c r="AD1388" t="str">
        <f t="shared" ca="1" si="1421"/>
        <v>FALSE</v>
      </c>
      <c r="AE1388" s="1">
        <f t="shared" ca="1" si="1375"/>
        <v>89</v>
      </c>
      <c r="AF1388" t="str">
        <f t="shared" ca="1" si="1419"/>
        <v>Plot 89</v>
      </c>
    </row>
    <row r="1389" spans="28:32" x14ac:dyDescent="0.25">
      <c r="AB1389" t="str">
        <f t="shared" ref="AB1389:AC1389" si="1436">AB1368</f>
        <v>Supporting Scaffold</v>
      </c>
      <c r="AC1389" t="str">
        <f t="shared" si="1436"/>
        <v>Second Floor Prop.</v>
      </c>
      <c r="AD1389" t="str">
        <f t="shared" ca="1" si="1421"/>
        <v>FALSE</v>
      </c>
      <c r="AE1389" s="1">
        <f t="shared" ca="1" si="1375"/>
        <v>89</v>
      </c>
      <c r="AF1389" t="str">
        <f t="shared" ca="1" si="1419"/>
        <v>Plot 89</v>
      </c>
    </row>
    <row r="1390" spans="28:32" x14ac:dyDescent="0.25">
      <c r="AB1390" t="str">
        <f t="shared" ref="AB1390:AC1390" si="1437">AB1369</f>
        <v>External Scaffolding</v>
      </c>
      <c r="AC1390" t="str">
        <f t="shared" si="1437"/>
        <v>Hop-ups</v>
      </c>
      <c r="AD1390" t="b">
        <f t="shared" ca="1" si="1421"/>
        <v>1</v>
      </c>
      <c r="AE1390" s="1">
        <f t="shared" ca="1" si="1375"/>
        <v>89</v>
      </c>
      <c r="AF1390" t="str">
        <f t="shared" ca="1" si="1419"/>
        <v>Plot 89</v>
      </c>
    </row>
    <row r="1391" spans="28:32" x14ac:dyDescent="0.25">
      <c r="AB1391" t="str">
        <f t="shared" ref="AB1391:AC1391" si="1438">AB1370</f>
        <v>External Scaffolding</v>
      </c>
      <c r="AC1391" t="str">
        <f t="shared" si="1438"/>
        <v>Adaptions</v>
      </c>
      <c r="AD1391" t="b">
        <f t="shared" ca="1" si="1421"/>
        <v>1</v>
      </c>
      <c r="AE1391" s="1">
        <f t="shared" ca="1" si="1375"/>
        <v>89</v>
      </c>
      <c r="AF1391" t="str">
        <f t="shared" ca="1" si="1419"/>
        <v>Plot 89</v>
      </c>
    </row>
    <row r="1392" spans="28:32" x14ac:dyDescent="0.25">
      <c r="AB1392" t="str">
        <f t="shared" ref="AB1392:AC1392" si="1439">AB1371</f>
        <v>External Scaffolding</v>
      </c>
      <c r="AC1392" t="str">
        <f t="shared" si="1439"/>
        <v>Adaption Tower</v>
      </c>
      <c r="AD1392" t="b">
        <f t="shared" ca="1" si="1421"/>
        <v>1</v>
      </c>
      <c r="AE1392" s="1">
        <f t="shared" ca="1" si="1375"/>
        <v>89</v>
      </c>
      <c r="AF1392" t="str">
        <f t="shared" ca="1" si="1419"/>
        <v>Plot 89</v>
      </c>
    </row>
    <row r="1393" spans="28:32" x14ac:dyDescent="0.25">
      <c r="AB1393" t="str">
        <f t="shared" ref="AB1393:AC1393" si="1440">AB1372</f>
        <v>External Scaffolding</v>
      </c>
      <c r="AC1393" t="str">
        <f t="shared" si="1440"/>
        <v>Lift 1</v>
      </c>
      <c r="AD1393" t="b">
        <f t="shared" ca="1" si="1421"/>
        <v>1</v>
      </c>
      <c r="AE1393" s="1">
        <f t="shared" ca="1" si="1375"/>
        <v>90</v>
      </c>
      <c r="AF1393" t="str">
        <f t="shared" ca="1" si="1419"/>
        <v>Plot 90</v>
      </c>
    </row>
    <row r="1394" spans="28:32" x14ac:dyDescent="0.25">
      <c r="AB1394" t="str">
        <f t="shared" ref="AB1394:AC1394" si="1441">AB1373</f>
        <v>External Scaffolding</v>
      </c>
      <c r="AC1394" t="str">
        <f t="shared" si="1441"/>
        <v>Lift 2</v>
      </c>
      <c r="AD1394" t="b">
        <f t="shared" ca="1" si="1421"/>
        <v>1</v>
      </c>
      <c r="AE1394" s="1">
        <f t="shared" ref="AE1394:AE1457" ca="1" si="1442">OFFSET($AD$1,0,FLOOR(ROW(B1366)/21,1))</f>
        <v>90</v>
      </c>
      <c r="AF1394" t="str">
        <f t="shared" ca="1" si="1419"/>
        <v>Plot 90</v>
      </c>
    </row>
    <row r="1395" spans="28:32" x14ac:dyDescent="0.25">
      <c r="AB1395" t="str">
        <f t="shared" ref="AB1395:AC1395" si="1443">AB1374</f>
        <v>External Scaffolding</v>
      </c>
      <c r="AC1395" t="str">
        <f t="shared" si="1443"/>
        <v>Lift 3</v>
      </c>
      <c r="AD1395" t="b">
        <f t="shared" ca="1" si="1421"/>
        <v>1</v>
      </c>
      <c r="AE1395" s="1">
        <f t="shared" ca="1" si="1442"/>
        <v>90</v>
      </c>
      <c r="AF1395" t="str">
        <f t="shared" ca="1" si="1419"/>
        <v>Plot 90</v>
      </c>
    </row>
    <row r="1396" spans="28:32" x14ac:dyDescent="0.25">
      <c r="AB1396" t="str">
        <f t="shared" ref="AB1396:AC1396" si="1444">AB1375</f>
        <v>External Scaffolding</v>
      </c>
      <c r="AC1396" t="str">
        <f t="shared" si="1444"/>
        <v>Lift 4</v>
      </c>
      <c r="AD1396" t="b">
        <f t="shared" ca="1" si="1421"/>
        <v>0</v>
      </c>
      <c r="AE1396" s="1">
        <f t="shared" ca="1" si="1442"/>
        <v>90</v>
      </c>
      <c r="AF1396" t="str">
        <f t="shared" ca="1" si="1419"/>
        <v>Plot 90</v>
      </c>
    </row>
    <row r="1397" spans="28:32" x14ac:dyDescent="0.25">
      <c r="AB1397" t="str">
        <f t="shared" ref="AB1397:AC1397" si="1445">AB1376</f>
        <v>External Scaffolding</v>
      </c>
      <c r="AC1397" t="str">
        <f t="shared" si="1445"/>
        <v>Lift 5</v>
      </c>
      <c r="AD1397" t="b">
        <f t="shared" ca="1" si="1421"/>
        <v>0</v>
      </c>
      <c r="AE1397" s="1">
        <f t="shared" ca="1" si="1442"/>
        <v>90</v>
      </c>
      <c r="AF1397" t="str">
        <f t="shared" ca="1" si="1419"/>
        <v>Plot 90</v>
      </c>
    </row>
    <row r="1398" spans="28:32" x14ac:dyDescent="0.25">
      <c r="AB1398" t="str">
        <f t="shared" ref="AB1398:AC1398" si="1446">AB1377</f>
        <v>External Scaffolding</v>
      </c>
      <c r="AC1398" t="str">
        <f t="shared" si="1446"/>
        <v>Lift 6</v>
      </c>
      <c r="AD1398" t="b">
        <f t="shared" ca="1" si="1421"/>
        <v>0</v>
      </c>
      <c r="AE1398" s="1">
        <f t="shared" ca="1" si="1442"/>
        <v>90</v>
      </c>
      <c r="AF1398" t="str">
        <f t="shared" ca="1" si="1419"/>
        <v>Plot 90</v>
      </c>
    </row>
    <row r="1399" spans="28:32" x14ac:dyDescent="0.25">
      <c r="AB1399" t="str">
        <f t="shared" ref="AB1399:AC1399" si="1447">AB1378</f>
        <v>Loading Bay</v>
      </c>
      <c r="AC1399" t="str">
        <f t="shared" si="1447"/>
        <v>Lift 1</v>
      </c>
      <c r="AD1399" t="b">
        <f t="shared" ca="1" si="1421"/>
        <v>1</v>
      </c>
      <c r="AE1399" s="1">
        <f t="shared" ca="1" si="1442"/>
        <v>90</v>
      </c>
      <c r="AF1399" t="str">
        <f t="shared" ca="1" si="1419"/>
        <v>Plot 90</v>
      </c>
    </row>
    <row r="1400" spans="28:32" x14ac:dyDescent="0.25">
      <c r="AB1400" t="str">
        <f t="shared" ref="AB1400:AC1400" si="1448">AB1379</f>
        <v>Loading Bay</v>
      </c>
      <c r="AC1400" t="str">
        <f t="shared" si="1448"/>
        <v>Lift 2</v>
      </c>
      <c r="AD1400" t="b">
        <f t="shared" ca="1" si="1421"/>
        <v>1</v>
      </c>
      <c r="AE1400" s="1">
        <f t="shared" ca="1" si="1442"/>
        <v>90</v>
      </c>
      <c r="AF1400" t="str">
        <f t="shared" ca="1" si="1419"/>
        <v>Plot 90</v>
      </c>
    </row>
    <row r="1401" spans="28:32" x14ac:dyDescent="0.25">
      <c r="AB1401" t="str">
        <f t="shared" ref="AB1401:AC1401" si="1449">AB1380</f>
        <v>Loading Bay</v>
      </c>
      <c r="AC1401" t="str">
        <f t="shared" si="1449"/>
        <v>Lift 3</v>
      </c>
      <c r="AD1401" t="b">
        <f t="shared" ca="1" si="1421"/>
        <v>1</v>
      </c>
      <c r="AE1401" s="1">
        <f t="shared" ca="1" si="1442"/>
        <v>90</v>
      </c>
      <c r="AF1401" t="str">
        <f t="shared" ca="1" si="1419"/>
        <v>Plot 90</v>
      </c>
    </row>
    <row r="1402" spans="28:32" x14ac:dyDescent="0.25">
      <c r="AB1402" t="str">
        <f t="shared" ref="AB1402:AC1402" si="1450">AB1381</f>
        <v>Loading Bay</v>
      </c>
      <c r="AC1402" t="str">
        <f t="shared" si="1450"/>
        <v>Lift 4</v>
      </c>
      <c r="AD1402" t="b">
        <f t="shared" ca="1" si="1421"/>
        <v>0</v>
      </c>
      <c r="AE1402" s="1">
        <f t="shared" ca="1" si="1442"/>
        <v>90</v>
      </c>
      <c r="AF1402" t="str">
        <f t="shared" ca="1" si="1419"/>
        <v>Plot 90</v>
      </c>
    </row>
    <row r="1403" spans="28:32" x14ac:dyDescent="0.25">
      <c r="AB1403" t="str">
        <f t="shared" ref="AB1403:AC1403" si="1451">AB1382</f>
        <v>Loading Bay</v>
      </c>
      <c r="AC1403" t="str">
        <f t="shared" si="1451"/>
        <v>Lift 5</v>
      </c>
      <c r="AD1403" t="b">
        <f t="shared" ca="1" si="1421"/>
        <v>0</v>
      </c>
      <c r="AE1403" s="1">
        <f t="shared" ca="1" si="1442"/>
        <v>90</v>
      </c>
      <c r="AF1403" t="str">
        <f t="shared" ca="1" si="1419"/>
        <v>Plot 90</v>
      </c>
    </row>
    <row r="1404" spans="28:32" x14ac:dyDescent="0.25">
      <c r="AB1404" t="str">
        <f t="shared" ref="AB1404:AC1404" si="1452">AB1383</f>
        <v>Loading Bay</v>
      </c>
      <c r="AC1404" t="str">
        <f t="shared" si="1452"/>
        <v>Lift 6</v>
      </c>
      <c r="AD1404" t="b">
        <f t="shared" ca="1" si="1421"/>
        <v>0</v>
      </c>
      <c r="AE1404" s="1">
        <f t="shared" ca="1" si="1442"/>
        <v>90</v>
      </c>
      <c r="AF1404" t="str">
        <f t="shared" ca="1" si="1419"/>
        <v>Plot 90</v>
      </c>
    </row>
    <row r="1405" spans="28:32" x14ac:dyDescent="0.25">
      <c r="AB1405" t="str">
        <f t="shared" ref="AB1405:AC1405" si="1453">AB1384</f>
        <v>Scaffolding Platform</v>
      </c>
      <c r="AC1405" t="str">
        <f t="shared" si="1453"/>
        <v>Ground Floor</v>
      </c>
      <c r="AD1405" t="b">
        <f t="shared" ca="1" si="1421"/>
        <v>1</v>
      </c>
      <c r="AE1405" s="1">
        <f t="shared" ca="1" si="1442"/>
        <v>90</v>
      </c>
      <c r="AF1405" t="str">
        <f t="shared" ca="1" si="1419"/>
        <v>Plot 90</v>
      </c>
    </row>
    <row r="1406" spans="28:32" x14ac:dyDescent="0.25">
      <c r="AB1406" t="str">
        <f t="shared" ref="AB1406:AC1406" si="1454">AB1385</f>
        <v>Scaffolding Platform</v>
      </c>
      <c r="AC1406" t="str">
        <f t="shared" si="1454"/>
        <v>First Floor</v>
      </c>
      <c r="AD1406" t="b">
        <f t="shared" ca="1" si="1421"/>
        <v>1</v>
      </c>
      <c r="AE1406" s="1">
        <f t="shared" ca="1" si="1442"/>
        <v>90</v>
      </c>
      <c r="AF1406" t="str">
        <f t="shared" ca="1" si="1419"/>
        <v>Plot 90</v>
      </c>
    </row>
    <row r="1407" spans="28:32" x14ac:dyDescent="0.25">
      <c r="AB1407" t="str">
        <f t="shared" ref="AB1407:AC1407" si="1455">AB1386</f>
        <v>Scaffolding Platform</v>
      </c>
      <c r="AC1407" t="str">
        <f t="shared" si="1455"/>
        <v>Second Floor</v>
      </c>
      <c r="AD1407" t="b">
        <f t="shared" ca="1" si="1421"/>
        <v>0</v>
      </c>
      <c r="AE1407" s="1">
        <f t="shared" ca="1" si="1442"/>
        <v>90</v>
      </c>
      <c r="AF1407" t="str">
        <f t="shared" ca="1" si="1419"/>
        <v>Plot 90</v>
      </c>
    </row>
    <row r="1408" spans="28:32" x14ac:dyDescent="0.25">
      <c r="AB1408" t="str">
        <f t="shared" ref="AB1408:AC1408" si="1456">AB1387</f>
        <v>Supporting Scaffold</v>
      </c>
      <c r="AC1408" t="str">
        <f t="shared" si="1456"/>
        <v>Ground Floor Prop.</v>
      </c>
      <c r="AD1408" t="str">
        <f t="shared" ca="1" si="1421"/>
        <v>TRUE</v>
      </c>
      <c r="AE1408" s="1">
        <f t="shared" ca="1" si="1442"/>
        <v>90</v>
      </c>
      <c r="AF1408" t="str">
        <f t="shared" ca="1" si="1419"/>
        <v>Plot 90</v>
      </c>
    </row>
    <row r="1409" spans="28:32" x14ac:dyDescent="0.25">
      <c r="AB1409" t="str">
        <f t="shared" ref="AB1409:AC1409" si="1457">AB1388</f>
        <v>Supporting Scaffold</v>
      </c>
      <c r="AC1409" t="str">
        <f t="shared" si="1457"/>
        <v>First Floor Prop.</v>
      </c>
      <c r="AD1409" t="str">
        <f t="shared" ca="1" si="1421"/>
        <v>FALSE</v>
      </c>
      <c r="AE1409" s="1">
        <f t="shared" ca="1" si="1442"/>
        <v>90</v>
      </c>
      <c r="AF1409" t="str">
        <f t="shared" ca="1" si="1419"/>
        <v>Plot 90</v>
      </c>
    </row>
    <row r="1410" spans="28:32" x14ac:dyDescent="0.25">
      <c r="AB1410" t="str">
        <f t="shared" ref="AB1410:AC1410" si="1458">AB1389</f>
        <v>Supporting Scaffold</v>
      </c>
      <c r="AC1410" t="str">
        <f t="shared" si="1458"/>
        <v>Second Floor Prop.</v>
      </c>
      <c r="AD1410" t="str">
        <f t="shared" ca="1" si="1421"/>
        <v>FALSE</v>
      </c>
      <c r="AE1410" s="1">
        <f t="shared" ca="1" si="1442"/>
        <v>90</v>
      </c>
      <c r="AF1410" t="str">
        <f t="shared" ca="1" si="1419"/>
        <v>Plot 90</v>
      </c>
    </row>
    <row r="1411" spans="28:32" x14ac:dyDescent="0.25">
      <c r="AB1411" t="str">
        <f t="shared" ref="AB1411:AC1411" si="1459">AB1390</f>
        <v>External Scaffolding</v>
      </c>
      <c r="AC1411" t="str">
        <f t="shared" si="1459"/>
        <v>Hop-ups</v>
      </c>
      <c r="AD1411" t="b">
        <f t="shared" ca="1" si="1421"/>
        <v>1</v>
      </c>
      <c r="AE1411" s="1">
        <f t="shared" ca="1" si="1442"/>
        <v>90</v>
      </c>
      <c r="AF1411" t="str">
        <f t="shared" ca="1" si="1419"/>
        <v>Plot 90</v>
      </c>
    </row>
    <row r="1412" spans="28:32" x14ac:dyDescent="0.25">
      <c r="AB1412" t="str">
        <f t="shared" ref="AB1412:AC1412" si="1460">AB1391</f>
        <v>External Scaffolding</v>
      </c>
      <c r="AC1412" t="str">
        <f t="shared" si="1460"/>
        <v>Adaptions</v>
      </c>
      <c r="AD1412" t="b">
        <f t="shared" ca="1" si="1421"/>
        <v>1</v>
      </c>
      <c r="AE1412" s="1">
        <f t="shared" ca="1" si="1442"/>
        <v>90</v>
      </c>
      <c r="AF1412" t="str">
        <f t="shared" ca="1" si="1419"/>
        <v>Plot 90</v>
      </c>
    </row>
    <row r="1413" spans="28:32" x14ac:dyDescent="0.25">
      <c r="AB1413" t="str">
        <f t="shared" ref="AB1413:AC1413" si="1461">AB1392</f>
        <v>External Scaffolding</v>
      </c>
      <c r="AC1413" t="str">
        <f t="shared" si="1461"/>
        <v>Adaption Tower</v>
      </c>
      <c r="AD1413" t="b">
        <f t="shared" ca="1" si="1421"/>
        <v>1</v>
      </c>
      <c r="AE1413" s="1">
        <f t="shared" ca="1" si="1442"/>
        <v>90</v>
      </c>
      <c r="AF1413" t="str">
        <f t="shared" ca="1" si="1419"/>
        <v>Plot 90</v>
      </c>
    </row>
    <row r="1414" spans="28:32" x14ac:dyDescent="0.25">
      <c r="AB1414" t="str">
        <f t="shared" ref="AB1414:AC1414" si="1462">AB1393</f>
        <v>External Scaffolding</v>
      </c>
      <c r="AC1414" t="str">
        <f t="shared" si="1462"/>
        <v>Lift 1</v>
      </c>
      <c r="AD1414" t="b">
        <f t="shared" ca="1" si="1421"/>
        <v>1</v>
      </c>
      <c r="AE1414" s="1" t="str">
        <f t="shared" ca="1" si="1442"/>
        <v>91-92</v>
      </c>
      <c r="AF1414" t="str">
        <f t="shared" ca="1" si="1419"/>
        <v>Plot 91-92</v>
      </c>
    </row>
    <row r="1415" spans="28:32" x14ac:dyDescent="0.25">
      <c r="AB1415" t="str">
        <f t="shared" ref="AB1415:AC1415" si="1463">AB1394</f>
        <v>External Scaffolding</v>
      </c>
      <c r="AC1415" t="str">
        <f t="shared" si="1463"/>
        <v>Lift 2</v>
      </c>
      <c r="AD1415" t="b">
        <f t="shared" ca="1" si="1421"/>
        <v>1</v>
      </c>
      <c r="AE1415" s="1" t="str">
        <f t="shared" ca="1" si="1442"/>
        <v>91-92</v>
      </c>
      <c r="AF1415" t="str">
        <f t="shared" ca="1" si="1419"/>
        <v>Plot 91-92</v>
      </c>
    </row>
    <row r="1416" spans="28:32" x14ac:dyDescent="0.25">
      <c r="AB1416" t="str">
        <f t="shared" ref="AB1416:AC1416" si="1464">AB1395</f>
        <v>External Scaffolding</v>
      </c>
      <c r="AC1416" t="str">
        <f t="shared" si="1464"/>
        <v>Lift 3</v>
      </c>
      <c r="AD1416" t="b">
        <f t="shared" ca="1" si="1421"/>
        <v>1</v>
      </c>
      <c r="AE1416" s="1" t="str">
        <f t="shared" ca="1" si="1442"/>
        <v>91-92</v>
      </c>
      <c r="AF1416" t="str">
        <f t="shared" ca="1" si="1419"/>
        <v>Plot 91-92</v>
      </c>
    </row>
    <row r="1417" spans="28:32" x14ac:dyDescent="0.25">
      <c r="AB1417" t="str">
        <f t="shared" ref="AB1417:AC1417" si="1465">AB1396</f>
        <v>External Scaffolding</v>
      </c>
      <c r="AC1417" t="str">
        <f t="shared" si="1465"/>
        <v>Lift 4</v>
      </c>
      <c r="AD1417" t="b">
        <f t="shared" ca="1" si="1421"/>
        <v>0</v>
      </c>
      <c r="AE1417" s="1" t="str">
        <f t="shared" ca="1" si="1442"/>
        <v>91-92</v>
      </c>
      <c r="AF1417" t="str">
        <f t="shared" ca="1" si="1419"/>
        <v>Plot 91-92</v>
      </c>
    </row>
    <row r="1418" spans="28:32" x14ac:dyDescent="0.25">
      <c r="AB1418" t="str">
        <f t="shared" ref="AB1418:AC1418" si="1466">AB1397</f>
        <v>External Scaffolding</v>
      </c>
      <c r="AC1418" t="str">
        <f t="shared" si="1466"/>
        <v>Lift 5</v>
      </c>
      <c r="AD1418" t="b">
        <f t="shared" ca="1" si="1421"/>
        <v>0</v>
      </c>
      <c r="AE1418" s="1" t="str">
        <f t="shared" ca="1" si="1442"/>
        <v>91-92</v>
      </c>
      <c r="AF1418" t="str">
        <f t="shared" ca="1" si="1419"/>
        <v>Plot 91-92</v>
      </c>
    </row>
    <row r="1419" spans="28:32" x14ac:dyDescent="0.25">
      <c r="AB1419" t="str">
        <f t="shared" ref="AB1419:AC1419" si="1467">AB1398</f>
        <v>External Scaffolding</v>
      </c>
      <c r="AC1419" t="str">
        <f t="shared" si="1467"/>
        <v>Lift 6</v>
      </c>
      <c r="AD1419" t="b">
        <f t="shared" ca="1" si="1421"/>
        <v>0</v>
      </c>
      <c r="AE1419" s="1" t="str">
        <f t="shared" ca="1" si="1442"/>
        <v>91-92</v>
      </c>
      <c r="AF1419" t="str">
        <f t="shared" ca="1" si="1419"/>
        <v>Plot 91-92</v>
      </c>
    </row>
    <row r="1420" spans="28:32" x14ac:dyDescent="0.25">
      <c r="AB1420" t="str">
        <f t="shared" ref="AB1420:AC1420" si="1468">AB1399</f>
        <v>Loading Bay</v>
      </c>
      <c r="AC1420" t="str">
        <f t="shared" si="1468"/>
        <v>Lift 1</v>
      </c>
      <c r="AD1420" t="b">
        <f t="shared" ca="1" si="1421"/>
        <v>1</v>
      </c>
      <c r="AE1420" s="1" t="str">
        <f t="shared" ca="1" si="1442"/>
        <v>91-92</v>
      </c>
      <c r="AF1420" t="str">
        <f t="shared" ca="1" si="1419"/>
        <v>Plot 91-92</v>
      </c>
    </row>
    <row r="1421" spans="28:32" x14ac:dyDescent="0.25">
      <c r="AB1421" t="str">
        <f t="shared" ref="AB1421:AC1421" si="1469">AB1400</f>
        <v>Loading Bay</v>
      </c>
      <c r="AC1421" t="str">
        <f t="shared" si="1469"/>
        <v>Lift 2</v>
      </c>
      <c r="AD1421" t="b">
        <f t="shared" ca="1" si="1421"/>
        <v>1</v>
      </c>
      <c r="AE1421" s="1" t="str">
        <f t="shared" ca="1" si="1442"/>
        <v>91-92</v>
      </c>
      <c r="AF1421" t="str">
        <f t="shared" ca="1" si="1419"/>
        <v>Plot 91-92</v>
      </c>
    </row>
    <row r="1422" spans="28:32" x14ac:dyDescent="0.25">
      <c r="AB1422" t="str">
        <f t="shared" ref="AB1422:AC1422" si="1470">AB1401</f>
        <v>Loading Bay</v>
      </c>
      <c r="AC1422" t="str">
        <f t="shared" si="1470"/>
        <v>Lift 3</v>
      </c>
      <c r="AD1422" t="b">
        <f t="shared" ca="1" si="1421"/>
        <v>1</v>
      </c>
      <c r="AE1422" s="1" t="str">
        <f t="shared" ca="1" si="1442"/>
        <v>91-92</v>
      </c>
      <c r="AF1422" t="str">
        <f t="shared" ca="1" si="1419"/>
        <v>Plot 91-92</v>
      </c>
    </row>
    <row r="1423" spans="28:32" x14ac:dyDescent="0.25">
      <c r="AB1423" t="str">
        <f t="shared" ref="AB1423:AC1423" si="1471">AB1402</f>
        <v>Loading Bay</v>
      </c>
      <c r="AC1423" t="str">
        <f t="shared" si="1471"/>
        <v>Lift 4</v>
      </c>
      <c r="AD1423" t="b">
        <f t="shared" ca="1" si="1421"/>
        <v>0</v>
      </c>
      <c r="AE1423" s="1" t="str">
        <f t="shared" ca="1" si="1442"/>
        <v>91-92</v>
      </c>
      <c r="AF1423" t="str">
        <f t="shared" ca="1" si="1419"/>
        <v>Plot 91-92</v>
      </c>
    </row>
    <row r="1424" spans="28:32" x14ac:dyDescent="0.25">
      <c r="AB1424" t="str">
        <f t="shared" ref="AB1424:AC1424" si="1472">AB1403</f>
        <v>Loading Bay</v>
      </c>
      <c r="AC1424" t="str">
        <f t="shared" si="1472"/>
        <v>Lift 5</v>
      </c>
      <c r="AD1424" t="b">
        <f t="shared" ca="1" si="1421"/>
        <v>0</v>
      </c>
      <c r="AE1424" s="1" t="str">
        <f t="shared" ca="1" si="1442"/>
        <v>91-92</v>
      </c>
      <c r="AF1424" t="str">
        <f t="shared" ca="1" si="1419"/>
        <v>Plot 91-92</v>
      </c>
    </row>
    <row r="1425" spans="28:32" x14ac:dyDescent="0.25">
      <c r="AB1425" t="str">
        <f t="shared" ref="AB1425:AC1425" si="1473">AB1404</f>
        <v>Loading Bay</v>
      </c>
      <c r="AC1425" t="str">
        <f t="shared" si="1473"/>
        <v>Lift 6</v>
      </c>
      <c r="AD1425" t="b">
        <f t="shared" ca="1" si="1421"/>
        <v>0</v>
      </c>
      <c r="AE1425" s="1" t="str">
        <f t="shared" ca="1" si="1442"/>
        <v>91-92</v>
      </c>
      <c r="AF1425" t="str">
        <f t="shared" ca="1" si="1419"/>
        <v>Plot 91-92</v>
      </c>
    </row>
    <row r="1426" spans="28:32" x14ac:dyDescent="0.25">
      <c r="AB1426" t="str">
        <f t="shared" ref="AB1426:AC1426" si="1474">AB1405</f>
        <v>Scaffolding Platform</v>
      </c>
      <c r="AC1426" t="str">
        <f t="shared" si="1474"/>
        <v>Ground Floor</v>
      </c>
      <c r="AD1426" t="b">
        <f t="shared" ca="1" si="1421"/>
        <v>1</v>
      </c>
      <c r="AE1426" s="1" t="str">
        <f t="shared" ca="1" si="1442"/>
        <v>91-92</v>
      </c>
      <c r="AF1426" t="str">
        <f t="shared" ca="1" si="1419"/>
        <v>Plot 91-92</v>
      </c>
    </row>
    <row r="1427" spans="28:32" x14ac:dyDescent="0.25">
      <c r="AB1427" t="str">
        <f t="shared" ref="AB1427:AC1427" si="1475">AB1406</f>
        <v>Scaffolding Platform</v>
      </c>
      <c r="AC1427" t="str">
        <f t="shared" si="1475"/>
        <v>First Floor</v>
      </c>
      <c r="AD1427" t="b">
        <f t="shared" ca="1" si="1421"/>
        <v>1</v>
      </c>
      <c r="AE1427" s="1" t="str">
        <f t="shared" ca="1" si="1442"/>
        <v>91-92</v>
      </c>
      <c r="AF1427" t="str">
        <f t="shared" ca="1" si="1419"/>
        <v>Plot 91-92</v>
      </c>
    </row>
    <row r="1428" spans="28:32" x14ac:dyDescent="0.25">
      <c r="AB1428" t="str">
        <f t="shared" ref="AB1428:AC1428" si="1476">AB1407</f>
        <v>Scaffolding Platform</v>
      </c>
      <c r="AC1428" t="str">
        <f t="shared" si="1476"/>
        <v>Second Floor</v>
      </c>
      <c r="AD1428" t="b">
        <f t="shared" ca="1" si="1421"/>
        <v>0</v>
      </c>
      <c r="AE1428" s="1" t="str">
        <f t="shared" ca="1" si="1442"/>
        <v>91-92</v>
      </c>
      <c r="AF1428" t="str">
        <f t="shared" ca="1" si="1419"/>
        <v>Plot 91-92</v>
      </c>
    </row>
    <row r="1429" spans="28:32" x14ac:dyDescent="0.25">
      <c r="AB1429" t="str">
        <f t="shared" ref="AB1429:AC1429" si="1477">AB1408</f>
        <v>Supporting Scaffold</v>
      </c>
      <c r="AC1429" t="str">
        <f t="shared" si="1477"/>
        <v>Ground Floor Prop.</v>
      </c>
      <c r="AD1429" t="str">
        <f t="shared" ca="1" si="1421"/>
        <v>TRUE</v>
      </c>
      <c r="AE1429" s="1" t="str">
        <f t="shared" ca="1" si="1442"/>
        <v>91-92</v>
      </c>
      <c r="AF1429" t="str">
        <f t="shared" ca="1" si="1419"/>
        <v>Plot 91-92</v>
      </c>
    </row>
    <row r="1430" spans="28:32" x14ac:dyDescent="0.25">
      <c r="AB1430" t="str">
        <f t="shared" ref="AB1430:AC1430" si="1478">AB1409</f>
        <v>Supporting Scaffold</v>
      </c>
      <c r="AC1430" t="str">
        <f t="shared" si="1478"/>
        <v>First Floor Prop.</v>
      </c>
      <c r="AD1430" t="str">
        <f t="shared" ca="1" si="1421"/>
        <v>FALSE</v>
      </c>
      <c r="AE1430" s="1" t="str">
        <f t="shared" ca="1" si="1442"/>
        <v>91-92</v>
      </c>
      <c r="AF1430" t="str">
        <f t="shared" ca="1" si="1419"/>
        <v>Plot 91-92</v>
      </c>
    </row>
    <row r="1431" spans="28:32" x14ac:dyDescent="0.25">
      <c r="AB1431" t="str">
        <f t="shared" ref="AB1431:AC1431" si="1479">AB1410</f>
        <v>Supporting Scaffold</v>
      </c>
      <c r="AC1431" t="str">
        <f t="shared" si="1479"/>
        <v>Second Floor Prop.</v>
      </c>
      <c r="AD1431" t="str">
        <f t="shared" ca="1" si="1421"/>
        <v>FALSE</v>
      </c>
      <c r="AE1431" s="1" t="str">
        <f t="shared" ca="1" si="1442"/>
        <v>91-92</v>
      </c>
      <c r="AF1431" t="str">
        <f t="shared" ca="1" si="1419"/>
        <v>Plot 91-92</v>
      </c>
    </row>
    <row r="1432" spans="28:32" x14ac:dyDescent="0.25">
      <c r="AB1432" t="str">
        <f t="shared" ref="AB1432:AC1432" si="1480">AB1411</f>
        <v>External Scaffolding</v>
      </c>
      <c r="AC1432" t="str">
        <f t="shared" si="1480"/>
        <v>Hop-ups</v>
      </c>
      <c r="AD1432" t="b">
        <f t="shared" ca="1" si="1421"/>
        <v>1</v>
      </c>
      <c r="AE1432" s="1" t="str">
        <f t="shared" ca="1" si="1442"/>
        <v>91-92</v>
      </c>
      <c r="AF1432" t="str">
        <f t="shared" ca="1" si="1419"/>
        <v>Plot 91-92</v>
      </c>
    </row>
    <row r="1433" spans="28:32" x14ac:dyDescent="0.25">
      <c r="AB1433" t="str">
        <f t="shared" ref="AB1433:AC1433" si="1481">AB1412</f>
        <v>External Scaffolding</v>
      </c>
      <c r="AC1433" t="str">
        <f t="shared" si="1481"/>
        <v>Adaptions</v>
      </c>
      <c r="AD1433" t="b">
        <f t="shared" ca="1" si="1421"/>
        <v>1</v>
      </c>
      <c r="AE1433" s="1" t="str">
        <f t="shared" ca="1" si="1442"/>
        <v>91-92</v>
      </c>
      <c r="AF1433" t="str">
        <f t="shared" ca="1" si="1419"/>
        <v>Plot 91-92</v>
      </c>
    </row>
    <row r="1434" spans="28:32" x14ac:dyDescent="0.25">
      <c r="AB1434" t="str">
        <f t="shared" ref="AB1434:AC1434" si="1482">AB1413</f>
        <v>External Scaffolding</v>
      </c>
      <c r="AC1434" t="str">
        <f t="shared" si="1482"/>
        <v>Adaption Tower</v>
      </c>
      <c r="AD1434" t="b">
        <f t="shared" ca="1" si="1421"/>
        <v>1</v>
      </c>
      <c r="AE1434" s="1" t="str">
        <f t="shared" ca="1" si="1442"/>
        <v>91-92</v>
      </c>
      <c r="AF1434" t="str">
        <f t="shared" ca="1" si="1419"/>
        <v>Plot 91-92</v>
      </c>
    </row>
    <row r="1435" spans="28:32" x14ac:dyDescent="0.25">
      <c r="AB1435" t="str">
        <f t="shared" ref="AB1435:AC1435" si="1483">AB1414</f>
        <v>External Scaffolding</v>
      </c>
      <c r="AC1435" t="str">
        <f t="shared" si="1483"/>
        <v>Lift 1</v>
      </c>
      <c r="AD1435" t="b">
        <f t="shared" ca="1" si="1421"/>
        <v>1</v>
      </c>
      <c r="AE1435" s="1" t="str">
        <f t="shared" ca="1" si="1442"/>
        <v>93-95</v>
      </c>
      <c r="AF1435" t="str">
        <f t="shared" ca="1" si="1419"/>
        <v>Plot 93-95</v>
      </c>
    </row>
    <row r="1436" spans="28:32" x14ac:dyDescent="0.25">
      <c r="AB1436" t="str">
        <f t="shared" ref="AB1436:AC1436" si="1484">AB1415</f>
        <v>External Scaffolding</v>
      </c>
      <c r="AC1436" t="str">
        <f t="shared" si="1484"/>
        <v>Lift 2</v>
      </c>
      <c r="AD1436" t="b">
        <f t="shared" ca="1" si="1421"/>
        <v>1</v>
      </c>
      <c r="AE1436" s="1" t="str">
        <f t="shared" ca="1" si="1442"/>
        <v>93-95</v>
      </c>
      <c r="AF1436" t="str">
        <f t="shared" ca="1" si="1419"/>
        <v>Plot 93-95</v>
      </c>
    </row>
    <row r="1437" spans="28:32" x14ac:dyDescent="0.25">
      <c r="AB1437" t="str">
        <f t="shared" ref="AB1437:AC1437" si="1485">AB1416</f>
        <v>External Scaffolding</v>
      </c>
      <c r="AC1437" t="str">
        <f t="shared" si="1485"/>
        <v>Lift 3</v>
      </c>
      <c r="AD1437" t="b">
        <f t="shared" ca="1" si="1421"/>
        <v>1</v>
      </c>
      <c r="AE1437" s="1" t="str">
        <f t="shared" ca="1" si="1442"/>
        <v>93-95</v>
      </c>
      <c r="AF1437" t="str">
        <f t="shared" ref="AF1437:AF1500" ca="1" si="1486">IF(LEFT(AE1437,1)="G",AE1437,"Plot "&amp;AE1437)</f>
        <v>Plot 93-95</v>
      </c>
    </row>
    <row r="1438" spans="28:32" x14ac:dyDescent="0.25">
      <c r="AB1438" t="str">
        <f t="shared" ref="AB1438:AC1438" si="1487">AB1417</f>
        <v>External Scaffolding</v>
      </c>
      <c r="AC1438" t="str">
        <f t="shared" si="1487"/>
        <v>Lift 4</v>
      </c>
      <c r="AD1438" t="b">
        <f t="shared" ref="AD1438:AD1501" ca="1" si="1488">INDEX($AC$1:$JH$22,MATCH(AC1438,$AC$1:$AC$22,0),MATCH(AE1438,$AC$1:$JH$1,0))</f>
        <v>0</v>
      </c>
      <c r="AE1438" s="1" t="str">
        <f t="shared" ca="1" si="1442"/>
        <v>93-95</v>
      </c>
      <c r="AF1438" t="str">
        <f t="shared" ca="1" si="1486"/>
        <v>Plot 93-95</v>
      </c>
    </row>
    <row r="1439" spans="28:32" x14ac:dyDescent="0.25">
      <c r="AB1439" t="str">
        <f t="shared" ref="AB1439:AC1439" si="1489">AB1418</f>
        <v>External Scaffolding</v>
      </c>
      <c r="AC1439" t="str">
        <f t="shared" si="1489"/>
        <v>Lift 5</v>
      </c>
      <c r="AD1439" t="b">
        <f t="shared" ca="1" si="1488"/>
        <v>0</v>
      </c>
      <c r="AE1439" s="1" t="str">
        <f t="shared" ca="1" si="1442"/>
        <v>93-95</v>
      </c>
      <c r="AF1439" t="str">
        <f t="shared" ca="1" si="1486"/>
        <v>Plot 93-95</v>
      </c>
    </row>
    <row r="1440" spans="28:32" x14ac:dyDescent="0.25">
      <c r="AB1440" t="str">
        <f t="shared" ref="AB1440:AC1440" si="1490">AB1419</f>
        <v>External Scaffolding</v>
      </c>
      <c r="AC1440" t="str">
        <f t="shared" si="1490"/>
        <v>Lift 6</v>
      </c>
      <c r="AD1440" t="b">
        <f t="shared" ca="1" si="1488"/>
        <v>0</v>
      </c>
      <c r="AE1440" s="1" t="str">
        <f t="shared" ca="1" si="1442"/>
        <v>93-95</v>
      </c>
      <c r="AF1440" t="str">
        <f t="shared" ca="1" si="1486"/>
        <v>Plot 93-95</v>
      </c>
    </row>
    <row r="1441" spans="28:32" x14ac:dyDescent="0.25">
      <c r="AB1441" t="str">
        <f t="shared" ref="AB1441:AC1441" si="1491">AB1420</f>
        <v>Loading Bay</v>
      </c>
      <c r="AC1441" t="str">
        <f t="shared" si="1491"/>
        <v>Lift 1</v>
      </c>
      <c r="AD1441" t="b">
        <f t="shared" ca="1" si="1488"/>
        <v>1</v>
      </c>
      <c r="AE1441" s="1" t="str">
        <f t="shared" ca="1" si="1442"/>
        <v>93-95</v>
      </c>
      <c r="AF1441" t="str">
        <f t="shared" ca="1" si="1486"/>
        <v>Plot 93-95</v>
      </c>
    </row>
    <row r="1442" spans="28:32" x14ac:dyDescent="0.25">
      <c r="AB1442" t="str">
        <f t="shared" ref="AB1442:AC1442" si="1492">AB1421</f>
        <v>Loading Bay</v>
      </c>
      <c r="AC1442" t="str">
        <f t="shared" si="1492"/>
        <v>Lift 2</v>
      </c>
      <c r="AD1442" t="b">
        <f t="shared" ca="1" si="1488"/>
        <v>1</v>
      </c>
      <c r="AE1442" s="1" t="str">
        <f t="shared" ca="1" si="1442"/>
        <v>93-95</v>
      </c>
      <c r="AF1442" t="str">
        <f t="shared" ca="1" si="1486"/>
        <v>Plot 93-95</v>
      </c>
    </row>
    <row r="1443" spans="28:32" x14ac:dyDescent="0.25">
      <c r="AB1443" t="str">
        <f t="shared" ref="AB1443:AC1443" si="1493">AB1422</f>
        <v>Loading Bay</v>
      </c>
      <c r="AC1443" t="str">
        <f t="shared" si="1493"/>
        <v>Lift 3</v>
      </c>
      <c r="AD1443" t="b">
        <f t="shared" ca="1" si="1488"/>
        <v>1</v>
      </c>
      <c r="AE1443" s="1" t="str">
        <f t="shared" ca="1" si="1442"/>
        <v>93-95</v>
      </c>
      <c r="AF1443" t="str">
        <f t="shared" ca="1" si="1486"/>
        <v>Plot 93-95</v>
      </c>
    </row>
    <row r="1444" spans="28:32" x14ac:dyDescent="0.25">
      <c r="AB1444" t="str">
        <f t="shared" ref="AB1444:AC1444" si="1494">AB1423</f>
        <v>Loading Bay</v>
      </c>
      <c r="AC1444" t="str">
        <f t="shared" si="1494"/>
        <v>Lift 4</v>
      </c>
      <c r="AD1444" t="b">
        <f t="shared" ca="1" si="1488"/>
        <v>0</v>
      </c>
      <c r="AE1444" s="1" t="str">
        <f t="shared" ca="1" si="1442"/>
        <v>93-95</v>
      </c>
      <c r="AF1444" t="str">
        <f t="shared" ca="1" si="1486"/>
        <v>Plot 93-95</v>
      </c>
    </row>
    <row r="1445" spans="28:32" x14ac:dyDescent="0.25">
      <c r="AB1445" t="str">
        <f t="shared" ref="AB1445:AC1445" si="1495">AB1424</f>
        <v>Loading Bay</v>
      </c>
      <c r="AC1445" t="str">
        <f t="shared" si="1495"/>
        <v>Lift 5</v>
      </c>
      <c r="AD1445" t="b">
        <f t="shared" ca="1" si="1488"/>
        <v>0</v>
      </c>
      <c r="AE1445" s="1" t="str">
        <f t="shared" ca="1" si="1442"/>
        <v>93-95</v>
      </c>
      <c r="AF1445" t="str">
        <f t="shared" ca="1" si="1486"/>
        <v>Plot 93-95</v>
      </c>
    </row>
    <row r="1446" spans="28:32" x14ac:dyDescent="0.25">
      <c r="AB1446" t="str">
        <f t="shared" ref="AB1446:AC1446" si="1496">AB1425</f>
        <v>Loading Bay</v>
      </c>
      <c r="AC1446" t="str">
        <f t="shared" si="1496"/>
        <v>Lift 6</v>
      </c>
      <c r="AD1446" t="b">
        <f t="shared" ca="1" si="1488"/>
        <v>0</v>
      </c>
      <c r="AE1446" s="1" t="str">
        <f t="shared" ca="1" si="1442"/>
        <v>93-95</v>
      </c>
      <c r="AF1446" t="str">
        <f t="shared" ca="1" si="1486"/>
        <v>Plot 93-95</v>
      </c>
    </row>
    <row r="1447" spans="28:32" x14ac:dyDescent="0.25">
      <c r="AB1447" t="str">
        <f t="shared" ref="AB1447:AC1447" si="1497">AB1426</f>
        <v>Scaffolding Platform</v>
      </c>
      <c r="AC1447" t="str">
        <f t="shared" si="1497"/>
        <v>Ground Floor</v>
      </c>
      <c r="AD1447" t="b">
        <f t="shared" ca="1" si="1488"/>
        <v>1</v>
      </c>
      <c r="AE1447" s="1" t="str">
        <f t="shared" ca="1" si="1442"/>
        <v>93-95</v>
      </c>
      <c r="AF1447" t="str">
        <f t="shared" ca="1" si="1486"/>
        <v>Plot 93-95</v>
      </c>
    </row>
    <row r="1448" spans="28:32" x14ac:dyDescent="0.25">
      <c r="AB1448" t="str">
        <f t="shared" ref="AB1448:AC1448" si="1498">AB1427</f>
        <v>Scaffolding Platform</v>
      </c>
      <c r="AC1448" t="str">
        <f t="shared" si="1498"/>
        <v>First Floor</v>
      </c>
      <c r="AD1448" t="b">
        <f t="shared" ca="1" si="1488"/>
        <v>1</v>
      </c>
      <c r="AE1448" s="1" t="str">
        <f t="shared" ca="1" si="1442"/>
        <v>93-95</v>
      </c>
      <c r="AF1448" t="str">
        <f t="shared" ca="1" si="1486"/>
        <v>Plot 93-95</v>
      </c>
    </row>
    <row r="1449" spans="28:32" x14ac:dyDescent="0.25">
      <c r="AB1449" t="str">
        <f t="shared" ref="AB1449:AC1449" si="1499">AB1428</f>
        <v>Scaffolding Platform</v>
      </c>
      <c r="AC1449" t="str">
        <f t="shared" si="1499"/>
        <v>Second Floor</v>
      </c>
      <c r="AD1449" t="b">
        <f t="shared" ca="1" si="1488"/>
        <v>0</v>
      </c>
      <c r="AE1449" s="1" t="str">
        <f t="shared" ca="1" si="1442"/>
        <v>93-95</v>
      </c>
      <c r="AF1449" t="str">
        <f t="shared" ca="1" si="1486"/>
        <v>Plot 93-95</v>
      </c>
    </row>
    <row r="1450" spans="28:32" x14ac:dyDescent="0.25">
      <c r="AB1450" t="str">
        <f t="shared" ref="AB1450:AC1450" si="1500">AB1429</f>
        <v>Supporting Scaffold</v>
      </c>
      <c r="AC1450" t="str">
        <f t="shared" si="1500"/>
        <v>Ground Floor Prop.</v>
      </c>
      <c r="AD1450" t="str">
        <f t="shared" ca="1" si="1488"/>
        <v>TRUE</v>
      </c>
      <c r="AE1450" s="1" t="str">
        <f t="shared" ca="1" si="1442"/>
        <v>93-95</v>
      </c>
      <c r="AF1450" t="str">
        <f t="shared" ca="1" si="1486"/>
        <v>Plot 93-95</v>
      </c>
    </row>
    <row r="1451" spans="28:32" x14ac:dyDescent="0.25">
      <c r="AB1451" t="str">
        <f t="shared" ref="AB1451:AC1451" si="1501">AB1430</f>
        <v>Supporting Scaffold</v>
      </c>
      <c r="AC1451" t="str">
        <f t="shared" si="1501"/>
        <v>First Floor Prop.</v>
      </c>
      <c r="AD1451" t="str">
        <f t="shared" ca="1" si="1488"/>
        <v>FALSE</v>
      </c>
      <c r="AE1451" s="1" t="str">
        <f t="shared" ca="1" si="1442"/>
        <v>93-95</v>
      </c>
      <c r="AF1451" t="str">
        <f t="shared" ca="1" si="1486"/>
        <v>Plot 93-95</v>
      </c>
    </row>
    <row r="1452" spans="28:32" x14ac:dyDescent="0.25">
      <c r="AB1452" t="str">
        <f t="shared" ref="AB1452:AC1452" si="1502">AB1431</f>
        <v>Supporting Scaffold</v>
      </c>
      <c r="AC1452" t="str">
        <f t="shared" si="1502"/>
        <v>Second Floor Prop.</v>
      </c>
      <c r="AD1452" t="str">
        <f t="shared" ca="1" si="1488"/>
        <v>FALSE</v>
      </c>
      <c r="AE1452" s="1" t="str">
        <f t="shared" ca="1" si="1442"/>
        <v>93-95</v>
      </c>
      <c r="AF1452" t="str">
        <f t="shared" ca="1" si="1486"/>
        <v>Plot 93-95</v>
      </c>
    </row>
    <row r="1453" spans="28:32" x14ac:dyDescent="0.25">
      <c r="AB1453" t="str">
        <f t="shared" ref="AB1453:AC1453" si="1503">AB1432</f>
        <v>External Scaffolding</v>
      </c>
      <c r="AC1453" t="str">
        <f t="shared" si="1503"/>
        <v>Hop-ups</v>
      </c>
      <c r="AD1453" t="b">
        <f t="shared" ca="1" si="1488"/>
        <v>1</v>
      </c>
      <c r="AE1453" s="1" t="str">
        <f t="shared" ca="1" si="1442"/>
        <v>93-95</v>
      </c>
      <c r="AF1453" t="str">
        <f t="shared" ca="1" si="1486"/>
        <v>Plot 93-95</v>
      </c>
    </row>
    <row r="1454" spans="28:32" x14ac:dyDescent="0.25">
      <c r="AB1454" t="str">
        <f t="shared" ref="AB1454:AC1454" si="1504">AB1433</f>
        <v>External Scaffolding</v>
      </c>
      <c r="AC1454" t="str">
        <f t="shared" si="1504"/>
        <v>Adaptions</v>
      </c>
      <c r="AD1454" t="b">
        <f t="shared" ca="1" si="1488"/>
        <v>1</v>
      </c>
      <c r="AE1454" s="1" t="str">
        <f t="shared" ca="1" si="1442"/>
        <v>93-95</v>
      </c>
      <c r="AF1454" t="str">
        <f t="shared" ca="1" si="1486"/>
        <v>Plot 93-95</v>
      </c>
    </row>
    <row r="1455" spans="28:32" x14ac:dyDescent="0.25">
      <c r="AB1455" t="str">
        <f t="shared" ref="AB1455:AC1455" si="1505">AB1434</f>
        <v>External Scaffolding</v>
      </c>
      <c r="AC1455" t="str">
        <f t="shared" si="1505"/>
        <v>Adaption Tower</v>
      </c>
      <c r="AD1455" t="b">
        <f t="shared" ca="1" si="1488"/>
        <v>1</v>
      </c>
      <c r="AE1455" s="1" t="str">
        <f t="shared" ca="1" si="1442"/>
        <v>93-95</v>
      </c>
      <c r="AF1455" t="str">
        <f t="shared" ca="1" si="1486"/>
        <v>Plot 93-95</v>
      </c>
    </row>
    <row r="1456" spans="28:32" x14ac:dyDescent="0.25">
      <c r="AB1456" t="str">
        <f t="shared" ref="AB1456:AC1456" si="1506">AB1435</f>
        <v>External Scaffolding</v>
      </c>
      <c r="AC1456" t="str">
        <f t="shared" si="1506"/>
        <v>Lift 1</v>
      </c>
      <c r="AD1456" t="b">
        <f t="shared" ca="1" si="1488"/>
        <v>1</v>
      </c>
      <c r="AE1456" s="1" t="str">
        <f t="shared" ca="1" si="1442"/>
        <v>96-97</v>
      </c>
      <c r="AF1456" t="str">
        <f t="shared" ca="1" si="1486"/>
        <v>Plot 96-97</v>
      </c>
    </row>
    <row r="1457" spans="28:32" x14ac:dyDescent="0.25">
      <c r="AB1457" t="str">
        <f t="shared" ref="AB1457:AC1457" si="1507">AB1436</f>
        <v>External Scaffolding</v>
      </c>
      <c r="AC1457" t="str">
        <f t="shared" si="1507"/>
        <v>Lift 2</v>
      </c>
      <c r="AD1457" t="b">
        <f t="shared" ca="1" si="1488"/>
        <v>1</v>
      </c>
      <c r="AE1457" s="1" t="str">
        <f t="shared" ca="1" si="1442"/>
        <v>96-97</v>
      </c>
      <c r="AF1457" t="str">
        <f t="shared" ca="1" si="1486"/>
        <v>Plot 96-97</v>
      </c>
    </row>
    <row r="1458" spans="28:32" x14ac:dyDescent="0.25">
      <c r="AB1458" t="str">
        <f t="shared" ref="AB1458:AC1458" si="1508">AB1437</f>
        <v>External Scaffolding</v>
      </c>
      <c r="AC1458" t="str">
        <f t="shared" si="1508"/>
        <v>Lift 3</v>
      </c>
      <c r="AD1458" t="b">
        <f t="shared" ca="1" si="1488"/>
        <v>1</v>
      </c>
      <c r="AE1458" s="1" t="str">
        <f t="shared" ref="AE1458:AE1521" ca="1" si="1509">OFFSET($AD$1,0,FLOOR(ROW(B1430)/21,1))</f>
        <v>96-97</v>
      </c>
      <c r="AF1458" t="str">
        <f t="shared" ca="1" si="1486"/>
        <v>Plot 96-97</v>
      </c>
    </row>
    <row r="1459" spans="28:32" x14ac:dyDescent="0.25">
      <c r="AB1459" t="str">
        <f t="shared" ref="AB1459:AC1459" si="1510">AB1438</f>
        <v>External Scaffolding</v>
      </c>
      <c r="AC1459" t="str">
        <f t="shared" si="1510"/>
        <v>Lift 4</v>
      </c>
      <c r="AD1459" t="b">
        <f t="shared" ca="1" si="1488"/>
        <v>0</v>
      </c>
      <c r="AE1459" s="1" t="str">
        <f t="shared" ca="1" si="1509"/>
        <v>96-97</v>
      </c>
      <c r="AF1459" t="str">
        <f t="shared" ca="1" si="1486"/>
        <v>Plot 96-97</v>
      </c>
    </row>
    <row r="1460" spans="28:32" x14ac:dyDescent="0.25">
      <c r="AB1460" t="str">
        <f t="shared" ref="AB1460:AC1460" si="1511">AB1439</f>
        <v>External Scaffolding</v>
      </c>
      <c r="AC1460" t="str">
        <f t="shared" si="1511"/>
        <v>Lift 5</v>
      </c>
      <c r="AD1460" t="b">
        <f t="shared" ca="1" si="1488"/>
        <v>0</v>
      </c>
      <c r="AE1460" s="1" t="str">
        <f t="shared" ca="1" si="1509"/>
        <v>96-97</v>
      </c>
      <c r="AF1460" t="str">
        <f t="shared" ca="1" si="1486"/>
        <v>Plot 96-97</v>
      </c>
    </row>
    <row r="1461" spans="28:32" x14ac:dyDescent="0.25">
      <c r="AB1461" t="str">
        <f t="shared" ref="AB1461:AC1461" si="1512">AB1440</f>
        <v>External Scaffolding</v>
      </c>
      <c r="AC1461" t="str">
        <f t="shared" si="1512"/>
        <v>Lift 6</v>
      </c>
      <c r="AD1461" t="b">
        <f t="shared" ca="1" si="1488"/>
        <v>0</v>
      </c>
      <c r="AE1461" s="1" t="str">
        <f t="shared" ca="1" si="1509"/>
        <v>96-97</v>
      </c>
      <c r="AF1461" t="str">
        <f t="shared" ca="1" si="1486"/>
        <v>Plot 96-97</v>
      </c>
    </row>
    <row r="1462" spans="28:32" x14ac:dyDescent="0.25">
      <c r="AB1462" t="str">
        <f t="shared" ref="AB1462:AC1462" si="1513">AB1441</f>
        <v>Loading Bay</v>
      </c>
      <c r="AC1462" t="str">
        <f t="shared" si="1513"/>
        <v>Lift 1</v>
      </c>
      <c r="AD1462" t="b">
        <f t="shared" ca="1" si="1488"/>
        <v>1</v>
      </c>
      <c r="AE1462" s="1" t="str">
        <f t="shared" ca="1" si="1509"/>
        <v>96-97</v>
      </c>
      <c r="AF1462" t="str">
        <f t="shared" ca="1" si="1486"/>
        <v>Plot 96-97</v>
      </c>
    </row>
    <row r="1463" spans="28:32" x14ac:dyDescent="0.25">
      <c r="AB1463" t="str">
        <f t="shared" ref="AB1463:AC1463" si="1514">AB1442</f>
        <v>Loading Bay</v>
      </c>
      <c r="AC1463" t="str">
        <f t="shared" si="1514"/>
        <v>Lift 2</v>
      </c>
      <c r="AD1463" t="b">
        <f t="shared" ca="1" si="1488"/>
        <v>1</v>
      </c>
      <c r="AE1463" s="1" t="str">
        <f t="shared" ca="1" si="1509"/>
        <v>96-97</v>
      </c>
      <c r="AF1463" t="str">
        <f t="shared" ca="1" si="1486"/>
        <v>Plot 96-97</v>
      </c>
    </row>
    <row r="1464" spans="28:32" x14ac:dyDescent="0.25">
      <c r="AB1464" t="str">
        <f t="shared" ref="AB1464:AC1464" si="1515">AB1443</f>
        <v>Loading Bay</v>
      </c>
      <c r="AC1464" t="str">
        <f t="shared" si="1515"/>
        <v>Lift 3</v>
      </c>
      <c r="AD1464" t="b">
        <f t="shared" ca="1" si="1488"/>
        <v>1</v>
      </c>
      <c r="AE1464" s="1" t="str">
        <f t="shared" ca="1" si="1509"/>
        <v>96-97</v>
      </c>
      <c r="AF1464" t="str">
        <f t="shared" ca="1" si="1486"/>
        <v>Plot 96-97</v>
      </c>
    </row>
    <row r="1465" spans="28:32" x14ac:dyDescent="0.25">
      <c r="AB1465" t="str">
        <f t="shared" ref="AB1465:AC1465" si="1516">AB1444</f>
        <v>Loading Bay</v>
      </c>
      <c r="AC1465" t="str">
        <f t="shared" si="1516"/>
        <v>Lift 4</v>
      </c>
      <c r="AD1465" t="b">
        <f t="shared" ca="1" si="1488"/>
        <v>0</v>
      </c>
      <c r="AE1465" s="1" t="str">
        <f t="shared" ca="1" si="1509"/>
        <v>96-97</v>
      </c>
      <c r="AF1465" t="str">
        <f t="shared" ca="1" si="1486"/>
        <v>Plot 96-97</v>
      </c>
    </row>
    <row r="1466" spans="28:32" x14ac:dyDescent="0.25">
      <c r="AB1466" t="str">
        <f t="shared" ref="AB1466:AC1466" si="1517">AB1445</f>
        <v>Loading Bay</v>
      </c>
      <c r="AC1466" t="str">
        <f t="shared" si="1517"/>
        <v>Lift 5</v>
      </c>
      <c r="AD1466" t="b">
        <f t="shared" ca="1" si="1488"/>
        <v>0</v>
      </c>
      <c r="AE1466" s="1" t="str">
        <f t="shared" ca="1" si="1509"/>
        <v>96-97</v>
      </c>
      <c r="AF1466" t="str">
        <f t="shared" ca="1" si="1486"/>
        <v>Plot 96-97</v>
      </c>
    </row>
    <row r="1467" spans="28:32" x14ac:dyDescent="0.25">
      <c r="AB1467" t="str">
        <f t="shared" ref="AB1467:AC1467" si="1518">AB1446</f>
        <v>Loading Bay</v>
      </c>
      <c r="AC1467" t="str">
        <f t="shared" si="1518"/>
        <v>Lift 6</v>
      </c>
      <c r="AD1467" t="b">
        <f t="shared" ca="1" si="1488"/>
        <v>0</v>
      </c>
      <c r="AE1467" s="1" t="str">
        <f t="shared" ca="1" si="1509"/>
        <v>96-97</v>
      </c>
      <c r="AF1467" t="str">
        <f t="shared" ca="1" si="1486"/>
        <v>Plot 96-97</v>
      </c>
    </row>
    <row r="1468" spans="28:32" x14ac:dyDescent="0.25">
      <c r="AB1468" t="str">
        <f t="shared" ref="AB1468:AC1468" si="1519">AB1447</f>
        <v>Scaffolding Platform</v>
      </c>
      <c r="AC1468" t="str">
        <f t="shared" si="1519"/>
        <v>Ground Floor</v>
      </c>
      <c r="AD1468" t="b">
        <f t="shared" ca="1" si="1488"/>
        <v>1</v>
      </c>
      <c r="AE1468" s="1" t="str">
        <f t="shared" ca="1" si="1509"/>
        <v>96-97</v>
      </c>
      <c r="AF1468" t="str">
        <f t="shared" ca="1" si="1486"/>
        <v>Plot 96-97</v>
      </c>
    </row>
    <row r="1469" spans="28:32" x14ac:dyDescent="0.25">
      <c r="AB1469" t="str">
        <f t="shared" ref="AB1469:AC1469" si="1520">AB1448</f>
        <v>Scaffolding Platform</v>
      </c>
      <c r="AC1469" t="str">
        <f t="shared" si="1520"/>
        <v>First Floor</v>
      </c>
      <c r="AD1469" t="b">
        <f t="shared" ca="1" si="1488"/>
        <v>1</v>
      </c>
      <c r="AE1469" s="1" t="str">
        <f t="shared" ca="1" si="1509"/>
        <v>96-97</v>
      </c>
      <c r="AF1469" t="str">
        <f t="shared" ca="1" si="1486"/>
        <v>Plot 96-97</v>
      </c>
    </row>
    <row r="1470" spans="28:32" x14ac:dyDescent="0.25">
      <c r="AB1470" t="str">
        <f t="shared" ref="AB1470:AC1470" si="1521">AB1449</f>
        <v>Scaffolding Platform</v>
      </c>
      <c r="AC1470" t="str">
        <f t="shared" si="1521"/>
        <v>Second Floor</v>
      </c>
      <c r="AD1470" t="b">
        <f t="shared" ca="1" si="1488"/>
        <v>0</v>
      </c>
      <c r="AE1470" s="1" t="str">
        <f t="shared" ca="1" si="1509"/>
        <v>96-97</v>
      </c>
      <c r="AF1470" t="str">
        <f t="shared" ca="1" si="1486"/>
        <v>Plot 96-97</v>
      </c>
    </row>
    <row r="1471" spans="28:32" x14ac:dyDescent="0.25">
      <c r="AB1471" t="str">
        <f t="shared" ref="AB1471:AC1471" si="1522">AB1450</f>
        <v>Supporting Scaffold</v>
      </c>
      <c r="AC1471" t="str">
        <f t="shared" si="1522"/>
        <v>Ground Floor Prop.</v>
      </c>
      <c r="AD1471" t="str">
        <f t="shared" ca="1" si="1488"/>
        <v>TRUE</v>
      </c>
      <c r="AE1471" s="1" t="str">
        <f t="shared" ca="1" si="1509"/>
        <v>96-97</v>
      </c>
      <c r="AF1471" t="str">
        <f t="shared" ca="1" si="1486"/>
        <v>Plot 96-97</v>
      </c>
    </row>
    <row r="1472" spans="28:32" x14ac:dyDescent="0.25">
      <c r="AB1472" t="str">
        <f t="shared" ref="AB1472:AC1472" si="1523">AB1451</f>
        <v>Supporting Scaffold</v>
      </c>
      <c r="AC1472" t="str">
        <f t="shared" si="1523"/>
        <v>First Floor Prop.</v>
      </c>
      <c r="AD1472" t="str">
        <f t="shared" ca="1" si="1488"/>
        <v>FALSE</v>
      </c>
      <c r="AE1472" s="1" t="str">
        <f t="shared" ca="1" si="1509"/>
        <v>96-97</v>
      </c>
      <c r="AF1472" t="str">
        <f t="shared" ca="1" si="1486"/>
        <v>Plot 96-97</v>
      </c>
    </row>
    <row r="1473" spans="28:32" x14ac:dyDescent="0.25">
      <c r="AB1473" t="str">
        <f t="shared" ref="AB1473:AC1473" si="1524">AB1452</f>
        <v>Supporting Scaffold</v>
      </c>
      <c r="AC1473" t="str">
        <f t="shared" si="1524"/>
        <v>Second Floor Prop.</v>
      </c>
      <c r="AD1473" t="str">
        <f t="shared" ca="1" si="1488"/>
        <v>FALSE</v>
      </c>
      <c r="AE1473" s="1" t="str">
        <f t="shared" ca="1" si="1509"/>
        <v>96-97</v>
      </c>
      <c r="AF1473" t="str">
        <f t="shared" ca="1" si="1486"/>
        <v>Plot 96-97</v>
      </c>
    </row>
    <row r="1474" spans="28:32" x14ac:dyDescent="0.25">
      <c r="AB1474" t="str">
        <f t="shared" ref="AB1474:AC1474" si="1525">AB1453</f>
        <v>External Scaffolding</v>
      </c>
      <c r="AC1474" t="str">
        <f t="shared" si="1525"/>
        <v>Hop-ups</v>
      </c>
      <c r="AD1474" t="b">
        <f t="shared" ca="1" si="1488"/>
        <v>1</v>
      </c>
      <c r="AE1474" s="1" t="str">
        <f t="shared" ca="1" si="1509"/>
        <v>96-97</v>
      </c>
      <c r="AF1474" t="str">
        <f t="shared" ca="1" si="1486"/>
        <v>Plot 96-97</v>
      </c>
    </row>
    <row r="1475" spans="28:32" x14ac:dyDescent="0.25">
      <c r="AB1475" t="str">
        <f t="shared" ref="AB1475:AC1475" si="1526">AB1454</f>
        <v>External Scaffolding</v>
      </c>
      <c r="AC1475" t="str">
        <f t="shared" si="1526"/>
        <v>Adaptions</v>
      </c>
      <c r="AD1475" t="b">
        <f t="shared" ca="1" si="1488"/>
        <v>1</v>
      </c>
      <c r="AE1475" s="1" t="str">
        <f t="shared" ca="1" si="1509"/>
        <v>96-97</v>
      </c>
      <c r="AF1475" t="str">
        <f t="shared" ca="1" si="1486"/>
        <v>Plot 96-97</v>
      </c>
    </row>
    <row r="1476" spans="28:32" x14ac:dyDescent="0.25">
      <c r="AB1476" t="str">
        <f t="shared" ref="AB1476:AC1476" si="1527">AB1455</f>
        <v>External Scaffolding</v>
      </c>
      <c r="AC1476" t="str">
        <f t="shared" si="1527"/>
        <v>Adaption Tower</v>
      </c>
      <c r="AD1476" t="b">
        <f t="shared" ca="1" si="1488"/>
        <v>1</v>
      </c>
      <c r="AE1476" s="1" t="str">
        <f t="shared" ca="1" si="1509"/>
        <v>96-97</v>
      </c>
      <c r="AF1476" t="str">
        <f t="shared" ca="1" si="1486"/>
        <v>Plot 96-97</v>
      </c>
    </row>
    <row r="1477" spans="28:32" x14ac:dyDescent="0.25">
      <c r="AB1477" t="str">
        <f t="shared" ref="AB1477:AC1477" si="1528">AB1456</f>
        <v>External Scaffolding</v>
      </c>
      <c r="AC1477" t="str">
        <f t="shared" si="1528"/>
        <v>Lift 1</v>
      </c>
      <c r="AD1477" t="b">
        <f t="shared" ca="1" si="1488"/>
        <v>1</v>
      </c>
      <c r="AE1477" s="1" t="str">
        <f t="shared" ca="1" si="1509"/>
        <v>98-99</v>
      </c>
      <c r="AF1477" t="str">
        <f t="shared" ca="1" si="1486"/>
        <v>Plot 98-99</v>
      </c>
    </row>
    <row r="1478" spans="28:32" x14ac:dyDescent="0.25">
      <c r="AB1478" t="str">
        <f t="shared" ref="AB1478:AC1478" si="1529">AB1457</f>
        <v>External Scaffolding</v>
      </c>
      <c r="AC1478" t="str">
        <f t="shared" si="1529"/>
        <v>Lift 2</v>
      </c>
      <c r="AD1478" t="b">
        <f t="shared" ca="1" si="1488"/>
        <v>1</v>
      </c>
      <c r="AE1478" s="1" t="str">
        <f t="shared" ca="1" si="1509"/>
        <v>98-99</v>
      </c>
      <c r="AF1478" t="str">
        <f t="shared" ca="1" si="1486"/>
        <v>Plot 98-99</v>
      </c>
    </row>
    <row r="1479" spans="28:32" x14ac:dyDescent="0.25">
      <c r="AB1479" t="str">
        <f t="shared" ref="AB1479:AC1479" si="1530">AB1458</f>
        <v>External Scaffolding</v>
      </c>
      <c r="AC1479" t="str">
        <f t="shared" si="1530"/>
        <v>Lift 3</v>
      </c>
      <c r="AD1479" t="b">
        <f t="shared" ca="1" si="1488"/>
        <v>1</v>
      </c>
      <c r="AE1479" s="1" t="str">
        <f t="shared" ca="1" si="1509"/>
        <v>98-99</v>
      </c>
      <c r="AF1479" t="str">
        <f t="shared" ca="1" si="1486"/>
        <v>Plot 98-99</v>
      </c>
    </row>
    <row r="1480" spans="28:32" x14ac:dyDescent="0.25">
      <c r="AB1480" t="str">
        <f t="shared" ref="AB1480:AC1480" si="1531">AB1459</f>
        <v>External Scaffolding</v>
      </c>
      <c r="AC1480" t="str">
        <f t="shared" si="1531"/>
        <v>Lift 4</v>
      </c>
      <c r="AD1480" t="b">
        <f t="shared" ca="1" si="1488"/>
        <v>0</v>
      </c>
      <c r="AE1480" s="1" t="str">
        <f t="shared" ca="1" si="1509"/>
        <v>98-99</v>
      </c>
      <c r="AF1480" t="str">
        <f t="shared" ca="1" si="1486"/>
        <v>Plot 98-99</v>
      </c>
    </row>
    <row r="1481" spans="28:32" x14ac:dyDescent="0.25">
      <c r="AB1481" t="str">
        <f t="shared" ref="AB1481:AC1481" si="1532">AB1460</f>
        <v>External Scaffolding</v>
      </c>
      <c r="AC1481" t="str">
        <f t="shared" si="1532"/>
        <v>Lift 5</v>
      </c>
      <c r="AD1481" t="b">
        <f t="shared" ca="1" si="1488"/>
        <v>0</v>
      </c>
      <c r="AE1481" s="1" t="str">
        <f t="shared" ca="1" si="1509"/>
        <v>98-99</v>
      </c>
      <c r="AF1481" t="str">
        <f t="shared" ca="1" si="1486"/>
        <v>Plot 98-99</v>
      </c>
    </row>
    <row r="1482" spans="28:32" x14ac:dyDescent="0.25">
      <c r="AB1482" t="str">
        <f t="shared" ref="AB1482:AC1482" si="1533">AB1461</f>
        <v>External Scaffolding</v>
      </c>
      <c r="AC1482" t="str">
        <f t="shared" si="1533"/>
        <v>Lift 6</v>
      </c>
      <c r="AD1482" t="b">
        <f t="shared" ca="1" si="1488"/>
        <v>0</v>
      </c>
      <c r="AE1482" s="1" t="str">
        <f t="shared" ca="1" si="1509"/>
        <v>98-99</v>
      </c>
      <c r="AF1482" t="str">
        <f t="shared" ca="1" si="1486"/>
        <v>Plot 98-99</v>
      </c>
    </row>
    <row r="1483" spans="28:32" x14ac:dyDescent="0.25">
      <c r="AB1483" t="str">
        <f t="shared" ref="AB1483:AC1483" si="1534">AB1462</f>
        <v>Loading Bay</v>
      </c>
      <c r="AC1483" t="str">
        <f t="shared" si="1534"/>
        <v>Lift 1</v>
      </c>
      <c r="AD1483" t="b">
        <f t="shared" ca="1" si="1488"/>
        <v>1</v>
      </c>
      <c r="AE1483" s="1" t="str">
        <f t="shared" ca="1" si="1509"/>
        <v>98-99</v>
      </c>
      <c r="AF1483" t="str">
        <f t="shared" ca="1" si="1486"/>
        <v>Plot 98-99</v>
      </c>
    </row>
    <row r="1484" spans="28:32" x14ac:dyDescent="0.25">
      <c r="AB1484" t="str">
        <f t="shared" ref="AB1484:AC1484" si="1535">AB1463</f>
        <v>Loading Bay</v>
      </c>
      <c r="AC1484" t="str">
        <f t="shared" si="1535"/>
        <v>Lift 2</v>
      </c>
      <c r="AD1484" t="b">
        <f t="shared" ca="1" si="1488"/>
        <v>1</v>
      </c>
      <c r="AE1484" s="1" t="str">
        <f t="shared" ca="1" si="1509"/>
        <v>98-99</v>
      </c>
      <c r="AF1484" t="str">
        <f t="shared" ca="1" si="1486"/>
        <v>Plot 98-99</v>
      </c>
    </row>
    <row r="1485" spans="28:32" x14ac:dyDescent="0.25">
      <c r="AB1485" t="str">
        <f t="shared" ref="AB1485:AC1485" si="1536">AB1464</f>
        <v>Loading Bay</v>
      </c>
      <c r="AC1485" t="str">
        <f t="shared" si="1536"/>
        <v>Lift 3</v>
      </c>
      <c r="AD1485" t="b">
        <f t="shared" ca="1" si="1488"/>
        <v>1</v>
      </c>
      <c r="AE1485" s="1" t="str">
        <f t="shared" ca="1" si="1509"/>
        <v>98-99</v>
      </c>
      <c r="AF1485" t="str">
        <f t="shared" ca="1" si="1486"/>
        <v>Plot 98-99</v>
      </c>
    </row>
    <row r="1486" spans="28:32" x14ac:dyDescent="0.25">
      <c r="AB1486" t="str">
        <f t="shared" ref="AB1486:AC1486" si="1537">AB1465</f>
        <v>Loading Bay</v>
      </c>
      <c r="AC1486" t="str">
        <f t="shared" si="1537"/>
        <v>Lift 4</v>
      </c>
      <c r="AD1486" t="b">
        <f t="shared" ca="1" si="1488"/>
        <v>0</v>
      </c>
      <c r="AE1486" s="1" t="str">
        <f t="shared" ca="1" si="1509"/>
        <v>98-99</v>
      </c>
      <c r="AF1486" t="str">
        <f t="shared" ca="1" si="1486"/>
        <v>Plot 98-99</v>
      </c>
    </row>
    <row r="1487" spans="28:32" x14ac:dyDescent="0.25">
      <c r="AB1487" t="str">
        <f t="shared" ref="AB1487:AC1487" si="1538">AB1466</f>
        <v>Loading Bay</v>
      </c>
      <c r="AC1487" t="str">
        <f t="shared" si="1538"/>
        <v>Lift 5</v>
      </c>
      <c r="AD1487" t="b">
        <f t="shared" ca="1" si="1488"/>
        <v>0</v>
      </c>
      <c r="AE1487" s="1" t="str">
        <f t="shared" ca="1" si="1509"/>
        <v>98-99</v>
      </c>
      <c r="AF1487" t="str">
        <f t="shared" ca="1" si="1486"/>
        <v>Plot 98-99</v>
      </c>
    </row>
    <row r="1488" spans="28:32" x14ac:dyDescent="0.25">
      <c r="AB1488" t="str">
        <f t="shared" ref="AB1488:AC1488" si="1539">AB1467</f>
        <v>Loading Bay</v>
      </c>
      <c r="AC1488" t="str">
        <f t="shared" si="1539"/>
        <v>Lift 6</v>
      </c>
      <c r="AD1488" t="b">
        <f t="shared" ca="1" si="1488"/>
        <v>0</v>
      </c>
      <c r="AE1488" s="1" t="str">
        <f t="shared" ca="1" si="1509"/>
        <v>98-99</v>
      </c>
      <c r="AF1488" t="str">
        <f t="shared" ca="1" si="1486"/>
        <v>Plot 98-99</v>
      </c>
    </row>
    <row r="1489" spans="28:32" x14ac:dyDescent="0.25">
      <c r="AB1489" t="str">
        <f t="shared" ref="AB1489:AC1489" si="1540">AB1468</f>
        <v>Scaffolding Platform</v>
      </c>
      <c r="AC1489" t="str">
        <f t="shared" si="1540"/>
        <v>Ground Floor</v>
      </c>
      <c r="AD1489" t="b">
        <f t="shared" ca="1" si="1488"/>
        <v>1</v>
      </c>
      <c r="AE1489" s="1" t="str">
        <f t="shared" ca="1" si="1509"/>
        <v>98-99</v>
      </c>
      <c r="AF1489" t="str">
        <f t="shared" ca="1" si="1486"/>
        <v>Plot 98-99</v>
      </c>
    </row>
    <row r="1490" spans="28:32" x14ac:dyDescent="0.25">
      <c r="AB1490" t="str">
        <f t="shared" ref="AB1490:AC1490" si="1541">AB1469</f>
        <v>Scaffolding Platform</v>
      </c>
      <c r="AC1490" t="str">
        <f t="shared" si="1541"/>
        <v>First Floor</v>
      </c>
      <c r="AD1490" t="b">
        <f t="shared" ca="1" si="1488"/>
        <v>1</v>
      </c>
      <c r="AE1490" s="1" t="str">
        <f t="shared" ca="1" si="1509"/>
        <v>98-99</v>
      </c>
      <c r="AF1490" t="str">
        <f t="shared" ca="1" si="1486"/>
        <v>Plot 98-99</v>
      </c>
    </row>
    <row r="1491" spans="28:32" x14ac:dyDescent="0.25">
      <c r="AB1491" t="str">
        <f t="shared" ref="AB1491:AC1491" si="1542">AB1470</f>
        <v>Scaffolding Platform</v>
      </c>
      <c r="AC1491" t="str">
        <f t="shared" si="1542"/>
        <v>Second Floor</v>
      </c>
      <c r="AD1491" t="b">
        <f t="shared" ca="1" si="1488"/>
        <v>0</v>
      </c>
      <c r="AE1491" s="1" t="str">
        <f t="shared" ca="1" si="1509"/>
        <v>98-99</v>
      </c>
      <c r="AF1491" t="str">
        <f t="shared" ca="1" si="1486"/>
        <v>Plot 98-99</v>
      </c>
    </row>
    <row r="1492" spans="28:32" x14ac:dyDescent="0.25">
      <c r="AB1492" t="str">
        <f t="shared" ref="AB1492:AC1492" si="1543">AB1471</f>
        <v>Supporting Scaffold</v>
      </c>
      <c r="AC1492" t="str">
        <f t="shared" si="1543"/>
        <v>Ground Floor Prop.</v>
      </c>
      <c r="AD1492" t="str">
        <f t="shared" ca="1" si="1488"/>
        <v>TRUE</v>
      </c>
      <c r="AE1492" s="1" t="str">
        <f t="shared" ca="1" si="1509"/>
        <v>98-99</v>
      </c>
      <c r="AF1492" t="str">
        <f t="shared" ca="1" si="1486"/>
        <v>Plot 98-99</v>
      </c>
    </row>
    <row r="1493" spans="28:32" x14ac:dyDescent="0.25">
      <c r="AB1493" t="str">
        <f t="shared" ref="AB1493:AC1493" si="1544">AB1472</f>
        <v>Supporting Scaffold</v>
      </c>
      <c r="AC1493" t="str">
        <f t="shared" si="1544"/>
        <v>First Floor Prop.</v>
      </c>
      <c r="AD1493" t="str">
        <f t="shared" ca="1" si="1488"/>
        <v>FALSE</v>
      </c>
      <c r="AE1493" s="1" t="str">
        <f t="shared" ca="1" si="1509"/>
        <v>98-99</v>
      </c>
      <c r="AF1493" t="str">
        <f t="shared" ca="1" si="1486"/>
        <v>Plot 98-99</v>
      </c>
    </row>
    <row r="1494" spans="28:32" x14ac:dyDescent="0.25">
      <c r="AB1494" t="str">
        <f t="shared" ref="AB1494:AC1494" si="1545">AB1473</f>
        <v>Supporting Scaffold</v>
      </c>
      <c r="AC1494" t="str">
        <f t="shared" si="1545"/>
        <v>Second Floor Prop.</v>
      </c>
      <c r="AD1494" t="str">
        <f t="shared" ca="1" si="1488"/>
        <v>FALSE</v>
      </c>
      <c r="AE1494" s="1" t="str">
        <f t="shared" ca="1" si="1509"/>
        <v>98-99</v>
      </c>
      <c r="AF1494" t="str">
        <f t="shared" ca="1" si="1486"/>
        <v>Plot 98-99</v>
      </c>
    </row>
    <row r="1495" spans="28:32" x14ac:dyDescent="0.25">
      <c r="AB1495" t="str">
        <f t="shared" ref="AB1495:AC1495" si="1546">AB1474</f>
        <v>External Scaffolding</v>
      </c>
      <c r="AC1495" t="str">
        <f t="shared" si="1546"/>
        <v>Hop-ups</v>
      </c>
      <c r="AD1495" t="b">
        <f t="shared" ca="1" si="1488"/>
        <v>1</v>
      </c>
      <c r="AE1495" s="1" t="str">
        <f t="shared" ca="1" si="1509"/>
        <v>98-99</v>
      </c>
      <c r="AF1495" t="str">
        <f t="shared" ca="1" si="1486"/>
        <v>Plot 98-99</v>
      </c>
    </row>
    <row r="1496" spans="28:32" x14ac:dyDescent="0.25">
      <c r="AB1496" t="str">
        <f t="shared" ref="AB1496:AC1496" si="1547">AB1475</f>
        <v>External Scaffolding</v>
      </c>
      <c r="AC1496" t="str">
        <f t="shared" si="1547"/>
        <v>Adaptions</v>
      </c>
      <c r="AD1496" t="b">
        <f t="shared" ca="1" si="1488"/>
        <v>1</v>
      </c>
      <c r="AE1496" s="1" t="str">
        <f t="shared" ca="1" si="1509"/>
        <v>98-99</v>
      </c>
      <c r="AF1496" t="str">
        <f t="shared" ca="1" si="1486"/>
        <v>Plot 98-99</v>
      </c>
    </row>
    <row r="1497" spans="28:32" x14ac:dyDescent="0.25">
      <c r="AB1497" t="str">
        <f t="shared" ref="AB1497:AC1497" si="1548">AB1476</f>
        <v>External Scaffolding</v>
      </c>
      <c r="AC1497" t="str">
        <f t="shared" si="1548"/>
        <v>Adaption Tower</v>
      </c>
      <c r="AD1497" t="b">
        <f t="shared" ca="1" si="1488"/>
        <v>1</v>
      </c>
      <c r="AE1497" s="1" t="str">
        <f t="shared" ca="1" si="1509"/>
        <v>98-99</v>
      </c>
      <c r="AF1497" t="str">
        <f t="shared" ca="1" si="1486"/>
        <v>Plot 98-99</v>
      </c>
    </row>
    <row r="1498" spans="28:32" x14ac:dyDescent="0.25">
      <c r="AB1498" t="str">
        <f t="shared" ref="AB1498:AC1498" si="1549">AB1477</f>
        <v>External Scaffolding</v>
      </c>
      <c r="AC1498" t="str">
        <f t="shared" si="1549"/>
        <v>Lift 1</v>
      </c>
      <c r="AD1498" t="b">
        <f t="shared" ca="1" si="1488"/>
        <v>1</v>
      </c>
      <c r="AE1498" s="1" t="str">
        <f t="shared" ca="1" si="1509"/>
        <v>100-101</v>
      </c>
      <c r="AF1498" t="str">
        <f t="shared" ca="1" si="1486"/>
        <v>Plot 100-101</v>
      </c>
    </row>
    <row r="1499" spans="28:32" x14ac:dyDescent="0.25">
      <c r="AB1499" t="str">
        <f t="shared" ref="AB1499:AC1499" si="1550">AB1478</f>
        <v>External Scaffolding</v>
      </c>
      <c r="AC1499" t="str">
        <f t="shared" si="1550"/>
        <v>Lift 2</v>
      </c>
      <c r="AD1499" t="b">
        <f t="shared" ca="1" si="1488"/>
        <v>1</v>
      </c>
      <c r="AE1499" s="1" t="str">
        <f t="shared" ca="1" si="1509"/>
        <v>100-101</v>
      </c>
      <c r="AF1499" t="str">
        <f t="shared" ca="1" si="1486"/>
        <v>Plot 100-101</v>
      </c>
    </row>
    <row r="1500" spans="28:32" x14ac:dyDescent="0.25">
      <c r="AB1500" t="str">
        <f t="shared" ref="AB1500:AC1500" si="1551">AB1479</f>
        <v>External Scaffolding</v>
      </c>
      <c r="AC1500" t="str">
        <f t="shared" si="1551"/>
        <v>Lift 3</v>
      </c>
      <c r="AD1500" t="b">
        <f t="shared" ca="1" si="1488"/>
        <v>1</v>
      </c>
      <c r="AE1500" s="1" t="str">
        <f t="shared" ca="1" si="1509"/>
        <v>100-101</v>
      </c>
      <c r="AF1500" t="str">
        <f t="shared" ca="1" si="1486"/>
        <v>Plot 100-101</v>
      </c>
    </row>
    <row r="1501" spans="28:32" x14ac:dyDescent="0.25">
      <c r="AB1501" t="str">
        <f t="shared" ref="AB1501:AC1501" si="1552">AB1480</f>
        <v>External Scaffolding</v>
      </c>
      <c r="AC1501" t="str">
        <f t="shared" si="1552"/>
        <v>Lift 4</v>
      </c>
      <c r="AD1501" t="b">
        <f t="shared" ca="1" si="1488"/>
        <v>0</v>
      </c>
      <c r="AE1501" s="1" t="str">
        <f t="shared" ca="1" si="1509"/>
        <v>100-101</v>
      </c>
      <c r="AF1501" t="str">
        <f t="shared" ref="AF1501:AF1564" ca="1" si="1553">IF(LEFT(AE1501,1)="G",AE1501,"Plot "&amp;AE1501)</f>
        <v>Plot 100-101</v>
      </c>
    </row>
    <row r="1502" spans="28:32" x14ac:dyDescent="0.25">
      <c r="AB1502" t="str">
        <f t="shared" ref="AB1502:AC1502" si="1554">AB1481</f>
        <v>External Scaffolding</v>
      </c>
      <c r="AC1502" t="str">
        <f t="shared" si="1554"/>
        <v>Lift 5</v>
      </c>
      <c r="AD1502" t="b">
        <f t="shared" ref="AD1502:AD1565" ca="1" si="1555">INDEX($AC$1:$JH$22,MATCH(AC1502,$AC$1:$AC$22,0),MATCH(AE1502,$AC$1:$JH$1,0))</f>
        <v>0</v>
      </c>
      <c r="AE1502" s="1" t="str">
        <f t="shared" ca="1" si="1509"/>
        <v>100-101</v>
      </c>
      <c r="AF1502" t="str">
        <f t="shared" ca="1" si="1553"/>
        <v>Plot 100-101</v>
      </c>
    </row>
    <row r="1503" spans="28:32" x14ac:dyDescent="0.25">
      <c r="AB1503" t="str">
        <f t="shared" ref="AB1503:AC1503" si="1556">AB1482</f>
        <v>External Scaffolding</v>
      </c>
      <c r="AC1503" t="str">
        <f t="shared" si="1556"/>
        <v>Lift 6</v>
      </c>
      <c r="AD1503" t="b">
        <f t="shared" ca="1" si="1555"/>
        <v>0</v>
      </c>
      <c r="AE1503" s="1" t="str">
        <f t="shared" ca="1" si="1509"/>
        <v>100-101</v>
      </c>
      <c r="AF1503" t="str">
        <f t="shared" ca="1" si="1553"/>
        <v>Plot 100-101</v>
      </c>
    </row>
    <row r="1504" spans="28:32" x14ac:dyDescent="0.25">
      <c r="AB1504" t="str">
        <f t="shared" ref="AB1504:AC1504" si="1557">AB1483</f>
        <v>Loading Bay</v>
      </c>
      <c r="AC1504" t="str">
        <f t="shared" si="1557"/>
        <v>Lift 1</v>
      </c>
      <c r="AD1504" t="b">
        <f t="shared" ca="1" si="1555"/>
        <v>1</v>
      </c>
      <c r="AE1504" s="1" t="str">
        <f t="shared" ca="1" si="1509"/>
        <v>100-101</v>
      </c>
      <c r="AF1504" t="str">
        <f t="shared" ca="1" si="1553"/>
        <v>Plot 100-101</v>
      </c>
    </row>
    <row r="1505" spans="28:32" x14ac:dyDescent="0.25">
      <c r="AB1505" t="str">
        <f t="shared" ref="AB1505:AC1505" si="1558">AB1484</f>
        <v>Loading Bay</v>
      </c>
      <c r="AC1505" t="str">
        <f t="shared" si="1558"/>
        <v>Lift 2</v>
      </c>
      <c r="AD1505" t="b">
        <f t="shared" ca="1" si="1555"/>
        <v>1</v>
      </c>
      <c r="AE1505" s="1" t="str">
        <f t="shared" ca="1" si="1509"/>
        <v>100-101</v>
      </c>
      <c r="AF1505" t="str">
        <f t="shared" ca="1" si="1553"/>
        <v>Plot 100-101</v>
      </c>
    </row>
    <row r="1506" spans="28:32" x14ac:dyDescent="0.25">
      <c r="AB1506" t="str">
        <f t="shared" ref="AB1506:AC1506" si="1559">AB1485</f>
        <v>Loading Bay</v>
      </c>
      <c r="AC1506" t="str">
        <f t="shared" si="1559"/>
        <v>Lift 3</v>
      </c>
      <c r="AD1506" t="b">
        <f t="shared" ca="1" si="1555"/>
        <v>1</v>
      </c>
      <c r="AE1506" s="1" t="str">
        <f t="shared" ca="1" si="1509"/>
        <v>100-101</v>
      </c>
      <c r="AF1506" t="str">
        <f t="shared" ca="1" si="1553"/>
        <v>Plot 100-101</v>
      </c>
    </row>
    <row r="1507" spans="28:32" x14ac:dyDescent="0.25">
      <c r="AB1507" t="str">
        <f t="shared" ref="AB1507:AC1507" si="1560">AB1486</f>
        <v>Loading Bay</v>
      </c>
      <c r="AC1507" t="str">
        <f t="shared" si="1560"/>
        <v>Lift 4</v>
      </c>
      <c r="AD1507" t="b">
        <f t="shared" ca="1" si="1555"/>
        <v>0</v>
      </c>
      <c r="AE1507" s="1" t="str">
        <f t="shared" ca="1" si="1509"/>
        <v>100-101</v>
      </c>
      <c r="AF1507" t="str">
        <f t="shared" ca="1" si="1553"/>
        <v>Plot 100-101</v>
      </c>
    </row>
    <row r="1508" spans="28:32" x14ac:dyDescent="0.25">
      <c r="AB1508" t="str">
        <f t="shared" ref="AB1508:AC1508" si="1561">AB1487</f>
        <v>Loading Bay</v>
      </c>
      <c r="AC1508" t="str">
        <f t="shared" si="1561"/>
        <v>Lift 5</v>
      </c>
      <c r="AD1508" t="b">
        <f t="shared" ca="1" si="1555"/>
        <v>0</v>
      </c>
      <c r="AE1508" s="1" t="str">
        <f t="shared" ca="1" si="1509"/>
        <v>100-101</v>
      </c>
      <c r="AF1508" t="str">
        <f t="shared" ca="1" si="1553"/>
        <v>Plot 100-101</v>
      </c>
    </row>
    <row r="1509" spans="28:32" x14ac:dyDescent="0.25">
      <c r="AB1509" t="str">
        <f t="shared" ref="AB1509:AC1509" si="1562">AB1488</f>
        <v>Loading Bay</v>
      </c>
      <c r="AC1509" t="str">
        <f t="shared" si="1562"/>
        <v>Lift 6</v>
      </c>
      <c r="AD1509" t="b">
        <f t="shared" ca="1" si="1555"/>
        <v>0</v>
      </c>
      <c r="AE1509" s="1" t="str">
        <f t="shared" ca="1" si="1509"/>
        <v>100-101</v>
      </c>
      <c r="AF1509" t="str">
        <f t="shared" ca="1" si="1553"/>
        <v>Plot 100-101</v>
      </c>
    </row>
    <row r="1510" spans="28:32" x14ac:dyDescent="0.25">
      <c r="AB1510" t="str">
        <f t="shared" ref="AB1510:AC1510" si="1563">AB1489</f>
        <v>Scaffolding Platform</v>
      </c>
      <c r="AC1510" t="str">
        <f t="shared" si="1563"/>
        <v>Ground Floor</v>
      </c>
      <c r="AD1510" t="b">
        <f t="shared" ca="1" si="1555"/>
        <v>1</v>
      </c>
      <c r="AE1510" s="1" t="str">
        <f t="shared" ca="1" si="1509"/>
        <v>100-101</v>
      </c>
      <c r="AF1510" t="str">
        <f t="shared" ca="1" si="1553"/>
        <v>Plot 100-101</v>
      </c>
    </row>
    <row r="1511" spans="28:32" x14ac:dyDescent="0.25">
      <c r="AB1511" t="str">
        <f t="shared" ref="AB1511:AC1511" si="1564">AB1490</f>
        <v>Scaffolding Platform</v>
      </c>
      <c r="AC1511" t="str">
        <f t="shared" si="1564"/>
        <v>First Floor</v>
      </c>
      <c r="AD1511" t="b">
        <f t="shared" ca="1" si="1555"/>
        <v>1</v>
      </c>
      <c r="AE1511" s="1" t="str">
        <f t="shared" ca="1" si="1509"/>
        <v>100-101</v>
      </c>
      <c r="AF1511" t="str">
        <f t="shared" ca="1" si="1553"/>
        <v>Plot 100-101</v>
      </c>
    </row>
    <row r="1512" spans="28:32" x14ac:dyDescent="0.25">
      <c r="AB1512" t="str">
        <f t="shared" ref="AB1512:AC1512" si="1565">AB1491</f>
        <v>Scaffolding Platform</v>
      </c>
      <c r="AC1512" t="str">
        <f t="shared" si="1565"/>
        <v>Second Floor</v>
      </c>
      <c r="AD1512" t="b">
        <f t="shared" ca="1" si="1555"/>
        <v>0</v>
      </c>
      <c r="AE1512" s="1" t="str">
        <f t="shared" ca="1" si="1509"/>
        <v>100-101</v>
      </c>
      <c r="AF1512" t="str">
        <f t="shared" ca="1" si="1553"/>
        <v>Plot 100-101</v>
      </c>
    </row>
    <row r="1513" spans="28:32" x14ac:dyDescent="0.25">
      <c r="AB1513" t="str">
        <f t="shared" ref="AB1513:AC1513" si="1566">AB1492</f>
        <v>Supporting Scaffold</v>
      </c>
      <c r="AC1513" t="str">
        <f t="shared" si="1566"/>
        <v>Ground Floor Prop.</v>
      </c>
      <c r="AD1513" t="str">
        <f t="shared" ca="1" si="1555"/>
        <v>TRUE</v>
      </c>
      <c r="AE1513" s="1" t="str">
        <f t="shared" ca="1" si="1509"/>
        <v>100-101</v>
      </c>
      <c r="AF1513" t="str">
        <f t="shared" ca="1" si="1553"/>
        <v>Plot 100-101</v>
      </c>
    </row>
    <row r="1514" spans="28:32" x14ac:dyDescent="0.25">
      <c r="AB1514" t="str">
        <f t="shared" ref="AB1514:AC1514" si="1567">AB1493</f>
        <v>Supporting Scaffold</v>
      </c>
      <c r="AC1514" t="str">
        <f t="shared" si="1567"/>
        <v>First Floor Prop.</v>
      </c>
      <c r="AD1514" t="str">
        <f t="shared" ca="1" si="1555"/>
        <v>FALSE</v>
      </c>
      <c r="AE1514" s="1" t="str">
        <f t="shared" ca="1" si="1509"/>
        <v>100-101</v>
      </c>
      <c r="AF1514" t="str">
        <f t="shared" ca="1" si="1553"/>
        <v>Plot 100-101</v>
      </c>
    </row>
    <row r="1515" spans="28:32" x14ac:dyDescent="0.25">
      <c r="AB1515" t="str">
        <f t="shared" ref="AB1515:AC1515" si="1568">AB1494</f>
        <v>Supporting Scaffold</v>
      </c>
      <c r="AC1515" t="str">
        <f t="shared" si="1568"/>
        <v>Second Floor Prop.</v>
      </c>
      <c r="AD1515" t="str">
        <f t="shared" ca="1" si="1555"/>
        <v>FALSE</v>
      </c>
      <c r="AE1515" s="1" t="str">
        <f t="shared" ca="1" si="1509"/>
        <v>100-101</v>
      </c>
      <c r="AF1515" t="str">
        <f t="shared" ca="1" si="1553"/>
        <v>Plot 100-101</v>
      </c>
    </row>
    <row r="1516" spans="28:32" x14ac:dyDescent="0.25">
      <c r="AB1516" t="str">
        <f t="shared" ref="AB1516:AC1516" si="1569">AB1495</f>
        <v>External Scaffolding</v>
      </c>
      <c r="AC1516" t="str">
        <f t="shared" si="1569"/>
        <v>Hop-ups</v>
      </c>
      <c r="AD1516" t="b">
        <f t="shared" ca="1" si="1555"/>
        <v>1</v>
      </c>
      <c r="AE1516" s="1" t="str">
        <f t="shared" ca="1" si="1509"/>
        <v>100-101</v>
      </c>
      <c r="AF1516" t="str">
        <f t="shared" ca="1" si="1553"/>
        <v>Plot 100-101</v>
      </c>
    </row>
    <row r="1517" spans="28:32" x14ac:dyDescent="0.25">
      <c r="AB1517" t="str">
        <f t="shared" ref="AB1517:AC1517" si="1570">AB1496</f>
        <v>External Scaffolding</v>
      </c>
      <c r="AC1517" t="str">
        <f t="shared" si="1570"/>
        <v>Adaptions</v>
      </c>
      <c r="AD1517" t="b">
        <f t="shared" ca="1" si="1555"/>
        <v>1</v>
      </c>
      <c r="AE1517" s="1" t="str">
        <f t="shared" ca="1" si="1509"/>
        <v>100-101</v>
      </c>
      <c r="AF1517" t="str">
        <f t="shared" ca="1" si="1553"/>
        <v>Plot 100-101</v>
      </c>
    </row>
    <row r="1518" spans="28:32" x14ac:dyDescent="0.25">
      <c r="AB1518" t="str">
        <f t="shared" ref="AB1518:AC1518" si="1571">AB1497</f>
        <v>External Scaffolding</v>
      </c>
      <c r="AC1518" t="str">
        <f t="shared" si="1571"/>
        <v>Adaption Tower</v>
      </c>
      <c r="AD1518" t="b">
        <f t="shared" ca="1" si="1555"/>
        <v>1</v>
      </c>
      <c r="AE1518" s="1" t="str">
        <f t="shared" ca="1" si="1509"/>
        <v>100-101</v>
      </c>
      <c r="AF1518" t="str">
        <f t="shared" ca="1" si="1553"/>
        <v>Plot 100-101</v>
      </c>
    </row>
    <row r="1519" spans="28:32" x14ac:dyDescent="0.25">
      <c r="AB1519" t="str">
        <f t="shared" ref="AB1519:AC1519" si="1572">AB1498</f>
        <v>External Scaffolding</v>
      </c>
      <c r="AC1519" t="str">
        <f t="shared" si="1572"/>
        <v>Lift 1</v>
      </c>
      <c r="AD1519" t="b">
        <f t="shared" ca="1" si="1555"/>
        <v>1</v>
      </c>
      <c r="AE1519" s="1" t="str">
        <f t="shared" ca="1" si="1509"/>
        <v>102-104</v>
      </c>
      <c r="AF1519" t="str">
        <f t="shared" ca="1" si="1553"/>
        <v>Plot 102-104</v>
      </c>
    </row>
    <row r="1520" spans="28:32" x14ac:dyDescent="0.25">
      <c r="AB1520" t="str">
        <f t="shared" ref="AB1520:AC1520" si="1573">AB1499</f>
        <v>External Scaffolding</v>
      </c>
      <c r="AC1520" t="str">
        <f t="shared" si="1573"/>
        <v>Lift 2</v>
      </c>
      <c r="AD1520" t="b">
        <f t="shared" ca="1" si="1555"/>
        <v>1</v>
      </c>
      <c r="AE1520" s="1" t="str">
        <f t="shared" ca="1" si="1509"/>
        <v>102-104</v>
      </c>
      <c r="AF1520" t="str">
        <f t="shared" ca="1" si="1553"/>
        <v>Plot 102-104</v>
      </c>
    </row>
    <row r="1521" spans="28:32" x14ac:dyDescent="0.25">
      <c r="AB1521" t="str">
        <f t="shared" ref="AB1521:AC1521" si="1574">AB1500</f>
        <v>External Scaffolding</v>
      </c>
      <c r="AC1521" t="str">
        <f t="shared" si="1574"/>
        <v>Lift 3</v>
      </c>
      <c r="AD1521" t="b">
        <f t="shared" ca="1" si="1555"/>
        <v>1</v>
      </c>
      <c r="AE1521" s="1" t="str">
        <f t="shared" ca="1" si="1509"/>
        <v>102-104</v>
      </c>
      <c r="AF1521" t="str">
        <f t="shared" ca="1" si="1553"/>
        <v>Plot 102-104</v>
      </c>
    </row>
    <row r="1522" spans="28:32" x14ac:dyDescent="0.25">
      <c r="AB1522" t="str">
        <f t="shared" ref="AB1522:AC1522" si="1575">AB1501</f>
        <v>External Scaffolding</v>
      </c>
      <c r="AC1522" t="str">
        <f t="shared" si="1575"/>
        <v>Lift 4</v>
      </c>
      <c r="AD1522" t="b">
        <f t="shared" ca="1" si="1555"/>
        <v>0</v>
      </c>
      <c r="AE1522" s="1" t="str">
        <f t="shared" ref="AE1522:AE1585" ca="1" si="1576">OFFSET($AD$1,0,FLOOR(ROW(B1494)/21,1))</f>
        <v>102-104</v>
      </c>
      <c r="AF1522" t="str">
        <f t="shared" ca="1" si="1553"/>
        <v>Plot 102-104</v>
      </c>
    </row>
    <row r="1523" spans="28:32" x14ac:dyDescent="0.25">
      <c r="AB1523" t="str">
        <f t="shared" ref="AB1523:AC1523" si="1577">AB1502</f>
        <v>External Scaffolding</v>
      </c>
      <c r="AC1523" t="str">
        <f t="shared" si="1577"/>
        <v>Lift 5</v>
      </c>
      <c r="AD1523" t="b">
        <f t="shared" ca="1" si="1555"/>
        <v>0</v>
      </c>
      <c r="AE1523" s="1" t="str">
        <f t="shared" ca="1" si="1576"/>
        <v>102-104</v>
      </c>
      <c r="AF1523" t="str">
        <f t="shared" ca="1" si="1553"/>
        <v>Plot 102-104</v>
      </c>
    </row>
    <row r="1524" spans="28:32" x14ac:dyDescent="0.25">
      <c r="AB1524" t="str">
        <f t="shared" ref="AB1524:AC1524" si="1578">AB1503</f>
        <v>External Scaffolding</v>
      </c>
      <c r="AC1524" t="str">
        <f t="shared" si="1578"/>
        <v>Lift 6</v>
      </c>
      <c r="AD1524" t="b">
        <f t="shared" ca="1" si="1555"/>
        <v>0</v>
      </c>
      <c r="AE1524" s="1" t="str">
        <f t="shared" ca="1" si="1576"/>
        <v>102-104</v>
      </c>
      <c r="AF1524" t="str">
        <f t="shared" ca="1" si="1553"/>
        <v>Plot 102-104</v>
      </c>
    </row>
    <row r="1525" spans="28:32" x14ac:dyDescent="0.25">
      <c r="AB1525" t="str">
        <f t="shared" ref="AB1525:AC1525" si="1579">AB1504</f>
        <v>Loading Bay</v>
      </c>
      <c r="AC1525" t="str">
        <f t="shared" si="1579"/>
        <v>Lift 1</v>
      </c>
      <c r="AD1525" t="b">
        <f t="shared" ca="1" si="1555"/>
        <v>1</v>
      </c>
      <c r="AE1525" s="1" t="str">
        <f t="shared" ca="1" si="1576"/>
        <v>102-104</v>
      </c>
      <c r="AF1525" t="str">
        <f t="shared" ca="1" si="1553"/>
        <v>Plot 102-104</v>
      </c>
    </row>
    <row r="1526" spans="28:32" x14ac:dyDescent="0.25">
      <c r="AB1526" t="str">
        <f t="shared" ref="AB1526:AC1526" si="1580">AB1505</f>
        <v>Loading Bay</v>
      </c>
      <c r="AC1526" t="str">
        <f t="shared" si="1580"/>
        <v>Lift 2</v>
      </c>
      <c r="AD1526" t="b">
        <f t="shared" ca="1" si="1555"/>
        <v>1</v>
      </c>
      <c r="AE1526" s="1" t="str">
        <f t="shared" ca="1" si="1576"/>
        <v>102-104</v>
      </c>
      <c r="AF1526" t="str">
        <f t="shared" ca="1" si="1553"/>
        <v>Plot 102-104</v>
      </c>
    </row>
    <row r="1527" spans="28:32" x14ac:dyDescent="0.25">
      <c r="AB1527" t="str">
        <f t="shared" ref="AB1527:AC1527" si="1581">AB1506</f>
        <v>Loading Bay</v>
      </c>
      <c r="AC1527" t="str">
        <f t="shared" si="1581"/>
        <v>Lift 3</v>
      </c>
      <c r="AD1527" t="b">
        <f t="shared" ca="1" si="1555"/>
        <v>1</v>
      </c>
      <c r="AE1527" s="1" t="str">
        <f t="shared" ca="1" si="1576"/>
        <v>102-104</v>
      </c>
      <c r="AF1527" t="str">
        <f t="shared" ca="1" si="1553"/>
        <v>Plot 102-104</v>
      </c>
    </row>
    <row r="1528" spans="28:32" x14ac:dyDescent="0.25">
      <c r="AB1528" t="str">
        <f t="shared" ref="AB1528:AC1528" si="1582">AB1507</f>
        <v>Loading Bay</v>
      </c>
      <c r="AC1528" t="str">
        <f t="shared" si="1582"/>
        <v>Lift 4</v>
      </c>
      <c r="AD1528" t="b">
        <f t="shared" ca="1" si="1555"/>
        <v>0</v>
      </c>
      <c r="AE1528" s="1" t="str">
        <f t="shared" ca="1" si="1576"/>
        <v>102-104</v>
      </c>
      <c r="AF1528" t="str">
        <f t="shared" ca="1" si="1553"/>
        <v>Plot 102-104</v>
      </c>
    </row>
    <row r="1529" spans="28:32" x14ac:dyDescent="0.25">
      <c r="AB1529" t="str">
        <f t="shared" ref="AB1529:AC1529" si="1583">AB1508</f>
        <v>Loading Bay</v>
      </c>
      <c r="AC1529" t="str">
        <f t="shared" si="1583"/>
        <v>Lift 5</v>
      </c>
      <c r="AD1529" t="b">
        <f t="shared" ca="1" si="1555"/>
        <v>0</v>
      </c>
      <c r="AE1529" s="1" t="str">
        <f t="shared" ca="1" si="1576"/>
        <v>102-104</v>
      </c>
      <c r="AF1529" t="str">
        <f t="shared" ca="1" si="1553"/>
        <v>Plot 102-104</v>
      </c>
    </row>
    <row r="1530" spans="28:32" x14ac:dyDescent="0.25">
      <c r="AB1530" t="str">
        <f t="shared" ref="AB1530:AC1530" si="1584">AB1509</f>
        <v>Loading Bay</v>
      </c>
      <c r="AC1530" t="str">
        <f t="shared" si="1584"/>
        <v>Lift 6</v>
      </c>
      <c r="AD1530" t="b">
        <f t="shared" ca="1" si="1555"/>
        <v>0</v>
      </c>
      <c r="AE1530" s="1" t="str">
        <f t="shared" ca="1" si="1576"/>
        <v>102-104</v>
      </c>
      <c r="AF1530" t="str">
        <f t="shared" ca="1" si="1553"/>
        <v>Plot 102-104</v>
      </c>
    </row>
    <row r="1531" spans="28:32" x14ac:dyDescent="0.25">
      <c r="AB1531" t="str">
        <f t="shared" ref="AB1531:AC1531" si="1585">AB1510</f>
        <v>Scaffolding Platform</v>
      </c>
      <c r="AC1531" t="str">
        <f t="shared" si="1585"/>
        <v>Ground Floor</v>
      </c>
      <c r="AD1531" t="b">
        <f t="shared" ca="1" si="1555"/>
        <v>1</v>
      </c>
      <c r="AE1531" s="1" t="str">
        <f t="shared" ca="1" si="1576"/>
        <v>102-104</v>
      </c>
      <c r="AF1531" t="str">
        <f t="shared" ca="1" si="1553"/>
        <v>Plot 102-104</v>
      </c>
    </row>
    <row r="1532" spans="28:32" x14ac:dyDescent="0.25">
      <c r="AB1532" t="str">
        <f t="shared" ref="AB1532:AC1532" si="1586">AB1511</f>
        <v>Scaffolding Platform</v>
      </c>
      <c r="AC1532" t="str">
        <f t="shared" si="1586"/>
        <v>First Floor</v>
      </c>
      <c r="AD1532" t="b">
        <f t="shared" ca="1" si="1555"/>
        <v>1</v>
      </c>
      <c r="AE1532" s="1" t="str">
        <f t="shared" ca="1" si="1576"/>
        <v>102-104</v>
      </c>
      <c r="AF1532" t="str">
        <f t="shared" ca="1" si="1553"/>
        <v>Plot 102-104</v>
      </c>
    </row>
    <row r="1533" spans="28:32" x14ac:dyDescent="0.25">
      <c r="AB1533" t="str">
        <f t="shared" ref="AB1533:AC1533" si="1587">AB1512</f>
        <v>Scaffolding Platform</v>
      </c>
      <c r="AC1533" t="str">
        <f t="shared" si="1587"/>
        <v>Second Floor</v>
      </c>
      <c r="AD1533" t="b">
        <f t="shared" ca="1" si="1555"/>
        <v>0</v>
      </c>
      <c r="AE1533" s="1" t="str">
        <f t="shared" ca="1" si="1576"/>
        <v>102-104</v>
      </c>
      <c r="AF1533" t="str">
        <f t="shared" ca="1" si="1553"/>
        <v>Plot 102-104</v>
      </c>
    </row>
    <row r="1534" spans="28:32" x14ac:dyDescent="0.25">
      <c r="AB1534" t="str">
        <f t="shared" ref="AB1534:AC1534" si="1588">AB1513</f>
        <v>Supporting Scaffold</v>
      </c>
      <c r="AC1534" t="str">
        <f t="shared" si="1588"/>
        <v>Ground Floor Prop.</v>
      </c>
      <c r="AD1534" t="str">
        <f t="shared" ca="1" si="1555"/>
        <v>TRUE</v>
      </c>
      <c r="AE1534" s="1" t="str">
        <f t="shared" ca="1" si="1576"/>
        <v>102-104</v>
      </c>
      <c r="AF1534" t="str">
        <f t="shared" ca="1" si="1553"/>
        <v>Plot 102-104</v>
      </c>
    </row>
    <row r="1535" spans="28:32" x14ac:dyDescent="0.25">
      <c r="AB1535" t="str">
        <f t="shared" ref="AB1535:AC1535" si="1589">AB1514</f>
        <v>Supporting Scaffold</v>
      </c>
      <c r="AC1535" t="str">
        <f t="shared" si="1589"/>
        <v>First Floor Prop.</v>
      </c>
      <c r="AD1535" t="str">
        <f t="shared" ca="1" si="1555"/>
        <v>FALSE</v>
      </c>
      <c r="AE1535" s="1" t="str">
        <f t="shared" ca="1" si="1576"/>
        <v>102-104</v>
      </c>
      <c r="AF1535" t="str">
        <f t="shared" ca="1" si="1553"/>
        <v>Plot 102-104</v>
      </c>
    </row>
    <row r="1536" spans="28:32" x14ac:dyDescent="0.25">
      <c r="AB1536" t="str">
        <f t="shared" ref="AB1536:AC1536" si="1590">AB1515</f>
        <v>Supporting Scaffold</v>
      </c>
      <c r="AC1536" t="str">
        <f t="shared" si="1590"/>
        <v>Second Floor Prop.</v>
      </c>
      <c r="AD1536" t="str">
        <f t="shared" ca="1" si="1555"/>
        <v>FALSE</v>
      </c>
      <c r="AE1536" s="1" t="str">
        <f t="shared" ca="1" si="1576"/>
        <v>102-104</v>
      </c>
      <c r="AF1536" t="str">
        <f t="shared" ca="1" si="1553"/>
        <v>Plot 102-104</v>
      </c>
    </row>
    <row r="1537" spans="28:32" x14ac:dyDescent="0.25">
      <c r="AB1537" t="str">
        <f t="shared" ref="AB1537:AC1537" si="1591">AB1516</f>
        <v>External Scaffolding</v>
      </c>
      <c r="AC1537" t="str">
        <f t="shared" si="1591"/>
        <v>Hop-ups</v>
      </c>
      <c r="AD1537" t="b">
        <f t="shared" ca="1" si="1555"/>
        <v>1</v>
      </c>
      <c r="AE1537" s="1" t="str">
        <f t="shared" ca="1" si="1576"/>
        <v>102-104</v>
      </c>
      <c r="AF1537" t="str">
        <f t="shared" ca="1" si="1553"/>
        <v>Plot 102-104</v>
      </c>
    </row>
    <row r="1538" spans="28:32" x14ac:dyDescent="0.25">
      <c r="AB1538" t="str">
        <f t="shared" ref="AB1538:AC1538" si="1592">AB1517</f>
        <v>External Scaffolding</v>
      </c>
      <c r="AC1538" t="str">
        <f t="shared" si="1592"/>
        <v>Adaptions</v>
      </c>
      <c r="AD1538" t="b">
        <f t="shared" ca="1" si="1555"/>
        <v>1</v>
      </c>
      <c r="AE1538" s="1" t="str">
        <f t="shared" ca="1" si="1576"/>
        <v>102-104</v>
      </c>
      <c r="AF1538" t="str">
        <f t="shared" ca="1" si="1553"/>
        <v>Plot 102-104</v>
      </c>
    </row>
    <row r="1539" spans="28:32" x14ac:dyDescent="0.25">
      <c r="AB1539" t="str">
        <f t="shared" ref="AB1539:AC1539" si="1593">AB1518</f>
        <v>External Scaffolding</v>
      </c>
      <c r="AC1539" t="str">
        <f t="shared" si="1593"/>
        <v>Adaption Tower</v>
      </c>
      <c r="AD1539" t="b">
        <f t="shared" ca="1" si="1555"/>
        <v>1</v>
      </c>
      <c r="AE1539" s="1" t="str">
        <f t="shared" ca="1" si="1576"/>
        <v>102-104</v>
      </c>
      <c r="AF1539" t="str">
        <f t="shared" ca="1" si="1553"/>
        <v>Plot 102-104</v>
      </c>
    </row>
    <row r="1540" spans="28:32" x14ac:dyDescent="0.25">
      <c r="AB1540" t="str">
        <f t="shared" ref="AB1540:AC1540" si="1594">AB1519</f>
        <v>External Scaffolding</v>
      </c>
      <c r="AC1540" t="str">
        <f t="shared" si="1594"/>
        <v>Lift 1</v>
      </c>
      <c r="AD1540" t="b">
        <f t="shared" ca="1" si="1555"/>
        <v>1</v>
      </c>
      <c r="AE1540" s="1" t="str">
        <f t="shared" ca="1" si="1576"/>
        <v>105-106</v>
      </c>
      <c r="AF1540" t="str">
        <f t="shared" ca="1" si="1553"/>
        <v>Plot 105-106</v>
      </c>
    </row>
    <row r="1541" spans="28:32" x14ac:dyDescent="0.25">
      <c r="AB1541" t="str">
        <f t="shared" ref="AB1541:AC1541" si="1595">AB1520</f>
        <v>External Scaffolding</v>
      </c>
      <c r="AC1541" t="str">
        <f t="shared" si="1595"/>
        <v>Lift 2</v>
      </c>
      <c r="AD1541" t="b">
        <f t="shared" ca="1" si="1555"/>
        <v>1</v>
      </c>
      <c r="AE1541" s="1" t="str">
        <f t="shared" ca="1" si="1576"/>
        <v>105-106</v>
      </c>
      <c r="AF1541" t="str">
        <f t="shared" ca="1" si="1553"/>
        <v>Plot 105-106</v>
      </c>
    </row>
    <row r="1542" spans="28:32" x14ac:dyDescent="0.25">
      <c r="AB1542" t="str">
        <f t="shared" ref="AB1542:AC1542" si="1596">AB1521</f>
        <v>External Scaffolding</v>
      </c>
      <c r="AC1542" t="str">
        <f t="shared" si="1596"/>
        <v>Lift 3</v>
      </c>
      <c r="AD1542" t="b">
        <f t="shared" ca="1" si="1555"/>
        <v>1</v>
      </c>
      <c r="AE1542" s="1" t="str">
        <f t="shared" ca="1" si="1576"/>
        <v>105-106</v>
      </c>
      <c r="AF1542" t="str">
        <f t="shared" ca="1" si="1553"/>
        <v>Plot 105-106</v>
      </c>
    </row>
    <row r="1543" spans="28:32" x14ac:dyDescent="0.25">
      <c r="AB1543" t="str">
        <f t="shared" ref="AB1543:AC1543" si="1597">AB1522</f>
        <v>External Scaffolding</v>
      </c>
      <c r="AC1543" t="str">
        <f t="shared" si="1597"/>
        <v>Lift 4</v>
      </c>
      <c r="AD1543" t="b">
        <f t="shared" ca="1" si="1555"/>
        <v>0</v>
      </c>
      <c r="AE1543" s="1" t="str">
        <f t="shared" ca="1" si="1576"/>
        <v>105-106</v>
      </c>
      <c r="AF1543" t="str">
        <f t="shared" ca="1" si="1553"/>
        <v>Plot 105-106</v>
      </c>
    </row>
    <row r="1544" spans="28:32" x14ac:dyDescent="0.25">
      <c r="AB1544" t="str">
        <f t="shared" ref="AB1544:AC1544" si="1598">AB1523</f>
        <v>External Scaffolding</v>
      </c>
      <c r="AC1544" t="str">
        <f t="shared" si="1598"/>
        <v>Lift 5</v>
      </c>
      <c r="AD1544" t="b">
        <f t="shared" ca="1" si="1555"/>
        <v>0</v>
      </c>
      <c r="AE1544" s="1" t="str">
        <f t="shared" ca="1" si="1576"/>
        <v>105-106</v>
      </c>
      <c r="AF1544" t="str">
        <f t="shared" ca="1" si="1553"/>
        <v>Plot 105-106</v>
      </c>
    </row>
    <row r="1545" spans="28:32" x14ac:dyDescent="0.25">
      <c r="AB1545" t="str">
        <f t="shared" ref="AB1545:AC1545" si="1599">AB1524</f>
        <v>External Scaffolding</v>
      </c>
      <c r="AC1545" t="str">
        <f t="shared" si="1599"/>
        <v>Lift 6</v>
      </c>
      <c r="AD1545" t="b">
        <f t="shared" ca="1" si="1555"/>
        <v>0</v>
      </c>
      <c r="AE1545" s="1" t="str">
        <f t="shared" ca="1" si="1576"/>
        <v>105-106</v>
      </c>
      <c r="AF1545" t="str">
        <f t="shared" ca="1" si="1553"/>
        <v>Plot 105-106</v>
      </c>
    </row>
    <row r="1546" spans="28:32" x14ac:dyDescent="0.25">
      <c r="AB1546" t="str">
        <f t="shared" ref="AB1546:AC1546" si="1600">AB1525</f>
        <v>Loading Bay</v>
      </c>
      <c r="AC1546" t="str">
        <f t="shared" si="1600"/>
        <v>Lift 1</v>
      </c>
      <c r="AD1546" t="b">
        <f t="shared" ca="1" si="1555"/>
        <v>1</v>
      </c>
      <c r="AE1546" s="1" t="str">
        <f t="shared" ca="1" si="1576"/>
        <v>105-106</v>
      </c>
      <c r="AF1546" t="str">
        <f t="shared" ca="1" si="1553"/>
        <v>Plot 105-106</v>
      </c>
    </row>
    <row r="1547" spans="28:32" x14ac:dyDescent="0.25">
      <c r="AB1547" t="str">
        <f t="shared" ref="AB1547:AC1547" si="1601">AB1526</f>
        <v>Loading Bay</v>
      </c>
      <c r="AC1547" t="str">
        <f t="shared" si="1601"/>
        <v>Lift 2</v>
      </c>
      <c r="AD1547" t="b">
        <f t="shared" ca="1" si="1555"/>
        <v>1</v>
      </c>
      <c r="AE1547" s="1" t="str">
        <f t="shared" ca="1" si="1576"/>
        <v>105-106</v>
      </c>
      <c r="AF1547" t="str">
        <f t="shared" ca="1" si="1553"/>
        <v>Plot 105-106</v>
      </c>
    </row>
    <row r="1548" spans="28:32" x14ac:dyDescent="0.25">
      <c r="AB1548" t="str">
        <f t="shared" ref="AB1548:AC1548" si="1602">AB1527</f>
        <v>Loading Bay</v>
      </c>
      <c r="AC1548" t="str">
        <f t="shared" si="1602"/>
        <v>Lift 3</v>
      </c>
      <c r="AD1548" t="b">
        <f t="shared" ca="1" si="1555"/>
        <v>1</v>
      </c>
      <c r="AE1548" s="1" t="str">
        <f t="shared" ca="1" si="1576"/>
        <v>105-106</v>
      </c>
      <c r="AF1548" t="str">
        <f t="shared" ca="1" si="1553"/>
        <v>Plot 105-106</v>
      </c>
    </row>
    <row r="1549" spans="28:32" x14ac:dyDescent="0.25">
      <c r="AB1549" t="str">
        <f t="shared" ref="AB1549:AC1549" si="1603">AB1528</f>
        <v>Loading Bay</v>
      </c>
      <c r="AC1549" t="str">
        <f t="shared" si="1603"/>
        <v>Lift 4</v>
      </c>
      <c r="AD1549" t="b">
        <f t="shared" ca="1" si="1555"/>
        <v>0</v>
      </c>
      <c r="AE1549" s="1" t="str">
        <f t="shared" ca="1" si="1576"/>
        <v>105-106</v>
      </c>
      <c r="AF1549" t="str">
        <f t="shared" ca="1" si="1553"/>
        <v>Plot 105-106</v>
      </c>
    </row>
    <row r="1550" spans="28:32" x14ac:dyDescent="0.25">
      <c r="AB1550" t="str">
        <f t="shared" ref="AB1550:AC1550" si="1604">AB1529</f>
        <v>Loading Bay</v>
      </c>
      <c r="AC1550" t="str">
        <f t="shared" si="1604"/>
        <v>Lift 5</v>
      </c>
      <c r="AD1550" t="b">
        <f t="shared" ca="1" si="1555"/>
        <v>0</v>
      </c>
      <c r="AE1550" s="1" t="str">
        <f t="shared" ca="1" si="1576"/>
        <v>105-106</v>
      </c>
      <c r="AF1550" t="str">
        <f t="shared" ca="1" si="1553"/>
        <v>Plot 105-106</v>
      </c>
    </row>
    <row r="1551" spans="28:32" x14ac:dyDescent="0.25">
      <c r="AB1551" t="str">
        <f t="shared" ref="AB1551:AC1551" si="1605">AB1530</f>
        <v>Loading Bay</v>
      </c>
      <c r="AC1551" t="str">
        <f t="shared" si="1605"/>
        <v>Lift 6</v>
      </c>
      <c r="AD1551" t="b">
        <f t="shared" ca="1" si="1555"/>
        <v>0</v>
      </c>
      <c r="AE1551" s="1" t="str">
        <f t="shared" ca="1" si="1576"/>
        <v>105-106</v>
      </c>
      <c r="AF1551" t="str">
        <f t="shared" ca="1" si="1553"/>
        <v>Plot 105-106</v>
      </c>
    </row>
    <row r="1552" spans="28:32" x14ac:dyDescent="0.25">
      <c r="AB1552" t="str">
        <f t="shared" ref="AB1552:AC1552" si="1606">AB1531</f>
        <v>Scaffolding Platform</v>
      </c>
      <c r="AC1552" t="str">
        <f t="shared" si="1606"/>
        <v>Ground Floor</v>
      </c>
      <c r="AD1552" t="b">
        <f t="shared" ca="1" si="1555"/>
        <v>1</v>
      </c>
      <c r="AE1552" s="1" t="str">
        <f t="shared" ca="1" si="1576"/>
        <v>105-106</v>
      </c>
      <c r="AF1552" t="str">
        <f t="shared" ca="1" si="1553"/>
        <v>Plot 105-106</v>
      </c>
    </row>
    <row r="1553" spans="28:32" x14ac:dyDescent="0.25">
      <c r="AB1553" t="str">
        <f t="shared" ref="AB1553:AC1553" si="1607">AB1532</f>
        <v>Scaffolding Platform</v>
      </c>
      <c r="AC1553" t="str">
        <f t="shared" si="1607"/>
        <v>First Floor</v>
      </c>
      <c r="AD1553" t="b">
        <f t="shared" ca="1" si="1555"/>
        <v>1</v>
      </c>
      <c r="AE1553" s="1" t="str">
        <f t="shared" ca="1" si="1576"/>
        <v>105-106</v>
      </c>
      <c r="AF1553" t="str">
        <f t="shared" ca="1" si="1553"/>
        <v>Plot 105-106</v>
      </c>
    </row>
    <row r="1554" spans="28:32" x14ac:dyDescent="0.25">
      <c r="AB1554" t="str">
        <f t="shared" ref="AB1554:AC1554" si="1608">AB1533</f>
        <v>Scaffolding Platform</v>
      </c>
      <c r="AC1554" t="str">
        <f t="shared" si="1608"/>
        <v>Second Floor</v>
      </c>
      <c r="AD1554" t="b">
        <f t="shared" ca="1" si="1555"/>
        <v>0</v>
      </c>
      <c r="AE1554" s="1" t="str">
        <f t="shared" ca="1" si="1576"/>
        <v>105-106</v>
      </c>
      <c r="AF1554" t="str">
        <f t="shared" ca="1" si="1553"/>
        <v>Plot 105-106</v>
      </c>
    </row>
    <row r="1555" spans="28:32" x14ac:dyDescent="0.25">
      <c r="AB1555" t="str">
        <f t="shared" ref="AB1555:AC1555" si="1609">AB1534</f>
        <v>Supporting Scaffold</v>
      </c>
      <c r="AC1555" t="str">
        <f t="shared" si="1609"/>
        <v>Ground Floor Prop.</v>
      </c>
      <c r="AD1555" t="str">
        <f t="shared" ca="1" si="1555"/>
        <v>TRUE</v>
      </c>
      <c r="AE1555" s="1" t="str">
        <f t="shared" ca="1" si="1576"/>
        <v>105-106</v>
      </c>
      <c r="AF1555" t="str">
        <f t="shared" ca="1" si="1553"/>
        <v>Plot 105-106</v>
      </c>
    </row>
    <row r="1556" spans="28:32" x14ac:dyDescent="0.25">
      <c r="AB1556" t="str">
        <f t="shared" ref="AB1556:AC1556" si="1610">AB1535</f>
        <v>Supporting Scaffold</v>
      </c>
      <c r="AC1556" t="str">
        <f t="shared" si="1610"/>
        <v>First Floor Prop.</v>
      </c>
      <c r="AD1556" t="str">
        <f t="shared" ca="1" si="1555"/>
        <v>FALSE</v>
      </c>
      <c r="AE1556" s="1" t="str">
        <f t="shared" ca="1" si="1576"/>
        <v>105-106</v>
      </c>
      <c r="AF1556" t="str">
        <f t="shared" ca="1" si="1553"/>
        <v>Plot 105-106</v>
      </c>
    </row>
    <row r="1557" spans="28:32" x14ac:dyDescent="0.25">
      <c r="AB1557" t="str">
        <f t="shared" ref="AB1557:AC1557" si="1611">AB1536</f>
        <v>Supporting Scaffold</v>
      </c>
      <c r="AC1557" t="str">
        <f t="shared" si="1611"/>
        <v>Second Floor Prop.</v>
      </c>
      <c r="AD1557" t="str">
        <f t="shared" ca="1" si="1555"/>
        <v>FALSE</v>
      </c>
      <c r="AE1557" s="1" t="str">
        <f t="shared" ca="1" si="1576"/>
        <v>105-106</v>
      </c>
      <c r="AF1557" t="str">
        <f t="shared" ca="1" si="1553"/>
        <v>Plot 105-106</v>
      </c>
    </row>
    <row r="1558" spans="28:32" x14ac:dyDescent="0.25">
      <c r="AB1558" t="str">
        <f t="shared" ref="AB1558:AC1558" si="1612">AB1537</f>
        <v>External Scaffolding</v>
      </c>
      <c r="AC1558" t="str">
        <f t="shared" si="1612"/>
        <v>Hop-ups</v>
      </c>
      <c r="AD1558" t="b">
        <f t="shared" ca="1" si="1555"/>
        <v>1</v>
      </c>
      <c r="AE1558" s="1" t="str">
        <f t="shared" ca="1" si="1576"/>
        <v>105-106</v>
      </c>
      <c r="AF1558" t="str">
        <f t="shared" ca="1" si="1553"/>
        <v>Plot 105-106</v>
      </c>
    </row>
    <row r="1559" spans="28:32" x14ac:dyDescent="0.25">
      <c r="AB1559" t="str">
        <f t="shared" ref="AB1559:AC1559" si="1613">AB1538</f>
        <v>External Scaffolding</v>
      </c>
      <c r="AC1559" t="str">
        <f t="shared" si="1613"/>
        <v>Adaptions</v>
      </c>
      <c r="AD1559" t="b">
        <f t="shared" ca="1" si="1555"/>
        <v>1</v>
      </c>
      <c r="AE1559" s="1" t="str">
        <f t="shared" ca="1" si="1576"/>
        <v>105-106</v>
      </c>
      <c r="AF1559" t="str">
        <f t="shared" ca="1" si="1553"/>
        <v>Plot 105-106</v>
      </c>
    </row>
    <row r="1560" spans="28:32" x14ac:dyDescent="0.25">
      <c r="AB1560" t="str">
        <f t="shared" ref="AB1560:AC1560" si="1614">AB1539</f>
        <v>External Scaffolding</v>
      </c>
      <c r="AC1560" t="str">
        <f t="shared" si="1614"/>
        <v>Adaption Tower</v>
      </c>
      <c r="AD1560" t="b">
        <f t="shared" ca="1" si="1555"/>
        <v>1</v>
      </c>
      <c r="AE1560" s="1" t="str">
        <f t="shared" ca="1" si="1576"/>
        <v>105-106</v>
      </c>
      <c r="AF1560" t="str">
        <f t="shared" ca="1" si="1553"/>
        <v>Plot 105-106</v>
      </c>
    </row>
    <row r="1561" spans="28:32" x14ac:dyDescent="0.25">
      <c r="AB1561" t="str">
        <f t="shared" ref="AB1561:AC1561" si="1615">AB1540</f>
        <v>External Scaffolding</v>
      </c>
      <c r="AC1561" t="str">
        <f t="shared" si="1615"/>
        <v>Lift 1</v>
      </c>
      <c r="AD1561" t="b">
        <f t="shared" ca="1" si="1555"/>
        <v>1</v>
      </c>
      <c r="AE1561" s="1" t="str">
        <f t="shared" ca="1" si="1576"/>
        <v>107-108</v>
      </c>
      <c r="AF1561" t="str">
        <f t="shared" ca="1" si="1553"/>
        <v>Plot 107-108</v>
      </c>
    </row>
    <row r="1562" spans="28:32" x14ac:dyDescent="0.25">
      <c r="AB1562" t="str">
        <f t="shared" ref="AB1562:AC1562" si="1616">AB1541</f>
        <v>External Scaffolding</v>
      </c>
      <c r="AC1562" t="str">
        <f t="shared" si="1616"/>
        <v>Lift 2</v>
      </c>
      <c r="AD1562" t="b">
        <f t="shared" ca="1" si="1555"/>
        <v>1</v>
      </c>
      <c r="AE1562" s="1" t="str">
        <f t="shared" ca="1" si="1576"/>
        <v>107-108</v>
      </c>
      <c r="AF1562" t="str">
        <f t="shared" ca="1" si="1553"/>
        <v>Plot 107-108</v>
      </c>
    </row>
    <row r="1563" spans="28:32" x14ac:dyDescent="0.25">
      <c r="AB1563" t="str">
        <f t="shared" ref="AB1563:AC1563" si="1617">AB1542</f>
        <v>External Scaffolding</v>
      </c>
      <c r="AC1563" t="str">
        <f t="shared" si="1617"/>
        <v>Lift 3</v>
      </c>
      <c r="AD1563" t="b">
        <f t="shared" ca="1" si="1555"/>
        <v>1</v>
      </c>
      <c r="AE1563" s="1" t="str">
        <f t="shared" ca="1" si="1576"/>
        <v>107-108</v>
      </c>
      <c r="AF1563" t="str">
        <f t="shared" ca="1" si="1553"/>
        <v>Plot 107-108</v>
      </c>
    </row>
    <row r="1564" spans="28:32" x14ac:dyDescent="0.25">
      <c r="AB1564" t="str">
        <f t="shared" ref="AB1564:AC1564" si="1618">AB1543</f>
        <v>External Scaffolding</v>
      </c>
      <c r="AC1564" t="str">
        <f t="shared" si="1618"/>
        <v>Lift 4</v>
      </c>
      <c r="AD1564" t="b">
        <f t="shared" ca="1" si="1555"/>
        <v>0</v>
      </c>
      <c r="AE1564" s="1" t="str">
        <f t="shared" ca="1" si="1576"/>
        <v>107-108</v>
      </c>
      <c r="AF1564" t="str">
        <f t="shared" ca="1" si="1553"/>
        <v>Plot 107-108</v>
      </c>
    </row>
    <row r="1565" spans="28:32" x14ac:dyDescent="0.25">
      <c r="AB1565" t="str">
        <f t="shared" ref="AB1565:AC1565" si="1619">AB1544</f>
        <v>External Scaffolding</v>
      </c>
      <c r="AC1565" t="str">
        <f t="shared" si="1619"/>
        <v>Lift 5</v>
      </c>
      <c r="AD1565" t="b">
        <f t="shared" ca="1" si="1555"/>
        <v>0</v>
      </c>
      <c r="AE1565" s="1" t="str">
        <f t="shared" ca="1" si="1576"/>
        <v>107-108</v>
      </c>
      <c r="AF1565" t="str">
        <f t="shared" ref="AF1565:AF1628" ca="1" si="1620">IF(LEFT(AE1565,1)="G",AE1565,"Plot "&amp;AE1565)</f>
        <v>Plot 107-108</v>
      </c>
    </row>
    <row r="1566" spans="28:32" x14ac:dyDescent="0.25">
      <c r="AB1566" t="str">
        <f t="shared" ref="AB1566:AC1566" si="1621">AB1545</f>
        <v>External Scaffolding</v>
      </c>
      <c r="AC1566" t="str">
        <f t="shared" si="1621"/>
        <v>Lift 6</v>
      </c>
      <c r="AD1566" t="b">
        <f t="shared" ref="AD1566:AD1629" ca="1" si="1622">INDEX($AC$1:$JH$22,MATCH(AC1566,$AC$1:$AC$22,0),MATCH(AE1566,$AC$1:$JH$1,0))</f>
        <v>0</v>
      </c>
      <c r="AE1566" s="1" t="str">
        <f t="shared" ca="1" si="1576"/>
        <v>107-108</v>
      </c>
      <c r="AF1566" t="str">
        <f t="shared" ca="1" si="1620"/>
        <v>Plot 107-108</v>
      </c>
    </row>
    <row r="1567" spans="28:32" x14ac:dyDescent="0.25">
      <c r="AB1567" t="str">
        <f t="shared" ref="AB1567:AC1567" si="1623">AB1546</f>
        <v>Loading Bay</v>
      </c>
      <c r="AC1567" t="str">
        <f t="shared" si="1623"/>
        <v>Lift 1</v>
      </c>
      <c r="AD1567" t="b">
        <f t="shared" ca="1" si="1622"/>
        <v>1</v>
      </c>
      <c r="AE1567" s="1" t="str">
        <f t="shared" ca="1" si="1576"/>
        <v>107-108</v>
      </c>
      <c r="AF1567" t="str">
        <f t="shared" ca="1" si="1620"/>
        <v>Plot 107-108</v>
      </c>
    </row>
    <row r="1568" spans="28:32" x14ac:dyDescent="0.25">
      <c r="AB1568" t="str">
        <f t="shared" ref="AB1568:AC1568" si="1624">AB1547</f>
        <v>Loading Bay</v>
      </c>
      <c r="AC1568" t="str">
        <f t="shared" si="1624"/>
        <v>Lift 2</v>
      </c>
      <c r="AD1568" t="b">
        <f t="shared" ca="1" si="1622"/>
        <v>1</v>
      </c>
      <c r="AE1568" s="1" t="str">
        <f t="shared" ca="1" si="1576"/>
        <v>107-108</v>
      </c>
      <c r="AF1568" t="str">
        <f t="shared" ca="1" si="1620"/>
        <v>Plot 107-108</v>
      </c>
    </row>
    <row r="1569" spans="28:32" x14ac:dyDescent="0.25">
      <c r="AB1569" t="str">
        <f t="shared" ref="AB1569:AC1569" si="1625">AB1548</f>
        <v>Loading Bay</v>
      </c>
      <c r="AC1569" t="str">
        <f t="shared" si="1625"/>
        <v>Lift 3</v>
      </c>
      <c r="AD1569" t="b">
        <f t="shared" ca="1" si="1622"/>
        <v>1</v>
      </c>
      <c r="AE1569" s="1" t="str">
        <f t="shared" ca="1" si="1576"/>
        <v>107-108</v>
      </c>
      <c r="AF1569" t="str">
        <f t="shared" ca="1" si="1620"/>
        <v>Plot 107-108</v>
      </c>
    </row>
    <row r="1570" spans="28:32" x14ac:dyDescent="0.25">
      <c r="AB1570" t="str">
        <f t="shared" ref="AB1570:AC1570" si="1626">AB1549</f>
        <v>Loading Bay</v>
      </c>
      <c r="AC1570" t="str">
        <f t="shared" si="1626"/>
        <v>Lift 4</v>
      </c>
      <c r="AD1570" t="b">
        <f t="shared" ca="1" si="1622"/>
        <v>0</v>
      </c>
      <c r="AE1570" s="1" t="str">
        <f t="shared" ca="1" si="1576"/>
        <v>107-108</v>
      </c>
      <c r="AF1570" t="str">
        <f t="shared" ca="1" si="1620"/>
        <v>Plot 107-108</v>
      </c>
    </row>
    <row r="1571" spans="28:32" x14ac:dyDescent="0.25">
      <c r="AB1571" t="str">
        <f t="shared" ref="AB1571:AC1571" si="1627">AB1550</f>
        <v>Loading Bay</v>
      </c>
      <c r="AC1571" t="str">
        <f t="shared" si="1627"/>
        <v>Lift 5</v>
      </c>
      <c r="AD1571" t="b">
        <f t="shared" ca="1" si="1622"/>
        <v>0</v>
      </c>
      <c r="AE1571" s="1" t="str">
        <f t="shared" ca="1" si="1576"/>
        <v>107-108</v>
      </c>
      <c r="AF1571" t="str">
        <f t="shared" ca="1" si="1620"/>
        <v>Plot 107-108</v>
      </c>
    </row>
    <row r="1572" spans="28:32" x14ac:dyDescent="0.25">
      <c r="AB1572" t="str">
        <f t="shared" ref="AB1572:AC1572" si="1628">AB1551</f>
        <v>Loading Bay</v>
      </c>
      <c r="AC1572" t="str">
        <f t="shared" si="1628"/>
        <v>Lift 6</v>
      </c>
      <c r="AD1572" t="b">
        <f t="shared" ca="1" si="1622"/>
        <v>0</v>
      </c>
      <c r="AE1572" s="1" t="str">
        <f t="shared" ca="1" si="1576"/>
        <v>107-108</v>
      </c>
      <c r="AF1572" t="str">
        <f t="shared" ca="1" si="1620"/>
        <v>Plot 107-108</v>
      </c>
    </row>
    <row r="1573" spans="28:32" x14ac:dyDescent="0.25">
      <c r="AB1573" t="str">
        <f t="shared" ref="AB1573:AC1573" si="1629">AB1552</f>
        <v>Scaffolding Platform</v>
      </c>
      <c r="AC1573" t="str">
        <f t="shared" si="1629"/>
        <v>Ground Floor</v>
      </c>
      <c r="AD1573" t="b">
        <f t="shared" ca="1" si="1622"/>
        <v>1</v>
      </c>
      <c r="AE1573" s="1" t="str">
        <f t="shared" ca="1" si="1576"/>
        <v>107-108</v>
      </c>
      <c r="AF1573" t="str">
        <f t="shared" ca="1" si="1620"/>
        <v>Plot 107-108</v>
      </c>
    </row>
    <row r="1574" spans="28:32" x14ac:dyDescent="0.25">
      <c r="AB1574" t="str">
        <f t="shared" ref="AB1574:AC1574" si="1630">AB1553</f>
        <v>Scaffolding Platform</v>
      </c>
      <c r="AC1574" t="str">
        <f t="shared" si="1630"/>
        <v>First Floor</v>
      </c>
      <c r="AD1574" t="b">
        <f t="shared" ca="1" si="1622"/>
        <v>1</v>
      </c>
      <c r="AE1574" s="1" t="str">
        <f t="shared" ca="1" si="1576"/>
        <v>107-108</v>
      </c>
      <c r="AF1574" t="str">
        <f t="shared" ca="1" si="1620"/>
        <v>Plot 107-108</v>
      </c>
    </row>
    <row r="1575" spans="28:32" x14ac:dyDescent="0.25">
      <c r="AB1575" t="str">
        <f t="shared" ref="AB1575:AC1575" si="1631">AB1554</f>
        <v>Scaffolding Platform</v>
      </c>
      <c r="AC1575" t="str">
        <f t="shared" si="1631"/>
        <v>Second Floor</v>
      </c>
      <c r="AD1575" t="b">
        <f t="shared" ca="1" si="1622"/>
        <v>0</v>
      </c>
      <c r="AE1575" s="1" t="str">
        <f t="shared" ca="1" si="1576"/>
        <v>107-108</v>
      </c>
      <c r="AF1575" t="str">
        <f t="shared" ca="1" si="1620"/>
        <v>Plot 107-108</v>
      </c>
    </row>
    <row r="1576" spans="28:32" x14ac:dyDescent="0.25">
      <c r="AB1576" t="str">
        <f t="shared" ref="AB1576:AC1576" si="1632">AB1555</f>
        <v>Supporting Scaffold</v>
      </c>
      <c r="AC1576" t="str">
        <f t="shared" si="1632"/>
        <v>Ground Floor Prop.</v>
      </c>
      <c r="AD1576" t="str">
        <f t="shared" ca="1" si="1622"/>
        <v>TRUE</v>
      </c>
      <c r="AE1576" s="1" t="str">
        <f t="shared" ca="1" si="1576"/>
        <v>107-108</v>
      </c>
      <c r="AF1576" t="str">
        <f t="shared" ca="1" si="1620"/>
        <v>Plot 107-108</v>
      </c>
    </row>
    <row r="1577" spans="28:32" x14ac:dyDescent="0.25">
      <c r="AB1577" t="str">
        <f t="shared" ref="AB1577:AC1577" si="1633">AB1556</f>
        <v>Supporting Scaffold</v>
      </c>
      <c r="AC1577" t="str">
        <f t="shared" si="1633"/>
        <v>First Floor Prop.</v>
      </c>
      <c r="AD1577" t="str">
        <f t="shared" ca="1" si="1622"/>
        <v>FALSE</v>
      </c>
      <c r="AE1577" s="1" t="str">
        <f t="shared" ca="1" si="1576"/>
        <v>107-108</v>
      </c>
      <c r="AF1577" t="str">
        <f t="shared" ca="1" si="1620"/>
        <v>Plot 107-108</v>
      </c>
    </row>
    <row r="1578" spans="28:32" x14ac:dyDescent="0.25">
      <c r="AB1578" t="str">
        <f t="shared" ref="AB1578:AC1578" si="1634">AB1557</f>
        <v>Supporting Scaffold</v>
      </c>
      <c r="AC1578" t="str">
        <f t="shared" si="1634"/>
        <v>Second Floor Prop.</v>
      </c>
      <c r="AD1578" t="str">
        <f t="shared" ca="1" si="1622"/>
        <v>FALSE</v>
      </c>
      <c r="AE1578" s="1" t="str">
        <f t="shared" ca="1" si="1576"/>
        <v>107-108</v>
      </c>
      <c r="AF1578" t="str">
        <f t="shared" ca="1" si="1620"/>
        <v>Plot 107-108</v>
      </c>
    </row>
    <row r="1579" spans="28:32" x14ac:dyDescent="0.25">
      <c r="AB1579" t="str">
        <f t="shared" ref="AB1579:AC1579" si="1635">AB1558</f>
        <v>External Scaffolding</v>
      </c>
      <c r="AC1579" t="str">
        <f t="shared" si="1635"/>
        <v>Hop-ups</v>
      </c>
      <c r="AD1579" t="b">
        <f t="shared" ca="1" si="1622"/>
        <v>1</v>
      </c>
      <c r="AE1579" s="1" t="str">
        <f t="shared" ca="1" si="1576"/>
        <v>107-108</v>
      </c>
      <c r="AF1579" t="str">
        <f t="shared" ca="1" si="1620"/>
        <v>Plot 107-108</v>
      </c>
    </row>
    <row r="1580" spans="28:32" x14ac:dyDescent="0.25">
      <c r="AB1580" t="str">
        <f t="shared" ref="AB1580:AC1580" si="1636">AB1559</f>
        <v>External Scaffolding</v>
      </c>
      <c r="AC1580" t="str">
        <f t="shared" si="1636"/>
        <v>Adaptions</v>
      </c>
      <c r="AD1580" t="b">
        <f t="shared" ca="1" si="1622"/>
        <v>1</v>
      </c>
      <c r="AE1580" s="1" t="str">
        <f t="shared" ca="1" si="1576"/>
        <v>107-108</v>
      </c>
      <c r="AF1580" t="str">
        <f t="shared" ca="1" si="1620"/>
        <v>Plot 107-108</v>
      </c>
    </row>
    <row r="1581" spans="28:32" x14ac:dyDescent="0.25">
      <c r="AB1581" t="str">
        <f t="shared" ref="AB1581:AC1581" si="1637">AB1560</f>
        <v>External Scaffolding</v>
      </c>
      <c r="AC1581" t="str">
        <f t="shared" si="1637"/>
        <v>Adaption Tower</v>
      </c>
      <c r="AD1581" t="b">
        <f t="shared" ca="1" si="1622"/>
        <v>1</v>
      </c>
      <c r="AE1581" s="1" t="str">
        <f t="shared" ca="1" si="1576"/>
        <v>107-108</v>
      </c>
      <c r="AF1581" t="str">
        <f t="shared" ca="1" si="1620"/>
        <v>Plot 107-108</v>
      </c>
    </row>
    <row r="1582" spans="28:32" x14ac:dyDescent="0.25">
      <c r="AB1582" t="str">
        <f t="shared" ref="AB1582:AC1582" si="1638">AB1561</f>
        <v>External Scaffolding</v>
      </c>
      <c r="AC1582" t="str">
        <f t="shared" si="1638"/>
        <v>Lift 1</v>
      </c>
      <c r="AD1582" t="b">
        <f t="shared" ca="1" si="1622"/>
        <v>1</v>
      </c>
      <c r="AE1582" s="1">
        <f t="shared" ca="1" si="1576"/>
        <v>109</v>
      </c>
      <c r="AF1582" t="str">
        <f t="shared" ca="1" si="1620"/>
        <v>Plot 109</v>
      </c>
    </row>
    <row r="1583" spans="28:32" x14ac:dyDescent="0.25">
      <c r="AB1583" t="str">
        <f t="shared" ref="AB1583:AC1583" si="1639">AB1562</f>
        <v>External Scaffolding</v>
      </c>
      <c r="AC1583" t="str">
        <f t="shared" si="1639"/>
        <v>Lift 2</v>
      </c>
      <c r="AD1583" t="b">
        <f t="shared" ca="1" si="1622"/>
        <v>1</v>
      </c>
      <c r="AE1583" s="1">
        <f t="shared" ca="1" si="1576"/>
        <v>109</v>
      </c>
      <c r="AF1583" t="str">
        <f t="shared" ca="1" si="1620"/>
        <v>Plot 109</v>
      </c>
    </row>
    <row r="1584" spans="28:32" x14ac:dyDescent="0.25">
      <c r="AB1584" t="str">
        <f t="shared" ref="AB1584:AC1584" si="1640">AB1563</f>
        <v>External Scaffolding</v>
      </c>
      <c r="AC1584" t="str">
        <f t="shared" si="1640"/>
        <v>Lift 3</v>
      </c>
      <c r="AD1584" t="b">
        <f t="shared" ca="1" si="1622"/>
        <v>1</v>
      </c>
      <c r="AE1584" s="1">
        <f t="shared" ca="1" si="1576"/>
        <v>109</v>
      </c>
      <c r="AF1584" t="str">
        <f t="shared" ca="1" si="1620"/>
        <v>Plot 109</v>
      </c>
    </row>
    <row r="1585" spans="28:32" x14ac:dyDescent="0.25">
      <c r="AB1585" t="str">
        <f t="shared" ref="AB1585:AC1585" si="1641">AB1564</f>
        <v>External Scaffolding</v>
      </c>
      <c r="AC1585" t="str">
        <f t="shared" si="1641"/>
        <v>Lift 4</v>
      </c>
      <c r="AD1585" t="b">
        <f t="shared" ca="1" si="1622"/>
        <v>1</v>
      </c>
      <c r="AE1585" s="1">
        <f t="shared" ca="1" si="1576"/>
        <v>109</v>
      </c>
      <c r="AF1585" t="str">
        <f t="shared" ca="1" si="1620"/>
        <v>Plot 109</v>
      </c>
    </row>
    <row r="1586" spans="28:32" x14ac:dyDescent="0.25">
      <c r="AB1586" t="str">
        <f t="shared" ref="AB1586:AC1586" si="1642">AB1565</f>
        <v>External Scaffolding</v>
      </c>
      <c r="AC1586" t="str">
        <f t="shared" si="1642"/>
        <v>Lift 5</v>
      </c>
      <c r="AD1586" t="b">
        <f t="shared" ca="1" si="1622"/>
        <v>0</v>
      </c>
      <c r="AE1586" s="1">
        <f t="shared" ref="AE1586:AE1649" ca="1" si="1643">OFFSET($AD$1,0,FLOOR(ROW(B1558)/21,1))</f>
        <v>109</v>
      </c>
      <c r="AF1586" t="str">
        <f t="shared" ca="1" si="1620"/>
        <v>Plot 109</v>
      </c>
    </row>
    <row r="1587" spans="28:32" x14ac:dyDescent="0.25">
      <c r="AB1587" t="str">
        <f t="shared" ref="AB1587:AC1587" si="1644">AB1566</f>
        <v>External Scaffolding</v>
      </c>
      <c r="AC1587" t="str">
        <f t="shared" si="1644"/>
        <v>Lift 6</v>
      </c>
      <c r="AD1587" t="b">
        <f t="shared" ca="1" si="1622"/>
        <v>0</v>
      </c>
      <c r="AE1587" s="1">
        <f t="shared" ca="1" si="1643"/>
        <v>109</v>
      </c>
      <c r="AF1587" t="str">
        <f t="shared" ca="1" si="1620"/>
        <v>Plot 109</v>
      </c>
    </row>
    <row r="1588" spans="28:32" x14ac:dyDescent="0.25">
      <c r="AB1588" t="str">
        <f t="shared" ref="AB1588:AC1588" si="1645">AB1567</f>
        <v>Loading Bay</v>
      </c>
      <c r="AC1588" t="str">
        <f t="shared" si="1645"/>
        <v>Lift 1</v>
      </c>
      <c r="AD1588" t="b">
        <f t="shared" ca="1" si="1622"/>
        <v>1</v>
      </c>
      <c r="AE1588" s="1">
        <f t="shared" ca="1" si="1643"/>
        <v>109</v>
      </c>
      <c r="AF1588" t="str">
        <f t="shared" ca="1" si="1620"/>
        <v>Plot 109</v>
      </c>
    </row>
    <row r="1589" spans="28:32" x14ac:dyDescent="0.25">
      <c r="AB1589" t="str">
        <f t="shared" ref="AB1589:AC1589" si="1646">AB1568</f>
        <v>Loading Bay</v>
      </c>
      <c r="AC1589" t="str">
        <f t="shared" si="1646"/>
        <v>Lift 2</v>
      </c>
      <c r="AD1589" t="b">
        <f t="shared" ca="1" si="1622"/>
        <v>1</v>
      </c>
      <c r="AE1589" s="1">
        <f t="shared" ca="1" si="1643"/>
        <v>109</v>
      </c>
      <c r="AF1589" t="str">
        <f t="shared" ca="1" si="1620"/>
        <v>Plot 109</v>
      </c>
    </row>
    <row r="1590" spans="28:32" x14ac:dyDescent="0.25">
      <c r="AB1590" t="str">
        <f t="shared" ref="AB1590:AC1590" si="1647">AB1569</f>
        <v>Loading Bay</v>
      </c>
      <c r="AC1590" t="str">
        <f t="shared" si="1647"/>
        <v>Lift 3</v>
      </c>
      <c r="AD1590" t="b">
        <f t="shared" ca="1" si="1622"/>
        <v>1</v>
      </c>
      <c r="AE1590" s="1">
        <f t="shared" ca="1" si="1643"/>
        <v>109</v>
      </c>
      <c r="AF1590" t="str">
        <f t="shared" ca="1" si="1620"/>
        <v>Plot 109</v>
      </c>
    </row>
    <row r="1591" spans="28:32" x14ac:dyDescent="0.25">
      <c r="AB1591" t="str">
        <f t="shared" ref="AB1591:AC1591" si="1648">AB1570</f>
        <v>Loading Bay</v>
      </c>
      <c r="AC1591" t="str">
        <f t="shared" si="1648"/>
        <v>Lift 4</v>
      </c>
      <c r="AD1591" t="b">
        <f t="shared" ca="1" si="1622"/>
        <v>1</v>
      </c>
      <c r="AE1591" s="1">
        <f t="shared" ca="1" si="1643"/>
        <v>109</v>
      </c>
      <c r="AF1591" t="str">
        <f t="shared" ca="1" si="1620"/>
        <v>Plot 109</v>
      </c>
    </row>
    <row r="1592" spans="28:32" x14ac:dyDescent="0.25">
      <c r="AB1592" t="str">
        <f t="shared" ref="AB1592:AC1592" si="1649">AB1571</f>
        <v>Loading Bay</v>
      </c>
      <c r="AC1592" t="str">
        <f t="shared" si="1649"/>
        <v>Lift 5</v>
      </c>
      <c r="AD1592" t="b">
        <f t="shared" ca="1" si="1622"/>
        <v>0</v>
      </c>
      <c r="AE1592" s="1">
        <f t="shared" ca="1" si="1643"/>
        <v>109</v>
      </c>
      <c r="AF1592" t="str">
        <f t="shared" ca="1" si="1620"/>
        <v>Plot 109</v>
      </c>
    </row>
    <row r="1593" spans="28:32" x14ac:dyDescent="0.25">
      <c r="AB1593" t="str">
        <f t="shared" ref="AB1593:AC1593" si="1650">AB1572</f>
        <v>Loading Bay</v>
      </c>
      <c r="AC1593" t="str">
        <f t="shared" si="1650"/>
        <v>Lift 6</v>
      </c>
      <c r="AD1593" t="b">
        <f t="shared" ca="1" si="1622"/>
        <v>0</v>
      </c>
      <c r="AE1593" s="1">
        <f t="shared" ca="1" si="1643"/>
        <v>109</v>
      </c>
      <c r="AF1593" t="str">
        <f t="shared" ca="1" si="1620"/>
        <v>Plot 109</v>
      </c>
    </row>
    <row r="1594" spans="28:32" x14ac:dyDescent="0.25">
      <c r="AB1594" t="str">
        <f t="shared" ref="AB1594:AC1594" si="1651">AB1573</f>
        <v>Scaffolding Platform</v>
      </c>
      <c r="AC1594" t="str">
        <f t="shared" si="1651"/>
        <v>Ground Floor</v>
      </c>
      <c r="AD1594" t="b">
        <f t="shared" ca="1" si="1622"/>
        <v>1</v>
      </c>
      <c r="AE1594" s="1">
        <f t="shared" ca="1" si="1643"/>
        <v>109</v>
      </c>
      <c r="AF1594" t="str">
        <f t="shared" ca="1" si="1620"/>
        <v>Plot 109</v>
      </c>
    </row>
    <row r="1595" spans="28:32" x14ac:dyDescent="0.25">
      <c r="AB1595" t="str">
        <f t="shared" ref="AB1595:AC1595" si="1652">AB1574</f>
        <v>Scaffolding Platform</v>
      </c>
      <c r="AC1595" t="str">
        <f t="shared" si="1652"/>
        <v>First Floor</v>
      </c>
      <c r="AD1595" t="b">
        <f t="shared" ca="1" si="1622"/>
        <v>1</v>
      </c>
      <c r="AE1595" s="1">
        <f t="shared" ca="1" si="1643"/>
        <v>109</v>
      </c>
      <c r="AF1595" t="str">
        <f t="shared" ca="1" si="1620"/>
        <v>Plot 109</v>
      </c>
    </row>
    <row r="1596" spans="28:32" x14ac:dyDescent="0.25">
      <c r="AB1596" t="str">
        <f t="shared" ref="AB1596:AC1596" si="1653">AB1575</f>
        <v>Scaffolding Platform</v>
      </c>
      <c r="AC1596" t="str">
        <f t="shared" si="1653"/>
        <v>Second Floor</v>
      </c>
      <c r="AD1596" t="b">
        <f t="shared" ca="1" si="1622"/>
        <v>1</v>
      </c>
      <c r="AE1596" s="1">
        <f t="shared" ca="1" si="1643"/>
        <v>109</v>
      </c>
      <c r="AF1596" t="str">
        <f t="shared" ca="1" si="1620"/>
        <v>Plot 109</v>
      </c>
    </row>
    <row r="1597" spans="28:32" x14ac:dyDescent="0.25">
      <c r="AB1597" t="str">
        <f t="shared" ref="AB1597:AC1597" si="1654">AB1576</f>
        <v>Supporting Scaffold</v>
      </c>
      <c r="AC1597" t="str">
        <f t="shared" si="1654"/>
        <v>Ground Floor Prop.</v>
      </c>
      <c r="AD1597" t="str">
        <f t="shared" ca="1" si="1622"/>
        <v>TRUE</v>
      </c>
      <c r="AE1597" s="1">
        <f t="shared" ca="1" si="1643"/>
        <v>109</v>
      </c>
      <c r="AF1597" t="str">
        <f t="shared" ca="1" si="1620"/>
        <v>Plot 109</v>
      </c>
    </row>
    <row r="1598" spans="28:32" x14ac:dyDescent="0.25">
      <c r="AB1598" t="str">
        <f t="shared" ref="AB1598:AC1598" si="1655">AB1577</f>
        <v>Supporting Scaffold</v>
      </c>
      <c r="AC1598" t="str">
        <f t="shared" si="1655"/>
        <v>First Floor Prop.</v>
      </c>
      <c r="AD1598" t="str">
        <f t="shared" ca="1" si="1622"/>
        <v>TRUE</v>
      </c>
      <c r="AE1598" s="1">
        <f t="shared" ca="1" si="1643"/>
        <v>109</v>
      </c>
      <c r="AF1598" t="str">
        <f t="shared" ca="1" si="1620"/>
        <v>Plot 109</v>
      </c>
    </row>
    <row r="1599" spans="28:32" x14ac:dyDescent="0.25">
      <c r="AB1599" t="str">
        <f t="shared" ref="AB1599:AC1599" si="1656">AB1578</f>
        <v>Supporting Scaffold</v>
      </c>
      <c r="AC1599" t="str">
        <f t="shared" si="1656"/>
        <v>Second Floor Prop.</v>
      </c>
      <c r="AD1599" t="str">
        <f t="shared" ca="1" si="1622"/>
        <v>FALSE</v>
      </c>
      <c r="AE1599" s="1">
        <f t="shared" ca="1" si="1643"/>
        <v>109</v>
      </c>
      <c r="AF1599" t="str">
        <f t="shared" ca="1" si="1620"/>
        <v>Plot 109</v>
      </c>
    </row>
    <row r="1600" spans="28:32" x14ac:dyDescent="0.25">
      <c r="AB1600" t="str">
        <f t="shared" ref="AB1600:AC1600" si="1657">AB1579</f>
        <v>External Scaffolding</v>
      </c>
      <c r="AC1600" t="str">
        <f t="shared" si="1657"/>
        <v>Hop-ups</v>
      </c>
      <c r="AD1600" t="b">
        <f t="shared" ca="1" si="1622"/>
        <v>1</v>
      </c>
      <c r="AE1600" s="1">
        <f t="shared" ca="1" si="1643"/>
        <v>109</v>
      </c>
      <c r="AF1600" t="str">
        <f t="shared" ca="1" si="1620"/>
        <v>Plot 109</v>
      </c>
    </row>
    <row r="1601" spans="28:32" x14ac:dyDescent="0.25">
      <c r="AB1601" t="str">
        <f t="shared" ref="AB1601:AC1601" si="1658">AB1580</f>
        <v>External Scaffolding</v>
      </c>
      <c r="AC1601" t="str">
        <f t="shared" si="1658"/>
        <v>Adaptions</v>
      </c>
      <c r="AD1601" t="b">
        <f t="shared" ca="1" si="1622"/>
        <v>1</v>
      </c>
      <c r="AE1601" s="1">
        <f t="shared" ca="1" si="1643"/>
        <v>109</v>
      </c>
      <c r="AF1601" t="str">
        <f t="shared" ca="1" si="1620"/>
        <v>Plot 109</v>
      </c>
    </row>
    <row r="1602" spans="28:32" x14ac:dyDescent="0.25">
      <c r="AB1602" t="str">
        <f t="shared" ref="AB1602:AC1602" si="1659">AB1581</f>
        <v>External Scaffolding</v>
      </c>
      <c r="AC1602" t="str">
        <f t="shared" si="1659"/>
        <v>Adaption Tower</v>
      </c>
      <c r="AD1602" t="b">
        <f t="shared" ca="1" si="1622"/>
        <v>1</v>
      </c>
      <c r="AE1602" s="1">
        <f t="shared" ca="1" si="1643"/>
        <v>109</v>
      </c>
      <c r="AF1602" t="str">
        <f t="shared" ca="1" si="1620"/>
        <v>Plot 109</v>
      </c>
    </row>
    <row r="1603" spans="28:32" x14ac:dyDescent="0.25">
      <c r="AB1603" t="str">
        <f t="shared" ref="AB1603:AC1603" si="1660">AB1582</f>
        <v>External Scaffolding</v>
      </c>
      <c r="AC1603" t="str">
        <f t="shared" si="1660"/>
        <v>Lift 1</v>
      </c>
      <c r="AD1603" t="b">
        <f t="shared" ca="1" si="1622"/>
        <v>1</v>
      </c>
      <c r="AE1603" s="1" t="str">
        <f t="shared" ca="1" si="1643"/>
        <v>110-111</v>
      </c>
      <c r="AF1603" t="str">
        <f t="shared" ca="1" si="1620"/>
        <v>Plot 110-111</v>
      </c>
    </row>
    <row r="1604" spans="28:32" x14ac:dyDescent="0.25">
      <c r="AB1604" t="str">
        <f t="shared" ref="AB1604:AC1604" si="1661">AB1583</f>
        <v>External Scaffolding</v>
      </c>
      <c r="AC1604" t="str">
        <f t="shared" si="1661"/>
        <v>Lift 2</v>
      </c>
      <c r="AD1604" t="b">
        <f t="shared" ca="1" si="1622"/>
        <v>1</v>
      </c>
      <c r="AE1604" s="1" t="str">
        <f t="shared" ca="1" si="1643"/>
        <v>110-111</v>
      </c>
      <c r="AF1604" t="str">
        <f t="shared" ca="1" si="1620"/>
        <v>Plot 110-111</v>
      </c>
    </row>
    <row r="1605" spans="28:32" x14ac:dyDescent="0.25">
      <c r="AB1605" t="str">
        <f t="shared" ref="AB1605:AC1605" si="1662">AB1584</f>
        <v>External Scaffolding</v>
      </c>
      <c r="AC1605" t="str">
        <f t="shared" si="1662"/>
        <v>Lift 3</v>
      </c>
      <c r="AD1605" t="b">
        <f t="shared" ca="1" si="1622"/>
        <v>1</v>
      </c>
      <c r="AE1605" s="1" t="str">
        <f t="shared" ca="1" si="1643"/>
        <v>110-111</v>
      </c>
      <c r="AF1605" t="str">
        <f t="shared" ca="1" si="1620"/>
        <v>Plot 110-111</v>
      </c>
    </row>
    <row r="1606" spans="28:32" x14ac:dyDescent="0.25">
      <c r="AB1606" t="str">
        <f t="shared" ref="AB1606:AC1606" si="1663">AB1585</f>
        <v>External Scaffolding</v>
      </c>
      <c r="AC1606" t="str">
        <f t="shared" si="1663"/>
        <v>Lift 4</v>
      </c>
      <c r="AD1606" t="b">
        <f t="shared" ca="1" si="1622"/>
        <v>0</v>
      </c>
      <c r="AE1606" s="1" t="str">
        <f t="shared" ca="1" si="1643"/>
        <v>110-111</v>
      </c>
      <c r="AF1606" t="str">
        <f t="shared" ca="1" si="1620"/>
        <v>Plot 110-111</v>
      </c>
    </row>
    <row r="1607" spans="28:32" x14ac:dyDescent="0.25">
      <c r="AB1607" t="str">
        <f t="shared" ref="AB1607:AC1607" si="1664">AB1586</f>
        <v>External Scaffolding</v>
      </c>
      <c r="AC1607" t="str">
        <f t="shared" si="1664"/>
        <v>Lift 5</v>
      </c>
      <c r="AD1607" t="b">
        <f t="shared" ca="1" si="1622"/>
        <v>0</v>
      </c>
      <c r="AE1607" s="1" t="str">
        <f t="shared" ca="1" si="1643"/>
        <v>110-111</v>
      </c>
      <c r="AF1607" t="str">
        <f t="shared" ca="1" si="1620"/>
        <v>Plot 110-111</v>
      </c>
    </row>
    <row r="1608" spans="28:32" x14ac:dyDescent="0.25">
      <c r="AB1608" t="str">
        <f t="shared" ref="AB1608:AC1608" si="1665">AB1587</f>
        <v>External Scaffolding</v>
      </c>
      <c r="AC1608" t="str">
        <f t="shared" si="1665"/>
        <v>Lift 6</v>
      </c>
      <c r="AD1608" t="b">
        <f t="shared" ca="1" si="1622"/>
        <v>0</v>
      </c>
      <c r="AE1608" s="1" t="str">
        <f t="shared" ca="1" si="1643"/>
        <v>110-111</v>
      </c>
      <c r="AF1608" t="str">
        <f t="shared" ca="1" si="1620"/>
        <v>Plot 110-111</v>
      </c>
    </row>
    <row r="1609" spans="28:32" x14ac:dyDescent="0.25">
      <c r="AB1609" t="str">
        <f t="shared" ref="AB1609:AC1609" si="1666">AB1588</f>
        <v>Loading Bay</v>
      </c>
      <c r="AC1609" t="str">
        <f t="shared" si="1666"/>
        <v>Lift 1</v>
      </c>
      <c r="AD1609" t="b">
        <f t="shared" ca="1" si="1622"/>
        <v>1</v>
      </c>
      <c r="AE1609" s="1" t="str">
        <f t="shared" ca="1" si="1643"/>
        <v>110-111</v>
      </c>
      <c r="AF1609" t="str">
        <f t="shared" ca="1" si="1620"/>
        <v>Plot 110-111</v>
      </c>
    </row>
    <row r="1610" spans="28:32" x14ac:dyDescent="0.25">
      <c r="AB1610" t="str">
        <f t="shared" ref="AB1610:AC1610" si="1667">AB1589</f>
        <v>Loading Bay</v>
      </c>
      <c r="AC1610" t="str">
        <f t="shared" si="1667"/>
        <v>Lift 2</v>
      </c>
      <c r="AD1610" t="b">
        <f t="shared" ca="1" si="1622"/>
        <v>1</v>
      </c>
      <c r="AE1610" s="1" t="str">
        <f t="shared" ca="1" si="1643"/>
        <v>110-111</v>
      </c>
      <c r="AF1610" t="str">
        <f t="shared" ca="1" si="1620"/>
        <v>Plot 110-111</v>
      </c>
    </row>
    <row r="1611" spans="28:32" x14ac:dyDescent="0.25">
      <c r="AB1611" t="str">
        <f t="shared" ref="AB1611:AC1611" si="1668">AB1590</f>
        <v>Loading Bay</v>
      </c>
      <c r="AC1611" t="str">
        <f t="shared" si="1668"/>
        <v>Lift 3</v>
      </c>
      <c r="AD1611" t="b">
        <f t="shared" ca="1" si="1622"/>
        <v>1</v>
      </c>
      <c r="AE1611" s="1" t="str">
        <f t="shared" ca="1" si="1643"/>
        <v>110-111</v>
      </c>
      <c r="AF1611" t="str">
        <f t="shared" ca="1" si="1620"/>
        <v>Plot 110-111</v>
      </c>
    </row>
    <row r="1612" spans="28:32" x14ac:dyDescent="0.25">
      <c r="AB1612" t="str">
        <f t="shared" ref="AB1612:AC1612" si="1669">AB1591</f>
        <v>Loading Bay</v>
      </c>
      <c r="AC1612" t="str">
        <f t="shared" si="1669"/>
        <v>Lift 4</v>
      </c>
      <c r="AD1612" t="b">
        <f t="shared" ca="1" si="1622"/>
        <v>0</v>
      </c>
      <c r="AE1612" s="1" t="str">
        <f t="shared" ca="1" si="1643"/>
        <v>110-111</v>
      </c>
      <c r="AF1612" t="str">
        <f t="shared" ca="1" si="1620"/>
        <v>Plot 110-111</v>
      </c>
    </row>
    <row r="1613" spans="28:32" x14ac:dyDescent="0.25">
      <c r="AB1613" t="str">
        <f t="shared" ref="AB1613:AC1613" si="1670">AB1592</f>
        <v>Loading Bay</v>
      </c>
      <c r="AC1613" t="str">
        <f t="shared" si="1670"/>
        <v>Lift 5</v>
      </c>
      <c r="AD1613" t="b">
        <f t="shared" ca="1" si="1622"/>
        <v>0</v>
      </c>
      <c r="AE1613" s="1" t="str">
        <f t="shared" ca="1" si="1643"/>
        <v>110-111</v>
      </c>
      <c r="AF1613" t="str">
        <f t="shared" ca="1" si="1620"/>
        <v>Plot 110-111</v>
      </c>
    </row>
    <row r="1614" spans="28:32" x14ac:dyDescent="0.25">
      <c r="AB1614" t="str">
        <f t="shared" ref="AB1614:AC1614" si="1671">AB1593</f>
        <v>Loading Bay</v>
      </c>
      <c r="AC1614" t="str">
        <f t="shared" si="1671"/>
        <v>Lift 6</v>
      </c>
      <c r="AD1614" t="b">
        <f t="shared" ca="1" si="1622"/>
        <v>0</v>
      </c>
      <c r="AE1614" s="1" t="str">
        <f t="shared" ca="1" si="1643"/>
        <v>110-111</v>
      </c>
      <c r="AF1614" t="str">
        <f t="shared" ca="1" si="1620"/>
        <v>Plot 110-111</v>
      </c>
    </row>
    <row r="1615" spans="28:32" x14ac:dyDescent="0.25">
      <c r="AB1615" t="str">
        <f t="shared" ref="AB1615:AC1615" si="1672">AB1594</f>
        <v>Scaffolding Platform</v>
      </c>
      <c r="AC1615" t="str">
        <f t="shared" si="1672"/>
        <v>Ground Floor</v>
      </c>
      <c r="AD1615" t="b">
        <f t="shared" ca="1" si="1622"/>
        <v>1</v>
      </c>
      <c r="AE1615" s="1" t="str">
        <f t="shared" ca="1" si="1643"/>
        <v>110-111</v>
      </c>
      <c r="AF1615" t="str">
        <f t="shared" ca="1" si="1620"/>
        <v>Plot 110-111</v>
      </c>
    </row>
    <row r="1616" spans="28:32" x14ac:dyDescent="0.25">
      <c r="AB1616" t="str">
        <f t="shared" ref="AB1616:AC1616" si="1673">AB1595</f>
        <v>Scaffolding Platform</v>
      </c>
      <c r="AC1616" t="str">
        <f t="shared" si="1673"/>
        <v>First Floor</v>
      </c>
      <c r="AD1616" t="b">
        <f t="shared" ca="1" si="1622"/>
        <v>1</v>
      </c>
      <c r="AE1616" s="1" t="str">
        <f t="shared" ca="1" si="1643"/>
        <v>110-111</v>
      </c>
      <c r="AF1616" t="str">
        <f t="shared" ca="1" si="1620"/>
        <v>Plot 110-111</v>
      </c>
    </row>
    <row r="1617" spans="28:32" x14ac:dyDescent="0.25">
      <c r="AB1617" t="str">
        <f t="shared" ref="AB1617:AC1617" si="1674">AB1596</f>
        <v>Scaffolding Platform</v>
      </c>
      <c r="AC1617" t="str">
        <f t="shared" si="1674"/>
        <v>Second Floor</v>
      </c>
      <c r="AD1617" t="b">
        <f t="shared" ca="1" si="1622"/>
        <v>0</v>
      </c>
      <c r="AE1617" s="1" t="str">
        <f t="shared" ca="1" si="1643"/>
        <v>110-111</v>
      </c>
      <c r="AF1617" t="str">
        <f t="shared" ca="1" si="1620"/>
        <v>Plot 110-111</v>
      </c>
    </row>
    <row r="1618" spans="28:32" x14ac:dyDescent="0.25">
      <c r="AB1618" t="str">
        <f t="shared" ref="AB1618:AC1618" si="1675">AB1597</f>
        <v>Supporting Scaffold</v>
      </c>
      <c r="AC1618" t="str">
        <f t="shared" si="1675"/>
        <v>Ground Floor Prop.</v>
      </c>
      <c r="AD1618" t="str">
        <f t="shared" ca="1" si="1622"/>
        <v>TRUE</v>
      </c>
      <c r="AE1618" s="1" t="str">
        <f t="shared" ca="1" si="1643"/>
        <v>110-111</v>
      </c>
      <c r="AF1618" t="str">
        <f t="shared" ca="1" si="1620"/>
        <v>Plot 110-111</v>
      </c>
    </row>
    <row r="1619" spans="28:32" x14ac:dyDescent="0.25">
      <c r="AB1619" t="str">
        <f t="shared" ref="AB1619:AC1619" si="1676">AB1598</f>
        <v>Supporting Scaffold</v>
      </c>
      <c r="AC1619" t="str">
        <f t="shared" si="1676"/>
        <v>First Floor Prop.</v>
      </c>
      <c r="AD1619" t="str">
        <f t="shared" ca="1" si="1622"/>
        <v>FALSE</v>
      </c>
      <c r="AE1619" s="1" t="str">
        <f t="shared" ca="1" si="1643"/>
        <v>110-111</v>
      </c>
      <c r="AF1619" t="str">
        <f t="shared" ca="1" si="1620"/>
        <v>Plot 110-111</v>
      </c>
    </row>
    <row r="1620" spans="28:32" x14ac:dyDescent="0.25">
      <c r="AB1620" t="str">
        <f t="shared" ref="AB1620:AC1620" si="1677">AB1599</f>
        <v>Supporting Scaffold</v>
      </c>
      <c r="AC1620" t="str">
        <f t="shared" si="1677"/>
        <v>Second Floor Prop.</v>
      </c>
      <c r="AD1620" t="str">
        <f t="shared" ca="1" si="1622"/>
        <v>FALSE</v>
      </c>
      <c r="AE1620" s="1" t="str">
        <f t="shared" ca="1" si="1643"/>
        <v>110-111</v>
      </c>
      <c r="AF1620" t="str">
        <f t="shared" ca="1" si="1620"/>
        <v>Plot 110-111</v>
      </c>
    </row>
    <row r="1621" spans="28:32" x14ac:dyDescent="0.25">
      <c r="AB1621" t="str">
        <f t="shared" ref="AB1621:AC1621" si="1678">AB1600</f>
        <v>External Scaffolding</v>
      </c>
      <c r="AC1621" t="str">
        <f t="shared" si="1678"/>
        <v>Hop-ups</v>
      </c>
      <c r="AD1621" t="b">
        <f t="shared" ca="1" si="1622"/>
        <v>1</v>
      </c>
      <c r="AE1621" s="1" t="str">
        <f t="shared" ca="1" si="1643"/>
        <v>110-111</v>
      </c>
      <c r="AF1621" t="str">
        <f t="shared" ca="1" si="1620"/>
        <v>Plot 110-111</v>
      </c>
    </row>
    <row r="1622" spans="28:32" x14ac:dyDescent="0.25">
      <c r="AB1622" t="str">
        <f t="shared" ref="AB1622:AC1622" si="1679">AB1601</f>
        <v>External Scaffolding</v>
      </c>
      <c r="AC1622" t="str">
        <f t="shared" si="1679"/>
        <v>Adaptions</v>
      </c>
      <c r="AD1622" t="b">
        <f t="shared" ca="1" si="1622"/>
        <v>1</v>
      </c>
      <c r="AE1622" s="1" t="str">
        <f t="shared" ca="1" si="1643"/>
        <v>110-111</v>
      </c>
      <c r="AF1622" t="str">
        <f t="shared" ca="1" si="1620"/>
        <v>Plot 110-111</v>
      </c>
    </row>
    <row r="1623" spans="28:32" x14ac:dyDescent="0.25">
      <c r="AB1623" t="str">
        <f t="shared" ref="AB1623:AC1623" si="1680">AB1602</f>
        <v>External Scaffolding</v>
      </c>
      <c r="AC1623" t="str">
        <f t="shared" si="1680"/>
        <v>Adaption Tower</v>
      </c>
      <c r="AD1623" t="b">
        <f t="shared" ca="1" si="1622"/>
        <v>1</v>
      </c>
      <c r="AE1623" s="1" t="str">
        <f t="shared" ca="1" si="1643"/>
        <v>110-111</v>
      </c>
      <c r="AF1623" t="str">
        <f t="shared" ca="1" si="1620"/>
        <v>Plot 110-111</v>
      </c>
    </row>
    <row r="1624" spans="28:32" x14ac:dyDescent="0.25">
      <c r="AB1624" t="str">
        <f t="shared" ref="AB1624:AC1624" si="1681">AB1603</f>
        <v>External Scaffolding</v>
      </c>
      <c r="AC1624" t="str">
        <f t="shared" si="1681"/>
        <v>Lift 1</v>
      </c>
      <c r="AD1624" t="b">
        <f t="shared" ca="1" si="1622"/>
        <v>1</v>
      </c>
      <c r="AE1624" s="1" t="str">
        <f t="shared" ca="1" si="1643"/>
        <v>112-115</v>
      </c>
      <c r="AF1624" t="str">
        <f t="shared" ca="1" si="1620"/>
        <v>Plot 112-115</v>
      </c>
    </row>
    <row r="1625" spans="28:32" x14ac:dyDescent="0.25">
      <c r="AB1625" t="str">
        <f t="shared" ref="AB1625:AC1625" si="1682">AB1604</f>
        <v>External Scaffolding</v>
      </c>
      <c r="AC1625" t="str">
        <f t="shared" si="1682"/>
        <v>Lift 2</v>
      </c>
      <c r="AD1625" t="b">
        <f t="shared" ca="1" si="1622"/>
        <v>1</v>
      </c>
      <c r="AE1625" s="1" t="str">
        <f t="shared" ca="1" si="1643"/>
        <v>112-115</v>
      </c>
      <c r="AF1625" t="str">
        <f t="shared" ca="1" si="1620"/>
        <v>Plot 112-115</v>
      </c>
    </row>
    <row r="1626" spans="28:32" x14ac:dyDescent="0.25">
      <c r="AB1626" t="str">
        <f t="shared" ref="AB1626:AC1626" si="1683">AB1605</f>
        <v>External Scaffolding</v>
      </c>
      <c r="AC1626" t="str">
        <f t="shared" si="1683"/>
        <v>Lift 3</v>
      </c>
      <c r="AD1626" t="b">
        <f t="shared" ca="1" si="1622"/>
        <v>1</v>
      </c>
      <c r="AE1626" s="1" t="str">
        <f t="shared" ca="1" si="1643"/>
        <v>112-115</v>
      </c>
      <c r="AF1626" t="str">
        <f t="shared" ca="1" si="1620"/>
        <v>Plot 112-115</v>
      </c>
    </row>
    <row r="1627" spans="28:32" x14ac:dyDescent="0.25">
      <c r="AB1627" t="str">
        <f t="shared" ref="AB1627:AC1627" si="1684">AB1606</f>
        <v>External Scaffolding</v>
      </c>
      <c r="AC1627" t="str">
        <f t="shared" si="1684"/>
        <v>Lift 4</v>
      </c>
      <c r="AD1627" t="b">
        <f t="shared" ca="1" si="1622"/>
        <v>0</v>
      </c>
      <c r="AE1627" s="1" t="str">
        <f t="shared" ca="1" si="1643"/>
        <v>112-115</v>
      </c>
      <c r="AF1627" t="str">
        <f t="shared" ca="1" si="1620"/>
        <v>Plot 112-115</v>
      </c>
    </row>
    <row r="1628" spans="28:32" x14ac:dyDescent="0.25">
      <c r="AB1628" t="str">
        <f t="shared" ref="AB1628:AC1628" si="1685">AB1607</f>
        <v>External Scaffolding</v>
      </c>
      <c r="AC1628" t="str">
        <f t="shared" si="1685"/>
        <v>Lift 5</v>
      </c>
      <c r="AD1628" t="b">
        <f t="shared" ca="1" si="1622"/>
        <v>0</v>
      </c>
      <c r="AE1628" s="1" t="str">
        <f t="shared" ca="1" si="1643"/>
        <v>112-115</v>
      </c>
      <c r="AF1628" t="str">
        <f t="shared" ca="1" si="1620"/>
        <v>Plot 112-115</v>
      </c>
    </row>
    <row r="1629" spans="28:32" x14ac:dyDescent="0.25">
      <c r="AB1629" t="str">
        <f t="shared" ref="AB1629:AC1629" si="1686">AB1608</f>
        <v>External Scaffolding</v>
      </c>
      <c r="AC1629" t="str">
        <f t="shared" si="1686"/>
        <v>Lift 6</v>
      </c>
      <c r="AD1629" t="b">
        <f t="shared" ca="1" si="1622"/>
        <v>0</v>
      </c>
      <c r="AE1629" s="1" t="str">
        <f t="shared" ca="1" si="1643"/>
        <v>112-115</v>
      </c>
      <c r="AF1629" t="str">
        <f t="shared" ref="AF1629:AF1692" ca="1" si="1687">IF(LEFT(AE1629,1)="G",AE1629,"Plot "&amp;AE1629)</f>
        <v>Plot 112-115</v>
      </c>
    </row>
    <row r="1630" spans="28:32" x14ac:dyDescent="0.25">
      <c r="AB1630" t="str">
        <f t="shared" ref="AB1630:AC1630" si="1688">AB1609</f>
        <v>Loading Bay</v>
      </c>
      <c r="AC1630" t="str">
        <f t="shared" si="1688"/>
        <v>Lift 1</v>
      </c>
      <c r="AD1630" t="b">
        <f t="shared" ref="AD1630:AD1693" ca="1" si="1689">INDEX($AC$1:$JH$22,MATCH(AC1630,$AC$1:$AC$22,0),MATCH(AE1630,$AC$1:$JH$1,0))</f>
        <v>1</v>
      </c>
      <c r="AE1630" s="1" t="str">
        <f t="shared" ca="1" si="1643"/>
        <v>112-115</v>
      </c>
      <c r="AF1630" t="str">
        <f t="shared" ca="1" si="1687"/>
        <v>Plot 112-115</v>
      </c>
    </row>
    <row r="1631" spans="28:32" x14ac:dyDescent="0.25">
      <c r="AB1631" t="str">
        <f t="shared" ref="AB1631:AC1631" si="1690">AB1610</f>
        <v>Loading Bay</v>
      </c>
      <c r="AC1631" t="str">
        <f t="shared" si="1690"/>
        <v>Lift 2</v>
      </c>
      <c r="AD1631" t="b">
        <f t="shared" ca="1" si="1689"/>
        <v>1</v>
      </c>
      <c r="AE1631" s="1" t="str">
        <f t="shared" ca="1" si="1643"/>
        <v>112-115</v>
      </c>
      <c r="AF1631" t="str">
        <f t="shared" ca="1" si="1687"/>
        <v>Plot 112-115</v>
      </c>
    </row>
    <row r="1632" spans="28:32" x14ac:dyDescent="0.25">
      <c r="AB1632" t="str">
        <f t="shared" ref="AB1632:AC1632" si="1691">AB1611</f>
        <v>Loading Bay</v>
      </c>
      <c r="AC1632" t="str">
        <f t="shared" si="1691"/>
        <v>Lift 3</v>
      </c>
      <c r="AD1632" t="b">
        <f t="shared" ca="1" si="1689"/>
        <v>1</v>
      </c>
      <c r="AE1632" s="1" t="str">
        <f t="shared" ca="1" si="1643"/>
        <v>112-115</v>
      </c>
      <c r="AF1632" t="str">
        <f t="shared" ca="1" si="1687"/>
        <v>Plot 112-115</v>
      </c>
    </row>
    <row r="1633" spans="28:32" x14ac:dyDescent="0.25">
      <c r="AB1633" t="str">
        <f t="shared" ref="AB1633:AC1633" si="1692">AB1612</f>
        <v>Loading Bay</v>
      </c>
      <c r="AC1633" t="str">
        <f t="shared" si="1692"/>
        <v>Lift 4</v>
      </c>
      <c r="AD1633" t="b">
        <f t="shared" ca="1" si="1689"/>
        <v>0</v>
      </c>
      <c r="AE1633" s="1" t="str">
        <f t="shared" ca="1" si="1643"/>
        <v>112-115</v>
      </c>
      <c r="AF1633" t="str">
        <f t="shared" ca="1" si="1687"/>
        <v>Plot 112-115</v>
      </c>
    </row>
    <row r="1634" spans="28:32" x14ac:dyDescent="0.25">
      <c r="AB1634" t="str">
        <f t="shared" ref="AB1634:AC1634" si="1693">AB1613</f>
        <v>Loading Bay</v>
      </c>
      <c r="AC1634" t="str">
        <f t="shared" si="1693"/>
        <v>Lift 5</v>
      </c>
      <c r="AD1634" t="b">
        <f t="shared" ca="1" si="1689"/>
        <v>0</v>
      </c>
      <c r="AE1634" s="1" t="str">
        <f t="shared" ca="1" si="1643"/>
        <v>112-115</v>
      </c>
      <c r="AF1634" t="str">
        <f t="shared" ca="1" si="1687"/>
        <v>Plot 112-115</v>
      </c>
    </row>
    <row r="1635" spans="28:32" x14ac:dyDescent="0.25">
      <c r="AB1635" t="str">
        <f t="shared" ref="AB1635:AC1635" si="1694">AB1614</f>
        <v>Loading Bay</v>
      </c>
      <c r="AC1635" t="str">
        <f t="shared" si="1694"/>
        <v>Lift 6</v>
      </c>
      <c r="AD1635" t="b">
        <f t="shared" ca="1" si="1689"/>
        <v>0</v>
      </c>
      <c r="AE1635" s="1" t="str">
        <f t="shared" ca="1" si="1643"/>
        <v>112-115</v>
      </c>
      <c r="AF1635" t="str">
        <f t="shared" ca="1" si="1687"/>
        <v>Plot 112-115</v>
      </c>
    </row>
    <row r="1636" spans="28:32" x14ac:dyDescent="0.25">
      <c r="AB1636" t="str">
        <f t="shared" ref="AB1636:AC1636" si="1695">AB1615</f>
        <v>Scaffolding Platform</v>
      </c>
      <c r="AC1636" t="str">
        <f t="shared" si="1695"/>
        <v>Ground Floor</v>
      </c>
      <c r="AD1636" t="b">
        <f t="shared" ca="1" si="1689"/>
        <v>1</v>
      </c>
      <c r="AE1636" s="1" t="str">
        <f t="shared" ca="1" si="1643"/>
        <v>112-115</v>
      </c>
      <c r="AF1636" t="str">
        <f t="shared" ca="1" si="1687"/>
        <v>Plot 112-115</v>
      </c>
    </row>
    <row r="1637" spans="28:32" x14ac:dyDescent="0.25">
      <c r="AB1637" t="str">
        <f t="shared" ref="AB1637:AC1637" si="1696">AB1616</f>
        <v>Scaffolding Platform</v>
      </c>
      <c r="AC1637" t="str">
        <f t="shared" si="1696"/>
        <v>First Floor</v>
      </c>
      <c r="AD1637" t="b">
        <f t="shared" ca="1" si="1689"/>
        <v>1</v>
      </c>
      <c r="AE1637" s="1" t="str">
        <f t="shared" ca="1" si="1643"/>
        <v>112-115</v>
      </c>
      <c r="AF1637" t="str">
        <f t="shared" ca="1" si="1687"/>
        <v>Plot 112-115</v>
      </c>
    </row>
    <row r="1638" spans="28:32" x14ac:dyDescent="0.25">
      <c r="AB1638" t="str">
        <f t="shared" ref="AB1638:AC1638" si="1697">AB1617</f>
        <v>Scaffolding Platform</v>
      </c>
      <c r="AC1638" t="str">
        <f t="shared" si="1697"/>
        <v>Second Floor</v>
      </c>
      <c r="AD1638" t="b">
        <f t="shared" ca="1" si="1689"/>
        <v>0</v>
      </c>
      <c r="AE1638" s="1" t="str">
        <f t="shared" ca="1" si="1643"/>
        <v>112-115</v>
      </c>
      <c r="AF1638" t="str">
        <f t="shared" ca="1" si="1687"/>
        <v>Plot 112-115</v>
      </c>
    </row>
    <row r="1639" spans="28:32" x14ac:dyDescent="0.25">
      <c r="AB1639" t="str">
        <f t="shared" ref="AB1639:AC1639" si="1698">AB1618</f>
        <v>Supporting Scaffold</v>
      </c>
      <c r="AC1639" t="str">
        <f t="shared" si="1698"/>
        <v>Ground Floor Prop.</v>
      </c>
      <c r="AD1639" t="str">
        <f t="shared" ca="1" si="1689"/>
        <v>TRUE</v>
      </c>
      <c r="AE1639" s="1" t="str">
        <f t="shared" ca="1" si="1643"/>
        <v>112-115</v>
      </c>
      <c r="AF1639" t="str">
        <f t="shared" ca="1" si="1687"/>
        <v>Plot 112-115</v>
      </c>
    </row>
    <row r="1640" spans="28:32" x14ac:dyDescent="0.25">
      <c r="AB1640" t="str">
        <f t="shared" ref="AB1640:AC1640" si="1699">AB1619</f>
        <v>Supporting Scaffold</v>
      </c>
      <c r="AC1640" t="str">
        <f t="shared" si="1699"/>
        <v>First Floor Prop.</v>
      </c>
      <c r="AD1640" t="str">
        <f t="shared" ca="1" si="1689"/>
        <v>FALSE</v>
      </c>
      <c r="AE1640" s="1" t="str">
        <f t="shared" ca="1" si="1643"/>
        <v>112-115</v>
      </c>
      <c r="AF1640" t="str">
        <f t="shared" ca="1" si="1687"/>
        <v>Plot 112-115</v>
      </c>
    </row>
    <row r="1641" spans="28:32" x14ac:dyDescent="0.25">
      <c r="AB1641" t="str">
        <f t="shared" ref="AB1641:AC1641" si="1700">AB1620</f>
        <v>Supporting Scaffold</v>
      </c>
      <c r="AC1641" t="str">
        <f t="shared" si="1700"/>
        <v>Second Floor Prop.</v>
      </c>
      <c r="AD1641" t="str">
        <f t="shared" ca="1" si="1689"/>
        <v>FALSE</v>
      </c>
      <c r="AE1641" s="1" t="str">
        <f t="shared" ca="1" si="1643"/>
        <v>112-115</v>
      </c>
      <c r="AF1641" t="str">
        <f t="shared" ca="1" si="1687"/>
        <v>Plot 112-115</v>
      </c>
    </row>
    <row r="1642" spans="28:32" x14ac:dyDescent="0.25">
      <c r="AB1642" t="str">
        <f t="shared" ref="AB1642:AC1642" si="1701">AB1621</f>
        <v>External Scaffolding</v>
      </c>
      <c r="AC1642" t="str">
        <f t="shared" si="1701"/>
        <v>Hop-ups</v>
      </c>
      <c r="AD1642" t="b">
        <f t="shared" ca="1" si="1689"/>
        <v>1</v>
      </c>
      <c r="AE1642" s="1" t="str">
        <f t="shared" ca="1" si="1643"/>
        <v>112-115</v>
      </c>
      <c r="AF1642" t="str">
        <f t="shared" ca="1" si="1687"/>
        <v>Plot 112-115</v>
      </c>
    </row>
    <row r="1643" spans="28:32" x14ac:dyDescent="0.25">
      <c r="AB1643" t="str">
        <f t="shared" ref="AB1643:AC1643" si="1702">AB1622</f>
        <v>External Scaffolding</v>
      </c>
      <c r="AC1643" t="str">
        <f t="shared" si="1702"/>
        <v>Adaptions</v>
      </c>
      <c r="AD1643" t="b">
        <f t="shared" ca="1" si="1689"/>
        <v>1</v>
      </c>
      <c r="AE1643" s="1" t="str">
        <f t="shared" ca="1" si="1643"/>
        <v>112-115</v>
      </c>
      <c r="AF1643" t="str">
        <f t="shared" ca="1" si="1687"/>
        <v>Plot 112-115</v>
      </c>
    </row>
    <row r="1644" spans="28:32" x14ac:dyDescent="0.25">
      <c r="AB1644" t="str">
        <f t="shared" ref="AB1644:AC1644" si="1703">AB1623</f>
        <v>External Scaffolding</v>
      </c>
      <c r="AC1644" t="str">
        <f t="shared" si="1703"/>
        <v>Adaption Tower</v>
      </c>
      <c r="AD1644" t="b">
        <f t="shared" ca="1" si="1689"/>
        <v>1</v>
      </c>
      <c r="AE1644" s="1" t="str">
        <f t="shared" ca="1" si="1643"/>
        <v>112-115</v>
      </c>
      <c r="AF1644" t="str">
        <f t="shared" ca="1" si="1687"/>
        <v>Plot 112-115</v>
      </c>
    </row>
    <row r="1645" spans="28:32" x14ac:dyDescent="0.25">
      <c r="AB1645" t="str">
        <f t="shared" ref="AB1645:AC1645" si="1704">AB1624</f>
        <v>External Scaffolding</v>
      </c>
      <c r="AC1645" t="str">
        <f t="shared" si="1704"/>
        <v>Lift 1</v>
      </c>
      <c r="AD1645" t="b">
        <f t="shared" ca="1" si="1689"/>
        <v>1</v>
      </c>
      <c r="AE1645" s="1" t="str">
        <f t="shared" ca="1" si="1643"/>
        <v>116-117</v>
      </c>
      <c r="AF1645" t="str">
        <f t="shared" ca="1" si="1687"/>
        <v>Plot 116-117</v>
      </c>
    </row>
    <row r="1646" spans="28:32" x14ac:dyDescent="0.25">
      <c r="AB1646" t="str">
        <f t="shared" ref="AB1646:AC1646" si="1705">AB1625</f>
        <v>External Scaffolding</v>
      </c>
      <c r="AC1646" t="str">
        <f t="shared" si="1705"/>
        <v>Lift 2</v>
      </c>
      <c r="AD1646" t="b">
        <f t="shared" ca="1" si="1689"/>
        <v>1</v>
      </c>
      <c r="AE1646" s="1" t="str">
        <f t="shared" ca="1" si="1643"/>
        <v>116-117</v>
      </c>
      <c r="AF1646" t="str">
        <f t="shared" ca="1" si="1687"/>
        <v>Plot 116-117</v>
      </c>
    </row>
    <row r="1647" spans="28:32" x14ac:dyDescent="0.25">
      <c r="AB1647" t="str">
        <f t="shared" ref="AB1647:AC1647" si="1706">AB1626</f>
        <v>External Scaffolding</v>
      </c>
      <c r="AC1647" t="str">
        <f t="shared" si="1706"/>
        <v>Lift 3</v>
      </c>
      <c r="AD1647" t="b">
        <f t="shared" ca="1" si="1689"/>
        <v>1</v>
      </c>
      <c r="AE1647" s="1" t="str">
        <f t="shared" ca="1" si="1643"/>
        <v>116-117</v>
      </c>
      <c r="AF1647" t="str">
        <f t="shared" ca="1" si="1687"/>
        <v>Plot 116-117</v>
      </c>
    </row>
    <row r="1648" spans="28:32" x14ac:dyDescent="0.25">
      <c r="AB1648" t="str">
        <f t="shared" ref="AB1648:AC1648" si="1707">AB1627</f>
        <v>External Scaffolding</v>
      </c>
      <c r="AC1648" t="str">
        <f t="shared" si="1707"/>
        <v>Lift 4</v>
      </c>
      <c r="AD1648" t="b">
        <f t="shared" ca="1" si="1689"/>
        <v>0</v>
      </c>
      <c r="AE1648" s="1" t="str">
        <f t="shared" ca="1" si="1643"/>
        <v>116-117</v>
      </c>
      <c r="AF1648" t="str">
        <f t="shared" ca="1" si="1687"/>
        <v>Plot 116-117</v>
      </c>
    </row>
    <row r="1649" spans="28:32" x14ac:dyDescent="0.25">
      <c r="AB1649" t="str">
        <f t="shared" ref="AB1649:AC1649" si="1708">AB1628</f>
        <v>External Scaffolding</v>
      </c>
      <c r="AC1649" t="str">
        <f t="shared" si="1708"/>
        <v>Lift 5</v>
      </c>
      <c r="AD1649" t="b">
        <f t="shared" ca="1" si="1689"/>
        <v>0</v>
      </c>
      <c r="AE1649" s="1" t="str">
        <f t="shared" ca="1" si="1643"/>
        <v>116-117</v>
      </c>
      <c r="AF1649" t="str">
        <f t="shared" ca="1" si="1687"/>
        <v>Plot 116-117</v>
      </c>
    </row>
    <row r="1650" spans="28:32" x14ac:dyDescent="0.25">
      <c r="AB1650" t="str">
        <f t="shared" ref="AB1650:AC1650" si="1709">AB1629</f>
        <v>External Scaffolding</v>
      </c>
      <c r="AC1650" t="str">
        <f t="shared" si="1709"/>
        <v>Lift 6</v>
      </c>
      <c r="AD1650" t="b">
        <f t="shared" ca="1" si="1689"/>
        <v>0</v>
      </c>
      <c r="AE1650" s="1" t="str">
        <f t="shared" ref="AE1650:AE1713" ca="1" si="1710">OFFSET($AD$1,0,FLOOR(ROW(B1622)/21,1))</f>
        <v>116-117</v>
      </c>
      <c r="AF1650" t="str">
        <f t="shared" ca="1" si="1687"/>
        <v>Plot 116-117</v>
      </c>
    </row>
    <row r="1651" spans="28:32" x14ac:dyDescent="0.25">
      <c r="AB1651" t="str">
        <f t="shared" ref="AB1651:AC1651" si="1711">AB1630</f>
        <v>Loading Bay</v>
      </c>
      <c r="AC1651" t="str">
        <f t="shared" si="1711"/>
        <v>Lift 1</v>
      </c>
      <c r="AD1651" t="b">
        <f t="shared" ca="1" si="1689"/>
        <v>1</v>
      </c>
      <c r="AE1651" s="1" t="str">
        <f t="shared" ca="1" si="1710"/>
        <v>116-117</v>
      </c>
      <c r="AF1651" t="str">
        <f t="shared" ca="1" si="1687"/>
        <v>Plot 116-117</v>
      </c>
    </row>
    <row r="1652" spans="28:32" x14ac:dyDescent="0.25">
      <c r="AB1652" t="str">
        <f t="shared" ref="AB1652:AC1652" si="1712">AB1631</f>
        <v>Loading Bay</v>
      </c>
      <c r="AC1652" t="str">
        <f t="shared" si="1712"/>
        <v>Lift 2</v>
      </c>
      <c r="AD1652" t="b">
        <f t="shared" ca="1" si="1689"/>
        <v>1</v>
      </c>
      <c r="AE1652" s="1" t="str">
        <f t="shared" ca="1" si="1710"/>
        <v>116-117</v>
      </c>
      <c r="AF1652" t="str">
        <f t="shared" ca="1" si="1687"/>
        <v>Plot 116-117</v>
      </c>
    </row>
    <row r="1653" spans="28:32" x14ac:dyDescent="0.25">
      <c r="AB1653" t="str">
        <f t="shared" ref="AB1653:AC1653" si="1713">AB1632</f>
        <v>Loading Bay</v>
      </c>
      <c r="AC1653" t="str">
        <f t="shared" si="1713"/>
        <v>Lift 3</v>
      </c>
      <c r="AD1653" t="b">
        <f t="shared" ca="1" si="1689"/>
        <v>1</v>
      </c>
      <c r="AE1653" s="1" t="str">
        <f t="shared" ca="1" si="1710"/>
        <v>116-117</v>
      </c>
      <c r="AF1653" t="str">
        <f t="shared" ca="1" si="1687"/>
        <v>Plot 116-117</v>
      </c>
    </row>
    <row r="1654" spans="28:32" x14ac:dyDescent="0.25">
      <c r="AB1654" t="str">
        <f t="shared" ref="AB1654:AC1654" si="1714">AB1633</f>
        <v>Loading Bay</v>
      </c>
      <c r="AC1654" t="str">
        <f t="shared" si="1714"/>
        <v>Lift 4</v>
      </c>
      <c r="AD1654" t="b">
        <f t="shared" ca="1" si="1689"/>
        <v>0</v>
      </c>
      <c r="AE1654" s="1" t="str">
        <f t="shared" ca="1" si="1710"/>
        <v>116-117</v>
      </c>
      <c r="AF1654" t="str">
        <f t="shared" ca="1" si="1687"/>
        <v>Plot 116-117</v>
      </c>
    </row>
    <row r="1655" spans="28:32" x14ac:dyDescent="0.25">
      <c r="AB1655" t="str">
        <f t="shared" ref="AB1655:AC1655" si="1715">AB1634</f>
        <v>Loading Bay</v>
      </c>
      <c r="AC1655" t="str">
        <f t="shared" si="1715"/>
        <v>Lift 5</v>
      </c>
      <c r="AD1655" t="b">
        <f t="shared" ca="1" si="1689"/>
        <v>0</v>
      </c>
      <c r="AE1655" s="1" t="str">
        <f t="shared" ca="1" si="1710"/>
        <v>116-117</v>
      </c>
      <c r="AF1655" t="str">
        <f t="shared" ca="1" si="1687"/>
        <v>Plot 116-117</v>
      </c>
    </row>
    <row r="1656" spans="28:32" x14ac:dyDescent="0.25">
      <c r="AB1656" t="str">
        <f t="shared" ref="AB1656:AC1656" si="1716">AB1635</f>
        <v>Loading Bay</v>
      </c>
      <c r="AC1656" t="str">
        <f t="shared" si="1716"/>
        <v>Lift 6</v>
      </c>
      <c r="AD1656" t="b">
        <f t="shared" ca="1" si="1689"/>
        <v>0</v>
      </c>
      <c r="AE1656" s="1" t="str">
        <f t="shared" ca="1" si="1710"/>
        <v>116-117</v>
      </c>
      <c r="AF1656" t="str">
        <f t="shared" ca="1" si="1687"/>
        <v>Plot 116-117</v>
      </c>
    </row>
    <row r="1657" spans="28:32" x14ac:dyDescent="0.25">
      <c r="AB1657" t="str">
        <f t="shared" ref="AB1657:AC1657" si="1717">AB1636</f>
        <v>Scaffolding Platform</v>
      </c>
      <c r="AC1657" t="str">
        <f t="shared" si="1717"/>
        <v>Ground Floor</v>
      </c>
      <c r="AD1657" t="b">
        <f t="shared" ca="1" si="1689"/>
        <v>1</v>
      </c>
      <c r="AE1657" s="1" t="str">
        <f t="shared" ca="1" si="1710"/>
        <v>116-117</v>
      </c>
      <c r="AF1657" t="str">
        <f t="shared" ca="1" si="1687"/>
        <v>Plot 116-117</v>
      </c>
    </row>
    <row r="1658" spans="28:32" x14ac:dyDescent="0.25">
      <c r="AB1658" t="str">
        <f t="shared" ref="AB1658:AC1658" si="1718">AB1637</f>
        <v>Scaffolding Platform</v>
      </c>
      <c r="AC1658" t="str">
        <f t="shared" si="1718"/>
        <v>First Floor</v>
      </c>
      <c r="AD1658" t="b">
        <f t="shared" ca="1" si="1689"/>
        <v>1</v>
      </c>
      <c r="AE1658" s="1" t="str">
        <f t="shared" ca="1" si="1710"/>
        <v>116-117</v>
      </c>
      <c r="AF1658" t="str">
        <f t="shared" ca="1" si="1687"/>
        <v>Plot 116-117</v>
      </c>
    </row>
    <row r="1659" spans="28:32" x14ac:dyDescent="0.25">
      <c r="AB1659" t="str">
        <f t="shared" ref="AB1659:AC1659" si="1719">AB1638</f>
        <v>Scaffolding Platform</v>
      </c>
      <c r="AC1659" t="str">
        <f t="shared" si="1719"/>
        <v>Second Floor</v>
      </c>
      <c r="AD1659" t="b">
        <f t="shared" ca="1" si="1689"/>
        <v>0</v>
      </c>
      <c r="AE1659" s="1" t="str">
        <f t="shared" ca="1" si="1710"/>
        <v>116-117</v>
      </c>
      <c r="AF1659" t="str">
        <f t="shared" ca="1" si="1687"/>
        <v>Plot 116-117</v>
      </c>
    </row>
    <row r="1660" spans="28:32" x14ac:dyDescent="0.25">
      <c r="AB1660" t="str">
        <f t="shared" ref="AB1660:AC1660" si="1720">AB1639</f>
        <v>Supporting Scaffold</v>
      </c>
      <c r="AC1660" t="str">
        <f t="shared" si="1720"/>
        <v>Ground Floor Prop.</v>
      </c>
      <c r="AD1660" t="str">
        <f t="shared" ca="1" si="1689"/>
        <v>TRUE</v>
      </c>
      <c r="AE1660" s="1" t="str">
        <f t="shared" ca="1" si="1710"/>
        <v>116-117</v>
      </c>
      <c r="AF1660" t="str">
        <f t="shared" ca="1" si="1687"/>
        <v>Plot 116-117</v>
      </c>
    </row>
    <row r="1661" spans="28:32" x14ac:dyDescent="0.25">
      <c r="AB1661" t="str">
        <f t="shared" ref="AB1661:AC1661" si="1721">AB1640</f>
        <v>Supporting Scaffold</v>
      </c>
      <c r="AC1661" t="str">
        <f t="shared" si="1721"/>
        <v>First Floor Prop.</v>
      </c>
      <c r="AD1661" t="str">
        <f t="shared" ca="1" si="1689"/>
        <v>FALSE</v>
      </c>
      <c r="AE1661" s="1" t="str">
        <f t="shared" ca="1" si="1710"/>
        <v>116-117</v>
      </c>
      <c r="AF1661" t="str">
        <f t="shared" ca="1" si="1687"/>
        <v>Plot 116-117</v>
      </c>
    </row>
    <row r="1662" spans="28:32" x14ac:dyDescent="0.25">
      <c r="AB1662" t="str">
        <f t="shared" ref="AB1662:AC1662" si="1722">AB1641</f>
        <v>Supporting Scaffold</v>
      </c>
      <c r="AC1662" t="str">
        <f t="shared" si="1722"/>
        <v>Second Floor Prop.</v>
      </c>
      <c r="AD1662" t="str">
        <f t="shared" ca="1" si="1689"/>
        <v>FALSE</v>
      </c>
      <c r="AE1662" s="1" t="str">
        <f t="shared" ca="1" si="1710"/>
        <v>116-117</v>
      </c>
      <c r="AF1662" t="str">
        <f t="shared" ca="1" si="1687"/>
        <v>Plot 116-117</v>
      </c>
    </row>
    <row r="1663" spans="28:32" x14ac:dyDescent="0.25">
      <c r="AB1663" t="str">
        <f t="shared" ref="AB1663:AC1663" si="1723">AB1642</f>
        <v>External Scaffolding</v>
      </c>
      <c r="AC1663" t="str">
        <f t="shared" si="1723"/>
        <v>Hop-ups</v>
      </c>
      <c r="AD1663" t="b">
        <f t="shared" ca="1" si="1689"/>
        <v>1</v>
      </c>
      <c r="AE1663" s="1" t="str">
        <f t="shared" ca="1" si="1710"/>
        <v>116-117</v>
      </c>
      <c r="AF1663" t="str">
        <f t="shared" ca="1" si="1687"/>
        <v>Plot 116-117</v>
      </c>
    </row>
    <row r="1664" spans="28:32" x14ac:dyDescent="0.25">
      <c r="AB1664" t="str">
        <f t="shared" ref="AB1664:AC1664" si="1724">AB1643</f>
        <v>External Scaffolding</v>
      </c>
      <c r="AC1664" t="str">
        <f t="shared" si="1724"/>
        <v>Adaptions</v>
      </c>
      <c r="AD1664" t="b">
        <f t="shared" ca="1" si="1689"/>
        <v>1</v>
      </c>
      <c r="AE1664" s="1" t="str">
        <f t="shared" ca="1" si="1710"/>
        <v>116-117</v>
      </c>
      <c r="AF1664" t="str">
        <f t="shared" ca="1" si="1687"/>
        <v>Plot 116-117</v>
      </c>
    </row>
    <row r="1665" spans="28:32" x14ac:dyDescent="0.25">
      <c r="AB1665" t="str">
        <f t="shared" ref="AB1665:AC1665" si="1725">AB1644</f>
        <v>External Scaffolding</v>
      </c>
      <c r="AC1665" t="str">
        <f t="shared" si="1725"/>
        <v>Adaption Tower</v>
      </c>
      <c r="AD1665" t="b">
        <f t="shared" ca="1" si="1689"/>
        <v>1</v>
      </c>
      <c r="AE1665" s="1" t="str">
        <f t="shared" ca="1" si="1710"/>
        <v>116-117</v>
      </c>
      <c r="AF1665" t="str">
        <f t="shared" ca="1" si="1687"/>
        <v>Plot 116-117</v>
      </c>
    </row>
    <row r="1666" spans="28:32" x14ac:dyDescent="0.25">
      <c r="AB1666" t="str">
        <f t="shared" ref="AB1666:AC1666" si="1726">AB1645</f>
        <v>External Scaffolding</v>
      </c>
      <c r="AC1666" t="str">
        <f t="shared" si="1726"/>
        <v>Lift 1</v>
      </c>
      <c r="AD1666" t="b">
        <f t="shared" ca="1" si="1689"/>
        <v>1</v>
      </c>
      <c r="AE1666" s="1" t="str">
        <f t="shared" ca="1" si="1710"/>
        <v>118-119</v>
      </c>
      <c r="AF1666" t="str">
        <f t="shared" ca="1" si="1687"/>
        <v>Plot 118-119</v>
      </c>
    </row>
    <row r="1667" spans="28:32" x14ac:dyDescent="0.25">
      <c r="AB1667" t="str">
        <f t="shared" ref="AB1667:AC1667" si="1727">AB1646</f>
        <v>External Scaffolding</v>
      </c>
      <c r="AC1667" t="str">
        <f t="shared" si="1727"/>
        <v>Lift 2</v>
      </c>
      <c r="AD1667" t="b">
        <f t="shared" ca="1" si="1689"/>
        <v>1</v>
      </c>
      <c r="AE1667" s="1" t="str">
        <f t="shared" ca="1" si="1710"/>
        <v>118-119</v>
      </c>
      <c r="AF1667" t="str">
        <f t="shared" ca="1" si="1687"/>
        <v>Plot 118-119</v>
      </c>
    </row>
    <row r="1668" spans="28:32" x14ac:dyDescent="0.25">
      <c r="AB1668" t="str">
        <f t="shared" ref="AB1668:AC1668" si="1728">AB1647</f>
        <v>External Scaffolding</v>
      </c>
      <c r="AC1668" t="str">
        <f t="shared" si="1728"/>
        <v>Lift 3</v>
      </c>
      <c r="AD1668" t="b">
        <f t="shared" ca="1" si="1689"/>
        <v>1</v>
      </c>
      <c r="AE1668" s="1" t="str">
        <f t="shared" ca="1" si="1710"/>
        <v>118-119</v>
      </c>
      <c r="AF1668" t="str">
        <f t="shared" ca="1" si="1687"/>
        <v>Plot 118-119</v>
      </c>
    </row>
    <row r="1669" spans="28:32" x14ac:dyDescent="0.25">
      <c r="AB1669" t="str">
        <f t="shared" ref="AB1669:AC1669" si="1729">AB1648</f>
        <v>External Scaffolding</v>
      </c>
      <c r="AC1669" t="str">
        <f t="shared" si="1729"/>
        <v>Lift 4</v>
      </c>
      <c r="AD1669" t="b">
        <f t="shared" ca="1" si="1689"/>
        <v>0</v>
      </c>
      <c r="AE1669" s="1" t="str">
        <f t="shared" ca="1" si="1710"/>
        <v>118-119</v>
      </c>
      <c r="AF1669" t="str">
        <f t="shared" ca="1" si="1687"/>
        <v>Plot 118-119</v>
      </c>
    </row>
    <row r="1670" spans="28:32" x14ac:dyDescent="0.25">
      <c r="AB1670" t="str">
        <f t="shared" ref="AB1670:AC1670" si="1730">AB1649</f>
        <v>External Scaffolding</v>
      </c>
      <c r="AC1670" t="str">
        <f t="shared" si="1730"/>
        <v>Lift 5</v>
      </c>
      <c r="AD1670" t="b">
        <f t="shared" ca="1" si="1689"/>
        <v>0</v>
      </c>
      <c r="AE1670" s="1" t="str">
        <f t="shared" ca="1" si="1710"/>
        <v>118-119</v>
      </c>
      <c r="AF1670" t="str">
        <f t="shared" ca="1" si="1687"/>
        <v>Plot 118-119</v>
      </c>
    </row>
    <row r="1671" spans="28:32" x14ac:dyDescent="0.25">
      <c r="AB1671" t="str">
        <f t="shared" ref="AB1671:AC1671" si="1731">AB1650</f>
        <v>External Scaffolding</v>
      </c>
      <c r="AC1671" t="str">
        <f t="shared" si="1731"/>
        <v>Lift 6</v>
      </c>
      <c r="AD1671" t="b">
        <f t="shared" ca="1" si="1689"/>
        <v>0</v>
      </c>
      <c r="AE1671" s="1" t="str">
        <f t="shared" ca="1" si="1710"/>
        <v>118-119</v>
      </c>
      <c r="AF1671" t="str">
        <f t="shared" ca="1" si="1687"/>
        <v>Plot 118-119</v>
      </c>
    </row>
    <row r="1672" spans="28:32" x14ac:dyDescent="0.25">
      <c r="AB1672" t="str">
        <f t="shared" ref="AB1672:AC1672" si="1732">AB1651</f>
        <v>Loading Bay</v>
      </c>
      <c r="AC1672" t="str">
        <f t="shared" si="1732"/>
        <v>Lift 1</v>
      </c>
      <c r="AD1672" t="b">
        <f t="shared" ca="1" si="1689"/>
        <v>1</v>
      </c>
      <c r="AE1672" s="1" t="str">
        <f t="shared" ca="1" si="1710"/>
        <v>118-119</v>
      </c>
      <c r="AF1672" t="str">
        <f t="shared" ca="1" si="1687"/>
        <v>Plot 118-119</v>
      </c>
    </row>
    <row r="1673" spans="28:32" x14ac:dyDescent="0.25">
      <c r="AB1673" t="str">
        <f t="shared" ref="AB1673:AC1673" si="1733">AB1652</f>
        <v>Loading Bay</v>
      </c>
      <c r="AC1673" t="str">
        <f t="shared" si="1733"/>
        <v>Lift 2</v>
      </c>
      <c r="AD1673" t="b">
        <f t="shared" ca="1" si="1689"/>
        <v>1</v>
      </c>
      <c r="AE1673" s="1" t="str">
        <f t="shared" ca="1" si="1710"/>
        <v>118-119</v>
      </c>
      <c r="AF1673" t="str">
        <f t="shared" ca="1" si="1687"/>
        <v>Plot 118-119</v>
      </c>
    </row>
    <row r="1674" spans="28:32" x14ac:dyDescent="0.25">
      <c r="AB1674" t="str">
        <f t="shared" ref="AB1674:AC1674" si="1734">AB1653</f>
        <v>Loading Bay</v>
      </c>
      <c r="AC1674" t="str">
        <f t="shared" si="1734"/>
        <v>Lift 3</v>
      </c>
      <c r="AD1674" t="b">
        <f t="shared" ca="1" si="1689"/>
        <v>1</v>
      </c>
      <c r="AE1674" s="1" t="str">
        <f t="shared" ca="1" si="1710"/>
        <v>118-119</v>
      </c>
      <c r="AF1674" t="str">
        <f t="shared" ca="1" si="1687"/>
        <v>Plot 118-119</v>
      </c>
    </row>
    <row r="1675" spans="28:32" x14ac:dyDescent="0.25">
      <c r="AB1675" t="str">
        <f t="shared" ref="AB1675:AC1675" si="1735">AB1654</f>
        <v>Loading Bay</v>
      </c>
      <c r="AC1675" t="str">
        <f t="shared" si="1735"/>
        <v>Lift 4</v>
      </c>
      <c r="AD1675" t="b">
        <f t="shared" ca="1" si="1689"/>
        <v>0</v>
      </c>
      <c r="AE1675" s="1" t="str">
        <f t="shared" ca="1" si="1710"/>
        <v>118-119</v>
      </c>
      <c r="AF1675" t="str">
        <f t="shared" ca="1" si="1687"/>
        <v>Plot 118-119</v>
      </c>
    </row>
    <row r="1676" spans="28:32" x14ac:dyDescent="0.25">
      <c r="AB1676" t="str">
        <f t="shared" ref="AB1676:AC1676" si="1736">AB1655</f>
        <v>Loading Bay</v>
      </c>
      <c r="AC1676" t="str">
        <f t="shared" si="1736"/>
        <v>Lift 5</v>
      </c>
      <c r="AD1676" t="b">
        <f t="shared" ca="1" si="1689"/>
        <v>0</v>
      </c>
      <c r="AE1676" s="1" t="str">
        <f t="shared" ca="1" si="1710"/>
        <v>118-119</v>
      </c>
      <c r="AF1676" t="str">
        <f t="shared" ca="1" si="1687"/>
        <v>Plot 118-119</v>
      </c>
    </row>
    <row r="1677" spans="28:32" x14ac:dyDescent="0.25">
      <c r="AB1677" t="str">
        <f t="shared" ref="AB1677:AC1677" si="1737">AB1656</f>
        <v>Loading Bay</v>
      </c>
      <c r="AC1677" t="str">
        <f t="shared" si="1737"/>
        <v>Lift 6</v>
      </c>
      <c r="AD1677" t="b">
        <f t="shared" ca="1" si="1689"/>
        <v>0</v>
      </c>
      <c r="AE1677" s="1" t="str">
        <f t="shared" ca="1" si="1710"/>
        <v>118-119</v>
      </c>
      <c r="AF1677" t="str">
        <f t="shared" ca="1" si="1687"/>
        <v>Plot 118-119</v>
      </c>
    </row>
    <row r="1678" spans="28:32" x14ac:dyDescent="0.25">
      <c r="AB1678" t="str">
        <f t="shared" ref="AB1678:AC1678" si="1738">AB1657</f>
        <v>Scaffolding Platform</v>
      </c>
      <c r="AC1678" t="str">
        <f t="shared" si="1738"/>
        <v>Ground Floor</v>
      </c>
      <c r="AD1678" t="b">
        <f t="shared" ca="1" si="1689"/>
        <v>1</v>
      </c>
      <c r="AE1678" s="1" t="str">
        <f t="shared" ca="1" si="1710"/>
        <v>118-119</v>
      </c>
      <c r="AF1678" t="str">
        <f t="shared" ca="1" si="1687"/>
        <v>Plot 118-119</v>
      </c>
    </row>
    <row r="1679" spans="28:32" x14ac:dyDescent="0.25">
      <c r="AB1679" t="str">
        <f t="shared" ref="AB1679:AC1679" si="1739">AB1658</f>
        <v>Scaffolding Platform</v>
      </c>
      <c r="AC1679" t="str">
        <f t="shared" si="1739"/>
        <v>First Floor</v>
      </c>
      <c r="AD1679" t="b">
        <f t="shared" ca="1" si="1689"/>
        <v>1</v>
      </c>
      <c r="AE1679" s="1" t="str">
        <f t="shared" ca="1" si="1710"/>
        <v>118-119</v>
      </c>
      <c r="AF1679" t="str">
        <f t="shared" ca="1" si="1687"/>
        <v>Plot 118-119</v>
      </c>
    </row>
    <row r="1680" spans="28:32" x14ac:dyDescent="0.25">
      <c r="AB1680" t="str">
        <f t="shared" ref="AB1680:AC1680" si="1740">AB1659</f>
        <v>Scaffolding Platform</v>
      </c>
      <c r="AC1680" t="str">
        <f t="shared" si="1740"/>
        <v>Second Floor</v>
      </c>
      <c r="AD1680" t="b">
        <f t="shared" ca="1" si="1689"/>
        <v>0</v>
      </c>
      <c r="AE1680" s="1" t="str">
        <f t="shared" ca="1" si="1710"/>
        <v>118-119</v>
      </c>
      <c r="AF1680" t="str">
        <f t="shared" ca="1" si="1687"/>
        <v>Plot 118-119</v>
      </c>
    </row>
    <row r="1681" spans="28:32" x14ac:dyDescent="0.25">
      <c r="AB1681" t="str">
        <f t="shared" ref="AB1681:AC1681" si="1741">AB1660</f>
        <v>Supporting Scaffold</v>
      </c>
      <c r="AC1681" t="str">
        <f t="shared" si="1741"/>
        <v>Ground Floor Prop.</v>
      </c>
      <c r="AD1681" t="str">
        <f t="shared" ca="1" si="1689"/>
        <v>TRUE</v>
      </c>
      <c r="AE1681" s="1" t="str">
        <f t="shared" ca="1" si="1710"/>
        <v>118-119</v>
      </c>
      <c r="AF1681" t="str">
        <f t="shared" ca="1" si="1687"/>
        <v>Plot 118-119</v>
      </c>
    </row>
    <row r="1682" spans="28:32" x14ac:dyDescent="0.25">
      <c r="AB1682" t="str">
        <f t="shared" ref="AB1682:AC1682" si="1742">AB1661</f>
        <v>Supporting Scaffold</v>
      </c>
      <c r="AC1682" t="str">
        <f t="shared" si="1742"/>
        <v>First Floor Prop.</v>
      </c>
      <c r="AD1682" t="str">
        <f t="shared" ca="1" si="1689"/>
        <v>FALSE</v>
      </c>
      <c r="AE1682" s="1" t="str">
        <f t="shared" ca="1" si="1710"/>
        <v>118-119</v>
      </c>
      <c r="AF1682" t="str">
        <f t="shared" ca="1" si="1687"/>
        <v>Plot 118-119</v>
      </c>
    </row>
    <row r="1683" spans="28:32" x14ac:dyDescent="0.25">
      <c r="AB1683" t="str">
        <f t="shared" ref="AB1683:AC1683" si="1743">AB1662</f>
        <v>Supporting Scaffold</v>
      </c>
      <c r="AC1683" t="str">
        <f t="shared" si="1743"/>
        <v>Second Floor Prop.</v>
      </c>
      <c r="AD1683" t="str">
        <f t="shared" ca="1" si="1689"/>
        <v>FALSE</v>
      </c>
      <c r="AE1683" s="1" t="str">
        <f t="shared" ca="1" si="1710"/>
        <v>118-119</v>
      </c>
      <c r="AF1683" t="str">
        <f t="shared" ca="1" si="1687"/>
        <v>Plot 118-119</v>
      </c>
    </row>
    <row r="1684" spans="28:32" x14ac:dyDescent="0.25">
      <c r="AB1684" t="str">
        <f t="shared" ref="AB1684:AC1684" si="1744">AB1663</f>
        <v>External Scaffolding</v>
      </c>
      <c r="AC1684" t="str">
        <f t="shared" si="1744"/>
        <v>Hop-ups</v>
      </c>
      <c r="AD1684" t="b">
        <f t="shared" ca="1" si="1689"/>
        <v>1</v>
      </c>
      <c r="AE1684" s="1" t="str">
        <f t="shared" ca="1" si="1710"/>
        <v>118-119</v>
      </c>
      <c r="AF1684" t="str">
        <f t="shared" ca="1" si="1687"/>
        <v>Plot 118-119</v>
      </c>
    </row>
    <row r="1685" spans="28:32" x14ac:dyDescent="0.25">
      <c r="AB1685" t="str">
        <f t="shared" ref="AB1685:AC1685" si="1745">AB1664</f>
        <v>External Scaffolding</v>
      </c>
      <c r="AC1685" t="str">
        <f t="shared" si="1745"/>
        <v>Adaptions</v>
      </c>
      <c r="AD1685" t="b">
        <f t="shared" ca="1" si="1689"/>
        <v>1</v>
      </c>
      <c r="AE1685" s="1" t="str">
        <f t="shared" ca="1" si="1710"/>
        <v>118-119</v>
      </c>
      <c r="AF1685" t="str">
        <f t="shared" ca="1" si="1687"/>
        <v>Plot 118-119</v>
      </c>
    </row>
    <row r="1686" spans="28:32" x14ac:dyDescent="0.25">
      <c r="AB1686" t="str">
        <f t="shared" ref="AB1686:AC1686" si="1746">AB1665</f>
        <v>External Scaffolding</v>
      </c>
      <c r="AC1686" t="str">
        <f t="shared" si="1746"/>
        <v>Adaption Tower</v>
      </c>
      <c r="AD1686" t="b">
        <f t="shared" ca="1" si="1689"/>
        <v>1</v>
      </c>
      <c r="AE1686" s="1" t="str">
        <f t="shared" ca="1" si="1710"/>
        <v>118-119</v>
      </c>
      <c r="AF1686" t="str">
        <f t="shared" ca="1" si="1687"/>
        <v>Plot 118-119</v>
      </c>
    </row>
    <row r="1687" spans="28:32" x14ac:dyDescent="0.25">
      <c r="AB1687" t="str">
        <f t="shared" ref="AB1687:AC1687" si="1747">AB1666</f>
        <v>External Scaffolding</v>
      </c>
      <c r="AC1687" t="str">
        <f t="shared" si="1747"/>
        <v>Lift 1</v>
      </c>
      <c r="AD1687" t="b">
        <f t="shared" ca="1" si="1689"/>
        <v>1</v>
      </c>
      <c r="AE1687" s="1">
        <f t="shared" ca="1" si="1710"/>
        <v>120</v>
      </c>
      <c r="AF1687" t="str">
        <f t="shared" ca="1" si="1687"/>
        <v>Plot 120</v>
      </c>
    </row>
    <row r="1688" spans="28:32" x14ac:dyDescent="0.25">
      <c r="AB1688" t="str">
        <f t="shared" ref="AB1688:AC1688" si="1748">AB1667</f>
        <v>External Scaffolding</v>
      </c>
      <c r="AC1688" t="str">
        <f t="shared" si="1748"/>
        <v>Lift 2</v>
      </c>
      <c r="AD1688" t="b">
        <f t="shared" ca="1" si="1689"/>
        <v>1</v>
      </c>
      <c r="AE1688" s="1">
        <f t="shared" ca="1" si="1710"/>
        <v>120</v>
      </c>
      <c r="AF1688" t="str">
        <f t="shared" ca="1" si="1687"/>
        <v>Plot 120</v>
      </c>
    </row>
    <row r="1689" spans="28:32" x14ac:dyDescent="0.25">
      <c r="AB1689" t="str">
        <f t="shared" ref="AB1689:AC1689" si="1749">AB1668</f>
        <v>External Scaffolding</v>
      </c>
      <c r="AC1689" t="str">
        <f t="shared" si="1749"/>
        <v>Lift 3</v>
      </c>
      <c r="AD1689" t="b">
        <f t="shared" ca="1" si="1689"/>
        <v>1</v>
      </c>
      <c r="AE1689" s="1">
        <f t="shared" ca="1" si="1710"/>
        <v>120</v>
      </c>
      <c r="AF1689" t="str">
        <f t="shared" ca="1" si="1687"/>
        <v>Plot 120</v>
      </c>
    </row>
    <row r="1690" spans="28:32" x14ac:dyDescent="0.25">
      <c r="AB1690" t="str">
        <f t="shared" ref="AB1690:AC1690" si="1750">AB1669</f>
        <v>External Scaffolding</v>
      </c>
      <c r="AC1690" t="str">
        <f t="shared" si="1750"/>
        <v>Lift 4</v>
      </c>
      <c r="AD1690" t="b">
        <f t="shared" ca="1" si="1689"/>
        <v>1</v>
      </c>
      <c r="AE1690" s="1">
        <f t="shared" ca="1" si="1710"/>
        <v>120</v>
      </c>
      <c r="AF1690" t="str">
        <f t="shared" ca="1" si="1687"/>
        <v>Plot 120</v>
      </c>
    </row>
    <row r="1691" spans="28:32" x14ac:dyDescent="0.25">
      <c r="AB1691" t="str">
        <f t="shared" ref="AB1691:AC1691" si="1751">AB1670</f>
        <v>External Scaffolding</v>
      </c>
      <c r="AC1691" t="str">
        <f t="shared" si="1751"/>
        <v>Lift 5</v>
      </c>
      <c r="AD1691" t="b">
        <f t="shared" ca="1" si="1689"/>
        <v>0</v>
      </c>
      <c r="AE1691" s="1">
        <f t="shared" ca="1" si="1710"/>
        <v>120</v>
      </c>
      <c r="AF1691" t="str">
        <f t="shared" ca="1" si="1687"/>
        <v>Plot 120</v>
      </c>
    </row>
    <row r="1692" spans="28:32" x14ac:dyDescent="0.25">
      <c r="AB1692" t="str">
        <f t="shared" ref="AB1692:AC1692" si="1752">AB1671</f>
        <v>External Scaffolding</v>
      </c>
      <c r="AC1692" t="str">
        <f t="shared" si="1752"/>
        <v>Lift 6</v>
      </c>
      <c r="AD1692" t="b">
        <f t="shared" ca="1" si="1689"/>
        <v>0</v>
      </c>
      <c r="AE1692" s="1">
        <f t="shared" ca="1" si="1710"/>
        <v>120</v>
      </c>
      <c r="AF1692" t="str">
        <f t="shared" ca="1" si="1687"/>
        <v>Plot 120</v>
      </c>
    </row>
    <row r="1693" spans="28:32" x14ac:dyDescent="0.25">
      <c r="AB1693" t="str">
        <f t="shared" ref="AB1693:AC1693" si="1753">AB1672</f>
        <v>Loading Bay</v>
      </c>
      <c r="AC1693" t="str">
        <f t="shared" si="1753"/>
        <v>Lift 1</v>
      </c>
      <c r="AD1693" t="b">
        <f t="shared" ca="1" si="1689"/>
        <v>1</v>
      </c>
      <c r="AE1693" s="1">
        <f t="shared" ca="1" si="1710"/>
        <v>120</v>
      </c>
      <c r="AF1693" t="str">
        <f t="shared" ref="AF1693:AF1756" ca="1" si="1754">IF(LEFT(AE1693,1)="G",AE1693,"Plot "&amp;AE1693)</f>
        <v>Plot 120</v>
      </c>
    </row>
    <row r="1694" spans="28:32" x14ac:dyDescent="0.25">
      <c r="AB1694" t="str">
        <f t="shared" ref="AB1694:AC1694" si="1755">AB1673</f>
        <v>Loading Bay</v>
      </c>
      <c r="AC1694" t="str">
        <f t="shared" si="1755"/>
        <v>Lift 2</v>
      </c>
      <c r="AD1694" t="b">
        <f t="shared" ref="AD1694:AD1757" ca="1" si="1756">INDEX($AC$1:$JH$22,MATCH(AC1694,$AC$1:$AC$22,0),MATCH(AE1694,$AC$1:$JH$1,0))</f>
        <v>1</v>
      </c>
      <c r="AE1694" s="1">
        <f t="shared" ca="1" si="1710"/>
        <v>120</v>
      </c>
      <c r="AF1694" t="str">
        <f t="shared" ca="1" si="1754"/>
        <v>Plot 120</v>
      </c>
    </row>
    <row r="1695" spans="28:32" x14ac:dyDescent="0.25">
      <c r="AB1695" t="str">
        <f t="shared" ref="AB1695:AC1695" si="1757">AB1674</f>
        <v>Loading Bay</v>
      </c>
      <c r="AC1695" t="str">
        <f t="shared" si="1757"/>
        <v>Lift 3</v>
      </c>
      <c r="AD1695" t="b">
        <f t="shared" ca="1" si="1756"/>
        <v>1</v>
      </c>
      <c r="AE1695" s="1">
        <f t="shared" ca="1" si="1710"/>
        <v>120</v>
      </c>
      <c r="AF1695" t="str">
        <f t="shared" ca="1" si="1754"/>
        <v>Plot 120</v>
      </c>
    </row>
    <row r="1696" spans="28:32" x14ac:dyDescent="0.25">
      <c r="AB1696" t="str">
        <f t="shared" ref="AB1696:AC1696" si="1758">AB1675</f>
        <v>Loading Bay</v>
      </c>
      <c r="AC1696" t="str">
        <f t="shared" si="1758"/>
        <v>Lift 4</v>
      </c>
      <c r="AD1696" t="b">
        <f t="shared" ca="1" si="1756"/>
        <v>1</v>
      </c>
      <c r="AE1696" s="1">
        <f t="shared" ca="1" si="1710"/>
        <v>120</v>
      </c>
      <c r="AF1696" t="str">
        <f t="shared" ca="1" si="1754"/>
        <v>Plot 120</v>
      </c>
    </row>
    <row r="1697" spans="28:32" x14ac:dyDescent="0.25">
      <c r="AB1697" t="str">
        <f t="shared" ref="AB1697:AC1697" si="1759">AB1676</f>
        <v>Loading Bay</v>
      </c>
      <c r="AC1697" t="str">
        <f t="shared" si="1759"/>
        <v>Lift 5</v>
      </c>
      <c r="AD1697" t="b">
        <f t="shared" ca="1" si="1756"/>
        <v>0</v>
      </c>
      <c r="AE1697" s="1">
        <f t="shared" ca="1" si="1710"/>
        <v>120</v>
      </c>
      <c r="AF1697" t="str">
        <f t="shared" ca="1" si="1754"/>
        <v>Plot 120</v>
      </c>
    </row>
    <row r="1698" spans="28:32" x14ac:dyDescent="0.25">
      <c r="AB1698" t="str">
        <f t="shared" ref="AB1698:AC1698" si="1760">AB1677</f>
        <v>Loading Bay</v>
      </c>
      <c r="AC1698" t="str">
        <f t="shared" si="1760"/>
        <v>Lift 6</v>
      </c>
      <c r="AD1698" t="b">
        <f t="shared" ca="1" si="1756"/>
        <v>0</v>
      </c>
      <c r="AE1698" s="1">
        <f t="shared" ca="1" si="1710"/>
        <v>120</v>
      </c>
      <c r="AF1698" t="str">
        <f t="shared" ca="1" si="1754"/>
        <v>Plot 120</v>
      </c>
    </row>
    <row r="1699" spans="28:32" x14ac:dyDescent="0.25">
      <c r="AB1699" t="str">
        <f t="shared" ref="AB1699:AC1699" si="1761">AB1678</f>
        <v>Scaffolding Platform</v>
      </c>
      <c r="AC1699" t="str">
        <f t="shared" si="1761"/>
        <v>Ground Floor</v>
      </c>
      <c r="AD1699" t="b">
        <f t="shared" ca="1" si="1756"/>
        <v>1</v>
      </c>
      <c r="AE1699" s="1">
        <f t="shared" ca="1" si="1710"/>
        <v>120</v>
      </c>
      <c r="AF1699" t="str">
        <f t="shared" ca="1" si="1754"/>
        <v>Plot 120</v>
      </c>
    </row>
    <row r="1700" spans="28:32" x14ac:dyDescent="0.25">
      <c r="AB1700" t="str">
        <f t="shared" ref="AB1700:AC1700" si="1762">AB1679</f>
        <v>Scaffolding Platform</v>
      </c>
      <c r="AC1700" t="str">
        <f t="shared" si="1762"/>
        <v>First Floor</v>
      </c>
      <c r="AD1700" t="b">
        <f t="shared" ca="1" si="1756"/>
        <v>1</v>
      </c>
      <c r="AE1700" s="1">
        <f t="shared" ca="1" si="1710"/>
        <v>120</v>
      </c>
      <c r="AF1700" t="str">
        <f t="shared" ca="1" si="1754"/>
        <v>Plot 120</v>
      </c>
    </row>
    <row r="1701" spans="28:32" x14ac:dyDescent="0.25">
      <c r="AB1701" t="str">
        <f t="shared" ref="AB1701:AC1701" si="1763">AB1680</f>
        <v>Scaffolding Platform</v>
      </c>
      <c r="AC1701" t="str">
        <f t="shared" si="1763"/>
        <v>Second Floor</v>
      </c>
      <c r="AD1701" t="b">
        <f t="shared" ca="1" si="1756"/>
        <v>1</v>
      </c>
      <c r="AE1701" s="1">
        <f t="shared" ca="1" si="1710"/>
        <v>120</v>
      </c>
      <c r="AF1701" t="str">
        <f t="shared" ca="1" si="1754"/>
        <v>Plot 120</v>
      </c>
    </row>
    <row r="1702" spans="28:32" x14ac:dyDescent="0.25">
      <c r="AB1702" t="str">
        <f t="shared" ref="AB1702:AC1702" si="1764">AB1681</f>
        <v>Supporting Scaffold</v>
      </c>
      <c r="AC1702" t="str">
        <f t="shared" si="1764"/>
        <v>Ground Floor Prop.</v>
      </c>
      <c r="AD1702" t="str">
        <f t="shared" ca="1" si="1756"/>
        <v>TRUE</v>
      </c>
      <c r="AE1702" s="1">
        <f t="shared" ca="1" si="1710"/>
        <v>120</v>
      </c>
      <c r="AF1702" t="str">
        <f t="shared" ca="1" si="1754"/>
        <v>Plot 120</v>
      </c>
    </row>
    <row r="1703" spans="28:32" x14ac:dyDescent="0.25">
      <c r="AB1703" t="str">
        <f t="shared" ref="AB1703:AC1703" si="1765">AB1682</f>
        <v>Supporting Scaffold</v>
      </c>
      <c r="AC1703" t="str">
        <f t="shared" si="1765"/>
        <v>First Floor Prop.</v>
      </c>
      <c r="AD1703" t="str">
        <f t="shared" ca="1" si="1756"/>
        <v>TRUE</v>
      </c>
      <c r="AE1703" s="1">
        <f t="shared" ca="1" si="1710"/>
        <v>120</v>
      </c>
      <c r="AF1703" t="str">
        <f t="shared" ca="1" si="1754"/>
        <v>Plot 120</v>
      </c>
    </row>
    <row r="1704" spans="28:32" x14ac:dyDescent="0.25">
      <c r="AB1704" t="str">
        <f t="shared" ref="AB1704:AC1704" si="1766">AB1683</f>
        <v>Supporting Scaffold</v>
      </c>
      <c r="AC1704" t="str">
        <f t="shared" si="1766"/>
        <v>Second Floor Prop.</v>
      </c>
      <c r="AD1704" t="str">
        <f t="shared" ca="1" si="1756"/>
        <v>FALSE</v>
      </c>
      <c r="AE1704" s="1">
        <f t="shared" ca="1" si="1710"/>
        <v>120</v>
      </c>
      <c r="AF1704" t="str">
        <f t="shared" ca="1" si="1754"/>
        <v>Plot 120</v>
      </c>
    </row>
    <row r="1705" spans="28:32" x14ac:dyDescent="0.25">
      <c r="AB1705" t="str">
        <f t="shared" ref="AB1705:AC1705" si="1767">AB1684</f>
        <v>External Scaffolding</v>
      </c>
      <c r="AC1705" t="str">
        <f t="shared" si="1767"/>
        <v>Hop-ups</v>
      </c>
      <c r="AD1705" t="b">
        <f t="shared" ca="1" si="1756"/>
        <v>1</v>
      </c>
      <c r="AE1705" s="1">
        <f t="shared" ca="1" si="1710"/>
        <v>120</v>
      </c>
      <c r="AF1705" t="str">
        <f t="shared" ca="1" si="1754"/>
        <v>Plot 120</v>
      </c>
    </row>
    <row r="1706" spans="28:32" x14ac:dyDescent="0.25">
      <c r="AB1706" t="str">
        <f t="shared" ref="AB1706:AC1706" si="1768">AB1685</f>
        <v>External Scaffolding</v>
      </c>
      <c r="AC1706" t="str">
        <f t="shared" si="1768"/>
        <v>Adaptions</v>
      </c>
      <c r="AD1706" t="b">
        <f t="shared" ca="1" si="1756"/>
        <v>1</v>
      </c>
      <c r="AE1706" s="1">
        <f t="shared" ca="1" si="1710"/>
        <v>120</v>
      </c>
      <c r="AF1706" t="str">
        <f t="shared" ca="1" si="1754"/>
        <v>Plot 120</v>
      </c>
    </row>
    <row r="1707" spans="28:32" x14ac:dyDescent="0.25">
      <c r="AB1707" t="str">
        <f t="shared" ref="AB1707:AC1707" si="1769">AB1686</f>
        <v>External Scaffolding</v>
      </c>
      <c r="AC1707" t="str">
        <f t="shared" si="1769"/>
        <v>Adaption Tower</v>
      </c>
      <c r="AD1707" t="b">
        <f t="shared" ca="1" si="1756"/>
        <v>1</v>
      </c>
      <c r="AE1707" s="1">
        <f t="shared" ca="1" si="1710"/>
        <v>120</v>
      </c>
      <c r="AF1707" t="str">
        <f t="shared" ca="1" si="1754"/>
        <v>Plot 120</v>
      </c>
    </row>
    <row r="1708" spans="28:32" x14ac:dyDescent="0.25">
      <c r="AB1708" t="str">
        <f t="shared" ref="AB1708:AC1708" si="1770">AB1687</f>
        <v>External Scaffolding</v>
      </c>
      <c r="AC1708" t="str">
        <f t="shared" si="1770"/>
        <v>Lift 1</v>
      </c>
      <c r="AD1708" t="b">
        <f t="shared" ca="1" si="1756"/>
        <v>1</v>
      </c>
      <c r="AE1708" s="1">
        <f t="shared" ca="1" si="1710"/>
        <v>121</v>
      </c>
      <c r="AF1708" t="str">
        <f t="shared" ca="1" si="1754"/>
        <v>Plot 121</v>
      </c>
    </row>
    <row r="1709" spans="28:32" x14ac:dyDescent="0.25">
      <c r="AB1709" t="str">
        <f t="shared" ref="AB1709:AC1709" si="1771">AB1688</f>
        <v>External Scaffolding</v>
      </c>
      <c r="AC1709" t="str">
        <f t="shared" si="1771"/>
        <v>Lift 2</v>
      </c>
      <c r="AD1709" t="b">
        <f t="shared" ca="1" si="1756"/>
        <v>1</v>
      </c>
      <c r="AE1709" s="1">
        <f t="shared" ca="1" si="1710"/>
        <v>121</v>
      </c>
      <c r="AF1709" t="str">
        <f t="shared" ca="1" si="1754"/>
        <v>Plot 121</v>
      </c>
    </row>
    <row r="1710" spans="28:32" x14ac:dyDescent="0.25">
      <c r="AB1710" t="str">
        <f t="shared" ref="AB1710:AC1710" si="1772">AB1689</f>
        <v>External Scaffolding</v>
      </c>
      <c r="AC1710" t="str">
        <f t="shared" si="1772"/>
        <v>Lift 3</v>
      </c>
      <c r="AD1710" t="b">
        <f t="shared" ca="1" si="1756"/>
        <v>1</v>
      </c>
      <c r="AE1710" s="1">
        <f t="shared" ca="1" si="1710"/>
        <v>121</v>
      </c>
      <c r="AF1710" t="str">
        <f t="shared" ca="1" si="1754"/>
        <v>Plot 121</v>
      </c>
    </row>
    <row r="1711" spans="28:32" x14ac:dyDescent="0.25">
      <c r="AB1711" t="str">
        <f t="shared" ref="AB1711:AC1711" si="1773">AB1690</f>
        <v>External Scaffolding</v>
      </c>
      <c r="AC1711" t="str">
        <f t="shared" si="1773"/>
        <v>Lift 4</v>
      </c>
      <c r="AD1711" t="b">
        <f t="shared" ca="1" si="1756"/>
        <v>1</v>
      </c>
      <c r="AE1711" s="1">
        <f t="shared" ca="1" si="1710"/>
        <v>121</v>
      </c>
      <c r="AF1711" t="str">
        <f t="shared" ca="1" si="1754"/>
        <v>Plot 121</v>
      </c>
    </row>
    <row r="1712" spans="28:32" x14ac:dyDescent="0.25">
      <c r="AB1712" t="str">
        <f t="shared" ref="AB1712:AC1712" si="1774">AB1691</f>
        <v>External Scaffolding</v>
      </c>
      <c r="AC1712" t="str">
        <f t="shared" si="1774"/>
        <v>Lift 5</v>
      </c>
      <c r="AD1712" t="b">
        <f t="shared" ca="1" si="1756"/>
        <v>0</v>
      </c>
      <c r="AE1712" s="1">
        <f t="shared" ca="1" si="1710"/>
        <v>121</v>
      </c>
      <c r="AF1712" t="str">
        <f t="shared" ca="1" si="1754"/>
        <v>Plot 121</v>
      </c>
    </row>
    <row r="1713" spans="28:32" x14ac:dyDescent="0.25">
      <c r="AB1713" t="str">
        <f t="shared" ref="AB1713:AC1713" si="1775">AB1692</f>
        <v>External Scaffolding</v>
      </c>
      <c r="AC1713" t="str">
        <f t="shared" si="1775"/>
        <v>Lift 6</v>
      </c>
      <c r="AD1713" t="b">
        <f t="shared" ca="1" si="1756"/>
        <v>0</v>
      </c>
      <c r="AE1713" s="1">
        <f t="shared" ca="1" si="1710"/>
        <v>121</v>
      </c>
      <c r="AF1713" t="str">
        <f t="shared" ca="1" si="1754"/>
        <v>Plot 121</v>
      </c>
    </row>
    <row r="1714" spans="28:32" x14ac:dyDescent="0.25">
      <c r="AB1714" t="str">
        <f t="shared" ref="AB1714:AC1714" si="1776">AB1693</f>
        <v>Loading Bay</v>
      </c>
      <c r="AC1714" t="str">
        <f t="shared" si="1776"/>
        <v>Lift 1</v>
      </c>
      <c r="AD1714" t="b">
        <f t="shared" ca="1" si="1756"/>
        <v>1</v>
      </c>
      <c r="AE1714" s="1">
        <f t="shared" ref="AE1714:AE1777" ca="1" si="1777">OFFSET($AD$1,0,FLOOR(ROW(B1686)/21,1))</f>
        <v>121</v>
      </c>
      <c r="AF1714" t="str">
        <f t="shared" ca="1" si="1754"/>
        <v>Plot 121</v>
      </c>
    </row>
    <row r="1715" spans="28:32" x14ac:dyDescent="0.25">
      <c r="AB1715" t="str">
        <f t="shared" ref="AB1715:AC1715" si="1778">AB1694</f>
        <v>Loading Bay</v>
      </c>
      <c r="AC1715" t="str">
        <f t="shared" si="1778"/>
        <v>Lift 2</v>
      </c>
      <c r="AD1715" t="b">
        <f t="shared" ca="1" si="1756"/>
        <v>1</v>
      </c>
      <c r="AE1715" s="1">
        <f t="shared" ca="1" si="1777"/>
        <v>121</v>
      </c>
      <c r="AF1715" t="str">
        <f t="shared" ca="1" si="1754"/>
        <v>Plot 121</v>
      </c>
    </row>
    <row r="1716" spans="28:32" x14ac:dyDescent="0.25">
      <c r="AB1716" t="str">
        <f t="shared" ref="AB1716:AC1716" si="1779">AB1695</f>
        <v>Loading Bay</v>
      </c>
      <c r="AC1716" t="str">
        <f t="shared" si="1779"/>
        <v>Lift 3</v>
      </c>
      <c r="AD1716" t="b">
        <f t="shared" ca="1" si="1756"/>
        <v>1</v>
      </c>
      <c r="AE1716" s="1">
        <f t="shared" ca="1" si="1777"/>
        <v>121</v>
      </c>
      <c r="AF1716" t="str">
        <f t="shared" ca="1" si="1754"/>
        <v>Plot 121</v>
      </c>
    </row>
    <row r="1717" spans="28:32" x14ac:dyDescent="0.25">
      <c r="AB1717" t="str">
        <f t="shared" ref="AB1717:AC1717" si="1780">AB1696</f>
        <v>Loading Bay</v>
      </c>
      <c r="AC1717" t="str">
        <f t="shared" si="1780"/>
        <v>Lift 4</v>
      </c>
      <c r="AD1717" t="b">
        <f t="shared" ca="1" si="1756"/>
        <v>1</v>
      </c>
      <c r="AE1717" s="1">
        <f t="shared" ca="1" si="1777"/>
        <v>121</v>
      </c>
      <c r="AF1717" t="str">
        <f t="shared" ca="1" si="1754"/>
        <v>Plot 121</v>
      </c>
    </row>
    <row r="1718" spans="28:32" x14ac:dyDescent="0.25">
      <c r="AB1718" t="str">
        <f t="shared" ref="AB1718:AC1718" si="1781">AB1697</f>
        <v>Loading Bay</v>
      </c>
      <c r="AC1718" t="str">
        <f t="shared" si="1781"/>
        <v>Lift 5</v>
      </c>
      <c r="AD1718" t="b">
        <f t="shared" ca="1" si="1756"/>
        <v>0</v>
      </c>
      <c r="AE1718" s="1">
        <f t="shared" ca="1" si="1777"/>
        <v>121</v>
      </c>
      <c r="AF1718" t="str">
        <f t="shared" ca="1" si="1754"/>
        <v>Plot 121</v>
      </c>
    </row>
    <row r="1719" spans="28:32" x14ac:dyDescent="0.25">
      <c r="AB1719" t="str">
        <f t="shared" ref="AB1719:AC1719" si="1782">AB1698</f>
        <v>Loading Bay</v>
      </c>
      <c r="AC1719" t="str">
        <f t="shared" si="1782"/>
        <v>Lift 6</v>
      </c>
      <c r="AD1719" t="b">
        <f t="shared" ca="1" si="1756"/>
        <v>0</v>
      </c>
      <c r="AE1719" s="1">
        <f t="shared" ca="1" si="1777"/>
        <v>121</v>
      </c>
      <c r="AF1719" t="str">
        <f t="shared" ca="1" si="1754"/>
        <v>Plot 121</v>
      </c>
    </row>
    <row r="1720" spans="28:32" x14ac:dyDescent="0.25">
      <c r="AB1720" t="str">
        <f t="shared" ref="AB1720:AC1720" si="1783">AB1699</f>
        <v>Scaffolding Platform</v>
      </c>
      <c r="AC1720" t="str">
        <f t="shared" si="1783"/>
        <v>Ground Floor</v>
      </c>
      <c r="AD1720" t="b">
        <f t="shared" ca="1" si="1756"/>
        <v>1</v>
      </c>
      <c r="AE1720" s="1">
        <f t="shared" ca="1" si="1777"/>
        <v>121</v>
      </c>
      <c r="AF1720" t="str">
        <f t="shared" ca="1" si="1754"/>
        <v>Plot 121</v>
      </c>
    </row>
    <row r="1721" spans="28:32" x14ac:dyDescent="0.25">
      <c r="AB1721" t="str">
        <f t="shared" ref="AB1721:AC1721" si="1784">AB1700</f>
        <v>Scaffolding Platform</v>
      </c>
      <c r="AC1721" t="str">
        <f t="shared" si="1784"/>
        <v>First Floor</v>
      </c>
      <c r="AD1721" t="b">
        <f t="shared" ca="1" si="1756"/>
        <v>1</v>
      </c>
      <c r="AE1721" s="1">
        <f t="shared" ca="1" si="1777"/>
        <v>121</v>
      </c>
      <c r="AF1721" t="str">
        <f t="shared" ca="1" si="1754"/>
        <v>Plot 121</v>
      </c>
    </row>
    <row r="1722" spans="28:32" x14ac:dyDescent="0.25">
      <c r="AB1722" t="str">
        <f t="shared" ref="AB1722:AC1722" si="1785">AB1701</f>
        <v>Scaffolding Platform</v>
      </c>
      <c r="AC1722" t="str">
        <f t="shared" si="1785"/>
        <v>Second Floor</v>
      </c>
      <c r="AD1722" t="b">
        <f t="shared" ca="1" si="1756"/>
        <v>1</v>
      </c>
      <c r="AE1722" s="1">
        <f t="shared" ca="1" si="1777"/>
        <v>121</v>
      </c>
      <c r="AF1722" t="str">
        <f t="shared" ca="1" si="1754"/>
        <v>Plot 121</v>
      </c>
    </row>
    <row r="1723" spans="28:32" x14ac:dyDescent="0.25">
      <c r="AB1723" t="str">
        <f t="shared" ref="AB1723:AC1723" si="1786">AB1702</f>
        <v>Supporting Scaffold</v>
      </c>
      <c r="AC1723" t="str">
        <f t="shared" si="1786"/>
        <v>Ground Floor Prop.</v>
      </c>
      <c r="AD1723" t="str">
        <f t="shared" ca="1" si="1756"/>
        <v>TRUE</v>
      </c>
      <c r="AE1723" s="1">
        <f t="shared" ca="1" si="1777"/>
        <v>121</v>
      </c>
      <c r="AF1723" t="str">
        <f t="shared" ca="1" si="1754"/>
        <v>Plot 121</v>
      </c>
    </row>
    <row r="1724" spans="28:32" x14ac:dyDescent="0.25">
      <c r="AB1724" t="str">
        <f t="shared" ref="AB1724:AC1724" si="1787">AB1703</f>
        <v>Supporting Scaffold</v>
      </c>
      <c r="AC1724" t="str">
        <f t="shared" si="1787"/>
        <v>First Floor Prop.</v>
      </c>
      <c r="AD1724" t="str">
        <f t="shared" ca="1" si="1756"/>
        <v>TRUE</v>
      </c>
      <c r="AE1724" s="1">
        <f t="shared" ca="1" si="1777"/>
        <v>121</v>
      </c>
      <c r="AF1724" t="str">
        <f t="shared" ca="1" si="1754"/>
        <v>Plot 121</v>
      </c>
    </row>
    <row r="1725" spans="28:32" x14ac:dyDescent="0.25">
      <c r="AB1725" t="str">
        <f t="shared" ref="AB1725:AC1725" si="1788">AB1704</f>
        <v>Supporting Scaffold</v>
      </c>
      <c r="AC1725" t="str">
        <f t="shared" si="1788"/>
        <v>Second Floor Prop.</v>
      </c>
      <c r="AD1725" t="str">
        <f t="shared" ca="1" si="1756"/>
        <v>FALSE</v>
      </c>
      <c r="AE1725" s="1">
        <f t="shared" ca="1" si="1777"/>
        <v>121</v>
      </c>
      <c r="AF1725" t="str">
        <f t="shared" ca="1" si="1754"/>
        <v>Plot 121</v>
      </c>
    </row>
    <row r="1726" spans="28:32" x14ac:dyDescent="0.25">
      <c r="AB1726" t="str">
        <f t="shared" ref="AB1726:AC1726" si="1789">AB1705</f>
        <v>External Scaffolding</v>
      </c>
      <c r="AC1726" t="str">
        <f t="shared" si="1789"/>
        <v>Hop-ups</v>
      </c>
      <c r="AD1726" t="b">
        <f t="shared" ca="1" si="1756"/>
        <v>1</v>
      </c>
      <c r="AE1726" s="1">
        <f t="shared" ca="1" si="1777"/>
        <v>121</v>
      </c>
      <c r="AF1726" t="str">
        <f t="shared" ca="1" si="1754"/>
        <v>Plot 121</v>
      </c>
    </row>
    <row r="1727" spans="28:32" x14ac:dyDescent="0.25">
      <c r="AB1727" t="str">
        <f t="shared" ref="AB1727:AC1727" si="1790">AB1706</f>
        <v>External Scaffolding</v>
      </c>
      <c r="AC1727" t="str">
        <f t="shared" si="1790"/>
        <v>Adaptions</v>
      </c>
      <c r="AD1727" t="b">
        <f t="shared" ca="1" si="1756"/>
        <v>1</v>
      </c>
      <c r="AE1727" s="1">
        <f t="shared" ca="1" si="1777"/>
        <v>121</v>
      </c>
      <c r="AF1727" t="str">
        <f t="shared" ca="1" si="1754"/>
        <v>Plot 121</v>
      </c>
    </row>
    <row r="1728" spans="28:32" x14ac:dyDescent="0.25">
      <c r="AB1728" t="str">
        <f t="shared" ref="AB1728:AC1728" si="1791">AB1707</f>
        <v>External Scaffolding</v>
      </c>
      <c r="AC1728" t="str">
        <f t="shared" si="1791"/>
        <v>Adaption Tower</v>
      </c>
      <c r="AD1728" t="b">
        <f t="shared" ca="1" si="1756"/>
        <v>1</v>
      </c>
      <c r="AE1728" s="1">
        <f t="shared" ca="1" si="1777"/>
        <v>121</v>
      </c>
      <c r="AF1728" t="str">
        <f t="shared" ca="1" si="1754"/>
        <v>Plot 121</v>
      </c>
    </row>
    <row r="1729" spans="28:32" x14ac:dyDescent="0.25">
      <c r="AB1729" t="str">
        <f t="shared" ref="AB1729:AC1729" si="1792">AB1708</f>
        <v>External Scaffolding</v>
      </c>
      <c r="AC1729" t="str">
        <f t="shared" si="1792"/>
        <v>Lift 1</v>
      </c>
      <c r="AD1729" t="b">
        <f t="shared" ca="1" si="1756"/>
        <v>1</v>
      </c>
      <c r="AE1729" s="1">
        <f t="shared" ca="1" si="1777"/>
        <v>122</v>
      </c>
      <c r="AF1729" t="str">
        <f t="shared" ca="1" si="1754"/>
        <v>Plot 122</v>
      </c>
    </row>
    <row r="1730" spans="28:32" x14ac:dyDescent="0.25">
      <c r="AB1730" t="str">
        <f t="shared" ref="AB1730:AC1730" si="1793">AB1709</f>
        <v>External Scaffolding</v>
      </c>
      <c r="AC1730" t="str">
        <f t="shared" si="1793"/>
        <v>Lift 2</v>
      </c>
      <c r="AD1730" t="b">
        <f t="shared" ca="1" si="1756"/>
        <v>1</v>
      </c>
      <c r="AE1730" s="1">
        <f t="shared" ca="1" si="1777"/>
        <v>122</v>
      </c>
      <c r="AF1730" t="str">
        <f t="shared" ca="1" si="1754"/>
        <v>Plot 122</v>
      </c>
    </row>
    <row r="1731" spans="28:32" x14ac:dyDescent="0.25">
      <c r="AB1731" t="str">
        <f t="shared" ref="AB1731:AC1731" si="1794">AB1710</f>
        <v>External Scaffolding</v>
      </c>
      <c r="AC1731" t="str">
        <f t="shared" si="1794"/>
        <v>Lift 3</v>
      </c>
      <c r="AD1731" t="b">
        <f t="shared" ca="1" si="1756"/>
        <v>1</v>
      </c>
      <c r="AE1731" s="1">
        <f t="shared" ca="1" si="1777"/>
        <v>122</v>
      </c>
      <c r="AF1731" t="str">
        <f t="shared" ca="1" si="1754"/>
        <v>Plot 122</v>
      </c>
    </row>
    <row r="1732" spans="28:32" x14ac:dyDescent="0.25">
      <c r="AB1732" t="str">
        <f t="shared" ref="AB1732:AC1732" si="1795">AB1711</f>
        <v>External Scaffolding</v>
      </c>
      <c r="AC1732" t="str">
        <f t="shared" si="1795"/>
        <v>Lift 4</v>
      </c>
      <c r="AD1732" t="b">
        <f t="shared" ca="1" si="1756"/>
        <v>0</v>
      </c>
      <c r="AE1732" s="1">
        <f t="shared" ca="1" si="1777"/>
        <v>122</v>
      </c>
      <c r="AF1732" t="str">
        <f t="shared" ca="1" si="1754"/>
        <v>Plot 122</v>
      </c>
    </row>
    <row r="1733" spans="28:32" x14ac:dyDescent="0.25">
      <c r="AB1733" t="str">
        <f t="shared" ref="AB1733:AC1733" si="1796">AB1712</f>
        <v>External Scaffolding</v>
      </c>
      <c r="AC1733" t="str">
        <f t="shared" si="1796"/>
        <v>Lift 5</v>
      </c>
      <c r="AD1733" t="b">
        <f t="shared" ca="1" si="1756"/>
        <v>0</v>
      </c>
      <c r="AE1733" s="1">
        <f t="shared" ca="1" si="1777"/>
        <v>122</v>
      </c>
      <c r="AF1733" t="str">
        <f t="shared" ca="1" si="1754"/>
        <v>Plot 122</v>
      </c>
    </row>
    <row r="1734" spans="28:32" x14ac:dyDescent="0.25">
      <c r="AB1734" t="str">
        <f t="shared" ref="AB1734:AC1734" si="1797">AB1713</f>
        <v>External Scaffolding</v>
      </c>
      <c r="AC1734" t="str">
        <f t="shared" si="1797"/>
        <v>Lift 6</v>
      </c>
      <c r="AD1734" t="b">
        <f t="shared" ca="1" si="1756"/>
        <v>0</v>
      </c>
      <c r="AE1734" s="1">
        <f t="shared" ca="1" si="1777"/>
        <v>122</v>
      </c>
      <c r="AF1734" t="str">
        <f t="shared" ca="1" si="1754"/>
        <v>Plot 122</v>
      </c>
    </row>
    <row r="1735" spans="28:32" x14ac:dyDescent="0.25">
      <c r="AB1735" t="str">
        <f t="shared" ref="AB1735:AC1735" si="1798">AB1714</f>
        <v>Loading Bay</v>
      </c>
      <c r="AC1735" t="str">
        <f t="shared" si="1798"/>
        <v>Lift 1</v>
      </c>
      <c r="AD1735" t="b">
        <f t="shared" ca="1" si="1756"/>
        <v>1</v>
      </c>
      <c r="AE1735" s="1">
        <f t="shared" ca="1" si="1777"/>
        <v>122</v>
      </c>
      <c r="AF1735" t="str">
        <f t="shared" ca="1" si="1754"/>
        <v>Plot 122</v>
      </c>
    </row>
    <row r="1736" spans="28:32" x14ac:dyDescent="0.25">
      <c r="AB1736" t="str">
        <f t="shared" ref="AB1736:AC1736" si="1799">AB1715</f>
        <v>Loading Bay</v>
      </c>
      <c r="AC1736" t="str">
        <f t="shared" si="1799"/>
        <v>Lift 2</v>
      </c>
      <c r="AD1736" t="b">
        <f t="shared" ca="1" si="1756"/>
        <v>1</v>
      </c>
      <c r="AE1736" s="1">
        <f t="shared" ca="1" si="1777"/>
        <v>122</v>
      </c>
      <c r="AF1736" t="str">
        <f t="shared" ca="1" si="1754"/>
        <v>Plot 122</v>
      </c>
    </row>
    <row r="1737" spans="28:32" x14ac:dyDescent="0.25">
      <c r="AB1737" t="str">
        <f t="shared" ref="AB1737:AC1737" si="1800">AB1716</f>
        <v>Loading Bay</v>
      </c>
      <c r="AC1737" t="str">
        <f t="shared" si="1800"/>
        <v>Lift 3</v>
      </c>
      <c r="AD1737" t="b">
        <f t="shared" ca="1" si="1756"/>
        <v>1</v>
      </c>
      <c r="AE1737" s="1">
        <f t="shared" ca="1" si="1777"/>
        <v>122</v>
      </c>
      <c r="AF1737" t="str">
        <f t="shared" ca="1" si="1754"/>
        <v>Plot 122</v>
      </c>
    </row>
    <row r="1738" spans="28:32" x14ac:dyDescent="0.25">
      <c r="AB1738" t="str">
        <f t="shared" ref="AB1738:AC1738" si="1801">AB1717</f>
        <v>Loading Bay</v>
      </c>
      <c r="AC1738" t="str">
        <f t="shared" si="1801"/>
        <v>Lift 4</v>
      </c>
      <c r="AD1738" t="b">
        <f t="shared" ca="1" si="1756"/>
        <v>0</v>
      </c>
      <c r="AE1738" s="1">
        <f t="shared" ca="1" si="1777"/>
        <v>122</v>
      </c>
      <c r="AF1738" t="str">
        <f t="shared" ca="1" si="1754"/>
        <v>Plot 122</v>
      </c>
    </row>
    <row r="1739" spans="28:32" x14ac:dyDescent="0.25">
      <c r="AB1739" t="str">
        <f t="shared" ref="AB1739:AC1739" si="1802">AB1718</f>
        <v>Loading Bay</v>
      </c>
      <c r="AC1739" t="str">
        <f t="shared" si="1802"/>
        <v>Lift 5</v>
      </c>
      <c r="AD1739" t="b">
        <f t="shared" ca="1" si="1756"/>
        <v>0</v>
      </c>
      <c r="AE1739" s="1">
        <f t="shared" ca="1" si="1777"/>
        <v>122</v>
      </c>
      <c r="AF1739" t="str">
        <f t="shared" ca="1" si="1754"/>
        <v>Plot 122</v>
      </c>
    </row>
    <row r="1740" spans="28:32" x14ac:dyDescent="0.25">
      <c r="AB1740" t="str">
        <f t="shared" ref="AB1740:AC1740" si="1803">AB1719</f>
        <v>Loading Bay</v>
      </c>
      <c r="AC1740" t="str">
        <f t="shared" si="1803"/>
        <v>Lift 6</v>
      </c>
      <c r="AD1740" t="b">
        <f t="shared" ca="1" si="1756"/>
        <v>0</v>
      </c>
      <c r="AE1740" s="1">
        <f t="shared" ca="1" si="1777"/>
        <v>122</v>
      </c>
      <c r="AF1740" t="str">
        <f t="shared" ca="1" si="1754"/>
        <v>Plot 122</v>
      </c>
    </row>
    <row r="1741" spans="28:32" x14ac:dyDescent="0.25">
      <c r="AB1741" t="str">
        <f t="shared" ref="AB1741:AC1741" si="1804">AB1720</f>
        <v>Scaffolding Platform</v>
      </c>
      <c r="AC1741" t="str">
        <f t="shared" si="1804"/>
        <v>Ground Floor</v>
      </c>
      <c r="AD1741" t="b">
        <f t="shared" ca="1" si="1756"/>
        <v>1</v>
      </c>
      <c r="AE1741" s="1">
        <f t="shared" ca="1" si="1777"/>
        <v>122</v>
      </c>
      <c r="AF1741" t="str">
        <f t="shared" ca="1" si="1754"/>
        <v>Plot 122</v>
      </c>
    </row>
    <row r="1742" spans="28:32" x14ac:dyDescent="0.25">
      <c r="AB1742" t="str">
        <f t="shared" ref="AB1742:AC1742" si="1805">AB1721</f>
        <v>Scaffolding Platform</v>
      </c>
      <c r="AC1742" t="str">
        <f t="shared" si="1805"/>
        <v>First Floor</v>
      </c>
      <c r="AD1742" t="b">
        <f t="shared" ca="1" si="1756"/>
        <v>1</v>
      </c>
      <c r="AE1742" s="1">
        <f t="shared" ca="1" si="1777"/>
        <v>122</v>
      </c>
      <c r="AF1742" t="str">
        <f t="shared" ca="1" si="1754"/>
        <v>Plot 122</v>
      </c>
    </row>
    <row r="1743" spans="28:32" x14ac:dyDescent="0.25">
      <c r="AB1743" t="str">
        <f t="shared" ref="AB1743:AC1743" si="1806">AB1722</f>
        <v>Scaffolding Platform</v>
      </c>
      <c r="AC1743" t="str">
        <f t="shared" si="1806"/>
        <v>Second Floor</v>
      </c>
      <c r="AD1743" t="b">
        <f t="shared" ca="1" si="1756"/>
        <v>0</v>
      </c>
      <c r="AE1743" s="1">
        <f t="shared" ca="1" si="1777"/>
        <v>122</v>
      </c>
      <c r="AF1743" t="str">
        <f t="shared" ca="1" si="1754"/>
        <v>Plot 122</v>
      </c>
    </row>
    <row r="1744" spans="28:32" x14ac:dyDescent="0.25">
      <c r="AB1744" t="str">
        <f t="shared" ref="AB1744:AC1744" si="1807">AB1723</f>
        <v>Supporting Scaffold</v>
      </c>
      <c r="AC1744" t="str">
        <f t="shared" si="1807"/>
        <v>Ground Floor Prop.</v>
      </c>
      <c r="AD1744" t="str">
        <f t="shared" ca="1" si="1756"/>
        <v>TRUE</v>
      </c>
      <c r="AE1744" s="1">
        <f t="shared" ca="1" si="1777"/>
        <v>122</v>
      </c>
      <c r="AF1744" t="str">
        <f t="shared" ca="1" si="1754"/>
        <v>Plot 122</v>
      </c>
    </row>
    <row r="1745" spans="28:32" x14ac:dyDescent="0.25">
      <c r="AB1745" t="str">
        <f t="shared" ref="AB1745:AC1745" si="1808">AB1724</f>
        <v>Supporting Scaffold</v>
      </c>
      <c r="AC1745" t="str">
        <f t="shared" si="1808"/>
        <v>First Floor Prop.</v>
      </c>
      <c r="AD1745" t="str">
        <f t="shared" ca="1" si="1756"/>
        <v>FALSE</v>
      </c>
      <c r="AE1745" s="1">
        <f t="shared" ca="1" si="1777"/>
        <v>122</v>
      </c>
      <c r="AF1745" t="str">
        <f t="shared" ca="1" si="1754"/>
        <v>Plot 122</v>
      </c>
    </row>
    <row r="1746" spans="28:32" x14ac:dyDescent="0.25">
      <c r="AB1746" t="str">
        <f t="shared" ref="AB1746:AC1746" si="1809">AB1725</f>
        <v>Supporting Scaffold</v>
      </c>
      <c r="AC1746" t="str">
        <f t="shared" si="1809"/>
        <v>Second Floor Prop.</v>
      </c>
      <c r="AD1746" t="str">
        <f t="shared" ca="1" si="1756"/>
        <v>FALSE</v>
      </c>
      <c r="AE1746" s="1">
        <f t="shared" ca="1" si="1777"/>
        <v>122</v>
      </c>
      <c r="AF1746" t="str">
        <f t="shared" ca="1" si="1754"/>
        <v>Plot 122</v>
      </c>
    </row>
    <row r="1747" spans="28:32" x14ac:dyDescent="0.25">
      <c r="AB1747" t="str">
        <f t="shared" ref="AB1747:AC1747" si="1810">AB1726</f>
        <v>External Scaffolding</v>
      </c>
      <c r="AC1747" t="str">
        <f t="shared" si="1810"/>
        <v>Hop-ups</v>
      </c>
      <c r="AD1747" t="b">
        <f t="shared" ca="1" si="1756"/>
        <v>1</v>
      </c>
      <c r="AE1747" s="1">
        <f t="shared" ca="1" si="1777"/>
        <v>122</v>
      </c>
      <c r="AF1747" t="str">
        <f t="shared" ca="1" si="1754"/>
        <v>Plot 122</v>
      </c>
    </row>
    <row r="1748" spans="28:32" x14ac:dyDescent="0.25">
      <c r="AB1748" t="str">
        <f t="shared" ref="AB1748:AC1748" si="1811">AB1727</f>
        <v>External Scaffolding</v>
      </c>
      <c r="AC1748" t="str">
        <f t="shared" si="1811"/>
        <v>Adaptions</v>
      </c>
      <c r="AD1748" t="b">
        <f t="shared" ca="1" si="1756"/>
        <v>1</v>
      </c>
      <c r="AE1748" s="1">
        <f t="shared" ca="1" si="1777"/>
        <v>122</v>
      </c>
      <c r="AF1748" t="str">
        <f t="shared" ca="1" si="1754"/>
        <v>Plot 122</v>
      </c>
    </row>
    <row r="1749" spans="28:32" x14ac:dyDescent="0.25">
      <c r="AB1749" t="str">
        <f t="shared" ref="AB1749:AC1749" si="1812">AB1728</f>
        <v>External Scaffolding</v>
      </c>
      <c r="AC1749" t="str">
        <f t="shared" si="1812"/>
        <v>Adaption Tower</v>
      </c>
      <c r="AD1749" t="b">
        <f t="shared" ca="1" si="1756"/>
        <v>1</v>
      </c>
      <c r="AE1749" s="1">
        <f t="shared" ca="1" si="1777"/>
        <v>122</v>
      </c>
      <c r="AF1749" t="str">
        <f t="shared" ca="1" si="1754"/>
        <v>Plot 122</v>
      </c>
    </row>
    <row r="1750" spans="28:32" x14ac:dyDescent="0.25">
      <c r="AB1750" t="str">
        <f t="shared" ref="AB1750:AC1750" si="1813">AB1729</f>
        <v>External Scaffolding</v>
      </c>
      <c r="AC1750" t="str">
        <f t="shared" si="1813"/>
        <v>Lift 1</v>
      </c>
      <c r="AD1750" t="b">
        <f t="shared" ca="1" si="1756"/>
        <v>1</v>
      </c>
      <c r="AE1750" s="1">
        <f t="shared" ca="1" si="1777"/>
        <v>123</v>
      </c>
      <c r="AF1750" t="str">
        <f t="shared" ca="1" si="1754"/>
        <v>Plot 123</v>
      </c>
    </row>
    <row r="1751" spans="28:32" x14ac:dyDescent="0.25">
      <c r="AB1751" t="str">
        <f t="shared" ref="AB1751:AC1751" si="1814">AB1730</f>
        <v>External Scaffolding</v>
      </c>
      <c r="AC1751" t="str">
        <f t="shared" si="1814"/>
        <v>Lift 2</v>
      </c>
      <c r="AD1751" t="b">
        <f t="shared" ca="1" si="1756"/>
        <v>1</v>
      </c>
      <c r="AE1751" s="1">
        <f t="shared" ca="1" si="1777"/>
        <v>123</v>
      </c>
      <c r="AF1751" t="str">
        <f t="shared" ca="1" si="1754"/>
        <v>Plot 123</v>
      </c>
    </row>
    <row r="1752" spans="28:32" x14ac:dyDescent="0.25">
      <c r="AB1752" t="str">
        <f t="shared" ref="AB1752:AC1752" si="1815">AB1731</f>
        <v>External Scaffolding</v>
      </c>
      <c r="AC1752" t="str">
        <f t="shared" si="1815"/>
        <v>Lift 3</v>
      </c>
      <c r="AD1752" t="b">
        <f t="shared" ca="1" si="1756"/>
        <v>1</v>
      </c>
      <c r="AE1752" s="1">
        <f t="shared" ca="1" si="1777"/>
        <v>123</v>
      </c>
      <c r="AF1752" t="str">
        <f t="shared" ca="1" si="1754"/>
        <v>Plot 123</v>
      </c>
    </row>
    <row r="1753" spans="28:32" x14ac:dyDescent="0.25">
      <c r="AB1753" t="str">
        <f t="shared" ref="AB1753:AC1753" si="1816">AB1732</f>
        <v>External Scaffolding</v>
      </c>
      <c r="AC1753" t="str">
        <f t="shared" si="1816"/>
        <v>Lift 4</v>
      </c>
      <c r="AD1753" t="b">
        <f t="shared" ca="1" si="1756"/>
        <v>0</v>
      </c>
      <c r="AE1753" s="1">
        <f t="shared" ca="1" si="1777"/>
        <v>123</v>
      </c>
      <c r="AF1753" t="str">
        <f t="shared" ca="1" si="1754"/>
        <v>Plot 123</v>
      </c>
    </row>
    <row r="1754" spans="28:32" x14ac:dyDescent="0.25">
      <c r="AB1754" t="str">
        <f t="shared" ref="AB1754:AC1754" si="1817">AB1733</f>
        <v>External Scaffolding</v>
      </c>
      <c r="AC1754" t="str">
        <f t="shared" si="1817"/>
        <v>Lift 5</v>
      </c>
      <c r="AD1754" t="b">
        <f t="shared" ca="1" si="1756"/>
        <v>0</v>
      </c>
      <c r="AE1754" s="1">
        <f t="shared" ca="1" si="1777"/>
        <v>123</v>
      </c>
      <c r="AF1754" t="str">
        <f t="shared" ca="1" si="1754"/>
        <v>Plot 123</v>
      </c>
    </row>
    <row r="1755" spans="28:32" x14ac:dyDescent="0.25">
      <c r="AB1755" t="str">
        <f t="shared" ref="AB1755:AC1755" si="1818">AB1734</f>
        <v>External Scaffolding</v>
      </c>
      <c r="AC1755" t="str">
        <f t="shared" si="1818"/>
        <v>Lift 6</v>
      </c>
      <c r="AD1755" t="b">
        <f t="shared" ca="1" si="1756"/>
        <v>0</v>
      </c>
      <c r="AE1755" s="1">
        <f t="shared" ca="1" si="1777"/>
        <v>123</v>
      </c>
      <c r="AF1755" t="str">
        <f t="shared" ca="1" si="1754"/>
        <v>Plot 123</v>
      </c>
    </row>
    <row r="1756" spans="28:32" x14ac:dyDescent="0.25">
      <c r="AB1756" t="str">
        <f t="shared" ref="AB1756:AC1756" si="1819">AB1735</f>
        <v>Loading Bay</v>
      </c>
      <c r="AC1756" t="str">
        <f t="shared" si="1819"/>
        <v>Lift 1</v>
      </c>
      <c r="AD1756" t="b">
        <f t="shared" ca="1" si="1756"/>
        <v>1</v>
      </c>
      <c r="AE1756" s="1">
        <f t="shared" ca="1" si="1777"/>
        <v>123</v>
      </c>
      <c r="AF1756" t="str">
        <f t="shared" ca="1" si="1754"/>
        <v>Plot 123</v>
      </c>
    </row>
    <row r="1757" spans="28:32" x14ac:dyDescent="0.25">
      <c r="AB1757" t="str">
        <f t="shared" ref="AB1757:AC1757" si="1820">AB1736</f>
        <v>Loading Bay</v>
      </c>
      <c r="AC1757" t="str">
        <f t="shared" si="1820"/>
        <v>Lift 2</v>
      </c>
      <c r="AD1757" t="b">
        <f t="shared" ca="1" si="1756"/>
        <v>1</v>
      </c>
      <c r="AE1757" s="1">
        <f t="shared" ca="1" si="1777"/>
        <v>123</v>
      </c>
      <c r="AF1757" t="str">
        <f t="shared" ref="AF1757:AF1820" ca="1" si="1821">IF(LEFT(AE1757,1)="G",AE1757,"Plot "&amp;AE1757)</f>
        <v>Plot 123</v>
      </c>
    </row>
    <row r="1758" spans="28:32" x14ac:dyDescent="0.25">
      <c r="AB1758" t="str">
        <f t="shared" ref="AB1758:AC1758" si="1822">AB1737</f>
        <v>Loading Bay</v>
      </c>
      <c r="AC1758" t="str">
        <f t="shared" si="1822"/>
        <v>Lift 3</v>
      </c>
      <c r="AD1758" t="b">
        <f t="shared" ref="AD1758:AD1821" ca="1" si="1823">INDEX($AC$1:$JH$22,MATCH(AC1758,$AC$1:$AC$22,0),MATCH(AE1758,$AC$1:$JH$1,0))</f>
        <v>1</v>
      </c>
      <c r="AE1758" s="1">
        <f t="shared" ca="1" si="1777"/>
        <v>123</v>
      </c>
      <c r="AF1758" t="str">
        <f t="shared" ca="1" si="1821"/>
        <v>Plot 123</v>
      </c>
    </row>
    <row r="1759" spans="28:32" x14ac:dyDescent="0.25">
      <c r="AB1759" t="str">
        <f t="shared" ref="AB1759:AC1759" si="1824">AB1738</f>
        <v>Loading Bay</v>
      </c>
      <c r="AC1759" t="str">
        <f t="shared" si="1824"/>
        <v>Lift 4</v>
      </c>
      <c r="AD1759" t="b">
        <f t="shared" ca="1" si="1823"/>
        <v>0</v>
      </c>
      <c r="AE1759" s="1">
        <f t="shared" ca="1" si="1777"/>
        <v>123</v>
      </c>
      <c r="AF1759" t="str">
        <f t="shared" ca="1" si="1821"/>
        <v>Plot 123</v>
      </c>
    </row>
    <row r="1760" spans="28:32" x14ac:dyDescent="0.25">
      <c r="AB1760" t="str">
        <f t="shared" ref="AB1760:AC1760" si="1825">AB1739</f>
        <v>Loading Bay</v>
      </c>
      <c r="AC1760" t="str">
        <f t="shared" si="1825"/>
        <v>Lift 5</v>
      </c>
      <c r="AD1760" t="b">
        <f t="shared" ca="1" si="1823"/>
        <v>0</v>
      </c>
      <c r="AE1760" s="1">
        <f t="shared" ca="1" si="1777"/>
        <v>123</v>
      </c>
      <c r="AF1760" t="str">
        <f t="shared" ca="1" si="1821"/>
        <v>Plot 123</v>
      </c>
    </row>
    <row r="1761" spans="28:32" x14ac:dyDescent="0.25">
      <c r="AB1761" t="str">
        <f t="shared" ref="AB1761:AC1761" si="1826">AB1740</f>
        <v>Loading Bay</v>
      </c>
      <c r="AC1761" t="str">
        <f t="shared" si="1826"/>
        <v>Lift 6</v>
      </c>
      <c r="AD1761" t="b">
        <f t="shared" ca="1" si="1823"/>
        <v>0</v>
      </c>
      <c r="AE1761" s="1">
        <f t="shared" ca="1" si="1777"/>
        <v>123</v>
      </c>
      <c r="AF1761" t="str">
        <f t="shared" ca="1" si="1821"/>
        <v>Plot 123</v>
      </c>
    </row>
    <row r="1762" spans="28:32" x14ac:dyDescent="0.25">
      <c r="AB1762" t="str">
        <f t="shared" ref="AB1762:AC1762" si="1827">AB1741</f>
        <v>Scaffolding Platform</v>
      </c>
      <c r="AC1762" t="str">
        <f t="shared" si="1827"/>
        <v>Ground Floor</v>
      </c>
      <c r="AD1762" t="b">
        <f t="shared" ca="1" si="1823"/>
        <v>1</v>
      </c>
      <c r="AE1762" s="1">
        <f t="shared" ca="1" si="1777"/>
        <v>123</v>
      </c>
      <c r="AF1762" t="str">
        <f t="shared" ca="1" si="1821"/>
        <v>Plot 123</v>
      </c>
    </row>
    <row r="1763" spans="28:32" x14ac:dyDescent="0.25">
      <c r="AB1763" t="str">
        <f t="shared" ref="AB1763:AC1763" si="1828">AB1742</f>
        <v>Scaffolding Platform</v>
      </c>
      <c r="AC1763" t="str">
        <f t="shared" si="1828"/>
        <v>First Floor</v>
      </c>
      <c r="AD1763" t="b">
        <f t="shared" ca="1" si="1823"/>
        <v>1</v>
      </c>
      <c r="AE1763" s="1">
        <f t="shared" ca="1" si="1777"/>
        <v>123</v>
      </c>
      <c r="AF1763" t="str">
        <f t="shared" ca="1" si="1821"/>
        <v>Plot 123</v>
      </c>
    </row>
    <row r="1764" spans="28:32" x14ac:dyDescent="0.25">
      <c r="AB1764" t="str">
        <f t="shared" ref="AB1764:AC1764" si="1829">AB1743</f>
        <v>Scaffolding Platform</v>
      </c>
      <c r="AC1764" t="str">
        <f t="shared" si="1829"/>
        <v>Second Floor</v>
      </c>
      <c r="AD1764" t="b">
        <f t="shared" ca="1" si="1823"/>
        <v>0</v>
      </c>
      <c r="AE1764" s="1">
        <f t="shared" ca="1" si="1777"/>
        <v>123</v>
      </c>
      <c r="AF1764" t="str">
        <f t="shared" ca="1" si="1821"/>
        <v>Plot 123</v>
      </c>
    </row>
    <row r="1765" spans="28:32" x14ac:dyDescent="0.25">
      <c r="AB1765" t="str">
        <f t="shared" ref="AB1765:AC1765" si="1830">AB1744</f>
        <v>Supporting Scaffold</v>
      </c>
      <c r="AC1765" t="str">
        <f t="shared" si="1830"/>
        <v>Ground Floor Prop.</v>
      </c>
      <c r="AD1765" t="str">
        <f t="shared" ca="1" si="1823"/>
        <v>TRUE</v>
      </c>
      <c r="AE1765" s="1">
        <f t="shared" ca="1" si="1777"/>
        <v>123</v>
      </c>
      <c r="AF1765" t="str">
        <f t="shared" ca="1" si="1821"/>
        <v>Plot 123</v>
      </c>
    </row>
    <row r="1766" spans="28:32" x14ac:dyDescent="0.25">
      <c r="AB1766" t="str">
        <f t="shared" ref="AB1766:AC1766" si="1831">AB1745</f>
        <v>Supporting Scaffold</v>
      </c>
      <c r="AC1766" t="str">
        <f t="shared" si="1831"/>
        <v>First Floor Prop.</v>
      </c>
      <c r="AD1766" t="str">
        <f t="shared" ca="1" si="1823"/>
        <v>FALSE</v>
      </c>
      <c r="AE1766" s="1">
        <f t="shared" ca="1" si="1777"/>
        <v>123</v>
      </c>
      <c r="AF1766" t="str">
        <f t="shared" ca="1" si="1821"/>
        <v>Plot 123</v>
      </c>
    </row>
    <row r="1767" spans="28:32" x14ac:dyDescent="0.25">
      <c r="AB1767" t="str">
        <f t="shared" ref="AB1767:AC1767" si="1832">AB1746</f>
        <v>Supporting Scaffold</v>
      </c>
      <c r="AC1767" t="str">
        <f t="shared" si="1832"/>
        <v>Second Floor Prop.</v>
      </c>
      <c r="AD1767" t="str">
        <f t="shared" ca="1" si="1823"/>
        <v>FALSE</v>
      </c>
      <c r="AE1767" s="1">
        <f t="shared" ca="1" si="1777"/>
        <v>123</v>
      </c>
      <c r="AF1767" t="str">
        <f t="shared" ca="1" si="1821"/>
        <v>Plot 123</v>
      </c>
    </row>
    <row r="1768" spans="28:32" x14ac:dyDescent="0.25">
      <c r="AB1768" t="str">
        <f t="shared" ref="AB1768:AC1768" si="1833">AB1747</f>
        <v>External Scaffolding</v>
      </c>
      <c r="AC1768" t="str">
        <f t="shared" si="1833"/>
        <v>Hop-ups</v>
      </c>
      <c r="AD1768" t="b">
        <f t="shared" ca="1" si="1823"/>
        <v>1</v>
      </c>
      <c r="AE1768" s="1">
        <f t="shared" ca="1" si="1777"/>
        <v>123</v>
      </c>
      <c r="AF1768" t="str">
        <f t="shared" ca="1" si="1821"/>
        <v>Plot 123</v>
      </c>
    </row>
    <row r="1769" spans="28:32" x14ac:dyDescent="0.25">
      <c r="AB1769" t="str">
        <f t="shared" ref="AB1769:AC1769" si="1834">AB1748</f>
        <v>External Scaffolding</v>
      </c>
      <c r="AC1769" t="str">
        <f t="shared" si="1834"/>
        <v>Adaptions</v>
      </c>
      <c r="AD1769" t="b">
        <f t="shared" ca="1" si="1823"/>
        <v>1</v>
      </c>
      <c r="AE1769" s="1">
        <f t="shared" ca="1" si="1777"/>
        <v>123</v>
      </c>
      <c r="AF1769" t="str">
        <f t="shared" ca="1" si="1821"/>
        <v>Plot 123</v>
      </c>
    </row>
    <row r="1770" spans="28:32" x14ac:dyDescent="0.25">
      <c r="AB1770" t="str">
        <f t="shared" ref="AB1770:AC1770" si="1835">AB1749</f>
        <v>External Scaffolding</v>
      </c>
      <c r="AC1770" t="str">
        <f t="shared" si="1835"/>
        <v>Adaption Tower</v>
      </c>
      <c r="AD1770" t="b">
        <f t="shared" ca="1" si="1823"/>
        <v>1</v>
      </c>
      <c r="AE1770" s="1">
        <f t="shared" ca="1" si="1777"/>
        <v>123</v>
      </c>
      <c r="AF1770" t="str">
        <f t="shared" ca="1" si="1821"/>
        <v>Plot 123</v>
      </c>
    </row>
    <row r="1771" spans="28:32" x14ac:dyDescent="0.25">
      <c r="AB1771" t="str">
        <f t="shared" ref="AB1771:AC1771" si="1836">AB1750</f>
        <v>External Scaffolding</v>
      </c>
      <c r="AC1771" t="str">
        <f t="shared" si="1836"/>
        <v>Lift 1</v>
      </c>
      <c r="AD1771" t="b">
        <f t="shared" ca="1" si="1823"/>
        <v>1</v>
      </c>
      <c r="AE1771" s="1">
        <f t="shared" ca="1" si="1777"/>
        <v>124</v>
      </c>
      <c r="AF1771" t="str">
        <f t="shared" ca="1" si="1821"/>
        <v>Plot 124</v>
      </c>
    </row>
    <row r="1772" spans="28:32" x14ac:dyDescent="0.25">
      <c r="AB1772" t="str">
        <f t="shared" ref="AB1772:AC1772" si="1837">AB1751</f>
        <v>External Scaffolding</v>
      </c>
      <c r="AC1772" t="str">
        <f t="shared" si="1837"/>
        <v>Lift 2</v>
      </c>
      <c r="AD1772" t="b">
        <f t="shared" ca="1" si="1823"/>
        <v>1</v>
      </c>
      <c r="AE1772" s="1">
        <f t="shared" ca="1" si="1777"/>
        <v>124</v>
      </c>
      <c r="AF1772" t="str">
        <f t="shared" ca="1" si="1821"/>
        <v>Plot 124</v>
      </c>
    </row>
    <row r="1773" spans="28:32" x14ac:dyDescent="0.25">
      <c r="AB1773" t="str">
        <f t="shared" ref="AB1773:AC1773" si="1838">AB1752</f>
        <v>External Scaffolding</v>
      </c>
      <c r="AC1773" t="str">
        <f t="shared" si="1838"/>
        <v>Lift 3</v>
      </c>
      <c r="AD1773" t="b">
        <f t="shared" ca="1" si="1823"/>
        <v>1</v>
      </c>
      <c r="AE1773" s="1">
        <f t="shared" ca="1" si="1777"/>
        <v>124</v>
      </c>
      <c r="AF1773" t="str">
        <f t="shared" ca="1" si="1821"/>
        <v>Plot 124</v>
      </c>
    </row>
    <row r="1774" spans="28:32" x14ac:dyDescent="0.25">
      <c r="AB1774" t="str">
        <f t="shared" ref="AB1774:AC1774" si="1839">AB1753</f>
        <v>External Scaffolding</v>
      </c>
      <c r="AC1774" t="str">
        <f t="shared" si="1839"/>
        <v>Lift 4</v>
      </c>
      <c r="AD1774" t="b">
        <f t="shared" ca="1" si="1823"/>
        <v>1</v>
      </c>
      <c r="AE1774" s="1">
        <f t="shared" ca="1" si="1777"/>
        <v>124</v>
      </c>
      <c r="AF1774" t="str">
        <f t="shared" ca="1" si="1821"/>
        <v>Plot 124</v>
      </c>
    </row>
    <row r="1775" spans="28:32" x14ac:dyDescent="0.25">
      <c r="AB1775" t="str">
        <f t="shared" ref="AB1775:AC1775" si="1840">AB1754</f>
        <v>External Scaffolding</v>
      </c>
      <c r="AC1775" t="str">
        <f t="shared" si="1840"/>
        <v>Lift 5</v>
      </c>
      <c r="AD1775" t="b">
        <f t="shared" ca="1" si="1823"/>
        <v>0</v>
      </c>
      <c r="AE1775" s="1">
        <f t="shared" ca="1" si="1777"/>
        <v>124</v>
      </c>
      <c r="AF1775" t="str">
        <f t="shared" ca="1" si="1821"/>
        <v>Plot 124</v>
      </c>
    </row>
    <row r="1776" spans="28:32" x14ac:dyDescent="0.25">
      <c r="AB1776" t="str">
        <f t="shared" ref="AB1776:AC1776" si="1841">AB1755</f>
        <v>External Scaffolding</v>
      </c>
      <c r="AC1776" t="str">
        <f t="shared" si="1841"/>
        <v>Lift 6</v>
      </c>
      <c r="AD1776" t="b">
        <f t="shared" ca="1" si="1823"/>
        <v>0</v>
      </c>
      <c r="AE1776" s="1">
        <f t="shared" ca="1" si="1777"/>
        <v>124</v>
      </c>
      <c r="AF1776" t="str">
        <f t="shared" ca="1" si="1821"/>
        <v>Plot 124</v>
      </c>
    </row>
    <row r="1777" spans="28:32" x14ac:dyDescent="0.25">
      <c r="AB1777" t="str">
        <f t="shared" ref="AB1777:AC1777" si="1842">AB1756</f>
        <v>Loading Bay</v>
      </c>
      <c r="AC1777" t="str">
        <f t="shared" si="1842"/>
        <v>Lift 1</v>
      </c>
      <c r="AD1777" t="b">
        <f t="shared" ca="1" si="1823"/>
        <v>1</v>
      </c>
      <c r="AE1777" s="1">
        <f t="shared" ca="1" si="1777"/>
        <v>124</v>
      </c>
      <c r="AF1777" t="str">
        <f t="shared" ca="1" si="1821"/>
        <v>Plot 124</v>
      </c>
    </row>
    <row r="1778" spans="28:32" x14ac:dyDescent="0.25">
      <c r="AB1778" t="str">
        <f t="shared" ref="AB1778:AC1778" si="1843">AB1757</f>
        <v>Loading Bay</v>
      </c>
      <c r="AC1778" t="str">
        <f t="shared" si="1843"/>
        <v>Lift 2</v>
      </c>
      <c r="AD1778" t="b">
        <f t="shared" ca="1" si="1823"/>
        <v>1</v>
      </c>
      <c r="AE1778" s="1">
        <f t="shared" ref="AE1778:AE1841" ca="1" si="1844">OFFSET($AD$1,0,FLOOR(ROW(B1750)/21,1))</f>
        <v>124</v>
      </c>
      <c r="AF1778" t="str">
        <f t="shared" ca="1" si="1821"/>
        <v>Plot 124</v>
      </c>
    </row>
    <row r="1779" spans="28:32" x14ac:dyDescent="0.25">
      <c r="AB1779" t="str">
        <f t="shared" ref="AB1779:AC1779" si="1845">AB1758</f>
        <v>Loading Bay</v>
      </c>
      <c r="AC1779" t="str">
        <f t="shared" si="1845"/>
        <v>Lift 3</v>
      </c>
      <c r="AD1779" t="b">
        <f t="shared" ca="1" si="1823"/>
        <v>1</v>
      </c>
      <c r="AE1779" s="1">
        <f t="shared" ca="1" si="1844"/>
        <v>124</v>
      </c>
      <c r="AF1779" t="str">
        <f t="shared" ca="1" si="1821"/>
        <v>Plot 124</v>
      </c>
    </row>
    <row r="1780" spans="28:32" x14ac:dyDescent="0.25">
      <c r="AB1780" t="str">
        <f t="shared" ref="AB1780:AC1780" si="1846">AB1759</f>
        <v>Loading Bay</v>
      </c>
      <c r="AC1780" t="str">
        <f t="shared" si="1846"/>
        <v>Lift 4</v>
      </c>
      <c r="AD1780" t="b">
        <f t="shared" ca="1" si="1823"/>
        <v>1</v>
      </c>
      <c r="AE1780" s="1">
        <f t="shared" ca="1" si="1844"/>
        <v>124</v>
      </c>
      <c r="AF1780" t="str">
        <f t="shared" ca="1" si="1821"/>
        <v>Plot 124</v>
      </c>
    </row>
    <row r="1781" spans="28:32" x14ac:dyDescent="0.25">
      <c r="AB1781" t="str">
        <f t="shared" ref="AB1781:AC1781" si="1847">AB1760</f>
        <v>Loading Bay</v>
      </c>
      <c r="AC1781" t="str">
        <f t="shared" si="1847"/>
        <v>Lift 5</v>
      </c>
      <c r="AD1781" t="b">
        <f t="shared" ca="1" si="1823"/>
        <v>0</v>
      </c>
      <c r="AE1781" s="1">
        <f t="shared" ca="1" si="1844"/>
        <v>124</v>
      </c>
      <c r="AF1781" t="str">
        <f t="shared" ca="1" si="1821"/>
        <v>Plot 124</v>
      </c>
    </row>
    <row r="1782" spans="28:32" x14ac:dyDescent="0.25">
      <c r="AB1782" t="str">
        <f t="shared" ref="AB1782:AC1782" si="1848">AB1761</f>
        <v>Loading Bay</v>
      </c>
      <c r="AC1782" t="str">
        <f t="shared" si="1848"/>
        <v>Lift 6</v>
      </c>
      <c r="AD1782" t="b">
        <f t="shared" ca="1" si="1823"/>
        <v>0</v>
      </c>
      <c r="AE1782" s="1">
        <f t="shared" ca="1" si="1844"/>
        <v>124</v>
      </c>
      <c r="AF1782" t="str">
        <f t="shared" ca="1" si="1821"/>
        <v>Plot 124</v>
      </c>
    </row>
    <row r="1783" spans="28:32" x14ac:dyDescent="0.25">
      <c r="AB1783" t="str">
        <f t="shared" ref="AB1783:AC1783" si="1849">AB1762</f>
        <v>Scaffolding Platform</v>
      </c>
      <c r="AC1783" t="str">
        <f t="shared" si="1849"/>
        <v>Ground Floor</v>
      </c>
      <c r="AD1783" t="b">
        <f t="shared" ca="1" si="1823"/>
        <v>1</v>
      </c>
      <c r="AE1783" s="1">
        <f t="shared" ca="1" si="1844"/>
        <v>124</v>
      </c>
      <c r="AF1783" t="str">
        <f t="shared" ca="1" si="1821"/>
        <v>Plot 124</v>
      </c>
    </row>
    <row r="1784" spans="28:32" x14ac:dyDescent="0.25">
      <c r="AB1784" t="str">
        <f t="shared" ref="AB1784:AC1784" si="1850">AB1763</f>
        <v>Scaffolding Platform</v>
      </c>
      <c r="AC1784" t="str">
        <f t="shared" si="1850"/>
        <v>First Floor</v>
      </c>
      <c r="AD1784" t="b">
        <f t="shared" ca="1" si="1823"/>
        <v>1</v>
      </c>
      <c r="AE1784" s="1">
        <f t="shared" ca="1" si="1844"/>
        <v>124</v>
      </c>
      <c r="AF1784" t="str">
        <f t="shared" ca="1" si="1821"/>
        <v>Plot 124</v>
      </c>
    </row>
    <row r="1785" spans="28:32" x14ac:dyDescent="0.25">
      <c r="AB1785" t="str">
        <f t="shared" ref="AB1785:AC1785" si="1851">AB1764</f>
        <v>Scaffolding Platform</v>
      </c>
      <c r="AC1785" t="str">
        <f t="shared" si="1851"/>
        <v>Second Floor</v>
      </c>
      <c r="AD1785" t="b">
        <f t="shared" ca="1" si="1823"/>
        <v>1</v>
      </c>
      <c r="AE1785" s="1">
        <f t="shared" ca="1" si="1844"/>
        <v>124</v>
      </c>
      <c r="AF1785" t="str">
        <f t="shared" ca="1" si="1821"/>
        <v>Plot 124</v>
      </c>
    </row>
    <row r="1786" spans="28:32" x14ac:dyDescent="0.25">
      <c r="AB1786" t="str">
        <f t="shared" ref="AB1786:AC1786" si="1852">AB1765</f>
        <v>Supporting Scaffold</v>
      </c>
      <c r="AC1786" t="str">
        <f t="shared" si="1852"/>
        <v>Ground Floor Prop.</v>
      </c>
      <c r="AD1786" t="str">
        <f t="shared" ca="1" si="1823"/>
        <v>TRUE</v>
      </c>
      <c r="AE1786" s="1">
        <f t="shared" ca="1" si="1844"/>
        <v>124</v>
      </c>
      <c r="AF1786" t="str">
        <f t="shared" ca="1" si="1821"/>
        <v>Plot 124</v>
      </c>
    </row>
    <row r="1787" spans="28:32" x14ac:dyDescent="0.25">
      <c r="AB1787" t="str">
        <f t="shared" ref="AB1787:AC1787" si="1853">AB1766</f>
        <v>Supporting Scaffold</v>
      </c>
      <c r="AC1787" t="str">
        <f t="shared" si="1853"/>
        <v>First Floor Prop.</v>
      </c>
      <c r="AD1787" t="str">
        <f t="shared" ca="1" si="1823"/>
        <v>TRUE</v>
      </c>
      <c r="AE1787" s="1">
        <f t="shared" ca="1" si="1844"/>
        <v>124</v>
      </c>
      <c r="AF1787" t="str">
        <f t="shared" ca="1" si="1821"/>
        <v>Plot 124</v>
      </c>
    </row>
    <row r="1788" spans="28:32" x14ac:dyDescent="0.25">
      <c r="AB1788" t="str">
        <f t="shared" ref="AB1788:AC1788" si="1854">AB1767</f>
        <v>Supporting Scaffold</v>
      </c>
      <c r="AC1788" t="str">
        <f t="shared" si="1854"/>
        <v>Second Floor Prop.</v>
      </c>
      <c r="AD1788" t="str">
        <f t="shared" ca="1" si="1823"/>
        <v>FALSE</v>
      </c>
      <c r="AE1788" s="1">
        <f t="shared" ca="1" si="1844"/>
        <v>124</v>
      </c>
      <c r="AF1788" t="str">
        <f t="shared" ca="1" si="1821"/>
        <v>Plot 124</v>
      </c>
    </row>
    <row r="1789" spans="28:32" x14ac:dyDescent="0.25">
      <c r="AB1789" t="str">
        <f t="shared" ref="AB1789:AC1789" si="1855">AB1768</f>
        <v>External Scaffolding</v>
      </c>
      <c r="AC1789" t="str">
        <f t="shared" si="1855"/>
        <v>Hop-ups</v>
      </c>
      <c r="AD1789" t="b">
        <f t="shared" ca="1" si="1823"/>
        <v>1</v>
      </c>
      <c r="AE1789" s="1">
        <f t="shared" ca="1" si="1844"/>
        <v>124</v>
      </c>
      <c r="AF1789" t="str">
        <f t="shared" ca="1" si="1821"/>
        <v>Plot 124</v>
      </c>
    </row>
    <row r="1790" spans="28:32" x14ac:dyDescent="0.25">
      <c r="AB1790" t="str">
        <f t="shared" ref="AB1790:AC1790" si="1856">AB1769</f>
        <v>External Scaffolding</v>
      </c>
      <c r="AC1790" t="str">
        <f t="shared" si="1856"/>
        <v>Adaptions</v>
      </c>
      <c r="AD1790" t="b">
        <f t="shared" ca="1" si="1823"/>
        <v>1</v>
      </c>
      <c r="AE1790" s="1">
        <f t="shared" ca="1" si="1844"/>
        <v>124</v>
      </c>
      <c r="AF1790" t="str">
        <f t="shared" ca="1" si="1821"/>
        <v>Plot 124</v>
      </c>
    </row>
    <row r="1791" spans="28:32" x14ac:dyDescent="0.25">
      <c r="AB1791" t="str">
        <f t="shared" ref="AB1791:AC1791" si="1857">AB1770</f>
        <v>External Scaffolding</v>
      </c>
      <c r="AC1791" t="str">
        <f t="shared" si="1857"/>
        <v>Adaption Tower</v>
      </c>
      <c r="AD1791" t="b">
        <f t="shared" ca="1" si="1823"/>
        <v>1</v>
      </c>
      <c r="AE1791" s="1">
        <f t="shared" ca="1" si="1844"/>
        <v>124</v>
      </c>
      <c r="AF1791" t="str">
        <f t="shared" ca="1" si="1821"/>
        <v>Plot 124</v>
      </c>
    </row>
    <row r="1792" spans="28:32" x14ac:dyDescent="0.25">
      <c r="AB1792" t="str">
        <f t="shared" ref="AB1792:AC1792" si="1858">AB1771</f>
        <v>External Scaffolding</v>
      </c>
      <c r="AC1792" t="str">
        <f t="shared" si="1858"/>
        <v>Lift 1</v>
      </c>
      <c r="AD1792" t="b">
        <f t="shared" ca="1" si="1823"/>
        <v>1</v>
      </c>
      <c r="AE1792" s="1">
        <f t="shared" ca="1" si="1844"/>
        <v>125</v>
      </c>
      <c r="AF1792" t="str">
        <f t="shared" ca="1" si="1821"/>
        <v>Plot 125</v>
      </c>
    </row>
    <row r="1793" spans="28:32" x14ac:dyDescent="0.25">
      <c r="AB1793" t="str">
        <f t="shared" ref="AB1793:AC1793" si="1859">AB1772</f>
        <v>External Scaffolding</v>
      </c>
      <c r="AC1793" t="str">
        <f t="shared" si="1859"/>
        <v>Lift 2</v>
      </c>
      <c r="AD1793" t="b">
        <f t="shared" ca="1" si="1823"/>
        <v>1</v>
      </c>
      <c r="AE1793" s="1">
        <f t="shared" ca="1" si="1844"/>
        <v>125</v>
      </c>
      <c r="AF1793" t="str">
        <f t="shared" ca="1" si="1821"/>
        <v>Plot 125</v>
      </c>
    </row>
    <row r="1794" spans="28:32" x14ac:dyDescent="0.25">
      <c r="AB1794" t="str">
        <f t="shared" ref="AB1794:AC1794" si="1860">AB1773</f>
        <v>External Scaffolding</v>
      </c>
      <c r="AC1794" t="str">
        <f t="shared" si="1860"/>
        <v>Lift 3</v>
      </c>
      <c r="AD1794" t="b">
        <f t="shared" ca="1" si="1823"/>
        <v>1</v>
      </c>
      <c r="AE1794" s="1">
        <f t="shared" ca="1" si="1844"/>
        <v>125</v>
      </c>
      <c r="AF1794" t="str">
        <f t="shared" ca="1" si="1821"/>
        <v>Plot 125</v>
      </c>
    </row>
    <row r="1795" spans="28:32" x14ac:dyDescent="0.25">
      <c r="AB1795" t="str">
        <f t="shared" ref="AB1795:AC1795" si="1861">AB1774</f>
        <v>External Scaffolding</v>
      </c>
      <c r="AC1795" t="str">
        <f t="shared" si="1861"/>
        <v>Lift 4</v>
      </c>
      <c r="AD1795" t="b">
        <f t="shared" ca="1" si="1823"/>
        <v>0</v>
      </c>
      <c r="AE1795" s="1">
        <f t="shared" ca="1" si="1844"/>
        <v>125</v>
      </c>
      <c r="AF1795" t="str">
        <f t="shared" ca="1" si="1821"/>
        <v>Plot 125</v>
      </c>
    </row>
    <row r="1796" spans="28:32" x14ac:dyDescent="0.25">
      <c r="AB1796" t="str">
        <f t="shared" ref="AB1796:AC1796" si="1862">AB1775</f>
        <v>External Scaffolding</v>
      </c>
      <c r="AC1796" t="str">
        <f t="shared" si="1862"/>
        <v>Lift 5</v>
      </c>
      <c r="AD1796" t="b">
        <f t="shared" ca="1" si="1823"/>
        <v>0</v>
      </c>
      <c r="AE1796" s="1">
        <f t="shared" ca="1" si="1844"/>
        <v>125</v>
      </c>
      <c r="AF1796" t="str">
        <f t="shared" ca="1" si="1821"/>
        <v>Plot 125</v>
      </c>
    </row>
    <row r="1797" spans="28:32" x14ac:dyDescent="0.25">
      <c r="AB1797" t="str">
        <f t="shared" ref="AB1797:AC1797" si="1863">AB1776</f>
        <v>External Scaffolding</v>
      </c>
      <c r="AC1797" t="str">
        <f t="shared" si="1863"/>
        <v>Lift 6</v>
      </c>
      <c r="AD1797" t="b">
        <f t="shared" ca="1" si="1823"/>
        <v>0</v>
      </c>
      <c r="AE1797" s="1">
        <f t="shared" ca="1" si="1844"/>
        <v>125</v>
      </c>
      <c r="AF1797" t="str">
        <f t="shared" ca="1" si="1821"/>
        <v>Plot 125</v>
      </c>
    </row>
    <row r="1798" spans="28:32" x14ac:dyDescent="0.25">
      <c r="AB1798" t="str">
        <f t="shared" ref="AB1798:AC1798" si="1864">AB1777</f>
        <v>Loading Bay</v>
      </c>
      <c r="AC1798" t="str">
        <f t="shared" si="1864"/>
        <v>Lift 1</v>
      </c>
      <c r="AD1798" t="b">
        <f t="shared" ca="1" si="1823"/>
        <v>1</v>
      </c>
      <c r="AE1798" s="1">
        <f t="shared" ca="1" si="1844"/>
        <v>125</v>
      </c>
      <c r="AF1798" t="str">
        <f t="shared" ca="1" si="1821"/>
        <v>Plot 125</v>
      </c>
    </row>
    <row r="1799" spans="28:32" x14ac:dyDescent="0.25">
      <c r="AB1799" t="str">
        <f t="shared" ref="AB1799:AC1799" si="1865">AB1778</f>
        <v>Loading Bay</v>
      </c>
      <c r="AC1799" t="str">
        <f t="shared" si="1865"/>
        <v>Lift 2</v>
      </c>
      <c r="AD1799" t="b">
        <f t="shared" ca="1" si="1823"/>
        <v>1</v>
      </c>
      <c r="AE1799" s="1">
        <f t="shared" ca="1" si="1844"/>
        <v>125</v>
      </c>
      <c r="AF1799" t="str">
        <f t="shared" ca="1" si="1821"/>
        <v>Plot 125</v>
      </c>
    </row>
    <row r="1800" spans="28:32" x14ac:dyDescent="0.25">
      <c r="AB1800" t="str">
        <f t="shared" ref="AB1800:AC1800" si="1866">AB1779</f>
        <v>Loading Bay</v>
      </c>
      <c r="AC1800" t="str">
        <f t="shared" si="1866"/>
        <v>Lift 3</v>
      </c>
      <c r="AD1800" t="b">
        <f t="shared" ca="1" si="1823"/>
        <v>1</v>
      </c>
      <c r="AE1800" s="1">
        <f t="shared" ca="1" si="1844"/>
        <v>125</v>
      </c>
      <c r="AF1800" t="str">
        <f t="shared" ca="1" si="1821"/>
        <v>Plot 125</v>
      </c>
    </row>
    <row r="1801" spans="28:32" x14ac:dyDescent="0.25">
      <c r="AB1801" t="str">
        <f t="shared" ref="AB1801:AC1801" si="1867">AB1780</f>
        <v>Loading Bay</v>
      </c>
      <c r="AC1801" t="str">
        <f t="shared" si="1867"/>
        <v>Lift 4</v>
      </c>
      <c r="AD1801" t="b">
        <f t="shared" ca="1" si="1823"/>
        <v>0</v>
      </c>
      <c r="AE1801" s="1">
        <f t="shared" ca="1" si="1844"/>
        <v>125</v>
      </c>
      <c r="AF1801" t="str">
        <f t="shared" ca="1" si="1821"/>
        <v>Plot 125</v>
      </c>
    </row>
    <row r="1802" spans="28:32" x14ac:dyDescent="0.25">
      <c r="AB1802" t="str">
        <f t="shared" ref="AB1802:AC1802" si="1868">AB1781</f>
        <v>Loading Bay</v>
      </c>
      <c r="AC1802" t="str">
        <f t="shared" si="1868"/>
        <v>Lift 5</v>
      </c>
      <c r="AD1802" t="b">
        <f t="shared" ca="1" si="1823"/>
        <v>0</v>
      </c>
      <c r="AE1802" s="1">
        <f t="shared" ca="1" si="1844"/>
        <v>125</v>
      </c>
      <c r="AF1802" t="str">
        <f t="shared" ca="1" si="1821"/>
        <v>Plot 125</v>
      </c>
    </row>
    <row r="1803" spans="28:32" x14ac:dyDescent="0.25">
      <c r="AB1803" t="str">
        <f t="shared" ref="AB1803:AC1803" si="1869">AB1782</f>
        <v>Loading Bay</v>
      </c>
      <c r="AC1803" t="str">
        <f t="shared" si="1869"/>
        <v>Lift 6</v>
      </c>
      <c r="AD1803" t="b">
        <f t="shared" ca="1" si="1823"/>
        <v>0</v>
      </c>
      <c r="AE1803" s="1">
        <f t="shared" ca="1" si="1844"/>
        <v>125</v>
      </c>
      <c r="AF1803" t="str">
        <f t="shared" ca="1" si="1821"/>
        <v>Plot 125</v>
      </c>
    </row>
    <row r="1804" spans="28:32" x14ac:dyDescent="0.25">
      <c r="AB1804" t="str">
        <f t="shared" ref="AB1804:AC1804" si="1870">AB1783</f>
        <v>Scaffolding Platform</v>
      </c>
      <c r="AC1804" t="str">
        <f t="shared" si="1870"/>
        <v>Ground Floor</v>
      </c>
      <c r="AD1804" t="b">
        <f t="shared" ca="1" si="1823"/>
        <v>1</v>
      </c>
      <c r="AE1804" s="1">
        <f t="shared" ca="1" si="1844"/>
        <v>125</v>
      </c>
      <c r="AF1804" t="str">
        <f t="shared" ca="1" si="1821"/>
        <v>Plot 125</v>
      </c>
    </row>
    <row r="1805" spans="28:32" x14ac:dyDescent="0.25">
      <c r="AB1805" t="str">
        <f t="shared" ref="AB1805:AC1805" si="1871">AB1784</f>
        <v>Scaffolding Platform</v>
      </c>
      <c r="AC1805" t="str">
        <f t="shared" si="1871"/>
        <v>First Floor</v>
      </c>
      <c r="AD1805" t="b">
        <f t="shared" ca="1" si="1823"/>
        <v>1</v>
      </c>
      <c r="AE1805" s="1">
        <f t="shared" ca="1" si="1844"/>
        <v>125</v>
      </c>
      <c r="AF1805" t="str">
        <f t="shared" ca="1" si="1821"/>
        <v>Plot 125</v>
      </c>
    </row>
    <row r="1806" spans="28:32" x14ac:dyDescent="0.25">
      <c r="AB1806" t="str">
        <f t="shared" ref="AB1806:AC1806" si="1872">AB1785</f>
        <v>Scaffolding Platform</v>
      </c>
      <c r="AC1806" t="str">
        <f t="shared" si="1872"/>
        <v>Second Floor</v>
      </c>
      <c r="AD1806" t="b">
        <f t="shared" ca="1" si="1823"/>
        <v>0</v>
      </c>
      <c r="AE1806" s="1">
        <f t="shared" ca="1" si="1844"/>
        <v>125</v>
      </c>
      <c r="AF1806" t="str">
        <f t="shared" ca="1" si="1821"/>
        <v>Plot 125</v>
      </c>
    </row>
    <row r="1807" spans="28:32" x14ac:dyDescent="0.25">
      <c r="AB1807" t="str">
        <f t="shared" ref="AB1807:AC1807" si="1873">AB1786</f>
        <v>Supporting Scaffold</v>
      </c>
      <c r="AC1807" t="str">
        <f t="shared" si="1873"/>
        <v>Ground Floor Prop.</v>
      </c>
      <c r="AD1807" t="str">
        <f t="shared" ca="1" si="1823"/>
        <v>TRUE</v>
      </c>
      <c r="AE1807" s="1">
        <f t="shared" ca="1" si="1844"/>
        <v>125</v>
      </c>
      <c r="AF1807" t="str">
        <f t="shared" ca="1" si="1821"/>
        <v>Plot 125</v>
      </c>
    </row>
    <row r="1808" spans="28:32" x14ac:dyDescent="0.25">
      <c r="AB1808" t="str">
        <f t="shared" ref="AB1808:AC1808" si="1874">AB1787</f>
        <v>Supporting Scaffold</v>
      </c>
      <c r="AC1808" t="str">
        <f t="shared" si="1874"/>
        <v>First Floor Prop.</v>
      </c>
      <c r="AD1808" t="str">
        <f t="shared" ca="1" si="1823"/>
        <v>FALSE</v>
      </c>
      <c r="AE1808" s="1">
        <f t="shared" ca="1" si="1844"/>
        <v>125</v>
      </c>
      <c r="AF1808" t="str">
        <f t="shared" ca="1" si="1821"/>
        <v>Plot 125</v>
      </c>
    </row>
    <row r="1809" spans="28:32" x14ac:dyDescent="0.25">
      <c r="AB1809" t="str">
        <f t="shared" ref="AB1809:AC1809" si="1875">AB1788</f>
        <v>Supporting Scaffold</v>
      </c>
      <c r="AC1809" t="str">
        <f t="shared" si="1875"/>
        <v>Second Floor Prop.</v>
      </c>
      <c r="AD1809" t="str">
        <f t="shared" ca="1" si="1823"/>
        <v>FALSE</v>
      </c>
      <c r="AE1809" s="1">
        <f t="shared" ca="1" si="1844"/>
        <v>125</v>
      </c>
      <c r="AF1809" t="str">
        <f t="shared" ca="1" si="1821"/>
        <v>Plot 125</v>
      </c>
    </row>
    <row r="1810" spans="28:32" x14ac:dyDescent="0.25">
      <c r="AB1810" t="str">
        <f t="shared" ref="AB1810:AC1810" si="1876">AB1789</f>
        <v>External Scaffolding</v>
      </c>
      <c r="AC1810" t="str">
        <f t="shared" si="1876"/>
        <v>Hop-ups</v>
      </c>
      <c r="AD1810" t="b">
        <f t="shared" ca="1" si="1823"/>
        <v>1</v>
      </c>
      <c r="AE1810" s="1">
        <f t="shared" ca="1" si="1844"/>
        <v>125</v>
      </c>
      <c r="AF1810" t="str">
        <f t="shared" ca="1" si="1821"/>
        <v>Plot 125</v>
      </c>
    </row>
    <row r="1811" spans="28:32" x14ac:dyDescent="0.25">
      <c r="AB1811" t="str">
        <f t="shared" ref="AB1811:AC1811" si="1877">AB1790</f>
        <v>External Scaffolding</v>
      </c>
      <c r="AC1811" t="str">
        <f t="shared" si="1877"/>
        <v>Adaptions</v>
      </c>
      <c r="AD1811" t="b">
        <f t="shared" ca="1" si="1823"/>
        <v>1</v>
      </c>
      <c r="AE1811" s="1">
        <f t="shared" ca="1" si="1844"/>
        <v>125</v>
      </c>
      <c r="AF1811" t="str">
        <f t="shared" ca="1" si="1821"/>
        <v>Plot 125</v>
      </c>
    </row>
    <row r="1812" spans="28:32" x14ac:dyDescent="0.25">
      <c r="AB1812" t="str">
        <f t="shared" ref="AB1812:AC1812" si="1878">AB1791</f>
        <v>External Scaffolding</v>
      </c>
      <c r="AC1812" t="str">
        <f t="shared" si="1878"/>
        <v>Adaption Tower</v>
      </c>
      <c r="AD1812" t="b">
        <f t="shared" ca="1" si="1823"/>
        <v>1</v>
      </c>
      <c r="AE1812" s="1">
        <f t="shared" ca="1" si="1844"/>
        <v>125</v>
      </c>
      <c r="AF1812" t="str">
        <f t="shared" ca="1" si="1821"/>
        <v>Plot 125</v>
      </c>
    </row>
    <row r="1813" spans="28:32" x14ac:dyDescent="0.25">
      <c r="AB1813" t="str">
        <f t="shared" ref="AB1813:AC1813" si="1879">AB1792</f>
        <v>External Scaffolding</v>
      </c>
      <c r="AC1813" t="str">
        <f t="shared" si="1879"/>
        <v>Lift 1</v>
      </c>
      <c r="AD1813" t="b">
        <f t="shared" ca="1" si="1823"/>
        <v>1</v>
      </c>
      <c r="AE1813" s="1" t="str">
        <f t="shared" ca="1" si="1844"/>
        <v>126-127</v>
      </c>
      <c r="AF1813" t="str">
        <f t="shared" ca="1" si="1821"/>
        <v>Plot 126-127</v>
      </c>
    </row>
    <row r="1814" spans="28:32" x14ac:dyDescent="0.25">
      <c r="AB1814" t="str">
        <f t="shared" ref="AB1814:AC1814" si="1880">AB1793</f>
        <v>External Scaffolding</v>
      </c>
      <c r="AC1814" t="str">
        <f t="shared" si="1880"/>
        <v>Lift 2</v>
      </c>
      <c r="AD1814" t="b">
        <f t="shared" ca="1" si="1823"/>
        <v>1</v>
      </c>
      <c r="AE1814" s="1" t="str">
        <f t="shared" ca="1" si="1844"/>
        <v>126-127</v>
      </c>
      <c r="AF1814" t="str">
        <f t="shared" ca="1" si="1821"/>
        <v>Plot 126-127</v>
      </c>
    </row>
    <row r="1815" spans="28:32" x14ac:dyDescent="0.25">
      <c r="AB1815" t="str">
        <f t="shared" ref="AB1815:AC1815" si="1881">AB1794</f>
        <v>External Scaffolding</v>
      </c>
      <c r="AC1815" t="str">
        <f t="shared" si="1881"/>
        <v>Lift 3</v>
      </c>
      <c r="AD1815" t="b">
        <f t="shared" ca="1" si="1823"/>
        <v>1</v>
      </c>
      <c r="AE1815" s="1" t="str">
        <f t="shared" ca="1" si="1844"/>
        <v>126-127</v>
      </c>
      <c r="AF1815" t="str">
        <f t="shared" ca="1" si="1821"/>
        <v>Plot 126-127</v>
      </c>
    </row>
    <row r="1816" spans="28:32" x14ac:dyDescent="0.25">
      <c r="AB1816" t="str">
        <f t="shared" ref="AB1816:AC1816" si="1882">AB1795</f>
        <v>External Scaffolding</v>
      </c>
      <c r="AC1816" t="str">
        <f t="shared" si="1882"/>
        <v>Lift 4</v>
      </c>
      <c r="AD1816" t="b">
        <f t="shared" ca="1" si="1823"/>
        <v>0</v>
      </c>
      <c r="AE1816" s="1" t="str">
        <f t="shared" ca="1" si="1844"/>
        <v>126-127</v>
      </c>
      <c r="AF1816" t="str">
        <f t="shared" ca="1" si="1821"/>
        <v>Plot 126-127</v>
      </c>
    </row>
    <row r="1817" spans="28:32" x14ac:dyDescent="0.25">
      <c r="AB1817" t="str">
        <f t="shared" ref="AB1817:AC1817" si="1883">AB1796</f>
        <v>External Scaffolding</v>
      </c>
      <c r="AC1817" t="str">
        <f t="shared" si="1883"/>
        <v>Lift 5</v>
      </c>
      <c r="AD1817" t="b">
        <f t="shared" ca="1" si="1823"/>
        <v>0</v>
      </c>
      <c r="AE1817" s="1" t="str">
        <f t="shared" ca="1" si="1844"/>
        <v>126-127</v>
      </c>
      <c r="AF1817" t="str">
        <f t="shared" ca="1" si="1821"/>
        <v>Plot 126-127</v>
      </c>
    </row>
    <row r="1818" spans="28:32" x14ac:dyDescent="0.25">
      <c r="AB1818" t="str">
        <f t="shared" ref="AB1818:AC1818" si="1884">AB1797</f>
        <v>External Scaffolding</v>
      </c>
      <c r="AC1818" t="str">
        <f t="shared" si="1884"/>
        <v>Lift 6</v>
      </c>
      <c r="AD1818" t="b">
        <f t="shared" ca="1" si="1823"/>
        <v>0</v>
      </c>
      <c r="AE1818" s="1" t="str">
        <f t="shared" ca="1" si="1844"/>
        <v>126-127</v>
      </c>
      <c r="AF1818" t="str">
        <f t="shared" ca="1" si="1821"/>
        <v>Plot 126-127</v>
      </c>
    </row>
    <row r="1819" spans="28:32" x14ac:dyDescent="0.25">
      <c r="AB1819" t="str">
        <f t="shared" ref="AB1819:AC1819" si="1885">AB1798</f>
        <v>Loading Bay</v>
      </c>
      <c r="AC1819" t="str">
        <f t="shared" si="1885"/>
        <v>Lift 1</v>
      </c>
      <c r="AD1819" t="b">
        <f t="shared" ca="1" si="1823"/>
        <v>1</v>
      </c>
      <c r="AE1819" s="1" t="str">
        <f t="shared" ca="1" si="1844"/>
        <v>126-127</v>
      </c>
      <c r="AF1819" t="str">
        <f t="shared" ca="1" si="1821"/>
        <v>Plot 126-127</v>
      </c>
    </row>
    <row r="1820" spans="28:32" x14ac:dyDescent="0.25">
      <c r="AB1820" t="str">
        <f t="shared" ref="AB1820:AC1820" si="1886">AB1799</f>
        <v>Loading Bay</v>
      </c>
      <c r="AC1820" t="str">
        <f t="shared" si="1886"/>
        <v>Lift 2</v>
      </c>
      <c r="AD1820" t="b">
        <f t="shared" ca="1" si="1823"/>
        <v>1</v>
      </c>
      <c r="AE1820" s="1" t="str">
        <f t="shared" ca="1" si="1844"/>
        <v>126-127</v>
      </c>
      <c r="AF1820" t="str">
        <f t="shared" ca="1" si="1821"/>
        <v>Plot 126-127</v>
      </c>
    </row>
    <row r="1821" spans="28:32" x14ac:dyDescent="0.25">
      <c r="AB1821" t="str">
        <f t="shared" ref="AB1821:AC1821" si="1887">AB1800</f>
        <v>Loading Bay</v>
      </c>
      <c r="AC1821" t="str">
        <f t="shared" si="1887"/>
        <v>Lift 3</v>
      </c>
      <c r="AD1821" t="b">
        <f t="shared" ca="1" si="1823"/>
        <v>1</v>
      </c>
      <c r="AE1821" s="1" t="str">
        <f t="shared" ca="1" si="1844"/>
        <v>126-127</v>
      </c>
      <c r="AF1821" t="str">
        <f t="shared" ref="AF1821:AF1884" ca="1" si="1888">IF(LEFT(AE1821,1)="G",AE1821,"Plot "&amp;AE1821)</f>
        <v>Plot 126-127</v>
      </c>
    </row>
    <row r="1822" spans="28:32" x14ac:dyDescent="0.25">
      <c r="AB1822" t="str">
        <f t="shared" ref="AB1822:AC1822" si="1889">AB1801</f>
        <v>Loading Bay</v>
      </c>
      <c r="AC1822" t="str">
        <f t="shared" si="1889"/>
        <v>Lift 4</v>
      </c>
      <c r="AD1822" t="b">
        <f t="shared" ref="AD1822:AD1885" ca="1" si="1890">INDEX($AC$1:$JH$22,MATCH(AC1822,$AC$1:$AC$22,0),MATCH(AE1822,$AC$1:$JH$1,0))</f>
        <v>0</v>
      </c>
      <c r="AE1822" s="1" t="str">
        <f t="shared" ca="1" si="1844"/>
        <v>126-127</v>
      </c>
      <c r="AF1822" t="str">
        <f t="shared" ca="1" si="1888"/>
        <v>Plot 126-127</v>
      </c>
    </row>
    <row r="1823" spans="28:32" x14ac:dyDescent="0.25">
      <c r="AB1823" t="str">
        <f t="shared" ref="AB1823:AC1823" si="1891">AB1802</f>
        <v>Loading Bay</v>
      </c>
      <c r="AC1823" t="str">
        <f t="shared" si="1891"/>
        <v>Lift 5</v>
      </c>
      <c r="AD1823" t="b">
        <f t="shared" ca="1" si="1890"/>
        <v>0</v>
      </c>
      <c r="AE1823" s="1" t="str">
        <f t="shared" ca="1" si="1844"/>
        <v>126-127</v>
      </c>
      <c r="AF1823" t="str">
        <f t="shared" ca="1" si="1888"/>
        <v>Plot 126-127</v>
      </c>
    </row>
    <row r="1824" spans="28:32" x14ac:dyDescent="0.25">
      <c r="AB1824" t="str">
        <f t="shared" ref="AB1824:AC1824" si="1892">AB1803</f>
        <v>Loading Bay</v>
      </c>
      <c r="AC1824" t="str">
        <f t="shared" si="1892"/>
        <v>Lift 6</v>
      </c>
      <c r="AD1824" t="b">
        <f t="shared" ca="1" si="1890"/>
        <v>0</v>
      </c>
      <c r="AE1824" s="1" t="str">
        <f t="shared" ca="1" si="1844"/>
        <v>126-127</v>
      </c>
      <c r="AF1824" t="str">
        <f t="shared" ca="1" si="1888"/>
        <v>Plot 126-127</v>
      </c>
    </row>
    <row r="1825" spans="28:32" x14ac:dyDescent="0.25">
      <c r="AB1825" t="str">
        <f t="shared" ref="AB1825:AC1825" si="1893">AB1804</f>
        <v>Scaffolding Platform</v>
      </c>
      <c r="AC1825" t="str">
        <f t="shared" si="1893"/>
        <v>Ground Floor</v>
      </c>
      <c r="AD1825" t="b">
        <f t="shared" ca="1" si="1890"/>
        <v>1</v>
      </c>
      <c r="AE1825" s="1" t="str">
        <f t="shared" ca="1" si="1844"/>
        <v>126-127</v>
      </c>
      <c r="AF1825" t="str">
        <f t="shared" ca="1" si="1888"/>
        <v>Plot 126-127</v>
      </c>
    </row>
    <row r="1826" spans="28:32" x14ac:dyDescent="0.25">
      <c r="AB1826" t="str">
        <f t="shared" ref="AB1826:AC1826" si="1894">AB1805</f>
        <v>Scaffolding Platform</v>
      </c>
      <c r="AC1826" t="str">
        <f t="shared" si="1894"/>
        <v>First Floor</v>
      </c>
      <c r="AD1826" t="b">
        <f t="shared" ca="1" si="1890"/>
        <v>1</v>
      </c>
      <c r="AE1826" s="1" t="str">
        <f t="shared" ca="1" si="1844"/>
        <v>126-127</v>
      </c>
      <c r="AF1826" t="str">
        <f t="shared" ca="1" si="1888"/>
        <v>Plot 126-127</v>
      </c>
    </row>
    <row r="1827" spans="28:32" x14ac:dyDescent="0.25">
      <c r="AB1827" t="str">
        <f t="shared" ref="AB1827:AC1827" si="1895">AB1806</f>
        <v>Scaffolding Platform</v>
      </c>
      <c r="AC1827" t="str">
        <f t="shared" si="1895"/>
        <v>Second Floor</v>
      </c>
      <c r="AD1827" t="b">
        <f t="shared" ca="1" si="1890"/>
        <v>0</v>
      </c>
      <c r="AE1827" s="1" t="str">
        <f t="shared" ca="1" si="1844"/>
        <v>126-127</v>
      </c>
      <c r="AF1827" t="str">
        <f t="shared" ca="1" si="1888"/>
        <v>Plot 126-127</v>
      </c>
    </row>
    <row r="1828" spans="28:32" x14ac:dyDescent="0.25">
      <c r="AB1828" t="str">
        <f t="shared" ref="AB1828:AC1828" si="1896">AB1807</f>
        <v>Supporting Scaffold</v>
      </c>
      <c r="AC1828" t="str">
        <f t="shared" si="1896"/>
        <v>Ground Floor Prop.</v>
      </c>
      <c r="AD1828" t="str">
        <f t="shared" ca="1" si="1890"/>
        <v>TRUE</v>
      </c>
      <c r="AE1828" s="1" t="str">
        <f t="shared" ca="1" si="1844"/>
        <v>126-127</v>
      </c>
      <c r="AF1828" t="str">
        <f t="shared" ca="1" si="1888"/>
        <v>Plot 126-127</v>
      </c>
    </row>
    <row r="1829" spans="28:32" x14ac:dyDescent="0.25">
      <c r="AB1829" t="str">
        <f t="shared" ref="AB1829:AC1829" si="1897">AB1808</f>
        <v>Supporting Scaffold</v>
      </c>
      <c r="AC1829" t="str">
        <f t="shared" si="1897"/>
        <v>First Floor Prop.</v>
      </c>
      <c r="AD1829" t="str">
        <f t="shared" ca="1" si="1890"/>
        <v>FALSE</v>
      </c>
      <c r="AE1829" s="1" t="str">
        <f t="shared" ca="1" si="1844"/>
        <v>126-127</v>
      </c>
      <c r="AF1829" t="str">
        <f t="shared" ca="1" si="1888"/>
        <v>Plot 126-127</v>
      </c>
    </row>
    <row r="1830" spans="28:32" x14ac:dyDescent="0.25">
      <c r="AB1830" t="str">
        <f t="shared" ref="AB1830:AC1830" si="1898">AB1809</f>
        <v>Supporting Scaffold</v>
      </c>
      <c r="AC1830" t="str">
        <f t="shared" si="1898"/>
        <v>Second Floor Prop.</v>
      </c>
      <c r="AD1830" t="str">
        <f t="shared" ca="1" si="1890"/>
        <v>FALSE</v>
      </c>
      <c r="AE1830" s="1" t="str">
        <f t="shared" ca="1" si="1844"/>
        <v>126-127</v>
      </c>
      <c r="AF1830" t="str">
        <f t="shared" ca="1" si="1888"/>
        <v>Plot 126-127</v>
      </c>
    </row>
    <row r="1831" spans="28:32" x14ac:dyDescent="0.25">
      <c r="AB1831" t="str">
        <f t="shared" ref="AB1831:AC1831" si="1899">AB1810</f>
        <v>External Scaffolding</v>
      </c>
      <c r="AC1831" t="str">
        <f t="shared" si="1899"/>
        <v>Hop-ups</v>
      </c>
      <c r="AD1831" t="b">
        <f t="shared" ca="1" si="1890"/>
        <v>1</v>
      </c>
      <c r="AE1831" s="1" t="str">
        <f t="shared" ca="1" si="1844"/>
        <v>126-127</v>
      </c>
      <c r="AF1831" t="str">
        <f t="shared" ca="1" si="1888"/>
        <v>Plot 126-127</v>
      </c>
    </row>
    <row r="1832" spans="28:32" x14ac:dyDescent="0.25">
      <c r="AB1832" t="str">
        <f t="shared" ref="AB1832:AC1832" si="1900">AB1811</f>
        <v>External Scaffolding</v>
      </c>
      <c r="AC1832" t="str">
        <f t="shared" si="1900"/>
        <v>Adaptions</v>
      </c>
      <c r="AD1832" t="b">
        <f t="shared" ca="1" si="1890"/>
        <v>1</v>
      </c>
      <c r="AE1832" s="1" t="str">
        <f t="shared" ca="1" si="1844"/>
        <v>126-127</v>
      </c>
      <c r="AF1832" t="str">
        <f t="shared" ca="1" si="1888"/>
        <v>Plot 126-127</v>
      </c>
    </row>
    <row r="1833" spans="28:32" x14ac:dyDescent="0.25">
      <c r="AB1833" t="str">
        <f t="shared" ref="AB1833:AC1833" si="1901">AB1812</f>
        <v>External Scaffolding</v>
      </c>
      <c r="AC1833" t="str">
        <f t="shared" si="1901"/>
        <v>Adaption Tower</v>
      </c>
      <c r="AD1833" t="b">
        <f t="shared" ca="1" si="1890"/>
        <v>1</v>
      </c>
      <c r="AE1833" s="1" t="str">
        <f t="shared" ca="1" si="1844"/>
        <v>126-127</v>
      </c>
      <c r="AF1833" t="str">
        <f t="shared" ca="1" si="1888"/>
        <v>Plot 126-127</v>
      </c>
    </row>
    <row r="1834" spans="28:32" x14ac:dyDescent="0.25">
      <c r="AB1834" t="str">
        <f t="shared" ref="AB1834:AC1834" si="1902">AB1813</f>
        <v>External Scaffolding</v>
      </c>
      <c r="AC1834" t="str">
        <f t="shared" si="1902"/>
        <v>Lift 1</v>
      </c>
      <c r="AD1834" t="b">
        <f t="shared" ca="1" si="1890"/>
        <v>1</v>
      </c>
      <c r="AE1834" s="1" t="str">
        <f t="shared" ca="1" si="1844"/>
        <v>128-129</v>
      </c>
      <c r="AF1834" t="str">
        <f t="shared" ca="1" si="1888"/>
        <v>Plot 128-129</v>
      </c>
    </row>
    <row r="1835" spans="28:32" x14ac:dyDescent="0.25">
      <c r="AB1835" t="str">
        <f t="shared" ref="AB1835:AC1835" si="1903">AB1814</f>
        <v>External Scaffolding</v>
      </c>
      <c r="AC1835" t="str">
        <f t="shared" si="1903"/>
        <v>Lift 2</v>
      </c>
      <c r="AD1835" t="b">
        <f t="shared" ca="1" si="1890"/>
        <v>1</v>
      </c>
      <c r="AE1835" s="1" t="str">
        <f t="shared" ca="1" si="1844"/>
        <v>128-129</v>
      </c>
      <c r="AF1835" t="str">
        <f t="shared" ca="1" si="1888"/>
        <v>Plot 128-129</v>
      </c>
    </row>
    <row r="1836" spans="28:32" x14ac:dyDescent="0.25">
      <c r="AB1836" t="str">
        <f t="shared" ref="AB1836:AC1836" si="1904">AB1815</f>
        <v>External Scaffolding</v>
      </c>
      <c r="AC1836" t="str">
        <f t="shared" si="1904"/>
        <v>Lift 3</v>
      </c>
      <c r="AD1836" t="b">
        <f t="shared" ca="1" si="1890"/>
        <v>1</v>
      </c>
      <c r="AE1836" s="1" t="str">
        <f t="shared" ca="1" si="1844"/>
        <v>128-129</v>
      </c>
      <c r="AF1836" t="str">
        <f t="shared" ca="1" si="1888"/>
        <v>Plot 128-129</v>
      </c>
    </row>
    <row r="1837" spans="28:32" x14ac:dyDescent="0.25">
      <c r="AB1837" t="str">
        <f t="shared" ref="AB1837:AC1837" si="1905">AB1816</f>
        <v>External Scaffolding</v>
      </c>
      <c r="AC1837" t="str">
        <f t="shared" si="1905"/>
        <v>Lift 4</v>
      </c>
      <c r="AD1837" t="b">
        <f t="shared" ca="1" si="1890"/>
        <v>0</v>
      </c>
      <c r="AE1837" s="1" t="str">
        <f t="shared" ca="1" si="1844"/>
        <v>128-129</v>
      </c>
      <c r="AF1837" t="str">
        <f t="shared" ca="1" si="1888"/>
        <v>Plot 128-129</v>
      </c>
    </row>
    <row r="1838" spans="28:32" x14ac:dyDescent="0.25">
      <c r="AB1838" t="str">
        <f t="shared" ref="AB1838:AC1838" si="1906">AB1817</f>
        <v>External Scaffolding</v>
      </c>
      <c r="AC1838" t="str">
        <f t="shared" si="1906"/>
        <v>Lift 5</v>
      </c>
      <c r="AD1838" t="b">
        <f t="shared" ca="1" si="1890"/>
        <v>0</v>
      </c>
      <c r="AE1838" s="1" t="str">
        <f t="shared" ca="1" si="1844"/>
        <v>128-129</v>
      </c>
      <c r="AF1838" t="str">
        <f t="shared" ca="1" si="1888"/>
        <v>Plot 128-129</v>
      </c>
    </row>
    <row r="1839" spans="28:32" x14ac:dyDescent="0.25">
      <c r="AB1839" t="str">
        <f t="shared" ref="AB1839:AC1839" si="1907">AB1818</f>
        <v>External Scaffolding</v>
      </c>
      <c r="AC1839" t="str">
        <f t="shared" si="1907"/>
        <v>Lift 6</v>
      </c>
      <c r="AD1839" t="b">
        <f t="shared" ca="1" si="1890"/>
        <v>0</v>
      </c>
      <c r="AE1839" s="1" t="str">
        <f t="shared" ca="1" si="1844"/>
        <v>128-129</v>
      </c>
      <c r="AF1839" t="str">
        <f t="shared" ca="1" si="1888"/>
        <v>Plot 128-129</v>
      </c>
    </row>
    <row r="1840" spans="28:32" x14ac:dyDescent="0.25">
      <c r="AB1840" t="str">
        <f t="shared" ref="AB1840:AC1840" si="1908">AB1819</f>
        <v>Loading Bay</v>
      </c>
      <c r="AC1840" t="str">
        <f t="shared" si="1908"/>
        <v>Lift 1</v>
      </c>
      <c r="AD1840" t="b">
        <f t="shared" ca="1" si="1890"/>
        <v>1</v>
      </c>
      <c r="AE1840" s="1" t="str">
        <f t="shared" ca="1" si="1844"/>
        <v>128-129</v>
      </c>
      <c r="AF1840" t="str">
        <f t="shared" ca="1" si="1888"/>
        <v>Plot 128-129</v>
      </c>
    </row>
    <row r="1841" spans="28:32" x14ac:dyDescent="0.25">
      <c r="AB1841" t="str">
        <f t="shared" ref="AB1841:AC1841" si="1909">AB1820</f>
        <v>Loading Bay</v>
      </c>
      <c r="AC1841" t="str">
        <f t="shared" si="1909"/>
        <v>Lift 2</v>
      </c>
      <c r="AD1841" t="b">
        <f t="shared" ca="1" si="1890"/>
        <v>1</v>
      </c>
      <c r="AE1841" s="1" t="str">
        <f t="shared" ca="1" si="1844"/>
        <v>128-129</v>
      </c>
      <c r="AF1841" t="str">
        <f t="shared" ca="1" si="1888"/>
        <v>Plot 128-129</v>
      </c>
    </row>
    <row r="1842" spans="28:32" x14ac:dyDescent="0.25">
      <c r="AB1842" t="str">
        <f t="shared" ref="AB1842:AC1842" si="1910">AB1821</f>
        <v>Loading Bay</v>
      </c>
      <c r="AC1842" t="str">
        <f t="shared" si="1910"/>
        <v>Lift 3</v>
      </c>
      <c r="AD1842" t="b">
        <f t="shared" ca="1" si="1890"/>
        <v>1</v>
      </c>
      <c r="AE1842" s="1" t="str">
        <f t="shared" ref="AE1842:AE1905" ca="1" si="1911">OFFSET($AD$1,0,FLOOR(ROW(B1814)/21,1))</f>
        <v>128-129</v>
      </c>
      <c r="AF1842" t="str">
        <f t="shared" ca="1" si="1888"/>
        <v>Plot 128-129</v>
      </c>
    </row>
    <row r="1843" spans="28:32" x14ac:dyDescent="0.25">
      <c r="AB1843" t="str">
        <f t="shared" ref="AB1843:AC1843" si="1912">AB1822</f>
        <v>Loading Bay</v>
      </c>
      <c r="AC1843" t="str">
        <f t="shared" si="1912"/>
        <v>Lift 4</v>
      </c>
      <c r="AD1843" t="b">
        <f t="shared" ca="1" si="1890"/>
        <v>0</v>
      </c>
      <c r="AE1843" s="1" t="str">
        <f t="shared" ca="1" si="1911"/>
        <v>128-129</v>
      </c>
      <c r="AF1843" t="str">
        <f t="shared" ca="1" si="1888"/>
        <v>Plot 128-129</v>
      </c>
    </row>
    <row r="1844" spans="28:32" x14ac:dyDescent="0.25">
      <c r="AB1844" t="str">
        <f t="shared" ref="AB1844:AC1844" si="1913">AB1823</f>
        <v>Loading Bay</v>
      </c>
      <c r="AC1844" t="str">
        <f t="shared" si="1913"/>
        <v>Lift 5</v>
      </c>
      <c r="AD1844" t="b">
        <f t="shared" ca="1" si="1890"/>
        <v>0</v>
      </c>
      <c r="AE1844" s="1" t="str">
        <f t="shared" ca="1" si="1911"/>
        <v>128-129</v>
      </c>
      <c r="AF1844" t="str">
        <f t="shared" ca="1" si="1888"/>
        <v>Plot 128-129</v>
      </c>
    </row>
    <row r="1845" spans="28:32" x14ac:dyDescent="0.25">
      <c r="AB1845" t="str">
        <f t="shared" ref="AB1845:AC1845" si="1914">AB1824</f>
        <v>Loading Bay</v>
      </c>
      <c r="AC1845" t="str">
        <f t="shared" si="1914"/>
        <v>Lift 6</v>
      </c>
      <c r="AD1845" t="b">
        <f t="shared" ca="1" si="1890"/>
        <v>0</v>
      </c>
      <c r="AE1845" s="1" t="str">
        <f t="shared" ca="1" si="1911"/>
        <v>128-129</v>
      </c>
      <c r="AF1845" t="str">
        <f t="shared" ca="1" si="1888"/>
        <v>Plot 128-129</v>
      </c>
    </row>
    <row r="1846" spans="28:32" x14ac:dyDescent="0.25">
      <c r="AB1846" t="str">
        <f t="shared" ref="AB1846:AC1846" si="1915">AB1825</f>
        <v>Scaffolding Platform</v>
      </c>
      <c r="AC1846" t="str">
        <f t="shared" si="1915"/>
        <v>Ground Floor</v>
      </c>
      <c r="AD1846" t="b">
        <f t="shared" ca="1" si="1890"/>
        <v>1</v>
      </c>
      <c r="AE1846" s="1" t="str">
        <f t="shared" ca="1" si="1911"/>
        <v>128-129</v>
      </c>
      <c r="AF1846" t="str">
        <f t="shared" ca="1" si="1888"/>
        <v>Plot 128-129</v>
      </c>
    </row>
    <row r="1847" spans="28:32" x14ac:dyDescent="0.25">
      <c r="AB1847" t="str">
        <f t="shared" ref="AB1847:AC1847" si="1916">AB1826</f>
        <v>Scaffolding Platform</v>
      </c>
      <c r="AC1847" t="str">
        <f t="shared" si="1916"/>
        <v>First Floor</v>
      </c>
      <c r="AD1847" t="b">
        <f t="shared" ca="1" si="1890"/>
        <v>1</v>
      </c>
      <c r="AE1847" s="1" t="str">
        <f t="shared" ca="1" si="1911"/>
        <v>128-129</v>
      </c>
      <c r="AF1847" t="str">
        <f t="shared" ca="1" si="1888"/>
        <v>Plot 128-129</v>
      </c>
    </row>
    <row r="1848" spans="28:32" x14ac:dyDescent="0.25">
      <c r="AB1848" t="str">
        <f t="shared" ref="AB1848:AC1848" si="1917">AB1827</f>
        <v>Scaffolding Platform</v>
      </c>
      <c r="AC1848" t="str">
        <f t="shared" si="1917"/>
        <v>Second Floor</v>
      </c>
      <c r="AD1848" t="b">
        <f t="shared" ca="1" si="1890"/>
        <v>0</v>
      </c>
      <c r="AE1848" s="1" t="str">
        <f t="shared" ca="1" si="1911"/>
        <v>128-129</v>
      </c>
      <c r="AF1848" t="str">
        <f t="shared" ca="1" si="1888"/>
        <v>Plot 128-129</v>
      </c>
    </row>
    <row r="1849" spans="28:32" x14ac:dyDescent="0.25">
      <c r="AB1849" t="str">
        <f t="shared" ref="AB1849:AC1849" si="1918">AB1828</f>
        <v>Supporting Scaffold</v>
      </c>
      <c r="AC1849" t="str">
        <f t="shared" si="1918"/>
        <v>Ground Floor Prop.</v>
      </c>
      <c r="AD1849" t="str">
        <f t="shared" ca="1" si="1890"/>
        <v>TRUE</v>
      </c>
      <c r="AE1849" s="1" t="str">
        <f t="shared" ca="1" si="1911"/>
        <v>128-129</v>
      </c>
      <c r="AF1849" t="str">
        <f t="shared" ca="1" si="1888"/>
        <v>Plot 128-129</v>
      </c>
    </row>
    <row r="1850" spans="28:32" x14ac:dyDescent="0.25">
      <c r="AB1850" t="str">
        <f t="shared" ref="AB1850:AC1850" si="1919">AB1829</f>
        <v>Supporting Scaffold</v>
      </c>
      <c r="AC1850" t="str">
        <f t="shared" si="1919"/>
        <v>First Floor Prop.</v>
      </c>
      <c r="AD1850" t="str">
        <f t="shared" ca="1" si="1890"/>
        <v>FALSE</v>
      </c>
      <c r="AE1850" s="1" t="str">
        <f t="shared" ca="1" si="1911"/>
        <v>128-129</v>
      </c>
      <c r="AF1850" t="str">
        <f t="shared" ca="1" si="1888"/>
        <v>Plot 128-129</v>
      </c>
    </row>
    <row r="1851" spans="28:32" x14ac:dyDescent="0.25">
      <c r="AB1851" t="str">
        <f t="shared" ref="AB1851:AC1851" si="1920">AB1830</f>
        <v>Supporting Scaffold</v>
      </c>
      <c r="AC1851" t="str">
        <f t="shared" si="1920"/>
        <v>Second Floor Prop.</v>
      </c>
      <c r="AD1851" t="str">
        <f t="shared" ca="1" si="1890"/>
        <v>FALSE</v>
      </c>
      <c r="AE1851" s="1" t="str">
        <f t="shared" ca="1" si="1911"/>
        <v>128-129</v>
      </c>
      <c r="AF1851" t="str">
        <f t="shared" ca="1" si="1888"/>
        <v>Plot 128-129</v>
      </c>
    </row>
    <row r="1852" spans="28:32" x14ac:dyDescent="0.25">
      <c r="AB1852" t="str">
        <f t="shared" ref="AB1852:AC1852" si="1921">AB1831</f>
        <v>External Scaffolding</v>
      </c>
      <c r="AC1852" t="str">
        <f t="shared" si="1921"/>
        <v>Hop-ups</v>
      </c>
      <c r="AD1852" t="b">
        <f t="shared" ca="1" si="1890"/>
        <v>1</v>
      </c>
      <c r="AE1852" s="1" t="str">
        <f t="shared" ca="1" si="1911"/>
        <v>128-129</v>
      </c>
      <c r="AF1852" t="str">
        <f t="shared" ca="1" si="1888"/>
        <v>Plot 128-129</v>
      </c>
    </row>
    <row r="1853" spans="28:32" x14ac:dyDescent="0.25">
      <c r="AB1853" t="str">
        <f t="shared" ref="AB1853:AC1853" si="1922">AB1832</f>
        <v>External Scaffolding</v>
      </c>
      <c r="AC1853" t="str">
        <f t="shared" si="1922"/>
        <v>Adaptions</v>
      </c>
      <c r="AD1853" t="b">
        <f t="shared" ca="1" si="1890"/>
        <v>1</v>
      </c>
      <c r="AE1853" s="1" t="str">
        <f t="shared" ca="1" si="1911"/>
        <v>128-129</v>
      </c>
      <c r="AF1853" t="str">
        <f t="shared" ca="1" si="1888"/>
        <v>Plot 128-129</v>
      </c>
    </row>
    <row r="1854" spans="28:32" x14ac:dyDescent="0.25">
      <c r="AB1854" t="str">
        <f t="shared" ref="AB1854:AC1854" si="1923">AB1833</f>
        <v>External Scaffolding</v>
      </c>
      <c r="AC1854" t="str">
        <f t="shared" si="1923"/>
        <v>Adaption Tower</v>
      </c>
      <c r="AD1854" t="b">
        <f t="shared" ca="1" si="1890"/>
        <v>1</v>
      </c>
      <c r="AE1854" s="1" t="str">
        <f t="shared" ca="1" si="1911"/>
        <v>128-129</v>
      </c>
      <c r="AF1854" t="str">
        <f t="shared" ca="1" si="1888"/>
        <v>Plot 128-129</v>
      </c>
    </row>
    <row r="1855" spans="28:32" x14ac:dyDescent="0.25">
      <c r="AB1855" t="str">
        <f t="shared" ref="AB1855:AC1855" si="1924">AB1834</f>
        <v>External Scaffolding</v>
      </c>
      <c r="AC1855" t="str">
        <f t="shared" si="1924"/>
        <v>Lift 1</v>
      </c>
      <c r="AD1855" t="b">
        <f t="shared" ca="1" si="1890"/>
        <v>1</v>
      </c>
      <c r="AE1855" s="1" t="str">
        <f t="shared" ca="1" si="1911"/>
        <v>130-131</v>
      </c>
      <c r="AF1855" t="str">
        <f t="shared" ca="1" si="1888"/>
        <v>Plot 130-131</v>
      </c>
    </row>
    <row r="1856" spans="28:32" x14ac:dyDescent="0.25">
      <c r="AB1856" t="str">
        <f t="shared" ref="AB1856:AC1856" si="1925">AB1835</f>
        <v>External Scaffolding</v>
      </c>
      <c r="AC1856" t="str">
        <f t="shared" si="1925"/>
        <v>Lift 2</v>
      </c>
      <c r="AD1856" t="b">
        <f t="shared" ca="1" si="1890"/>
        <v>1</v>
      </c>
      <c r="AE1856" s="1" t="str">
        <f t="shared" ca="1" si="1911"/>
        <v>130-131</v>
      </c>
      <c r="AF1856" t="str">
        <f t="shared" ca="1" si="1888"/>
        <v>Plot 130-131</v>
      </c>
    </row>
    <row r="1857" spans="28:32" x14ac:dyDescent="0.25">
      <c r="AB1857" t="str">
        <f t="shared" ref="AB1857:AC1857" si="1926">AB1836</f>
        <v>External Scaffolding</v>
      </c>
      <c r="AC1857" t="str">
        <f t="shared" si="1926"/>
        <v>Lift 3</v>
      </c>
      <c r="AD1857" t="b">
        <f t="shared" ca="1" si="1890"/>
        <v>1</v>
      </c>
      <c r="AE1857" s="1" t="str">
        <f t="shared" ca="1" si="1911"/>
        <v>130-131</v>
      </c>
      <c r="AF1857" t="str">
        <f t="shared" ca="1" si="1888"/>
        <v>Plot 130-131</v>
      </c>
    </row>
    <row r="1858" spans="28:32" x14ac:dyDescent="0.25">
      <c r="AB1858" t="str">
        <f t="shared" ref="AB1858:AC1858" si="1927">AB1837</f>
        <v>External Scaffolding</v>
      </c>
      <c r="AC1858" t="str">
        <f t="shared" si="1927"/>
        <v>Lift 4</v>
      </c>
      <c r="AD1858" t="b">
        <f t="shared" ca="1" si="1890"/>
        <v>0</v>
      </c>
      <c r="AE1858" s="1" t="str">
        <f t="shared" ca="1" si="1911"/>
        <v>130-131</v>
      </c>
      <c r="AF1858" t="str">
        <f t="shared" ca="1" si="1888"/>
        <v>Plot 130-131</v>
      </c>
    </row>
    <row r="1859" spans="28:32" x14ac:dyDescent="0.25">
      <c r="AB1859" t="str">
        <f t="shared" ref="AB1859:AC1859" si="1928">AB1838</f>
        <v>External Scaffolding</v>
      </c>
      <c r="AC1859" t="str">
        <f t="shared" si="1928"/>
        <v>Lift 5</v>
      </c>
      <c r="AD1859" t="b">
        <f t="shared" ca="1" si="1890"/>
        <v>0</v>
      </c>
      <c r="AE1859" s="1" t="str">
        <f t="shared" ca="1" si="1911"/>
        <v>130-131</v>
      </c>
      <c r="AF1859" t="str">
        <f t="shared" ca="1" si="1888"/>
        <v>Plot 130-131</v>
      </c>
    </row>
    <row r="1860" spans="28:32" x14ac:dyDescent="0.25">
      <c r="AB1860" t="str">
        <f t="shared" ref="AB1860:AC1860" si="1929">AB1839</f>
        <v>External Scaffolding</v>
      </c>
      <c r="AC1860" t="str">
        <f t="shared" si="1929"/>
        <v>Lift 6</v>
      </c>
      <c r="AD1860" t="b">
        <f t="shared" ca="1" si="1890"/>
        <v>0</v>
      </c>
      <c r="AE1860" s="1" t="str">
        <f t="shared" ca="1" si="1911"/>
        <v>130-131</v>
      </c>
      <c r="AF1860" t="str">
        <f t="shared" ca="1" si="1888"/>
        <v>Plot 130-131</v>
      </c>
    </row>
    <row r="1861" spans="28:32" x14ac:dyDescent="0.25">
      <c r="AB1861" t="str">
        <f t="shared" ref="AB1861:AC1861" si="1930">AB1840</f>
        <v>Loading Bay</v>
      </c>
      <c r="AC1861" t="str">
        <f t="shared" si="1930"/>
        <v>Lift 1</v>
      </c>
      <c r="AD1861" t="b">
        <f t="shared" ca="1" si="1890"/>
        <v>1</v>
      </c>
      <c r="AE1861" s="1" t="str">
        <f t="shared" ca="1" si="1911"/>
        <v>130-131</v>
      </c>
      <c r="AF1861" t="str">
        <f t="shared" ca="1" si="1888"/>
        <v>Plot 130-131</v>
      </c>
    </row>
    <row r="1862" spans="28:32" x14ac:dyDescent="0.25">
      <c r="AB1862" t="str">
        <f t="shared" ref="AB1862:AC1862" si="1931">AB1841</f>
        <v>Loading Bay</v>
      </c>
      <c r="AC1862" t="str">
        <f t="shared" si="1931"/>
        <v>Lift 2</v>
      </c>
      <c r="AD1862" t="b">
        <f t="shared" ca="1" si="1890"/>
        <v>1</v>
      </c>
      <c r="AE1862" s="1" t="str">
        <f t="shared" ca="1" si="1911"/>
        <v>130-131</v>
      </c>
      <c r="AF1862" t="str">
        <f t="shared" ca="1" si="1888"/>
        <v>Plot 130-131</v>
      </c>
    </row>
    <row r="1863" spans="28:32" x14ac:dyDescent="0.25">
      <c r="AB1863" t="str">
        <f t="shared" ref="AB1863:AC1863" si="1932">AB1842</f>
        <v>Loading Bay</v>
      </c>
      <c r="AC1863" t="str">
        <f t="shared" si="1932"/>
        <v>Lift 3</v>
      </c>
      <c r="AD1863" t="b">
        <f t="shared" ca="1" si="1890"/>
        <v>1</v>
      </c>
      <c r="AE1863" s="1" t="str">
        <f t="shared" ca="1" si="1911"/>
        <v>130-131</v>
      </c>
      <c r="AF1863" t="str">
        <f t="shared" ca="1" si="1888"/>
        <v>Plot 130-131</v>
      </c>
    </row>
    <row r="1864" spans="28:32" x14ac:dyDescent="0.25">
      <c r="AB1864" t="str">
        <f t="shared" ref="AB1864:AC1864" si="1933">AB1843</f>
        <v>Loading Bay</v>
      </c>
      <c r="AC1864" t="str">
        <f t="shared" si="1933"/>
        <v>Lift 4</v>
      </c>
      <c r="AD1864" t="b">
        <f t="shared" ca="1" si="1890"/>
        <v>0</v>
      </c>
      <c r="AE1864" s="1" t="str">
        <f t="shared" ca="1" si="1911"/>
        <v>130-131</v>
      </c>
      <c r="AF1864" t="str">
        <f t="shared" ca="1" si="1888"/>
        <v>Plot 130-131</v>
      </c>
    </row>
    <row r="1865" spans="28:32" x14ac:dyDescent="0.25">
      <c r="AB1865" t="str">
        <f t="shared" ref="AB1865:AC1865" si="1934">AB1844</f>
        <v>Loading Bay</v>
      </c>
      <c r="AC1865" t="str">
        <f t="shared" si="1934"/>
        <v>Lift 5</v>
      </c>
      <c r="AD1865" t="b">
        <f t="shared" ca="1" si="1890"/>
        <v>0</v>
      </c>
      <c r="AE1865" s="1" t="str">
        <f t="shared" ca="1" si="1911"/>
        <v>130-131</v>
      </c>
      <c r="AF1865" t="str">
        <f t="shared" ca="1" si="1888"/>
        <v>Plot 130-131</v>
      </c>
    </row>
    <row r="1866" spans="28:32" x14ac:dyDescent="0.25">
      <c r="AB1866" t="str">
        <f t="shared" ref="AB1866:AC1866" si="1935">AB1845</f>
        <v>Loading Bay</v>
      </c>
      <c r="AC1866" t="str">
        <f t="shared" si="1935"/>
        <v>Lift 6</v>
      </c>
      <c r="AD1866" t="b">
        <f t="shared" ca="1" si="1890"/>
        <v>0</v>
      </c>
      <c r="AE1866" s="1" t="str">
        <f t="shared" ca="1" si="1911"/>
        <v>130-131</v>
      </c>
      <c r="AF1866" t="str">
        <f t="shared" ca="1" si="1888"/>
        <v>Plot 130-131</v>
      </c>
    </row>
    <row r="1867" spans="28:32" x14ac:dyDescent="0.25">
      <c r="AB1867" t="str">
        <f t="shared" ref="AB1867:AC1867" si="1936">AB1846</f>
        <v>Scaffolding Platform</v>
      </c>
      <c r="AC1867" t="str">
        <f t="shared" si="1936"/>
        <v>Ground Floor</v>
      </c>
      <c r="AD1867" t="b">
        <f t="shared" ca="1" si="1890"/>
        <v>1</v>
      </c>
      <c r="AE1867" s="1" t="str">
        <f t="shared" ca="1" si="1911"/>
        <v>130-131</v>
      </c>
      <c r="AF1867" t="str">
        <f t="shared" ca="1" si="1888"/>
        <v>Plot 130-131</v>
      </c>
    </row>
    <row r="1868" spans="28:32" x14ac:dyDescent="0.25">
      <c r="AB1868" t="str">
        <f t="shared" ref="AB1868:AC1868" si="1937">AB1847</f>
        <v>Scaffolding Platform</v>
      </c>
      <c r="AC1868" t="str">
        <f t="shared" si="1937"/>
        <v>First Floor</v>
      </c>
      <c r="AD1868" t="b">
        <f t="shared" ca="1" si="1890"/>
        <v>1</v>
      </c>
      <c r="AE1868" s="1" t="str">
        <f t="shared" ca="1" si="1911"/>
        <v>130-131</v>
      </c>
      <c r="AF1868" t="str">
        <f t="shared" ca="1" si="1888"/>
        <v>Plot 130-131</v>
      </c>
    </row>
    <row r="1869" spans="28:32" x14ac:dyDescent="0.25">
      <c r="AB1869" t="str">
        <f t="shared" ref="AB1869:AC1869" si="1938">AB1848</f>
        <v>Scaffolding Platform</v>
      </c>
      <c r="AC1869" t="str">
        <f t="shared" si="1938"/>
        <v>Second Floor</v>
      </c>
      <c r="AD1869" t="b">
        <f t="shared" ca="1" si="1890"/>
        <v>0</v>
      </c>
      <c r="AE1869" s="1" t="str">
        <f t="shared" ca="1" si="1911"/>
        <v>130-131</v>
      </c>
      <c r="AF1869" t="str">
        <f t="shared" ca="1" si="1888"/>
        <v>Plot 130-131</v>
      </c>
    </row>
    <row r="1870" spans="28:32" x14ac:dyDescent="0.25">
      <c r="AB1870" t="str">
        <f t="shared" ref="AB1870:AC1870" si="1939">AB1849</f>
        <v>Supporting Scaffold</v>
      </c>
      <c r="AC1870" t="str">
        <f t="shared" si="1939"/>
        <v>Ground Floor Prop.</v>
      </c>
      <c r="AD1870" t="str">
        <f t="shared" ca="1" si="1890"/>
        <v>TRUE</v>
      </c>
      <c r="AE1870" s="1" t="str">
        <f t="shared" ca="1" si="1911"/>
        <v>130-131</v>
      </c>
      <c r="AF1870" t="str">
        <f t="shared" ca="1" si="1888"/>
        <v>Plot 130-131</v>
      </c>
    </row>
    <row r="1871" spans="28:32" x14ac:dyDescent="0.25">
      <c r="AB1871" t="str">
        <f t="shared" ref="AB1871:AC1871" si="1940">AB1850</f>
        <v>Supporting Scaffold</v>
      </c>
      <c r="AC1871" t="str">
        <f t="shared" si="1940"/>
        <v>First Floor Prop.</v>
      </c>
      <c r="AD1871" t="str">
        <f t="shared" ca="1" si="1890"/>
        <v>FALSE</v>
      </c>
      <c r="AE1871" s="1" t="str">
        <f t="shared" ca="1" si="1911"/>
        <v>130-131</v>
      </c>
      <c r="AF1871" t="str">
        <f t="shared" ca="1" si="1888"/>
        <v>Plot 130-131</v>
      </c>
    </row>
    <row r="1872" spans="28:32" x14ac:dyDescent="0.25">
      <c r="AB1872" t="str">
        <f t="shared" ref="AB1872:AC1872" si="1941">AB1851</f>
        <v>Supporting Scaffold</v>
      </c>
      <c r="AC1872" t="str">
        <f t="shared" si="1941"/>
        <v>Second Floor Prop.</v>
      </c>
      <c r="AD1872" t="str">
        <f t="shared" ca="1" si="1890"/>
        <v>FALSE</v>
      </c>
      <c r="AE1872" s="1" t="str">
        <f t="shared" ca="1" si="1911"/>
        <v>130-131</v>
      </c>
      <c r="AF1872" t="str">
        <f t="shared" ca="1" si="1888"/>
        <v>Plot 130-131</v>
      </c>
    </row>
    <row r="1873" spans="28:32" x14ac:dyDescent="0.25">
      <c r="AB1873" t="str">
        <f t="shared" ref="AB1873:AC1873" si="1942">AB1852</f>
        <v>External Scaffolding</v>
      </c>
      <c r="AC1873" t="str">
        <f t="shared" si="1942"/>
        <v>Hop-ups</v>
      </c>
      <c r="AD1873" t="b">
        <f t="shared" ca="1" si="1890"/>
        <v>1</v>
      </c>
      <c r="AE1873" s="1" t="str">
        <f t="shared" ca="1" si="1911"/>
        <v>130-131</v>
      </c>
      <c r="AF1873" t="str">
        <f t="shared" ca="1" si="1888"/>
        <v>Plot 130-131</v>
      </c>
    </row>
    <row r="1874" spans="28:32" x14ac:dyDescent="0.25">
      <c r="AB1874" t="str">
        <f t="shared" ref="AB1874:AC1874" si="1943">AB1853</f>
        <v>External Scaffolding</v>
      </c>
      <c r="AC1874" t="str">
        <f t="shared" si="1943"/>
        <v>Adaptions</v>
      </c>
      <c r="AD1874" t="b">
        <f t="shared" ca="1" si="1890"/>
        <v>1</v>
      </c>
      <c r="AE1874" s="1" t="str">
        <f t="shared" ca="1" si="1911"/>
        <v>130-131</v>
      </c>
      <c r="AF1874" t="str">
        <f t="shared" ca="1" si="1888"/>
        <v>Plot 130-131</v>
      </c>
    </row>
    <row r="1875" spans="28:32" x14ac:dyDescent="0.25">
      <c r="AB1875" t="str">
        <f t="shared" ref="AB1875:AC1875" si="1944">AB1854</f>
        <v>External Scaffolding</v>
      </c>
      <c r="AC1875" t="str">
        <f t="shared" si="1944"/>
        <v>Adaption Tower</v>
      </c>
      <c r="AD1875" t="b">
        <f t="shared" ca="1" si="1890"/>
        <v>1</v>
      </c>
      <c r="AE1875" s="1" t="str">
        <f t="shared" ca="1" si="1911"/>
        <v>130-131</v>
      </c>
      <c r="AF1875" t="str">
        <f t="shared" ca="1" si="1888"/>
        <v>Plot 130-131</v>
      </c>
    </row>
    <row r="1876" spans="28:32" x14ac:dyDescent="0.25">
      <c r="AB1876" t="str">
        <f t="shared" ref="AB1876:AC1876" si="1945">AB1855</f>
        <v>External Scaffolding</v>
      </c>
      <c r="AC1876" t="str">
        <f t="shared" si="1945"/>
        <v>Lift 1</v>
      </c>
      <c r="AD1876" t="b">
        <f t="shared" ca="1" si="1890"/>
        <v>1</v>
      </c>
      <c r="AE1876" s="1">
        <f t="shared" ca="1" si="1911"/>
        <v>132</v>
      </c>
      <c r="AF1876" t="str">
        <f t="shared" ca="1" si="1888"/>
        <v>Plot 132</v>
      </c>
    </row>
    <row r="1877" spans="28:32" x14ac:dyDescent="0.25">
      <c r="AB1877" t="str">
        <f t="shared" ref="AB1877:AC1877" si="1946">AB1856</f>
        <v>External Scaffolding</v>
      </c>
      <c r="AC1877" t="str">
        <f t="shared" si="1946"/>
        <v>Lift 2</v>
      </c>
      <c r="AD1877" t="b">
        <f t="shared" ca="1" si="1890"/>
        <v>1</v>
      </c>
      <c r="AE1877" s="1">
        <f t="shared" ca="1" si="1911"/>
        <v>132</v>
      </c>
      <c r="AF1877" t="str">
        <f t="shared" ca="1" si="1888"/>
        <v>Plot 132</v>
      </c>
    </row>
    <row r="1878" spans="28:32" x14ac:dyDescent="0.25">
      <c r="AB1878" t="str">
        <f t="shared" ref="AB1878:AC1878" si="1947">AB1857</f>
        <v>External Scaffolding</v>
      </c>
      <c r="AC1878" t="str">
        <f t="shared" si="1947"/>
        <v>Lift 3</v>
      </c>
      <c r="AD1878" t="b">
        <f t="shared" ca="1" si="1890"/>
        <v>1</v>
      </c>
      <c r="AE1878" s="1">
        <f t="shared" ca="1" si="1911"/>
        <v>132</v>
      </c>
      <c r="AF1878" t="str">
        <f t="shared" ca="1" si="1888"/>
        <v>Plot 132</v>
      </c>
    </row>
    <row r="1879" spans="28:32" x14ac:dyDescent="0.25">
      <c r="AB1879" t="str">
        <f t="shared" ref="AB1879:AC1879" si="1948">AB1858</f>
        <v>External Scaffolding</v>
      </c>
      <c r="AC1879" t="str">
        <f t="shared" si="1948"/>
        <v>Lift 4</v>
      </c>
      <c r="AD1879" t="b">
        <f t="shared" ca="1" si="1890"/>
        <v>0</v>
      </c>
      <c r="AE1879" s="1">
        <f t="shared" ca="1" si="1911"/>
        <v>132</v>
      </c>
      <c r="AF1879" t="str">
        <f t="shared" ca="1" si="1888"/>
        <v>Plot 132</v>
      </c>
    </row>
    <row r="1880" spans="28:32" x14ac:dyDescent="0.25">
      <c r="AB1880" t="str">
        <f t="shared" ref="AB1880:AC1880" si="1949">AB1859</f>
        <v>External Scaffolding</v>
      </c>
      <c r="AC1880" t="str">
        <f t="shared" si="1949"/>
        <v>Lift 5</v>
      </c>
      <c r="AD1880" t="b">
        <f t="shared" ca="1" si="1890"/>
        <v>0</v>
      </c>
      <c r="AE1880" s="1">
        <f t="shared" ca="1" si="1911"/>
        <v>132</v>
      </c>
      <c r="AF1880" t="str">
        <f t="shared" ca="1" si="1888"/>
        <v>Plot 132</v>
      </c>
    </row>
    <row r="1881" spans="28:32" x14ac:dyDescent="0.25">
      <c r="AB1881" t="str">
        <f t="shared" ref="AB1881:AC1881" si="1950">AB1860</f>
        <v>External Scaffolding</v>
      </c>
      <c r="AC1881" t="str">
        <f t="shared" si="1950"/>
        <v>Lift 6</v>
      </c>
      <c r="AD1881" t="b">
        <f t="shared" ca="1" si="1890"/>
        <v>0</v>
      </c>
      <c r="AE1881" s="1">
        <f t="shared" ca="1" si="1911"/>
        <v>132</v>
      </c>
      <c r="AF1881" t="str">
        <f t="shared" ca="1" si="1888"/>
        <v>Plot 132</v>
      </c>
    </row>
    <row r="1882" spans="28:32" x14ac:dyDescent="0.25">
      <c r="AB1882" t="str">
        <f t="shared" ref="AB1882:AC1882" si="1951">AB1861</f>
        <v>Loading Bay</v>
      </c>
      <c r="AC1882" t="str">
        <f t="shared" si="1951"/>
        <v>Lift 1</v>
      </c>
      <c r="AD1882" t="b">
        <f t="shared" ca="1" si="1890"/>
        <v>1</v>
      </c>
      <c r="AE1882" s="1">
        <f t="shared" ca="1" si="1911"/>
        <v>132</v>
      </c>
      <c r="AF1882" t="str">
        <f t="shared" ca="1" si="1888"/>
        <v>Plot 132</v>
      </c>
    </row>
    <row r="1883" spans="28:32" x14ac:dyDescent="0.25">
      <c r="AB1883" t="str">
        <f t="shared" ref="AB1883:AC1883" si="1952">AB1862</f>
        <v>Loading Bay</v>
      </c>
      <c r="AC1883" t="str">
        <f t="shared" si="1952"/>
        <v>Lift 2</v>
      </c>
      <c r="AD1883" t="b">
        <f t="shared" ca="1" si="1890"/>
        <v>1</v>
      </c>
      <c r="AE1883" s="1">
        <f t="shared" ca="1" si="1911"/>
        <v>132</v>
      </c>
      <c r="AF1883" t="str">
        <f t="shared" ca="1" si="1888"/>
        <v>Plot 132</v>
      </c>
    </row>
    <row r="1884" spans="28:32" x14ac:dyDescent="0.25">
      <c r="AB1884" t="str">
        <f t="shared" ref="AB1884:AC1884" si="1953">AB1863</f>
        <v>Loading Bay</v>
      </c>
      <c r="AC1884" t="str">
        <f t="shared" si="1953"/>
        <v>Lift 3</v>
      </c>
      <c r="AD1884" t="b">
        <f t="shared" ca="1" si="1890"/>
        <v>1</v>
      </c>
      <c r="AE1884" s="1">
        <f t="shared" ca="1" si="1911"/>
        <v>132</v>
      </c>
      <c r="AF1884" t="str">
        <f t="shared" ca="1" si="1888"/>
        <v>Plot 132</v>
      </c>
    </row>
    <row r="1885" spans="28:32" x14ac:dyDescent="0.25">
      <c r="AB1885" t="str">
        <f t="shared" ref="AB1885:AC1885" si="1954">AB1864</f>
        <v>Loading Bay</v>
      </c>
      <c r="AC1885" t="str">
        <f t="shared" si="1954"/>
        <v>Lift 4</v>
      </c>
      <c r="AD1885" t="b">
        <f t="shared" ca="1" si="1890"/>
        <v>0</v>
      </c>
      <c r="AE1885" s="1">
        <f t="shared" ca="1" si="1911"/>
        <v>132</v>
      </c>
      <c r="AF1885" t="str">
        <f t="shared" ref="AF1885:AF1948" ca="1" si="1955">IF(LEFT(AE1885,1)="G",AE1885,"Plot "&amp;AE1885)</f>
        <v>Plot 132</v>
      </c>
    </row>
    <row r="1886" spans="28:32" x14ac:dyDescent="0.25">
      <c r="AB1886" t="str">
        <f t="shared" ref="AB1886:AC1886" si="1956">AB1865</f>
        <v>Loading Bay</v>
      </c>
      <c r="AC1886" t="str">
        <f t="shared" si="1956"/>
        <v>Lift 5</v>
      </c>
      <c r="AD1886" t="b">
        <f t="shared" ref="AD1886:AD1949" ca="1" si="1957">INDEX($AC$1:$JH$22,MATCH(AC1886,$AC$1:$AC$22,0),MATCH(AE1886,$AC$1:$JH$1,0))</f>
        <v>0</v>
      </c>
      <c r="AE1886" s="1">
        <f t="shared" ca="1" si="1911"/>
        <v>132</v>
      </c>
      <c r="AF1886" t="str">
        <f t="shared" ca="1" si="1955"/>
        <v>Plot 132</v>
      </c>
    </row>
    <row r="1887" spans="28:32" x14ac:dyDescent="0.25">
      <c r="AB1887" t="str">
        <f t="shared" ref="AB1887:AC1887" si="1958">AB1866</f>
        <v>Loading Bay</v>
      </c>
      <c r="AC1887" t="str">
        <f t="shared" si="1958"/>
        <v>Lift 6</v>
      </c>
      <c r="AD1887" t="b">
        <f t="shared" ca="1" si="1957"/>
        <v>0</v>
      </c>
      <c r="AE1887" s="1">
        <f t="shared" ca="1" si="1911"/>
        <v>132</v>
      </c>
      <c r="AF1887" t="str">
        <f t="shared" ca="1" si="1955"/>
        <v>Plot 132</v>
      </c>
    </row>
    <row r="1888" spans="28:32" x14ac:dyDescent="0.25">
      <c r="AB1888" t="str">
        <f t="shared" ref="AB1888:AC1888" si="1959">AB1867</f>
        <v>Scaffolding Platform</v>
      </c>
      <c r="AC1888" t="str">
        <f t="shared" si="1959"/>
        <v>Ground Floor</v>
      </c>
      <c r="AD1888" t="b">
        <f t="shared" ca="1" si="1957"/>
        <v>1</v>
      </c>
      <c r="AE1888" s="1">
        <f t="shared" ca="1" si="1911"/>
        <v>132</v>
      </c>
      <c r="AF1888" t="str">
        <f t="shared" ca="1" si="1955"/>
        <v>Plot 132</v>
      </c>
    </row>
    <row r="1889" spans="28:32" x14ac:dyDescent="0.25">
      <c r="AB1889" t="str">
        <f t="shared" ref="AB1889:AC1889" si="1960">AB1868</f>
        <v>Scaffolding Platform</v>
      </c>
      <c r="AC1889" t="str">
        <f t="shared" si="1960"/>
        <v>First Floor</v>
      </c>
      <c r="AD1889" t="b">
        <f t="shared" ca="1" si="1957"/>
        <v>1</v>
      </c>
      <c r="AE1889" s="1">
        <f t="shared" ca="1" si="1911"/>
        <v>132</v>
      </c>
      <c r="AF1889" t="str">
        <f t="shared" ca="1" si="1955"/>
        <v>Plot 132</v>
      </c>
    </row>
    <row r="1890" spans="28:32" x14ac:dyDescent="0.25">
      <c r="AB1890" t="str">
        <f t="shared" ref="AB1890:AC1890" si="1961">AB1869</f>
        <v>Scaffolding Platform</v>
      </c>
      <c r="AC1890" t="str">
        <f t="shared" si="1961"/>
        <v>Second Floor</v>
      </c>
      <c r="AD1890" t="b">
        <f t="shared" ca="1" si="1957"/>
        <v>0</v>
      </c>
      <c r="AE1890" s="1">
        <f t="shared" ca="1" si="1911"/>
        <v>132</v>
      </c>
      <c r="AF1890" t="str">
        <f t="shared" ca="1" si="1955"/>
        <v>Plot 132</v>
      </c>
    </row>
    <row r="1891" spans="28:32" x14ac:dyDescent="0.25">
      <c r="AB1891" t="str">
        <f t="shared" ref="AB1891:AC1891" si="1962">AB1870</f>
        <v>Supporting Scaffold</v>
      </c>
      <c r="AC1891" t="str">
        <f t="shared" si="1962"/>
        <v>Ground Floor Prop.</v>
      </c>
      <c r="AD1891" t="str">
        <f t="shared" ca="1" si="1957"/>
        <v>TRUE</v>
      </c>
      <c r="AE1891" s="1">
        <f t="shared" ca="1" si="1911"/>
        <v>132</v>
      </c>
      <c r="AF1891" t="str">
        <f t="shared" ca="1" si="1955"/>
        <v>Plot 132</v>
      </c>
    </row>
    <row r="1892" spans="28:32" x14ac:dyDescent="0.25">
      <c r="AB1892" t="str">
        <f t="shared" ref="AB1892:AC1892" si="1963">AB1871</f>
        <v>Supporting Scaffold</v>
      </c>
      <c r="AC1892" t="str">
        <f t="shared" si="1963"/>
        <v>First Floor Prop.</v>
      </c>
      <c r="AD1892" t="str">
        <f t="shared" ca="1" si="1957"/>
        <v>FALSE</v>
      </c>
      <c r="AE1892" s="1">
        <f t="shared" ca="1" si="1911"/>
        <v>132</v>
      </c>
      <c r="AF1892" t="str">
        <f t="shared" ca="1" si="1955"/>
        <v>Plot 132</v>
      </c>
    </row>
    <row r="1893" spans="28:32" x14ac:dyDescent="0.25">
      <c r="AB1893" t="str">
        <f t="shared" ref="AB1893:AC1893" si="1964">AB1872</f>
        <v>Supporting Scaffold</v>
      </c>
      <c r="AC1893" t="str">
        <f t="shared" si="1964"/>
        <v>Second Floor Prop.</v>
      </c>
      <c r="AD1893" t="str">
        <f t="shared" ca="1" si="1957"/>
        <v>FALSE</v>
      </c>
      <c r="AE1893" s="1">
        <f t="shared" ca="1" si="1911"/>
        <v>132</v>
      </c>
      <c r="AF1893" t="str">
        <f t="shared" ca="1" si="1955"/>
        <v>Plot 132</v>
      </c>
    </row>
    <row r="1894" spans="28:32" x14ac:dyDescent="0.25">
      <c r="AB1894" t="str">
        <f t="shared" ref="AB1894:AC1894" si="1965">AB1873</f>
        <v>External Scaffolding</v>
      </c>
      <c r="AC1894" t="str">
        <f t="shared" si="1965"/>
        <v>Hop-ups</v>
      </c>
      <c r="AD1894" t="b">
        <f t="shared" ca="1" si="1957"/>
        <v>1</v>
      </c>
      <c r="AE1894" s="1">
        <f t="shared" ca="1" si="1911"/>
        <v>132</v>
      </c>
      <c r="AF1894" t="str">
        <f t="shared" ca="1" si="1955"/>
        <v>Plot 132</v>
      </c>
    </row>
    <row r="1895" spans="28:32" x14ac:dyDescent="0.25">
      <c r="AB1895" t="str">
        <f t="shared" ref="AB1895:AC1895" si="1966">AB1874</f>
        <v>External Scaffolding</v>
      </c>
      <c r="AC1895" t="str">
        <f t="shared" si="1966"/>
        <v>Adaptions</v>
      </c>
      <c r="AD1895" t="b">
        <f t="shared" ca="1" si="1957"/>
        <v>1</v>
      </c>
      <c r="AE1895" s="1">
        <f t="shared" ca="1" si="1911"/>
        <v>132</v>
      </c>
      <c r="AF1895" t="str">
        <f t="shared" ca="1" si="1955"/>
        <v>Plot 132</v>
      </c>
    </row>
    <row r="1896" spans="28:32" x14ac:dyDescent="0.25">
      <c r="AB1896" t="str">
        <f t="shared" ref="AB1896:AC1896" si="1967">AB1875</f>
        <v>External Scaffolding</v>
      </c>
      <c r="AC1896" t="str">
        <f t="shared" si="1967"/>
        <v>Adaption Tower</v>
      </c>
      <c r="AD1896" t="b">
        <f t="shared" ca="1" si="1957"/>
        <v>1</v>
      </c>
      <c r="AE1896" s="1">
        <f t="shared" ca="1" si="1911"/>
        <v>132</v>
      </c>
      <c r="AF1896" t="str">
        <f t="shared" ca="1" si="1955"/>
        <v>Plot 132</v>
      </c>
    </row>
    <row r="1897" spans="28:32" x14ac:dyDescent="0.25">
      <c r="AB1897" t="str">
        <f t="shared" ref="AB1897:AC1897" si="1968">AB1876</f>
        <v>External Scaffolding</v>
      </c>
      <c r="AC1897" t="str">
        <f t="shared" si="1968"/>
        <v>Lift 1</v>
      </c>
      <c r="AD1897" t="b">
        <f t="shared" ca="1" si="1957"/>
        <v>1</v>
      </c>
      <c r="AE1897" s="1" t="str">
        <f t="shared" ca="1" si="1911"/>
        <v>133-134</v>
      </c>
      <c r="AF1897" t="str">
        <f t="shared" ca="1" si="1955"/>
        <v>Plot 133-134</v>
      </c>
    </row>
    <row r="1898" spans="28:32" x14ac:dyDescent="0.25">
      <c r="AB1898" t="str">
        <f t="shared" ref="AB1898:AC1898" si="1969">AB1877</f>
        <v>External Scaffolding</v>
      </c>
      <c r="AC1898" t="str">
        <f t="shared" si="1969"/>
        <v>Lift 2</v>
      </c>
      <c r="AD1898" t="b">
        <f t="shared" ca="1" si="1957"/>
        <v>1</v>
      </c>
      <c r="AE1898" s="1" t="str">
        <f t="shared" ca="1" si="1911"/>
        <v>133-134</v>
      </c>
      <c r="AF1898" t="str">
        <f t="shared" ca="1" si="1955"/>
        <v>Plot 133-134</v>
      </c>
    </row>
    <row r="1899" spans="28:32" x14ac:dyDescent="0.25">
      <c r="AB1899" t="str">
        <f t="shared" ref="AB1899:AC1899" si="1970">AB1878</f>
        <v>External Scaffolding</v>
      </c>
      <c r="AC1899" t="str">
        <f t="shared" si="1970"/>
        <v>Lift 3</v>
      </c>
      <c r="AD1899" t="b">
        <f t="shared" ca="1" si="1957"/>
        <v>1</v>
      </c>
      <c r="AE1899" s="1" t="str">
        <f t="shared" ca="1" si="1911"/>
        <v>133-134</v>
      </c>
      <c r="AF1899" t="str">
        <f t="shared" ca="1" si="1955"/>
        <v>Plot 133-134</v>
      </c>
    </row>
    <row r="1900" spans="28:32" x14ac:dyDescent="0.25">
      <c r="AB1900" t="str">
        <f t="shared" ref="AB1900:AC1900" si="1971">AB1879</f>
        <v>External Scaffolding</v>
      </c>
      <c r="AC1900" t="str">
        <f t="shared" si="1971"/>
        <v>Lift 4</v>
      </c>
      <c r="AD1900" t="b">
        <f t="shared" ca="1" si="1957"/>
        <v>0</v>
      </c>
      <c r="AE1900" s="1" t="str">
        <f t="shared" ca="1" si="1911"/>
        <v>133-134</v>
      </c>
      <c r="AF1900" t="str">
        <f t="shared" ca="1" si="1955"/>
        <v>Plot 133-134</v>
      </c>
    </row>
    <row r="1901" spans="28:32" x14ac:dyDescent="0.25">
      <c r="AB1901" t="str">
        <f t="shared" ref="AB1901:AC1901" si="1972">AB1880</f>
        <v>External Scaffolding</v>
      </c>
      <c r="AC1901" t="str">
        <f t="shared" si="1972"/>
        <v>Lift 5</v>
      </c>
      <c r="AD1901" t="b">
        <f t="shared" ca="1" si="1957"/>
        <v>0</v>
      </c>
      <c r="AE1901" s="1" t="str">
        <f t="shared" ca="1" si="1911"/>
        <v>133-134</v>
      </c>
      <c r="AF1901" t="str">
        <f t="shared" ca="1" si="1955"/>
        <v>Plot 133-134</v>
      </c>
    </row>
    <row r="1902" spans="28:32" x14ac:dyDescent="0.25">
      <c r="AB1902" t="str">
        <f t="shared" ref="AB1902:AC1902" si="1973">AB1881</f>
        <v>External Scaffolding</v>
      </c>
      <c r="AC1902" t="str">
        <f t="shared" si="1973"/>
        <v>Lift 6</v>
      </c>
      <c r="AD1902" t="b">
        <f t="shared" ca="1" si="1957"/>
        <v>0</v>
      </c>
      <c r="AE1902" s="1" t="str">
        <f t="shared" ca="1" si="1911"/>
        <v>133-134</v>
      </c>
      <c r="AF1902" t="str">
        <f t="shared" ca="1" si="1955"/>
        <v>Plot 133-134</v>
      </c>
    </row>
    <row r="1903" spans="28:32" x14ac:dyDescent="0.25">
      <c r="AB1903" t="str">
        <f t="shared" ref="AB1903:AC1903" si="1974">AB1882</f>
        <v>Loading Bay</v>
      </c>
      <c r="AC1903" t="str">
        <f t="shared" si="1974"/>
        <v>Lift 1</v>
      </c>
      <c r="AD1903" t="b">
        <f t="shared" ca="1" si="1957"/>
        <v>1</v>
      </c>
      <c r="AE1903" s="1" t="str">
        <f t="shared" ca="1" si="1911"/>
        <v>133-134</v>
      </c>
      <c r="AF1903" t="str">
        <f t="shared" ca="1" si="1955"/>
        <v>Plot 133-134</v>
      </c>
    </row>
    <row r="1904" spans="28:32" x14ac:dyDescent="0.25">
      <c r="AB1904" t="str">
        <f t="shared" ref="AB1904:AC1904" si="1975">AB1883</f>
        <v>Loading Bay</v>
      </c>
      <c r="AC1904" t="str">
        <f t="shared" si="1975"/>
        <v>Lift 2</v>
      </c>
      <c r="AD1904" t="b">
        <f t="shared" ca="1" si="1957"/>
        <v>1</v>
      </c>
      <c r="AE1904" s="1" t="str">
        <f t="shared" ca="1" si="1911"/>
        <v>133-134</v>
      </c>
      <c r="AF1904" t="str">
        <f t="shared" ca="1" si="1955"/>
        <v>Plot 133-134</v>
      </c>
    </row>
    <row r="1905" spans="28:32" x14ac:dyDescent="0.25">
      <c r="AB1905" t="str">
        <f t="shared" ref="AB1905:AC1905" si="1976">AB1884</f>
        <v>Loading Bay</v>
      </c>
      <c r="AC1905" t="str">
        <f t="shared" si="1976"/>
        <v>Lift 3</v>
      </c>
      <c r="AD1905" t="b">
        <f t="shared" ca="1" si="1957"/>
        <v>1</v>
      </c>
      <c r="AE1905" s="1" t="str">
        <f t="shared" ca="1" si="1911"/>
        <v>133-134</v>
      </c>
      <c r="AF1905" t="str">
        <f t="shared" ca="1" si="1955"/>
        <v>Plot 133-134</v>
      </c>
    </row>
    <row r="1906" spans="28:32" x14ac:dyDescent="0.25">
      <c r="AB1906" t="str">
        <f t="shared" ref="AB1906:AC1906" si="1977">AB1885</f>
        <v>Loading Bay</v>
      </c>
      <c r="AC1906" t="str">
        <f t="shared" si="1977"/>
        <v>Lift 4</v>
      </c>
      <c r="AD1906" t="b">
        <f t="shared" ca="1" si="1957"/>
        <v>0</v>
      </c>
      <c r="AE1906" s="1" t="str">
        <f t="shared" ref="AE1906:AE1969" ca="1" si="1978">OFFSET($AD$1,0,FLOOR(ROW(B1878)/21,1))</f>
        <v>133-134</v>
      </c>
      <c r="AF1906" t="str">
        <f t="shared" ca="1" si="1955"/>
        <v>Plot 133-134</v>
      </c>
    </row>
    <row r="1907" spans="28:32" x14ac:dyDescent="0.25">
      <c r="AB1907" t="str">
        <f t="shared" ref="AB1907:AC1907" si="1979">AB1886</f>
        <v>Loading Bay</v>
      </c>
      <c r="AC1907" t="str">
        <f t="shared" si="1979"/>
        <v>Lift 5</v>
      </c>
      <c r="AD1907" t="b">
        <f t="shared" ca="1" si="1957"/>
        <v>0</v>
      </c>
      <c r="AE1907" s="1" t="str">
        <f t="shared" ca="1" si="1978"/>
        <v>133-134</v>
      </c>
      <c r="AF1907" t="str">
        <f t="shared" ca="1" si="1955"/>
        <v>Plot 133-134</v>
      </c>
    </row>
    <row r="1908" spans="28:32" x14ac:dyDescent="0.25">
      <c r="AB1908" t="str">
        <f t="shared" ref="AB1908:AC1908" si="1980">AB1887</f>
        <v>Loading Bay</v>
      </c>
      <c r="AC1908" t="str">
        <f t="shared" si="1980"/>
        <v>Lift 6</v>
      </c>
      <c r="AD1908" t="b">
        <f t="shared" ca="1" si="1957"/>
        <v>0</v>
      </c>
      <c r="AE1908" s="1" t="str">
        <f t="shared" ca="1" si="1978"/>
        <v>133-134</v>
      </c>
      <c r="AF1908" t="str">
        <f t="shared" ca="1" si="1955"/>
        <v>Plot 133-134</v>
      </c>
    </row>
    <row r="1909" spans="28:32" x14ac:dyDescent="0.25">
      <c r="AB1909" t="str">
        <f t="shared" ref="AB1909:AC1909" si="1981">AB1888</f>
        <v>Scaffolding Platform</v>
      </c>
      <c r="AC1909" t="str">
        <f t="shared" si="1981"/>
        <v>Ground Floor</v>
      </c>
      <c r="AD1909" t="b">
        <f t="shared" ca="1" si="1957"/>
        <v>1</v>
      </c>
      <c r="AE1909" s="1" t="str">
        <f t="shared" ca="1" si="1978"/>
        <v>133-134</v>
      </c>
      <c r="AF1909" t="str">
        <f t="shared" ca="1" si="1955"/>
        <v>Plot 133-134</v>
      </c>
    </row>
    <row r="1910" spans="28:32" x14ac:dyDescent="0.25">
      <c r="AB1910" t="str">
        <f t="shared" ref="AB1910:AC1910" si="1982">AB1889</f>
        <v>Scaffolding Platform</v>
      </c>
      <c r="AC1910" t="str">
        <f t="shared" si="1982"/>
        <v>First Floor</v>
      </c>
      <c r="AD1910" t="b">
        <f t="shared" ca="1" si="1957"/>
        <v>1</v>
      </c>
      <c r="AE1910" s="1" t="str">
        <f t="shared" ca="1" si="1978"/>
        <v>133-134</v>
      </c>
      <c r="AF1910" t="str">
        <f t="shared" ca="1" si="1955"/>
        <v>Plot 133-134</v>
      </c>
    </row>
    <row r="1911" spans="28:32" x14ac:dyDescent="0.25">
      <c r="AB1911" t="str">
        <f t="shared" ref="AB1911:AC1911" si="1983">AB1890</f>
        <v>Scaffolding Platform</v>
      </c>
      <c r="AC1911" t="str">
        <f t="shared" si="1983"/>
        <v>Second Floor</v>
      </c>
      <c r="AD1911" t="b">
        <f t="shared" ca="1" si="1957"/>
        <v>0</v>
      </c>
      <c r="AE1911" s="1" t="str">
        <f t="shared" ca="1" si="1978"/>
        <v>133-134</v>
      </c>
      <c r="AF1911" t="str">
        <f t="shared" ca="1" si="1955"/>
        <v>Plot 133-134</v>
      </c>
    </row>
    <row r="1912" spans="28:32" x14ac:dyDescent="0.25">
      <c r="AB1912" t="str">
        <f t="shared" ref="AB1912:AC1912" si="1984">AB1891</f>
        <v>Supporting Scaffold</v>
      </c>
      <c r="AC1912" t="str">
        <f t="shared" si="1984"/>
        <v>Ground Floor Prop.</v>
      </c>
      <c r="AD1912" t="str">
        <f t="shared" ca="1" si="1957"/>
        <v>TRUE</v>
      </c>
      <c r="AE1912" s="1" t="str">
        <f t="shared" ca="1" si="1978"/>
        <v>133-134</v>
      </c>
      <c r="AF1912" t="str">
        <f t="shared" ca="1" si="1955"/>
        <v>Plot 133-134</v>
      </c>
    </row>
    <row r="1913" spans="28:32" x14ac:dyDescent="0.25">
      <c r="AB1913" t="str">
        <f t="shared" ref="AB1913:AC1913" si="1985">AB1892</f>
        <v>Supporting Scaffold</v>
      </c>
      <c r="AC1913" t="str">
        <f t="shared" si="1985"/>
        <v>First Floor Prop.</v>
      </c>
      <c r="AD1913" t="str">
        <f t="shared" ca="1" si="1957"/>
        <v>FALSE</v>
      </c>
      <c r="AE1913" s="1" t="str">
        <f t="shared" ca="1" si="1978"/>
        <v>133-134</v>
      </c>
      <c r="AF1913" t="str">
        <f t="shared" ca="1" si="1955"/>
        <v>Plot 133-134</v>
      </c>
    </row>
    <row r="1914" spans="28:32" x14ac:dyDescent="0.25">
      <c r="AB1914" t="str">
        <f t="shared" ref="AB1914:AC1914" si="1986">AB1893</f>
        <v>Supporting Scaffold</v>
      </c>
      <c r="AC1914" t="str">
        <f t="shared" si="1986"/>
        <v>Second Floor Prop.</v>
      </c>
      <c r="AD1914" t="str">
        <f t="shared" ca="1" si="1957"/>
        <v>FALSE</v>
      </c>
      <c r="AE1914" s="1" t="str">
        <f t="shared" ca="1" si="1978"/>
        <v>133-134</v>
      </c>
      <c r="AF1914" t="str">
        <f t="shared" ca="1" si="1955"/>
        <v>Plot 133-134</v>
      </c>
    </row>
    <row r="1915" spans="28:32" x14ac:dyDescent="0.25">
      <c r="AB1915" t="str">
        <f t="shared" ref="AB1915:AC1915" si="1987">AB1894</f>
        <v>External Scaffolding</v>
      </c>
      <c r="AC1915" t="str">
        <f t="shared" si="1987"/>
        <v>Hop-ups</v>
      </c>
      <c r="AD1915" t="b">
        <f t="shared" ca="1" si="1957"/>
        <v>1</v>
      </c>
      <c r="AE1915" s="1" t="str">
        <f t="shared" ca="1" si="1978"/>
        <v>133-134</v>
      </c>
      <c r="AF1915" t="str">
        <f t="shared" ca="1" si="1955"/>
        <v>Plot 133-134</v>
      </c>
    </row>
    <row r="1916" spans="28:32" x14ac:dyDescent="0.25">
      <c r="AB1916" t="str">
        <f t="shared" ref="AB1916:AC1916" si="1988">AB1895</f>
        <v>External Scaffolding</v>
      </c>
      <c r="AC1916" t="str">
        <f t="shared" si="1988"/>
        <v>Adaptions</v>
      </c>
      <c r="AD1916" t="b">
        <f t="shared" ca="1" si="1957"/>
        <v>1</v>
      </c>
      <c r="AE1916" s="1" t="str">
        <f t="shared" ca="1" si="1978"/>
        <v>133-134</v>
      </c>
      <c r="AF1916" t="str">
        <f t="shared" ca="1" si="1955"/>
        <v>Plot 133-134</v>
      </c>
    </row>
    <row r="1917" spans="28:32" x14ac:dyDescent="0.25">
      <c r="AB1917" t="str">
        <f t="shared" ref="AB1917:AC1917" si="1989">AB1896</f>
        <v>External Scaffolding</v>
      </c>
      <c r="AC1917" t="str">
        <f t="shared" si="1989"/>
        <v>Adaption Tower</v>
      </c>
      <c r="AD1917" t="b">
        <f t="shared" ca="1" si="1957"/>
        <v>1</v>
      </c>
      <c r="AE1917" s="1" t="str">
        <f t="shared" ca="1" si="1978"/>
        <v>133-134</v>
      </c>
      <c r="AF1917" t="str">
        <f t="shared" ca="1" si="1955"/>
        <v>Plot 133-134</v>
      </c>
    </row>
    <row r="1918" spans="28:32" x14ac:dyDescent="0.25">
      <c r="AB1918" t="str">
        <f t="shared" ref="AB1918:AC1918" si="1990">AB1897</f>
        <v>External Scaffolding</v>
      </c>
      <c r="AC1918" t="str">
        <f t="shared" si="1990"/>
        <v>Lift 1</v>
      </c>
      <c r="AD1918" t="b">
        <f t="shared" ca="1" si="1957"/>
        <v>1</v>
      </c>
      <c r="AE1918" s="1">
        <f t="shared" ca="1" si="1978"/>
        <v>135</v>
      </c>
      <c r="AF1918" t="str">
        <f t="shared" ca="1" si="1955"/>
        <v>Plot 135</v>
      </c>
    </row>
    <row r="1919" spans="28:32" x14ac:dyDescent="0.25">
      <c r="AB1919" t="str">
        <f t="shared" ref="AB1919:AC1919" si="1991">AB1898</f>
        <v>External Scaffolding</v>
      </c>
      <c r="AC1919" t="str">
        <f t="shared" si="1991"/>
        <v>Lift 2</v>
      </c>
      <c r="AD1919" t="b">
        <f t="shared" ca="1" si="1957"/>
        <v>1</v>
      </c>
      <c r="AE1919" s="1">
        <f t="shared" ca="1" si="1978"/>
        <v>135</v>
      </c>
      <c r="AF1919" t="str">
        <f t="shared" ca="1" si="1955"/>
        <v>Plot 135</v>
      </c>
    </row>
    <row r="1920" spans="28:32" x14ac:dyDescent="0.25">
      <c r="AB1920" t="str">
        <f t="shared" ref="AB1920:AC1920" si="1992">AB1899</f>
        <v>External Scaffolding</v>
      </c>
      <c r="AC1920" t="str">
        <f t="shared" si="1992"/>
        <v>Lift 3</v>
      </c>
      <c r="AD1920" t="b">
        <f t="shared" ca="1" si="1957"/>
        <v>1</v>
      </c>
      <c r="AE1920" s="1">
        <f t="shared" ca="1" si="1978"/>
        <v>135</v>
      </c>
      <c r="AF1920" t="str">
        <f t="shared" ca="1" si="1955"/>
        <v>Plot 135</v>
      </c>
    </row>
    <row r="1921" spans="28:32" x14ac:dyDescent="0.25">
      <c r="AB1921" t="str">
        <f t="shared" ref="AB1921:AC1921" si="1993">AB1900</f>
        <v>External Scaffolding</v>
      </c>
      <c r="AC1921" t="str">
        <f t="shared" si="1993"/>
        <v>Lift 4</v>
      </c>
      <c r="AD1921" t="b">
        <f t="shared" ca="1" si="1957"/>
        <v>1</v>
      </c>
      <c r="AE1921" s="1">
        <f t="shared" ca="1" si="1978"/>
        <v>135</v>
      </c>
      <c r="AF1921" t="str">
        <f t="shared" ca="1" si="1955"/>
        <v>Plot 135</v>
      </c>
    </row>
    <row r="1922" spans="28:32" x14ac:dyDescent="0.25">
      <c r="AB1922" t="str">
        <f t="shared" ref="AB1922:AC1922" si="1994">AB1901</f>
        <v>External Scaffolding</v>
      </c>
      <c r="AC1922" t="str">
        <f t="shared" si="1994"/>
        <v>Lift 5</v>
      </c>
      <c r="AD1922" t="b">
        <f t="shared" ca="1" si="1957"/>
        <v>0</v>
      </c>
      <c r="AE1922" s="1">
        <f t="shared" ca="1" si="1978"/>
        <v>135</v>
      </c>
      <c r="AF1922" t="str">
        <f t="shared" ca="1" si="1955"/>
        <v>Plot 135</v>
      </c>
    </row>
    <row r="1923" spans="28:32" x14ac:dyDescent="0.25">
      <c r="AB1923" t="str">
        <f t="shared" ref="AB1923:AC1923" si="1995">AB1902</f>
        <v>External Scaffolding</v>
      </c>
      <c r="AC1923" t="str">
        <f t="shared" si="1995"/>
        <v>Lift 6</v>
      </c>
      <c r="AD1923" t="b">
        <f t="shared" ca="1" si="1957"/>
        <v>0</v>
      </c>
      <c r="AE1923" s="1">
        <f t="shared" ca="1" si="1978"/>
        <v>135</v>
      </c>
      <c r="AF1923" t="str">
        <f t="shared" ca="1" si="1955"/>
        <v>Plot 135</v>
      </c>
    </row>
    <row r="1924" spans="28:32" x14ac:dyDescent="0.25">
      <c r="AB1924" t="str">
        <f t="shared" ref="AB1924:AC1924" si="1996">AB1903</f>
        <v>Loading Bay</v>
      </c>
      <c r="AC1924" t="str">
        <f t="shared" si="1996"/>
        <v>Lift 1</v>
      </c>
      <c r="AD1924" t="b">
        <f t="shared" ca="1" si="1957"/>
        <v>1</v>
      </c>
      <c r="AE1924" s="1">
        <f t="shared" ca="1" si="1978"/>
        <v>135</v>
      </c>
      <c r="AF1924" t="str">
        <f t="shared" ca="1" si="1955"/>
        <v>Plot 135</v>
      </c>
    </row>
    <row r="1925" spans="28:32" x14ac:dyDescent="0.25">
      <c r="AB1925" t="str">
        <f t="shared" ref="AB1925:AC1925" si="1997">AB1904</f>
        <v>Loading Bay</v>
      </c>
      <c r="AC1925" t="str">
        <f t="shared" si="1997"/>
        <v>Lift 2</v>
      </c>
      <c r="AD1925" t="b">
        <f t="shared" ca="1" si="1957"/>
        <v>1</v>
      </c>
      <c r="AE1925" s="1">
        <f t="shared" ca="1" si="1978"/>
        <v>135</v>
      </c>
      <c r="AF1925" t="str">
        <f t="shared" ca="1" si="1955"/>
        <v>Plot 135</v>
      </c>
    </row>
    <row r="1926" spans="28:32" x14ac:dyDescent="0.25">
      <c r="AB1926" t="str">
        <f t="shared" ref="AB1926:AC1926" si="1998">AB1905</f>
        <v>Loading Bay</v>
      </c>
      <c r="AC1926" t="str">
        <f t="shared" si="1998"/>
        <v>Lift 3</v>
      </c>
      <c r="AD1926" t="b">
        <f t="shared" ca="1" si="1957"/>
        <v>1</v>
      </c>
      <c r="AE1926" s="1">
        <f t="shared" ca="1" si="1978"/>
        <v>135</v>
      </c>
      <c r="AF1926" t="str">
        <f t="shared" ca="1" si="1955"/>
        <v>Plot 135</v>
      </c>
    </row>
    <row r="1927" spans="28:32" x14ac:dyDescent="0.25">
      <c r="AB1927" t="str">
        <f t="shared" ref="AB1927:AC1927" si="1999">AB1906</f>
        <v>Loading Bay</v>
      </c>
      <c r="AC1927" t="str">
        <f t="shared" si="1999"/>
        <v>Lift 4</v>
      </c>
      <c r="AD1927" t="b">
        <f t="shared" ca="1" si="1957"/>
        <v>1</v>
      </c>
      <c r="AE1927" s="1">
        <f t="shared" ca="1" si="1978"/>
        <v>135</v>
      </c>
      <c r="AF1927" t="str">
        <f t="shared" ca="1" si="1955"/>
        <v>Plot 135</v>
      </c>
    </row>
    <row r="1928" spans="28:32" x14ac:dyDescent="0.25">
      <c r="AB1928" t="str">
        <f t="shared" ref="AB1928:AC1928" si="2000">AB1907</f>
        <v>Loading Bay</v>
      </c>
      <c r="AC1928" t="str">
        <f t="shared" si="2000"/>
        <v>Lift 5</v>
      </c>
      <c r="AD1928" t="b">
        <f t="shared" ca="1" si="1957"/>
        <v>0</v>
      </c>
      <c r="AE1928" s="1">
        <f t="shared" ca="1" si="1978"/>
        <v>135</v>
      </c>
      <c r="AF1928" t="str">
        <f t="shared" ca="1" si="1955"/>
        <v>Plot 135</v>
      </c>
    </row>
    <row r="1929" spans="28:32" x14ac:dyDescent="0.25">
      <c r="AB1929" t="str">
        <f t="shared" ref="AB1929:AC1929" si="2001">AB1908</f>
        <v>Loading Bay</v>
      </c>
      <c r="AC1929" t="str">
        <f t="shared" si="2001"/>
        <v>Lift 6</v>
      </c>
      <c r="AD1929" t="b">
        <f t="shared" ca="1" si="1957"/>
        <v>0</v>
      </c>
      <c r="AE1929" s="1">
        <f t="shared" ca="1" si="1978"/>
        <v>135</v>
      </c>
      <c r="AF1929" t="str">
        <f t="shared" ca="1" si="1955"/>
        <v>Plot 135</v>
      </c>
    </row>
    <row r="1930" spans="28:32" x14ac:dyDescent="0.25">
      <c r="AB1930" t="str">
        <f t="shared" ref="AB1930:AC1930" si="2002">AB1909</f>
        <v>Scaffolding Platform</v>
      </c>
      <c r="AC1930" t="str">
        <f t="shared" si="2002"/>
        <v>Ground Floor</v>
      </c>
      <c r="AD1930" t="b">
        <f t="shared" ca="1" si="1957"/>
        <v>1</v>
      </c>
      <c r="AE1930" s="1">
        <f t="shared" ca="1" si="1978"/>
        <v>135</v>
      </c>
      <c r="AF1930" t="str">
        <f t="shared" ca="1" si="1955"/>
        <v>Plot 135</v>
      </c>
    </row>
    <row r="1931" spans="28:32" x14ac:dyDescent="0.25">
      <c r="AB1931" t="str">
        <f t="shared" ref="AB1931:AC1931" si="2003">AB1910</f>
        <v>Scaffolding Platform</v>
      </c>
      <c r="AC1931" t="str">
        <f t="shared" si="2003"/>
        <v>First Floor</v>
      </c>
      <c r="AD1931" t="b">
        <f t="shared" ca="1" si="1957"/>
        <v>1</v>
      </c>
      <c r="AE1931" s="1">
        <f t="shared" ca="1" si="1978"/>
        <v>135</v>
      </c>
      <c r="AF1931" t="str">
        <f t="shared" ca="1" si="1955"/>
        <v>Plot 135</v>
      </c>
    </row>
    <row r="1932" spans="28:32" x14ac:dyDescent="0.25">
      <c r="AB1932" t="str">
        <f t="shared" ref="AB1932:AC1932" si="2004">AB1911</f>
        <v>Scaffolding Platform</v>
      </c>
      <c r="AC1932" t="str">
        <f t="shared" si="2004"/>
        <v>Second Floor</v>
      </c>
      <c r="AD1932" t="b">
        <f t="shared" ca="1" si="1957"/>
        <v>1</v>
      </c>
      <c r="AE1932" s="1">
        <f t="shared" ca="1" si="1978"/>
        <v>135</v>
      </c>
      <c r="AF1932" t="str">
        <f t="shared" ca="1" si="1955"/>
        <v>Plot 135</v>
      </c>
    </row>
    <row r="1933" spans="28:32" x14ac:dyDescent="0.25">
      <c r="AB1933" t="str">
        <f t="shared" ref="AB1933:AC1933" si="2005">AB1912</f>
        <v>Supporting Scaffold</v>
      </c>
      <c r="AC1933" t="str">
        <f t="shared" si="2005"/>
        <v>Ground Floor Prop.</v>
      </c>
      <c r="AD1933" t="str">
        <f t="shared" ca="1" si="1957"/>
        <v>TRUE</v>
      </c>
      <c r="AE1933" s="1">
        <f t="shared" ca="1" si="1978"/>
        <v>135</v>
      </c>
      <c r="AF1933" t="str">
        <f t="shared" ca="1" si="1955"/>
        <v>Plot 135</v>
      </c>
    </row>
    <row r="1934" spans="28:32" x14ac:dyDescent="0.25">
      <c r="AB1934" t="str">
        <f t="shared" ref="AB1934:AC1934" si="2006">AB1913</f>
        <v>Supporting Scaffold</v>
      </c>
      <c r="AC1934" t="str">
        <f t="shared" si="2006"/>
        <v>First Floor Prop.</v>
      </c>
      <c r="AD1934" t="str">
        <f t="shared" ca="1" si="1957"/>
        <v>TRUE</v>
      </c>
      <c r="AE1934" s="1">
        <f t="shared" ca="1" si="1978"/>
        <v>135</v>
      </c>
      <c r="AF1934" t="str">
        <f t="shared" ca="1" si="1955"/>
        <v>Plot 135</v>
      </c>
    </row>
    <row r="1935" spans="28:32" x14ac:dyDescent="0.25">
      <c r="AB1935" t="str">
        <f t="shared" ref="AB1935:AC1935" si="2007">AB1914</f>
        <v>Supporting Scaffold</v>
      </c>
      <c r="AC1935" t="str">
        <f t="shared" si="2007"/>
        <v>Second Floor Prop.</v>
      </c>
      <c r="AD1935" t="str">
        <f t="shared" ca="1" si="1957"/>
        <v>FALSE</v>
      </c>
      <c r="AE1935" s="1">
        <f t="shared" ca="1" si="1978"/>
        <v>135</v>
      </c>
      <c r="AF1935" t="str">
        <f t="shared" ca="1" si="1955"/>
        <v>Plot 135</v>
      </c>
    </row>
    <row r="1936" spans="28:32" x14ac:dyDescent="0.25">
      <c r="AB1936" t="str">
        <f t="shared" ref="AB1936:AC1936" si="2008">AB1915</f>
        <v>External Scaffolding</v>
      </c>
      <c r="AC1936" t="str">
        <f t="shared" si="2008"/>
        <v>Hop-ups</v>
      </c>
      <c r="AD1936" t="b">
        <f t="shared" ca="1" si="1957"/>
        <v>1</v>
      </c>
      <c r="AE1936" s="1">
        <f t="shared" ca="1" si="1978"/>
        <v>135</v>
      </c>
      <c r="AF1936" t="str">
        <f t="shared" ca="1" si="1955"/>
        <v>Plot 135</v>
      </c>
    </row>
    <row r="1937" spans="28:32" x14ac:dyDescent="0.25">
      <c r="AB1937" t="str">
        <f t="shared" ref="AB1937:AC1937" si="2009">AB1916</f>
        <v>External Scaffolding</v>
      </c>
      <c r="AC1937" t="str">
        <f t="shared" si="2009"/>
        <v>Adaptions</v>
      </c>
      <c r="AD1937" t="b">
        <f t="shared" ca="1" si="1957"/>
        <v>1</v>
      </c>
      <c r="AE1937" s="1">
        <f t="shared" ca="1" si="1978"/>
        <v>135</v>
      </c>
      <c r="AF1937" t="str">
        <f t="shared" ca="1" si="1955"/>
        <v>Plot 135</v>
      </c>
    </row>
    <row r="1938" spans="28:32" x14ac:dyDescent="0.25">
      <c r="AB1938" t="str">
        <f t="shared" ref="AB1938:AC1938" si="2010">AB1917</f>
        <v>External Scaffolding</v>
      </c>
      <c r="AC1938" t="str">
        <f t="shared" si="2010"/>
        <v>Adaption Tower</v>
      </c>
      <c r="AD1938" t="b">
        <f t="shared" ca="1" si="1957"/>
        <v>1</v>
      </c>
      <c r="AE1938" s="1">
        <f t="shared" ca="1" si="1978"/>
        <v>135</v>
      </c>
      <c r="AF1938" t="str">
        <f t="shared" ca="1" si="1955"/>
        <v>Plot 135</v>
      </c>
    </row>
    <row r="1939" spans="28:32" x14ac:dyDescent="0.25">
      <c r="AB1939" t="str">
        <f t="shared" ref="AB1939:AC1939" si="2011">AB1918</f>
        <v>External Scaffolding</v>
      </c>
      <c r="AC1939" t="str">
        <f t="shared" si="2011"/>
        <v>Lift 1</v>
      </c>
      <c r="AD1939" t="b">
        <f t="shared" ca="1" si="1957"/>
        <v>1</v>
      </c>
      <c r="AE1939" s="1">
        <f t="shared" ca="1" si="1978"/>
        <v>136</v>
      </c>
      <c r="AF1939" t="str">
        <f t="shared" ca="1" si="1955"/>
        <v>Plot 136</v>
      </c>
    </row>
    <row r="1940" spans="28:32" x14ac:dyDescent="0.25">
      <c r="AB1940" t="str">
        <f t="shared" ref="AB1940:AC1940" si="2012">AB1919</f>
        <v>External Scaffolding</v>
      </c>
      <c r="AC1940" t="str">
        <f t="shared" si="2012"/>
        <v>Lift 2</v>
      </c>
      <c r="AD1940" t="b">
        <f t="shared" ca="1" si="1957"/>
        <v>1</v>
      </c>
      <c r="AE1940" s="1">
        <f t="shared" ca="1" si="1978"/>
        <v>136</v>
      </c>
      <c r="AF1940" t="str">
        <f t="shared" ca="1" si="1955"/>
        <v>Plot 136</v>
      </c>
    </row>
    <row r="1941" spans="28:32" x14ac:dyDescent="0.25">
      <c r="AB1941" t="str">
        <f t="shared" ref="AB1941:AC1941" si="2013">AB1920</f>
        <v>External Scaffolding</v>
      </c>
      <c r="AC1941" t="str">
        <f t="shared" si="2013"/>
        <v>Lift 3</v>
      </c>
      <c r="AD1941" t="b">
        <f t="shared" ca="1" si="1957"/>
        <v>1</v>
      </c>
      <c r="AE1941" s="1">
        <f t="shared" ca="1" si="1978"/>
        <v>136</v>
      </c>
      <c r="AF1941" t="str">
        <f t="shared" ca="1" si="1955"/>
        <v>Plot 136</v>
      </c>
    </row>
    <row r="1942" spans="28:32" x14ac:dyDescent="0.25">
      <c r="AB1942" t="str">
        <f t="shared" ref="AB1942:AC1942" si="2014">AB1921</f>
        <v>External Scaffolding</v>
      </c>
      <c r="AC1942" t="str">
        <f t="shared" si="2014"/>
        <v>Lift 4</v>
      </c>
      <c r="AD1942" t="b">
        <f t="shared" ca="1" si="1957"/>
        <v>0</v>
      </c>
      <c r="AE1942" s="1">
        <f t="shared" ca="1" si="1978"/>
        <v>136</v>
      </c>
      <c r="AF1942" t="str">
        <f t="shared" ca="1" si="1955"/>
        <v>Plot 136</v>
      </c>
    </row>
    <row r="1943" spans="28:32" x14ac:dyDescent="0.25">
      <c r="AB1943" t="str">
        <f t="shared" ref="AB1943:AC1943" si="2015">AB1922</f>
        <v>External Scaffolding</v>
      </c>
      <c r="AC1943" t="str">
        <f t="shared" si="2015"/>
        <v>Lift 5</v>
      </c>
      <c r="AD1943" t="b">
        <f t="shared" ca="1" si="1957"/>
        <v>0</v>
      </c>
      <c r="AE1943" s="1">
        <f t="shared" ca="1" si="1978"/>
        <v>136</v>
      </c>
      <c r="AF1943" t="str">
        <f t="shared" ca="1" si="1955"/>
        <v>Plot 136</v>
      </c>
    </row>
    <row r="1944" spans="28:32" x14ac:dyDescent="0.25">
      <c r="AB1944" t="str">
        <f t="shared" ref="AB1944:AC1944" si="2016">AB1923</f>
        <v>External Scaffolding</v>
      </c>
      <c r="AC1944" t="str">
        <f t="shared" si="2016"/>
        <v>Lift 6</v>
      </c>
      <c r="AD1944" t="b">
        <f t="shared" ca="1" si="1957"/>
        <v>0</v>
      </c>
      <c r="AE1944" s="1">
        <f t="shared" ca="1" si="1978"/>
        <v>136</v>
      </c>
      <c r="AF1944" t="str">
        <f t="shared" ca="1" si="1955"/>
        <v>Plot 136</v>
      </c>
    </row>
    <row r="1945" spans="28:32" x14ac:dyDescent="0.25">
      <c r="AB1945" t="str">
        <f t="shared" ref="AB1945:AC1945" si="2017">AB1924</f>
        <v>Loading Bay</v>
      </c>
      <c r="AC1945" t="str">
        <f t="shared" si="2017"/>
        <v>Lift 1</v>
      </c>
      <c r="AD1945" t="b">
        <f t="shared" ca="1" si="1957"/>
        <v>1</v>
      </c>
      <c r="AE1945" s="1">
        <f t="shared" ca="1" si="1978"/>
        <v>136</v>
      </c>
      <c r="AF1945" t="str">
        <f t="shared" ca="1" si="1955"/>
        <v>Plot 136</v>
      </c>
    </row>
    <row r="1946" spans="28:32" x14ac:dyDescent="0.25">
      <c r="AB1946" t="str">
        <f t="shared" ref="AB1946:AC1946" si="2018">AB1925</f>
        <v>Loading Bay</v>
      </c>
      <c r="AC1946" t="str">
        <f t="shared" si="2018"/>
        <v>Lift 2</v>
      </c>
      <c r="AD1946" t="b">
        <f t="shared" ca="1" si="1957"/>
        <v>1</v>
      </c>
      <c r="AE1946" s="1">
        <f t="shared" ca="1" si="1978"/>
        <v>136</v>
      </c>
      <c r="AF1946" t="str">
        <f t="shared" ca="1" si="1955"/>
        <v>Plot 136</v>
      </c>
    </row>
    <row r="1947" spans="28:32" x14ac:dyDescent="0.25">
      <c r="AB1947" t="str">
        <f t="shared" ref="AB1947:AC1947" si="2019">AB1926</f>
        <v>Loading Bay</v>
      </c>
      <c r="AC1947" t="str">
        <f t="shared" si="2019"/>
        <v>Lift 3</v>
      </c>
      <c r="AD1947" t="b">
        <f t="shared" ca="1" si="1957"/>
        <v>1</v>
      </c>
      <c r="AE1947" s="1">
        <f t="shared" ca="1" si="1978"/>
        <v>136</v>
      </c>
      <c r="AF1947" t="str">
        <f t="shared" ca="1" si="1955"/>
        <v>Plot 136</v>
      </c>
    </row>
    <row r="1948" spans="28:32" x14ac:dyDescent="0.25">
      <c r="AB1948" t="str">
        <f t="shared" ref="AB1948:AC1948" si="2020">AB1927</f>
        <v>Loading Bay</v>
      </c>
      <c r="AC1948" t="str">
        <f t="shared" si="2020"/>
        <v>Lift 4</v>
      </c>
      <c r="AD1948" t="b">
        <f t="shared" ca="1" si="1957"/>
        <v>0</v>
      </c>
      <c r="AE1948" s="1">
        <f t="shared" ca="1" si="1978"/>
        <v>136</v>
      </c>
      <c r="AF1948" t="str">
        <f t="shared" ca="1" si="1955"/>
        <v>Plot 136</v>
      </c>
    </row>
    <row r="1949" spans="28:32" x14ac:dyDescent="0.25">
      <c r="AB1949" t="str">
        <f t="shared" ref="AB1949:AC1949" si="2021">AB1928</f>
        <v>Loading Bay</v>
      </c>
      <c r="AC1949" t="str">
        <f t="shared" si="2021"/>
        <v>Lift 5</v>
      </c>
      <c r="AD1949" t="b">
        <f t="shared" ca="1" si="1957"/>
        <v>0</v>
      </c>
      <c r="AE1949" s="1">
        <f t="shared" ca="1" si="1978"/>
        <v>136</v>
      </c>
      <c r="AF1949" t="str">
        <f t="shared" ref="AF1949:AF2012" ca="1" si="2022">IF(LEFT(AE1949,1)="G",AE1949,"Plot "&amp;AE1949)</f>
        <v>Plot 136</v>
      </c>
    </row>
    <row r="1950" spans="28:32" x14ac:dyDescent="0.25">
      <c r="AB1950" t="str">
        <f t="shared" ref="AB1950:AC1950" si="2023">AB1929</f>
        <v>Loading Bay</v>
      </c>
      <c r="AC1950" t="str">
        <f t="shared" si="2023"/>
        <v>Lift 6</v>
      </c>
      <c r="AD1950" t="b">
        <f t="shared" ref="AD1950:AD2013" ca="1" si="2024">INDEX($AC$1:$JH$22,MATCH(AC1950,$AC$1:$AC$22,0),MATCH(AE1950,$AC$1:$JH$1,0))</f>
        <v>0</v>
      </c>
      <c r="AE1950" s="1">
        <f t="shared" ca="1" si="1978"/>
        <v>136</v>
      </c>
      <c r="AF1950" t="str">
        <f t="shared" ca="1" si="2022"/>
        <v>Plot 136</v>
      </c>
    </row>
    <row r="1951" spans="28:32" x14ac:dyDescent="0.25">
      <c r="AB1951" t="str">
        <f t="shared" ref="AB1951:AC1951" si="2025">AB1930</f>
        <v>Scaffolding Platform</v>
      </c>
      <c r="AC1951" t="str">
        <f t="shared" si="2025"/>
        <v>Ground Floor</v>
      </c>
      <c r="AD1951" t="b">
        <f t="shared" ca="1" si="2024"/>
        <v>1</v>
      </c>
      <c r="AE1951" s="1">
        <f t="shared" ca="1" si="1978"/>
        <v>136</v>
      </c>
      <c r="AF1951" t="str">
        <f t="shared" ca="1" si="2022"/>
        <v>Plot 136</v>
      </c>
    </row>
    <row r="1952" spans="28:32" x14ac:dyDescent="0.25">
      <c r="AB1952" t="str">
        <f t="shared" ref="AB1952:AC1952" si="2026">AB1931</f>
        <v>Scaffolding Platform</v>
      </c>
      <c r="AC1952" t="str">
        <f t="shared" si="2026"/>
        <v>First Floor</v>
      </c>
      <c r="AD1952" t="b">
        <f t="shared" ca="1" si="2024"/>
        <v>1</v>
      </c>
      <c r="AE1952" s="1">
        <f t="shared" ca="1" si="1978"/>
        <v>136</v>
      </c>
      <c r="AF1952" t="str">
        <f t="shared" ca="1" si="2022"/>
        <v>Plot 136</v>
      </c>
    </row>
    <row r="1953" spans="28:32" x14ac:dyDescent="0.25">
      <c r="AB1953" t="str">
        <f t="shared" ref="AB1953:AC1953" si="2027">AB1932</f>
        <v>Scaffolding Platform</v>
      </c>
      <c r="AC1953" t="str">
        <f t="shared" si="2027"/>
        <v>Second Floor</v>
      </c>
      <c r="AD1953" t="b">
        <f t="shared" ca="1" si="2024"/>
        <v>0</v>
      </c>
      <c r="AE1953" s="1">
        <f t="shared" ca="1" si="1978"/>
        <v>136</v>
      </c>
      <c r="AF1953" t="str">
        <f t="shared" ca="1" si="2022"/>
        <v>Plot 136</v>
      </c>
    </row>
    <row r="1954" spans="28:32" x14ac:dyDescent="0.25">
      <c r="AB1954" t="str">
        <f t="shared" ref="AB1954:AC1954" si="2028">AB1933</f>
        <v>Supporting Scaffold</v>
      </c>
      <c r="AC1954" t="str">
        <f t="shared" si="2028"/>
        <v>Ground Floor Prop.</v>
      </c>
      <c r="AD1954" t="str">
        <f t="shared" ca="1" si="2024"/>
        <v>TRUE</v>
      </c>
      <c r="AE1954" s="1">
        <f t="shared" ca="1" si="1978"/>
        <v>136</v>
      </c>
      <c r="AF1954" t="str">
        <f t="shared" ca="1" si="2022"/>
        <v>Plot 136</v>
      </c>
    </row>
    <row r="1955" spans="28:32" x14ac:dyDescent="0.25">
      <c r="AB1955" t="str">
        <f t="shared" ref="AB1955:AC1955" si="2029">AB1934</f>
        <v>Supporting Scaffold</v>
      </c>
      <c r="AC1955" t="str">
        <f t="shared" si="2029"/>
        <v>First Floor Prop.</v>
      </c>
      <c r="AD1955" t="str">
        <f t="shared" ca="1" si="2024"/>
        <v>FALSE</v>
      </c>
      <c r="AE1955" s="1">
        <f t="shared" ca="1" si="1978"/>
        <v>136</v>
      </c>
      <c r="AF1955" t="str">
        <f t="shared" ca="1" si="2022"/>
        <v>Plot 136</v>
      </c>
    </row>
    <row r="1956" spans="28:32" x14ac:dyDescent="0.25">
      <c r="AB1956" t="str">
        <f t="shared" ref="AB1956:AC1956" si="2030">AB1935</f>
        <v>Supporting Scaffold</v>
      </c>
      <c r="AC1956" t="str">
        <f t="shared" si="2030"/>
        <v>Second Floor Prop.</v>
      </c>
      <c r="AD1956" t="str">
        <f t="shared" ca="1" si="2024"/>
        <v>FALSE</v>
      </c>
      <c r="AE1956" s="1">
        <f t="shared" ca="1" si="1978"/>
        <v>136</v>
      </c>
      <c r="AF1956" t="str">
        <f t="shared" ca="1" si="2022"/>
        <v>Plot 136</v>
      </c>
    </row>
    <row r="1957" spans="28:32" x14ac:dyDescent="0.25">
      <c r="AB1957" t="str">
        <f t="shared" ref="AB1957:AC1957" si="2031">AB1936</f>
        <v>External Scaffolding</v>
      </c>
      <c r="AC1957" t="str">
        <f t="shared" si="2031"/>
        <v>Hop-ups</v>
      </c>
      <c r="AD1957" t="b">
        <f t="shared" ca="1" si="2024"/>
        <v>1</v>
      </c>
      <c r="AE1957" s="1">
        <f t="shared" ca="1" si="1978"/>
        <v>136</v>
      </c>
      <c r="AF1957" t="str">
        <f t="shared" ca="1" si="2022"/>
        <v>Plot 136</v>
      </c>
    </row>
    <row r="1958" spans="28:32" x14ac:dyDescent="0.25">
      <c r="AB1958" t="str">
        <f t="shared" ref="AB1958:AC1958" si="2032">AB1937</f>
        <v>External Scaffolding</v>
      </c>
      <c r="AC1958" t="str">
        <f t="shared" si="2032"/>
        <v>Adaptions</v>
      </c>
      <c r="AD1958" t="b">
        <f t="shared" ca="1" si="2024"/>
        <v>1</v>
      </c>
      <c r="AE1958" s="1">
        <f t="shared" ca="1" si="1978"/>
        <v>136</v>
      </c>
      <c r="AF1958" t="str">
        <f t="shared" ca="1" si="2022"/>
        <v>Plot 136</v>
      </c>
    </row>
    <row r="1959" spans="28:32" x14ac:dyDescent="0.25">
      <c r="AB1959" t="str">
        <f t="shared" ref="AB1959:AC1959" si="2033">AB1938</f>
        <v>External Scaffolding</v>
      </c>
      <c r="AC1959" t="str">
        <f t="shared" si="2033"/>
        <v>Adaption Tower</v>
      </c>
      <c r="AD1959" t="b">
        <f t="shared" ca="1" si="2024"/>
        <v>1</v>
      </c>
      <c r="AE1959" s="1">
        <f t="shared" ca="1" si="1978"/>
        <v>136</v>
      </c>
      <c r="AF1959" t="str">
        <f t="shared" ca="1" si="2022"/>
        <v>Plot 136</v>
      </c>
    </row>
    <row r="1960" spans="28:32" x14ac:dyDescent="0.25">
      <c r="AB1960" t="str">
        <f t="shared" ref="AB1960:AC1960" si="2034">AB1939</f>
        <v>External Scaffolding</v>
      </c>
      <c r="AC1960" t="str">
        <f t="shared" si="2034"/>
        <v>Lift 1</v>
      </c>
      <c r="AD1960" t="b">
        <f t="shared" ca="1" si="2024"/>
        <v>1</v>
      </c>
      <c r="AE1960" s="1">
        <f t="shared" ca="1" si="1978"/>
        <v>137</v>
      </c>
      <c r="AF1960" t="str">
        <f t="shared" ca="1" si="2022"/>
        <v>Plot 137</v>
      </c>
    </row>
    <row r="1961" spans="28:32" x14ac:dyDescent="0.25">
      <c r="AB1961" t="str">
        <f t="shared" ref="AB1961:AC1961" si="2035">AB1940</f>
        <v>External Scaffolding</v>
      </c>
      <c r="AC1961" t="str">
        <f t="shared" si="2035"/>
        <v>Lift 2</v>
      </c>
      <c r="AD1961" t="b">
        <f t="shared" ca="1" si="2024"/>
        <v>1</v>
      </c>
      <c r="AE1961" s="1">
        <f t="shared" ca="1" si="1978"/>
        <v>137</v>
      </c>
      <c r="AF1961" t="str">
        <f t="shared" ca="1" si="2022"/>
        <v>Plot 137</v>
      </c>
    </row>
    <row r="1962" spans="28:32" x14ac:dyDescent="0.25">
      <c r="AB1962" t="str">
        <f t="shared" ref="AB1962:AC1962" si="2036">AB1941</f>
        <v>External Scaffolding</v>
      </c>
      <c r="AC1962" t="str">
        <f t="shared" si="2036"/>
        <v>Lift 3</v>
      </c>
      <c r="AD1962" t="b">
        <f t="shared" ca="1" si="2024"/>
        <v>1</v>
      </c>
      <c r="AE1962" s="1">
        <f t="shared" ca="1" si="1978"/>
        <v>137</v>
      </c>
      <c r="AF1962" t="str">
        <f t="shared" ca="1" si="2022"/>
        <v>Plot 137</v>
      </c>
    </row>
    <row r="1963" spans="28:32" x14ac:dyDescent="0.25">
      <c r="AB1963" t="str">
        <f t="shared" ref="AB1963:AC1963" si="2037">AB1942</f>
        <v>External Scaffolding</v>
      </c>
      <c r="AC1963" t="str">
        <f t="shared" si="2037"/>
        <v>Lift 4</v>
      </c>
      <c r="AD1963" t="b">
        <f t="shared" ca="1" si="2024"/>
        <v>1</v>
      </c>
      <c r="AE1963" s="1">
        <f t="shared" ca="1" si="1978"/>
        <v>137</v>
      </c>
      <c r="AF1963" t="str">
        <f t="shared" ca="1" si="2022"/>
        <v>Plot 137</v>
      </c>
    </row>
    <row r="1964" spans="28:32" x14ac:dyDescent="0.25">
      <c r="AB1964" t="str">
        <f t="shared" ref="AB1964:AC1964" si="2038">AB1943</f>
        <v>External Scaffolding</v>
      </c>
      <c r="AC1964" t="str">
        <f t="shared" si="2038"/>
        <v>Lift 5</v>
      </c>
      <c r="AD1964" t="b">
        <f t="shared" ca="1" si="2024"/>
        <v>0</v>
      </c>
      <c r="AE1964" s="1">
        <f t="shared" ca="1" si="1978"/>
        <v>137</v>
      </c>
      <c r="AF1964" t="str">
        <f t="shared" ca="1" si="2022"/>
        <v>Plot 137</v>
      </c>
    </row>
    <row r="1965" spans="28:32" x14ac:dyDescent="0.25">
      <c r="AB1965" t="str">
        <f t="shared" ref="AB1965:AC1965" si="2039">AB1944</f>
        <v>External Scaffolding</v>
      </c>
      <c r="AC1965" t="str">
        <f t="shared" si="2039"/>
        <v>Lift 6</v>
      </c>
      <c r="AD1965" t="b">
        <f t="shared" ca="1" si="2024"/>
        <v>0</v>
      </c>
      <c r="AE1965" s="1">
        <f t="shared" ca="1" si="1978"/>
        <v>137</v>
      </c>
      <c r="AF1965" t="str">
        <f t="shared" ca="1" si="2022"/>
        <v>Plot 137</v>
      </c>
    </row>
    <row r="1966" spans="28:32" x14ac:dyDescent="0.25">
      <c r="AB1966" t="str">
        <f t="shared" ref="AB1966:AC1966" si="2040">AB1945</f>
        <v>Loading Bay</v>
      </c>
      <c r="AC1966" t="str">
        <f t="shared" si="2040"/>
        <v>Lift 1</v>
      </c>
      <c r="AD1966" t="b">
        <f t="shared" ca="1" si="2024"/>
        <v>1</v>
      </c>
      <c r="AE1966" s="1">
        <f t="shared" ca="1" si="1978"/>
        <v>137</v>
      </c>
      <c r="AF1966" t="str">
        <f t="shared" ca="1" si="2022"/>
        <v>Plot 137</v>
      </c>
    </row>
    <row r="1967" spans="28:32" x14ac:dyDescent="0.25">
      <c r="AB1967" t="str">
        <f t="shared" ref="AB1967:AC1967" si="2041">AB1946</f>
        <v>Loading Bay</v>
      </c>
      <c r="AC1967" t="str">
        <f t="shared" si="2041"/>
        <v>Lift 2</v>
      </c>
      <c r="AD1967" t="b">
        <f t="shared" ca="1" si="2024"/>
        <v>1</v>
      </c>
      <c r="AE1967" s="1">
        <f t="shared" ca="1" si="1978"/>
        <v>137</v>
      </c>
      <c r="AF1967" t="str">
        <f t="shared" ca="1" si="2022"/>
        <v>Plot 137</v>
      </c>
    </row>
    <row r="1968" spans="28:32" x14ac:dyDescent="0.25">
      <c r="AB1968" t="str">
        <f t="shared" ref="AB1968:AC1968" si="2042">AB1947</f>
        <v>Loading Bay</v>
      </c>
      <c r="AC1968" t="str">
        <f t="shared" si="2042"/>
        <v>Lift 3</v>
      </c>
      <c r="AD1968" t="b">
        <f t="shared" ca="1" si="2024"/>
        <v>1</v>
      </c>
      <c r="AE1968" s="1">
        <f t="shared" ca="1" si="1978"/>
        <v>137</v>
      </c>
      <c r="AF1968" t="str">
        <f t="shared" ca="1" si="2022"/>
        <v>Plot 137</v>
      </c>
    </row>
    <row r="1969" spans="28:32" x14ac:dyDescent="0.25">
      <c r="AB1969" t="str">
        <f t="shared" ref="AB1969:AC1969" si="2043">AB1948</f>
        <v>Loading Bay</v>
      </c>
      <c r="AC1969" t="str">
        <f t="shared" si="2043"/>
        <v>Lift 4</v>
      </c>
      <c r="AD1969" t="b">
        <f t="shared" ca="1" si="2024"/>
        <v>1</v>
      </c>
      <c r="AE1969" s="1">
        <f t="shared" ca="1" si="1978"/>
        <v>137</v>
      </c>
      <c r="AF1969" t="str">
        <f t="shared" ca="1" si="2022"/>
        <v>Plot 137</v>
      </c>
    </row>
    <row r="1970" spans="28:32" x14ac:dyDescent="0.25">
      <c r="AB1970" t="str">
        <f t="shared" ref="AB1970:AC1970" si="2044">AB1949</f>
        <v>Loading Bay</v>
      </c>
      <c r="AC1970" t="str">
        <f t="shared" si="2044"/>
        <v>Lift 5</v>
      </c>
      <c r="AD1970" t="b">
        <f t="shared" ca="1" si="2024"/>
        <v>0</v>
      </c>
      <c r="AE1970" s="1">
        <f t="shared" ref="AE1970:AE2033" ca="1" si="2045">OFFSET($AD$1,0,FLOOR(ROW(B1942)/21,1))</f>
        <v>137</v>
      </c>
      <c r="AF1970" t="str">
        <f t="shared" ca="1" si="2022"/>
        <v>Plot 137</v>
      </c>
    </row>
    <row r="1971" spans="28:32" x14ac:dyDescent="0.25">
      <c r="AB1971" t="str">
        <f t="shared" ref="AB1971:AC1971" si="2046">AB1950</f>
        <v>Loading Bay</v>
      </c>
      <c r="AC1971" t="str">
        <f t="shared" si="2046"/>
        <v>Lift 6</v>
      </c>
      <c r="AD1971" t="b">
        <f t="shared" ca="1" si="2024"/>
        <v>0</v>
      </c>
      <c r="AE1971" s="1">
        <f t="shared" ca="1" si="2045"/>
        <v>137</v>
      </c>
      <c r="AF1971" t="str">
        <f t="shared" ca="1" si="2022"/>
        <v>Plot 137</v>
      </c>
    </row>
    <row r="1972" spans="28:32" x14ac:dyDescent="0.25">
      <c r="AB1972" t="str">
        <f t="shared" ref="AB1972:AC1972" si="2047">AB1951</f>
        <v>Scaffolding Platform</v>
      </c>
      <c r="AC1972" t="str">
        <f t="shared" si="2047"/>
        <v>Ground Floor</v>
      </c>
      <c r="AD1972" t="b">
        <f t="shared" ca="1" si="2024"/>
        <v>1</v>
      </c>
      <c r="AE1972" s="1">
        <f t="shared" ca="1" si="2045"/>
        <v>137</v>
      </c>
      <c r="AF1972" t="str">
        <f t="shared" ca="1" si="2022"/>
        <v>Plot 137</v>
      </c>
    </row>
    <row r="1973" spans="28:32" x14ac:dyDescent="0.25">
      <c r="AB1973" t="str">
        <f t="shared" ref="AB1973:AC1973" si="2048">AB1952</f>
        <v>Scaffolding Platform</v>
      </c>
      <c r="AC1973" t="str">
        <f t="shared" si="2048"/>
        <v>First Floor</v>
      </c>
      <c r="AD1973" t="b">
        <f t="shared" ca="1" si="2024"/>
        <v>1</v>
      </c>
      <c r="AE1973" s="1">
        <f t="shared" ca="1" si="2045"/>
        <v>137</v>
      </c>
      <c r="AF1973" t="str">
        <f t="shared" ca="1" si="2022"/>
        <v>Plot 137</v>
      </c>
    </row>
    <row r="1974" spans="28:32" x14ac:dyDescent="0.25">
      <c r="AB1974" t="str">
        <f t="shared" ref="AB1974:AC1974" si="2049">AB1953</f>
        <v>Scaffolding Platform</v>
      </c>
      <c r="AC1974" t="str">
        <f t="shared" si="2049"/>
        <v>Second Floor</v>
      </c>
      <c r="AD1974" t="b">
        <f t="shared" ca="1" si="2024"/>
        <v>1</v>
      </c>
      <c r="AE1974" s="1">
        <f t="shared" ca="1" si="2045"/>
        <v>137</v>
      </c>
      <c r="AF1974" t="str">
        <f t="shared" ca="1" si="2022"/>
        <v>Plot 137</v>
      </c>
    </row>
    <row r="1975" spans="28:32" x14ac:dyDescent="0.25">
      <c r="AB1975" t="str">
        <f t="shared" ref="AB1975:AC1975" si="2050">AB1954</f>
        <v>Supporting Scaffold</v>
      </c>
      <c r="AC1975" t="str">
        <f t="shared" si="2050"/>
        <v>Ground Floor Prop.</v>
      </c>
      <c r="AD1975" t="str">
        <f t="shared" ca="1" si="2024"/>
        <v>TRUE</v>
      </c>
      <c r="AE1975" s="1">
        <f t="shared" ca="1" si="2045"/>
        <v>137</v>
      </c>
      <c r="AF1975" t="str">
        <f t="shared" ca="1" si="2022"/>
        <v>Plot 137</v>
      </c>
    </row>
    <row r="1976" spans="28:32" x14ac:dyDescent="0.25">
      <c r="AB1976" t="str">
        <f t="shared" ref="AB1976:AC1976" si="2051">AB1955</f>
        <v>Supporting Scaffold</v>
      </c>
      <c r="AC1976" t="str">
        <f t="shared" si="2051"/>
        <v>First Floor Prop.</v>
      </c>
      <c r="AD1976" t="str">
        <f t="shared" ca="1" si="2024"/>
        <v>TRUE</v>
      </c>
      <c r="AE1976" s="1">
        <f t="shared" ca="1" si="2045"/>
        <v>137</v>
      </c>
      <c r="AF1976" t="str">
        <f t="shared" ca="1" si="2022"/>
        <v>Plot 137</v>
      </c>
    </row>
    <row r="1977" spans="28:32" x14ac:dyDescent="0.25">
      <c r="AB1977" t="str">
        <f t="shared" ref="AB1977:AC1977" si="2052">AB1956</f>
        <v>Supporting Scaffold</v>
      </c>
      <c r="AC1977" t="str">
        <f t="shared" si="2052"/>
        <v>Second Floor Prop.</v>
      </c>
      <c r="AD1977" t="str">
        <f t="shared" ca="1" si="2024"/>
        <v>FALSE</v>
      </c>
      <c r="AE1977" s="1">
        <f t="shared" ca="1" si="2045"/>
        <v>137</v>
      </c>
      <c r="AF1977" t="str">
        <f t="shared" ca="1" si="2022"/>
        <v>Plot 137</v>
      </c>
    </row>
    <row r="1978" spans="28:32" x14ac:dyDescent="0.25">
      <c r="AB1978" t="str">
        <f t="shared" ref="AB1978:AC1978" si="2053">AB1957</f>
        <v>External Scaffolding</v>
      </c>
      <c r="AC1978" t="str">
        <f t="shared" si="2053"/>
        <v>Hop-ups</v>
      </c>
      <c r="AD1978" t="b">
        <f t="shared" ca="1" si="2024"/>
        <v>1</v>
      </c>
      <c r="AE1978" s="1">
        <f t="shared" ca="1" si="2045"/>
        <v>137</v>
      </c>
      <c r="AF1978" t="str">
        <f t="shared" ca="1" si="2022"/>
        <v>Plot 137</v>
      </c>
    </row>
    <row r="1979" spans="28:32" x14ac:dyDescent="0.25">
      <c r="AB1979" t="str">
        <f t="shared" ref="AB1979:AC1979" si="2054">AB1958</f>
        <v>External Scaffolding</v>
      </c>
      <c r="AC1979" t="str">
        <f t="shared" si="2054"/>
        <v>Adaptions</v>
      </c>
      <c r="AD1979" t="b">
        <f t="shared" ca="1" si="2024"/>
        <v>1</v>
      </c>
      <c r="AE1979" s="1">
        <f t="shared" ca="1" si="2045"/>
        <v>137</v>
      </c>
      <c r="AF1979" t="str">
        <f t="shared" ca="1" si="2022"/>
        <v>Plot 137</v>
      </c>
    </row>
    <row r="1980" spans="28:32" x14ac:dyDescent="0.25">
      <c r="AB1980" t="str">
        <f t="shared" ref="AB1980:AC1980" si="2055">AB1959</f>
        <v>External Scaffolding</v>
      </c>
      <c r="AC1980" t="str">
        <f t="shared" si="2055"/>
        <v>Adaption Tower</v>
      </c>
      <c r="AD1980" t="b">
        <f t="shared" ca="1" si="2024"/>
        <v>1</v>
      </c>
      <c r="AE1980" s="1">
        <f t="shared" ca="1" si="2045"/>
        <v>137</v>
      </c>
      <c r="AF1980" t="str">
        <f t="shared" ca="1" si="2022"/>
        <v>Plot 137</v>
      </c>
    </row>
    <row r="1981" spans="28:32" x14ac:dyDescent="0.25">
      <c r="AB1981" t="str">
        <f t="shared" ref="AB1981:AC1981" si="2056">AB1960</f>
        <v>External Scaffolding</v>
      </c>
      <c r="AC1981" t="str">
        <f t="shared" si="2056"/>
        <v>Lift 1</v>
      </c>
      <c r="AD1981" t="b">
        <f t="shared" ca="1" si="2024"/>
        <v>1</v>
      </c>
      <c r="AE1981" s="1">
        <f t="shared" ca="1" si="2045"/>
        <v>138</v>
      </c>
      <c r="AF1981" t="str">
        <f t="shared" ca="1" si="2022"/>
        <v>Plot 138</v>
      </c>
    </row>
    <row r="1982" spans="28:32" x14ac:dyDescent="0.25">
      <c r="AB1982" t="str">
        <f t="shared" ref="AB1982:AC1982" si="2057">AB1961</f>
        <v>External Scaffolding</v>
      </c>
      <c r="AC1982" t="str">
        <f t="shared" si="2057"/>
        <v>Lift 2</v>
      </c>
      <c r="AD1982" t="b">
        <f t="shared" ca="1" si="2024"/>
        <v>1</v>
      </c>
      <c r="AE1982" s="1">
        <f t="shared" ca="1" si="2045"/>
        <v>138</v>
      </c>
      <c r="AF1982" t="str">
        <f t="shared" ca="1" si="2022"/>
        <v>Plot 138</v>
      </c>
    </row>
    <row r="1983" spans="28:32" x14ac:dyDescent="0.25">
      <c r="AB1983" t="str">
        <f t="shared" ref="AB1983:AC1983" si="2058">AB1962</f>
        <v>External Scaffolding</v>
      </c>
      <c r="AC1983" t="str">
        <f t="shared" si="2058"/>
        <v>Lift 3</v>
      </c>
      <c r="AD1983" t="b">
        <f t="shared" ca="1" si="2024"/>
        <v>1</v>
      </c>
      <c r="AE1983" s="1">
        <f t="shared" ca="1" si="2045"/>
        <v>138</v>
      </c>
      <c r="AF1983" t="str">
        <f t="shared" ca="1" si="2022"/>
        <v>Plot 138</v>
      </c>
    </row>
    <row r="1984" spans="28:32" x14ac:dyDescent="0.25">
      <c r="AB1984" t="str">
        <f t="shared" ref="AB1984:AC1984" si="2059">AB1963</f>
        <v>External Scaffolding</v>
      </c>
      <c r="AC1984" t="str">
        <f t="shared" si="2059"/>
        <v>Lift 4</v>
      </c>
      <c r="AD1984" t="b">
        <f t="shared" ca="1" si="2024"/>
        <v>0</v>
      </c>
      <c r="AE1984" s="1">
        <f t="shared" ca="1" si="2045"/>
        <v>138</v>
      </c>
      <c r="AF1984" t="str">
        <f t="shared" ca="1" si="2022"/>
        <v>Plot 138</v>
      </c>
    </row>
    <row r="1985" spans="28:32" x14ac:dyDescent="0.25">
      <c r="AB1985" t="str">
        <f t="shared" ref="AB1985:AC1985" si="2060">AB1964</f>
        <v>External Scaffolding</v>
      </c>
      <c r="AC1985" t="str">
        <f t="shared" si="2060"/>
        <v>Lift 5</v>
      </c>
      <c r="AD1985" t="b">
        <f t="shared" ca="1" si="2024"/>
        <v>0</v>
      </c>
      <c r="AE1985" s="1">
        <f t="shared" ca="1" si="2045"/>
        <v>138</v>
      </c>
      <c r="AF1985" t="str">
        <f t="shared" ca="1" si="2022"/>
        <v>Plot 138</v>
      </c>
    </row>
    <row r="1986" spans="28:32" x14ac:dyDescent="0.25">
      <c r="AB1986" t="str">
        <f t="shared" ref="AB1986:AC1986" si="2061">AB1965</f>
        <v>External Scaffolding</v>
      </c>
      <c r="AC1986" t="str">
        <f t="shared" si="2061"/>
        <v>Lift 6</v>
      </c>
      <c r="AD1986" t="b">
        <f t="shared" ca="1" si="2024"/>
        <v>0</v>
      </c>
      <c r="AE1986" s="1">
        <f t="shared" ca="1" si="2045"/>
        <v>138</v>
      </c>
      <c r="AF1986" t="str">
        <f t="shared" ca="1" si="2022"/>
        <v>Plot 138</v>
      </c>
    </row>
    <row r="1987" spans="28:32" x14ac:dyDescent="0.25">
      <c r="AB1987" t="str">
        <f t="shared" ref="AB1987:AC1987" si="2062">AB1966</f>
        <v>Loading Bay</v>
      </c>
      <c r="AC1987" t="str">
        <f t="shared" si="2062"/>
        <v>Lift 1</v>
      </c>
      <c r="AD1987" t="b">
        <f t="shared" ca="1" si="2024"/>
        <v>1</v>
      </c>
      <c r="AE1987" s="1">
        <f t="shared" ca="1" si="2045"/>
        <v>138</v>
      </c>
      <c r="AF1987" t="str">
        <f t="shared" ca="1" si="2022"/>
        <v>Plot 138</v>
      </c>
    </row>
    <row r="1988" spans="28:32" x14ac:dyDescent="0.25">
      <c r="AB1988" t="str">
        <f t="shared" ref="AB1988:AC1988" si="2063">AB1967</f>
        <v>Loading Bay</v>
      </c>
      <c r="AC1988" t="str">
        <f t="shared" si="2063"/>
        <v>Lift 2</v>
      </c>
      <c r="AD1988" t="b">
        <f t="shared" ca="1" si="2024"/>
        <v>1</v>
      </c>
      <c r="AE1988" s="1">
        <f t="shared" ca="1" si="2045"/>
        <v>138</v>
      </c>
      <c r="AF1988" t="str">
        <f t="shared" ca="1" si="2022"/>
        <v>Plot 138</v>
      </c>
    </row>
    <row r="1989" spans="28:32" x14ac:dyDescent="0.25">
      <c r="AB1989" t="str">
        <f t="shared" ref="AB1989:AC1989" si="2064">AB1968</f>
        <v>Loading Bay</v>
      </c>
      <c r="AC1989" t="str">
        <f t="shared" si="2064"/>
        <v>Lift 3</v>
      </c>
      <c r="AD1989" t="b">
        <f t="shared" ca="1" si="2024"/>
        <v>1</v>
      </c>
      <c r="AE1989" s="1">
        <f t="shared" ca="1" si="2045"/>
        <v>138</v>
      </c>
      <c r="AF1989" t="str">
        <f t="shared" ca="1" si="2022"/>
        <v>Plot 138</v>
      </c>
    </row>
    <row r="1990" spans="28:32" x14ac:dyDescent="0.25">
      <c r="AB1990" t="str">
        <f t="shared" ref="AB1990:AC1990" si="2065">AB1969</f>
        <v>Loading Bay</v>
      </c>
      <c r="AC1990" t="str">
        <f t="shared" si="2065"/>
        <v>Lift 4</v>
      </c>
      <c r="AD1990" t="b">
        <f t="shared" ca="1" si="2024"/>
        <v>0</v>
      </c>
      <c r="AE1990" s="1">
        <f t="shared" ca="1" si="2045"/>
        <v>138</v>
      </c>
      <c r="AF1990" t="str">
        <f t="shared" ca="1" si="2022"/>
        <v>Plot 138</v>
      </c>
    </row>
    <row r="1991" spans="28:32" x14ac:dyDescent="0.25">
      <c r="AB1991" t="str">
        <f t="shared" ref="AB1991:AC1991" si="2066">AB1970</f>
        <v>Loading Bay</v>
      </c>
      <c r="AC1991" t="str">
        <f t="shared" si="2066"/>
        <v>Lift 5</v>
      </c>
      <c r="AD1991" t="b">
        <f t="shared" ca="1" si="2024"/>
        <v>0</v>
      </c>
      <c r="AE1991" s="1">
        <f t="shared" ca="1" si="2045"/>
        <v>138</v>
      </c>
      <c r="AF1991" t="str">
        <f t="shared" ca="1" si="2022"/>
        <v>Plot 138</v>
      </c>
    </row>
    <row r="1992" spans="28:32" x14ac:dyDescent="0.25">
      <c r="AB1992" t="str">
        <f t="shared" ref="AB1992:AC1992" si="2067">AB1971</f>
        <v>Loading Bay</v>
      </c>
      <c r="AC1992" t="str">
        <f t="shared" si="2067"/>
        <v>Lift 6</v>
      </c>
      <c r="AD1992" t="b">
        <f t="shared" ca="1" si="2024"/>
        <v>0</v>
      </c>
      <c r="AE1992" s="1">
        <f t="shared" ca="1" si="2045"/>
        <v>138</v>
      </c>
      <c r="AF1992" t="str">
        <f t="shared" ca="1" si="2022"/>
        <v>Plot 138</v>
      </c>
    </row>
    <row r="1993" spans="28:32" x14ac:dyDescent="0.25">
      <c r="AB1993" t="str">
        <f t="shared" ref="AB1993:AC1993" si="2068">AB1972</f>
        <v>Scaffolding Platform</v>
      </c>
      <c r="AC1993" t="str">
        <f t="shared" si="2068"/>
        <v>Ground Floor</v>
      </c>
      <c r="AD1993" t="b">
        <f t="shared" ca="1" si="2024"/>
        <v>1</v>
      </c>
      <c r="AE1993" s="1">
        <f t="shared" ca="1" si="2045"/>
        <v>138</v>
      </c>
      <c r="AF1993" t="str">
        <f t="shared" ca="1" si="2022"/>
        <v>Plot 138</v>
      </c>
    </row>
    <row r="1994" spans="28:32" x14ac:dyDescent="0.25">
      <c r="AB1994" t="str">
        <f t="shared" ref="AB1994:AC1994" si="2069">AB1973</f>
        <v>Scaffolding Platform</v>
      </c>
      <c r="AC1994" t="str">
        <f t="shared" si="2069"/>
        <v>First Floor</v>
      </c>
      <c r="AD1994" t="b">
        <f t="shared" ca="1" si="2024"/>
        <v>1</v>
      </c>
      <c r="AE1994" s="1">
        <f t="shared" ca="1" si="2045"/>
        <v>138</v>
      </c>
      <c r="AF1994" t="str">
        <f t="shared" ca="1" si="2022"/>
        <v>Plot 138</v>
      </c>
    </row>
    <row r="1995" spans="28:32" x14ac:dyDescent="0.25">
      <c r="AB1995" t="str">
        <f t="shared" ref="AB1995:AC1995" si="2070">AB1974</f>
        <v>Scaffolding Platform</v>
      </c>
      <c r="AC1995" t="str">
        <f t="shared" si="2070"/>
        <v>Second Floor</v>
      </c>
      <c r="AD1995" t="b">
        <f t="shared" ca="1" si="2024"/>
        <v>0</v>
      </c>
      <c r="AE1995" s="1">
        <f t="shared" ca="1" si="2045"/>
        <v>138</v>
      </c>
      <c r="AF1995" t="str">
        <f t="shared" ca="1" si="2022"/>
        <v>Plot 138</v>
      </c>
    </row>
    <row r="1996" spans="28:32" x14ac:dyDescent="0.25">
      <c r="AB1996" t="str">
        <f t="shared" ref="AB1996:AC1996" si="2071">AB1975</f>
        <v>Supporting Scaffold</v>
      </c>
      <c r="AC1996" t="str">
        <f t="shared" si="2071"/>
        <v>Ground Floor Prop.</v>
      </c>
      <c r="AD1996" t="str">
        <f t="shared" ca="1" si="2024"/>
        <v>TRUE</v>
      </c>
      <c r="AE1996" s="1">
        <f t="shared" ca="1" si="2045"/>
        <v>138</v>
      </c>
      <c r="AF1996" t="str">
        <f t="shared" ca="1" si="2022"/>
        <v>Plot 138</v>
      </c>
    </row>
    <row r="1997" spans="28:32" x14ac:dyDescent="0.25">
      <c r="AB1997" t="str">
        <f t="shared" ref="AB1997:AC1997" si="2072">AB1976</f>
        <v>Supporting Scaffold</v>
      </c>
      <c r="AC1997" t="str">
        <f t="shared" si="2072"/>
        <v>First Floor Prop.</v>
      </c>
      <c r="AD1997" t="str">
        <f t="shared" ca="1" si="2024"/>
        <v>FALSE</v>
      </c>
      <c r="AE1997" s="1">
        <f t="shared" ca="1" si="2045"/>
        <v>138</v>
      </c>
      <c r="AF1997" t="str">
        <f t="shared" ca="1" si="2022"/>
        <v>Plot 138</v>
      </c>
    </row>
    <row r="1998" spans="28:32" x14ac:dyDescent="0.25">
      <c r="AB1998" t="str">
        <f t="shared" ref="AB1998:AC1998" si="2073">AB1977</f>
        <v>Supporting Scaffold</v>
      </c>
      <c r="AC1998" t="str">
        <f t="shared" si="2073"/>
        <v>Second Floor Prop.</v>
      </c>
      <c r="AD1998" t="str">
        <f t="shared" ca="1" si="2024"/>
        <v>FALSE</v>
      </c>
      <c r="AE1998" s="1">
        <f t="shared" ca="1" si="2045"/>
        <v>138</v>
      </c>
      <c r="AF1998" t="str">
        <f t="shared" ca="1" si="2022"/>
        <v>Plot 138</v>
      </c>
    </row>
    <row r="1999" spans="28:32" x14ac:dyDescent="0.25">
      <c r="AB1999" t="str">
        <f t="shared" ref="AB1999:AC1999" si="2074">AB1978</f>
        <v>External Scaffolding</v>
      </c>
      <c r="AC1999" t="str">
        <f t="shared" si="2074"/>
        <v>Hop-ups</v>
      </c>
      <c r="AD1999" t="b">
        <f t="shared" ca="1" si="2024"/>
        <v>1</v>
      </c>
      <c r="AE1999" s="1">
        <f t="shared" ca="1" si="2045"/>
        <v>138</v>
      </c>
      <c r="AF1999" t="str">
        <f t="shared" ca="1" si="2022"/>
        <v>Plot 138</v>
      </c>
    </row>
    <row r="2000" spans="28:32" x14ac:dyDescent="0.25">
      <c r="AB2000" t="str">
        <f t="shared" ref="AB2000:AC2000" si="2075">AB1979</f>
        <v>External Scaffolding</v>
      </c>
      <c r="AC2000" t="str">
        <f t="shared" si="2075"/>
        <v>Adaptions</v>
      </c>
      <c r="AD2000" t="b">
        <f t="shared" ca="1" si="2024"/>
        <v>1</v>
      </c>
      <c r="AE2000" s="1">
        <f t="shared" ca="1" si="2045"/>
        <v>138</v>
      </c>
      <c r="AF2000" t="str">
        <f t="shared" ca="1" si="2022"/>
        <v>Plot 138</v>
      </c>
    </row>
    <row r="2001" spans="28:32" x14ac:dyDescent="0.25">
      <c r="AB2001" t="str">
        <f t="shared" ref="AB2001:AC2001" si="2076">AB1980</f>
        <v>External Scaffolding</v>
      </c>
      <c r="AC2001" t="str">
        <f t="shared" si="2076"/>
        <v>Adaption Tower</v>
      </c>
      <c r="AD2001" t="b">
        <f t="shared" ca="1" si="2024"/>
        <v>1</v>
      </c>
      <c r="AE2001" s="1">
        <f t="shared" ca="1" si="2045"/>
        <v>138</v>
      </c>
      <c r="AF2001" t="str">
        <f t="shared" ca="1" si="2022"/>
        <v>Plot 138</v>
      </c>
    </row>
    <row r="2002" spans="28:32" x14ac:dyDescent="0.25">
      <c r="AB2002" t="str">
        <f t="shared" ref="AB2002:AC2002" si="2077">AB1981</f>
        <v>External Scaffolding</v>
      </c>
      <c r="AC2002" t="str">
        <f t="shared" si="2077"/>
        <v>Lift 1</v>
      </c>
      <c r="AD2002" t="b">
        <f t="shared" ca="1" si="2024"/>
        <v>1</v>
      </c>
      <c r="AE2002" s="1" t="str">
        <f t="shared" ca="1" si="2045"/>
        <v>139-140</v>
      </c>
      <c r="AF2002" t="str">
        <f t="shared" ca="1" si="2022"/>
        <v>Plot 139-140</v>
      </c>
    </row>
    <row r="2003" spans="28:32" x14ac:dyDescent="0.25">
      <c r="AB2003" t="str">
        <f t="shared" ref="AB2003:AC2003" si="2078">AB1982</f>
        <v>External Scaffolding</v>
      </c>
      <c r="AC2003" t="str">
        <f t="shared" si="2078"/>
        <v>Lift 2</v>
      </c>
      <c r="AD2003" t="b">
        <f t="shared" ca="1" si="2024"/>
        <v>1</v>
      </c>
      <c r="AE2003" s="1" t="str">
        <f t="shared" ca="1" si="2045"/>
        <v>139-140</v>
      </c>
      <c r="AF2003" t="str">
        <f t="shared" ca="1" si="2022"/>
        <v>Plot 139-140</v>
      </c>
    </row>
    <row r="2004" spans="28:32" x14ac:dyDescent="0.25">
      <c r="AB2004" t="str">
        <f t="shared" ref="AB2004:AC2004" si="2079">AB1983</f>
        <v>External Scaffolding</v>
      </c>
      <c r="AC2004" t="str">
        <f t="shared" si="2079"/>
        <v>Lift 3</v>
      </c>
      <c r="AD2004" t="b">
        <f t="shared" ca="1" si="2024"/>
        <v>1</v>
      </c>
      <c r="AE2004" s="1" t="str">
        <f t="shared" ca="1" si="2045"/>
        <v>139-140</v>
      </c>
      <c r="AF2004" t="str">
        <f t="shared" ca="1" si="2022"/>
        <v>Plot 139-140</v>
      </c>
    </row>
    <row r="2005" spans="28:32" x14ac:dyDescent="0.25">
      <c r="AB2005" t="str">
        <f t="shared" ref="AB2005:AC2005" si="2080">AB1984</f>
        <v>External Scaffolding</v>
      </c>
      <c r="AC2005" t="str">
        <f t="shared" si="2080"/>
        <v>Lift 4</v>
      </c>
      <c r="AD2005" t="b">
        <f t="shared" ca="1" si="2024"/>
        <v>0</v>
      </c>
      <c r="AE2005" s="1" t="str">
        <f t="shared" ca="1" si="2045"/>
        <v>139-140</v>
      </c>
      <c r="AF2005" t="str">
        <f t="shared" ca="1" si="2022"/>
        <v>Plot 139-140</v>
      </c>
    </row>
    <row r="2006" spans="28:32" x14ac:dyDescent="0.25">
      <c r="AB2006" t="str">
        <f t="shared" ref="AB2006:AC2006" si="2081">AB1985</f>
        <v>External Scaffolding</v>
      </c>
      <c r="AC2006" t="str">
        <f t="shared" si="2081"/>
        <v>Lift 5</v>
      </c>
      <c r="AD2006" t="b">
        <f t="shared" ca="1" si="2024"/>
        <v>0</v>
      </c>
      <c r="AE2006" s="1" t="str">
        <f t="shared" ca="1" si="2045"/>
        <v>139-140</v>
      </c>
      <c r="AF2006" t="str">
        <f t="shared" ca="1" si="2022"/>
        <v>Plot 139-140</v>
      </c>
    </row>
    <row r="2007" spans="28:32" x14ac:dyDescent="0.25">
      <c r="AB2007" t="str">
        <f t="shared" ref="AB2007:AC2007" si="2082">AB1986</f>
        <v>External Scaffolding</v>
      </c>
      <c r="AC2007" t="str">
        <f t="shared" si="2082"/>
        <v>Lift 6</v>
      </c>
      <c r="AD2007" t="b">
        <f t="shared" ca="1" si="2024"/>
        <v>0</v>
      </c>
      <c r="AE2007" s="1" t="str">
        <f t="shared" ca="1" si="2045"/>
        <v>139-140</v>
      </c>
      <c r="AF2007" t="str">
        <f t="shared" ca="1" si="2022"/>
        <v>Plot 139-140</v>
      </c>
    </row>
    <row r="2008" spans="28:32" x14ac:dyDescent="0.25">
      <c r="AB2008" t="str">
        <f t="shared" ref="AB2008:AC2008" si="2083">AB1987</f>
        <v>Loading Bay</v>
      </c>
      <c r="AC2008" t="str">
        <f t="shared" si="2083"/>
        <v>Lift 1</v>
      </c>
      <c r="AD2008" t="b">
        <f t="shared" ca="1" si="2024"/>
        <v>1</v>
      </c>
      <c r="AE2008" s="1" t="str">
        <f t="shared" ca="1" si="2045"/>
        <v>139-140</v>
      </c>
      <c r="AF2008" t="str">
        <f t="shared" ca="1" si="2022"/>
        <v>Plot 139-140</v>
      </c>
    </row>
    <row r="2009" spans="28:32" x14ac:dyDescent="0.25">
      <c r="AB2009" t="str">
        <f t="shared" ref="AB2009:AC2009" si="2084">AB1988</f>
        <v>Loading Bay</v>
      </c>
      <c r="AC2009" t="str">
        <f t="shared" si="2084"/>
        <v>Lift 2</v>
      </c>
      <c r="AD2009" t="b">
        <f t="shared" ca="1" si="2024"/>
        <v>1</v>
      </c>
      <c r="AE2009" s="1" t="str">
        <f t="shared" ca="1" si="2045"/>
        <v>139-140</v>
      </c>
      <c r="AF2009" t="str">
        <f t="shared" ca="1" si="2022"/>
        <v>Plot 139-140</v>
      </c>
    </row>
    <row r="2010" spans="28:32" x14ac:dyDescent="0.25">
      <c r="AB2010" t="str">
        <f t="shared" ref="AB2010:AC2010" si="2085">AB1989</f>
        <v>Loading Bay</v>
      </c>
      <c r="AC2010" t="str">
        <f t="shared" si="2085"/>
        <v>Lift 3</v>
      </c>
      <c r="AD2010" t="b">
        <f t="shared" ca="1" si="2024"/>
        <v>1</v>
      </c>
      <c r="AE2010" s="1" t="str">
        <f t="shared" ca="1" si="2045"/>
        <v>139-140</v>
      </c>
      <c r="AF2010" t="str">
        <f t="shared" ca="1" si="2022"/>
        <v>Plot 139-140</v>
      </c>
    </row>
    <row r="2011" spans="28:32" x14ac:dyDescent="0.25">
      <c r="AB2011" t="str">
        <f t="shared" ref="AB2011:AC2011" si="2086">AB1990</f>
        <v>Loading Bay</v>
      </c>
      <c r="AC2011" t="str">
        <f t="shared" si="2086"/>
        <v>Lift 4</v>
      </c>
      <c r="AD2011" t="b">
        <f t="shared" ca="1" si="2024"/>
        <v>0</v>
      </c>
      <c r="AE2011" s="1" t="str">
        <f t="shared" ca="1" si="2045"/>
        <v>139-140</v>
      </c>
      <c r="AF2011" t="str">
        <f t="shared" ca="1" si="2022"/>
        <v>Plot 139-140</v>
      </c>
    </row>
    <row r="2012" spans="28:32" x14ac:dyDescent="0.25">
      <c r="AB2012" t="str">
        <f t="shared" ref="AB2012:AC2012" si="2087">AB1991</f>
        <v>Loading Bay</v>
      </c>
      <c r="AC2012" t="str">
        <f t="shared" si="2087"/>
        <v>Lift 5</v>
      </c>
      <c r="AD2012" t="b">
        <f t="shared" ca="1" si="2024"/>
        <v>0</v>
      </c>
      <c r="AE2012" s="1" t="str">
        <f t="shared" ca="1" si="2045"/>
        <v>139-140</v>
      </c>
      <c r="AF2012" t="str">
        <f t="shared" ca="1" si="2022"/>
        <v>Plot 139-140</v>
      </c>
    </row>
    <row r="2013" spans="28:32" x14ac:dyDescent="0.25">
      <c r="AB2013" t="str">
        <f t="shared" ref="AB2013:AC2013" si="2088">AB1992</f>
        <v>Loading Bay</v>
      </c>
      <c r="AC2013" t="str">
        <f t="shared" si="2088"/>
        <v>Lift 6</v>
      </c>
      <c r="AD2013" t="b">
        <f t="shared" ca="1" si="2024"/>
        <v>0</v>
      </c>
      <c r="AE2013" s="1" t="str">
        <f t="shared" ca="1" si="2045"/>
        <v>139-140</v>
      </c>
      <c r="AF2013" t="str">
        <f t="shared" ref="AF2013:AF2076" ca="1" si="2089">IF(LEFT(AE2013,1)="G",AE2013,"Plot "&amp;AE2013)</f>
        <v>Plot 139-140</v>
      </c>
    </row>
    <row r="2014" spans="28:32" x14ac:dyDescent="0.25">
      <c r="AB2014" t="str">
        <f t="shared" ref="AB2014:AC2014" si="2090">AB1993</f>
        <v>Scaffolding Platform</v>
      </c>
      <c r="AC2014" t="str">
        <f t="shared" si="2090"/>
        <v>Ground Floor</v>
      </c>
      <c r="AD2014" t="b">
        <f t="shared" ref="AD2014:AD2077" ca="1" si="2091">INDEX($AC$1:$JH$22,MATCH(AC2014,$AC$1:$AC$22,0),MATCH(AE2014,$AC$1:$JH$1,0))</f>
        <v>1</v>
      </c>
      <c r="AE2014" s="1" t="str">
        <f t="shared" ca="1" si="2045"/>
        <v>139-140</v>
      </c>
      <c r="AF2014" t="str">
        <f t="shared" ca="1" si="2089"/>
        <v>Plot 139-140</v>
      </c>
    </row>
    <row r="2015" spans="28:32" x14ac:dyDescent="0.25">
      <c r="AB2015" t="str">
        <f t="shared" ref="AB2015:AC2015" si="2092">AB1994</f>
        <v>Scaffolding Platform</v>
      </c>
      <c r="AC2015" t="str">
        <f t="shared" si="2092"/>
        <v>First Floor</v>
      </c>
      <c r="AD2015" t="b">
        <f t="shared" ca="1" si="2091"/>
        <v>1</v>
      </c>
      <c r="AE2015" s="1" t="str">
        <f t="shared" ca="1" si="2045"/>
        <v>139-140</v>
      </c>
      <c r="AF2015" t="str">
        <f t="shared" ca="1" si="2089"/>
        <v>Plot 139-140</v>
      </c>
    </row>
    <row r="2016" spans="28:32" x14ac:dyDescent="0.25">
      <c r="AB2016" t="str">
        <f t="shared" ref="AB2016:AC2016" si="2093">AB1995</f>
        <v>Scaffolding Platform</v>
      </c>
      <c r="AC2016" t="str">
        <f t="shared" si="2093"/>
        <v>Second Floor</v>
      </c>
      <c r="AD2016" t="b">
        <f t="shared" ca="1" si="2091"/>
        <v>0</v>
      </c>
      <c r="AE2016" s="1" t="str">
        <f t="shared" ca="1" si="2045"/>
        <v>139-140</v>
      </c>
      <c r="AF2016" t="str">
        <f t="shared" ca="1" si="2089"/>
        <v>Plot 139-140</v>
      </c>
    </row>
    <row r="2017" spans="28:32" x14ac:dyDescent="0.25">
      <c r="AB2017" t="str">
        <f t="shared" ref="AB2017:AC2017" si="2094">AB1996</f>
        <v>Supporting Scaffold</v>
      </c>
      <c r="AC2017" t="str">
        <f t="shared" si="2094"/>
        <v>Ground Floor Prop.</v>
      </c>
      <c r="AD2017" t="str">
        <f t="shared" ca="1" si="2091"/>
        <v>TRUE</v>
      </c>
      <c r="AE2017" s="1" t="str">
        <f t="shared" ca="1" si="2045"/>
        <v>139-140</v>
      </c>
      <c r="AF2017" t="str">
        <f t="shared" ca="1" si="2089"/>
        <v>Plot 139-140</v>
      </c>
    </row>
    <row r="2018" spans="28:32" x14ac:dyDescent="0.25">
      <c r="AB2018" t="str">
        <f t="shared" ref="AB2018:AC2018" si="2095">AB1997</f>
        <v>Supporting Scaffold</v>
      </c>
      <c r="AC2018" t="str">
        <f t="shared" si="2095"/>
        <v>First Floor Prop.</v>
      </c>
      <c r="AD2018" t="str">
        <f t="shared" ca="1" si="2091"/>
        <v>FALSE</v>
      </c>
      <c r="AE2018" s="1" t="str">
        <f t="shared" ca="1" si="2045"/>
        <v>139-140</v>
      </c>
      <c r="AF2018" t="str">
        <f t="shared" ca="1" si="2089"/>
        <v>Plot 139-140</v>
      </c>
    </row>
    <row r="2019" spans="28:32" x14ac:dyDescent="0.25">
      <c r="AB2019" t="str">
        <f t="shared" ref="AB2019:AC2019" si="2096">AB1998</f>
        <v>Supporting Scaffold</v>
      </c>
      <c r="AC2019" t="str">
        <f t="shared" si="2096"/>
        <v>Second Floor Prop.</v>
      </c>
      <c r="AD2019" t="str">
        <f t="shared" ca="1" si="2091"/>
        <v>FALSE</v>
      </c>
      <c r="AE2019" s="1" t="str">
        <f t="shared" ca="1" si="2045"/>
        <v>139-140</v>
      </c>
      <c r="AF2019" t="str">
        <f t="shared" ca="1" si="2089"/>
        <v>Plot 139-140</v>
      </c>
    </row>
    <row r="2020" spans="28:32" x14ac:dyDescent="0.25">
      <c r="AB2020" t="str">
        <f t="shared" ref="AB2020:AC2020" si="2097">AB1999</f>
        <v>External Scaffolding</v>
      </c>
      <c r="AC2020" t="str">
        <f t="shared" si="2097"/>
        <v>Hop-ups</v>
      </c>
      <c r="AD2020" t="b">
        <f t="shared" ca="1" si="2091"/>
        <v>1</v>
      </c>
      <c r="AE2020" s="1" t="str">
        <f t="shared" ca="1" si="2045"/>
        <v>139-140</v>
      </c>
      <c r="AF2020" t="str">
        <f t="shared" ca="1" si="2089"/>
        <v>Plot 139-140</v>
      </c>
    </row>
    <row r="2021" spans="28:32" x14ac:dyDescent="0.25">
      <c r="AB2021" t="str">
        <f t="shared" ref="AB2021:AC2021" si="2098">AB2000</f>
        <v>External Scaffolding</v>
      </c>
      <c r="AC2021" t="str">
        <f t="shared" si="2098"/>
        <v>Adaptions</v>
      </c>
      <c r="AD2021" t="b">
        <f t="shared" ca="1" si="2091"/>
        <v>1</v>
      </c>
      <c r="AE2021" s="1" t="str">
        <f t="shared" ca="1" si="2045"/>
        <v>139-140</v>
      </c>
      <c r="AF2021" t="str">
        <f t="shared" ca="1" si="2089"/>
        <v>Plot 139-140</v>
      </c>
    </row>
    <row r="2022" spans="28:32" x14ac:dyDescent="0.25">
      <c r="AB2022" t="str">
        <f t="shared" ref="AB2022:AC2022" si="2099">AB2001</f>
        <v>External Scaffolding</v>
      </c>
      <c r="AC2022" t="str">
        <f t="shared" si="2099"/>
        <v>Adaption Tower</v>
      </c>
      <c r="AD2022" t="b">
        <f t="shared" ca="1" si="2091"/>
        <v>1</v>
      </c>
      <c r="AE2022" s="1" t="str">
        <f t="shared" ca="1" si="2045"/>
        <v>139-140</v>
      </c>
      <c r="AF2022" t="str">
        <f t="shared" ca="1" si="2089"/>
        <v>Plot 139-140</v>
      </c>
    </row>
    <row r="2023" spans="28:32" x14ac:dyDescent="0.25">
      <c r="AB2023" t="str">
        <f t="shared" ref="AB2023:AC2023" si="2100">AB2002</f>
        <v>External Scaffolding</v>
      </c>
      <c r="AC2023" t="str">
        <f t="shared" si="2100"/>
        <v>Lift 1</v>
      </c>
      <c r="AD2023" t="b">
        <f t="shared" ca="1" si="2091"/>
        <v>1</v>
      </c>
      <c r="AE2023" s="1">
        <f t="shared" ca="1" si="2045"/>
        <v>141</v>
      </c>
      <c r="AF2023" t="str">
        <f t="shared" ca="1" si="2089"/>
        <v>Plot 141</v>
      </c>
    </row>
    <row r="2024" spans="28:32" x14ac:dyDescent="0.25">
      <c r="AB2024" t="str">
        <f t="shared" ref="AB2024:AC2024" si="2101">AB2003</f>
        <v>External Scaffolding</v>
      </c>
      <c r="AC2024" t="str">
        <f t="shared" si="2101"/>
        <v>Lift 2</v>
      </c>
      <c r="AD2024" t="b">
        <f t="shared" ca="1" si="2091"/>
        <v>1</v>
      </c>
      <c r="AE2024" s="1">
        <f t="shared" ca="1" si="2045"/>
        <v>141</v>
      </c>
      <c r="AF2024" t="str">
        <f t="shared" ca="1" si="2089"/>
        <v>Plot 141</v>
      </c>
    </row>
    <row r="2025" spans="28:32" x14ac:dyDescent="0.25">
      <c r="AB2025" t="str">
        <f t="shared" ref="AB2025:AC2025" si="2102">AB2004</f>
        <v>External Scaffolding</v>
      </c>
      <c r="AC2025" t="str">
        <f t="shared" si="2102"/>
        <v>Lift 3</v>
      </c>
      <c r="AD2025" t="b">
        <f t="shared" ca="1" si="2091"/>
        <v>1</v>
      </c>
      <c r="AE2025" s="1">
        <f t="shared" ca="1" si="2045"/>
        <v>141</v>
      </c>
      <c r="AF2025" t="str">
        <f t="shared" ca="1" si="2089"/>
        <v>Plot 141</v>
      </c>
    </row>
    <row r="2026" spans="28:32" x14ac:dyDescent="0.25">
      <c r="AB2026" t="str">
        <f t="shared" ref="AB2026:AC2026" si="2103">AB2005</f>
        <v>External Scaffolding</v>
      </c>
      <c r="AC2026" t="str">
        <f t="shared" si="2103"/>
        <v>Lift 4</v>
      </c>
      <c r="AD2026" t="b">
        <f t="shared" ca="1" si="2091"/>
        <v>1</v>
      </c>
      <c r="AE2026" s="1">
        <f t="shared" ca="1" si="2045"/>
        <v>141</v>
      </c>
      <c r="AF2026" t="str">
        <f t="shared" ca="1" si="2089"/>
        <v>Plot 141</v>
      </c>
    </row>
    <row r="2027" spans="28:32" x14ac:dyDescent="0.25">
      <c r="AB2027" t="str">
        <f t="shared" ref="AB2027:AC2027" si="2104">AB2006</f>
        <v>External Scaffolding</v>
      </c>
      <c r="AC2027" t="str">
        <f t="shared" si="2104"/>
        <v>Lift 5</v>
      </c>
      <c r="AD2027" t="b">
        <f t="shared" ca="1" si="2091"/>
        <v>0</v>
      </c>
      <c r="AE2027" s="1">
        <f t="shared" ca="1" si="2045"/>
        <v>141</v>
      </c>
      <c r="AF2027" t="str">
        <f t="shared" ca="1" si="2089"/>
        <v>Plot 141</v>
      </c>
    </row>
    <row r="2028" spans="28:32" x14ac:dyDescent="0.25">
      <c r="AB2028" t="str">
        <f t="shared" ref="AB2028:AC2028" si="2105">AB2007</f>
        <v>External Scaffolding</v>
      </c>
      <c r="AC2028" t="str">
        <f t="shared" si="2105"/>
        <v>Lift 6</v>
      </c>
      <c r="AD2028" t="b">
        <f t="shared" ca="1" si="2091"/>
        <v>0</v>
      </c>
      <c r="AE2028" s="1">
        <f t="shared" ca="1" si="2045"/>
        <v>141</v>
      </c>
      <c r="AF2028" t="str">
        <f t="shared" ca="1" si="2089"/>
        <v>Plot 141</v>
      </c>
    </row>
    <row r="2029" spans="28:32" x14ac:dyDescent="0.25">
      <c r="AB2029" t="str">
        <f t="shared" ref="AB2029:AC2029" si="2106">AB2008</f>
        <v>Loading Bay</v>
      </c>
      <c r="AC2029" t="str">
        <f t="shared" si="2106"/>
        <v>Lift 1</v>
      </c>
      <c r="AD2029" t="b">
        <f t="shared" ca="1" si="2091"/>
        <v>1</v>
      </c>
      <c r="AE2029" s="1">
        <f t="shared" ca="1" si="2045"/>
        <v>141</v>
      </c>
      <c r="AF2029" t="str">
        <f t="shared" ca="1" si="2089"/>
        <v>Plot 141</v>
      </c>
    </row>
    <row r="2030" spans="28:32" x14ac:dyDescent="0.25">
      <c r="AB2030" t="str">
        <f t="shared" ref="AB2030:AC2030" si="2107">AB2009</f>
        <v>Loading Bay</v>
      </c>
      <c r="AC2030" t="str">
        <f t="shared" si="2107"/>
        <v>Lift 2</v>
      </c>
      <c r="AD2030" t="b">
        <f t="shared" ca="1" si="2091"/>
        <v>1</v>
      </c>
      <c r="AE2030" s="1">
        <f t="shared" ca="1" si="2045"/>
        <v>141</v>
      </c>
      <c r="AF2030" t="str">
        <f t="shared" ca="1" si="2089"/>
        <v>Plot 141</v>
      </c>
    </row>
    <row r="2031" spans="28:32" x14ac:dyDescent="0.25">
      <c r="AB2031" t="str">
        <f t="shared" ref="AB2031:AC2031" si="2108">AB2010</f>
        <v>Loading Bay</v>
      </c>
      <c r="AC2031" t="str">
        <f t="shared" si="2108"/>
        <v>Lift 3</v>
      </c>
      <c r="AD2031" t="b">
        <f t="shared" ca="1" si="2091"/>
        <v>1</v>
      </c>
      <c r="AE2031" s="1">
        <f t="shared" ca="1" si="2045"/>
        <v>141</v>
      </c>
      <c r="AF2031" t="str">
        <f t="shared" ca="1" si="2089"/>
        <v>Plot 141</v>
      </c>
    </row>
    <row r="2032" spans="28:32" x14ac:dyDescent="0.25">
      <c r="AB2032" t="str">
        <f t="shared" ref="AB2032:AC2032" si="2109">AB2011</f>
        <v>Loading Bay</v>
      </c>
      <c r="AC2032" t="str">
        <f t="shared" si="2109"/>
        <v>Lift 4</v>
      </c>
      <c r="AD2032" t="b">
        <f t="shared" ca="1" si="2091"/>
        <v>1</v>
      </c>
      <c r="AE2032" s="1">
        <f t="shared" ca="1" si="2045"/>
        <v>141</v>
      </c>
      <c r="AF2032" t="str">
        <f t="shared" ca="1" si="2089"/>
        <v>Plot 141</v>
      </c>
    </row>
    <row r="2033" spans="28:32" x14ac:dyDescent="0.25">
      <c r="AB2033" t="str">
        <f t="shared" ref="AB2033:AC2033" si="2110">AB2012</f>
        <v>Loading Bay</v>
      </c>
      <c r="AC2033" t="str">
        <f t="shared" si="2110"/>
        <v>Lift 5</v>
      </c>
      <c r="AD2033" t="b">
        <f t="shared" ca="1" si="2091"/>
        <v>0</v>
      </c>
      <c r="AE2033" s="1">
        <f t="shared" ca="1" si="2045"/>
        <v>141</v>
      </c>
      <c r="AF2033" t="str">
        <f t="shared" ca="1" si="2089"/>
        <v>Plot 141</v>
      </c>
    </row>
    <row r="2034" spans="28:32" x14ac:dyDescent="0.25">
      <c r="AB2034" t="str">
        <f t="shared" ref="AB2034:AC2034" si="2111">AB2013</f>
        <v>Loading Bay</v>
      </c>
      <c r="AC2034" t="str">
        <f t="shared" si="2111"/>
        <v>Lift 6</v>
      </c>
      <c r="AD2034" t="b">
        <f t="shared" ca="1" si="2091"/>
        <v>0</v>
      </c>
      <c r="AE2034" s="1">
        <f t="shared" ref="AE2034:AE2097" ca="1" si="2112">OFFSET($AD$1,0,FLOOR(ROW(B2006)/21,1))</f>
        <v>141</v>
      </c>
      <c r="AF2034" t="str">
        <f t="shared" ca="1" si="2089"/>
        <v>Plot 141</v>
      </c>
    </row>
    <row r="2035" spans="28:32" x14ac:dyDescent="0.25">
      <c r="AB2035" t="str">
        <f t="shared" ref="AB2035:AC2035" si="2113">AB2014</f>
        <v>Scaffolding Platform</v>
      </c>
      <c r="AC2035" t="str">
        <f t="shared" si="2113"/>
        <v>Ground Floor</v>
      </c>
      <c r="AD2035" t="b">
        <f t="shared" ca="1" si="2091"/>
        <v>1</v>
      </c>
      <c r="AE2035" s="1">
        <f t="shared" ca="1" si="2112"/>
        <v>141</v>
      </c>
      <c r="AF2035" t="str">
        <f t="shared" ca="1" si="2089"/>
        <v>Plot 141</v>
      </c>
    </row>
    <row r="2036" spans="28:32" x14ac:dyDescent="0.25">
      <c r="AB2036" t="str">
        <f t="shared" ref="AB2036:AC2036" si="2114">AB2015</f>
        <v>Scaffolding Platform</v>
      </c>
      <c r="AC2036" t="str">
        <f t="shared" si="2114"/>
        <v>First Floor</v>
      </c>
      <c r="AD2036" t="b">
        <f t="shared" ca="1" si="2091"/>
        <v>1</v>
      </c>
      <c r="AE2036" s="1">
        <f t="shared" ca="1" si="2112"/>
        <v>141</v>
      </c>
      <c r="AF2036" t="str">
        <f t="shared" ca="1" si="2089"/>
        <v>Plot 141</v>
      </c>
    </row>
    <row r="2037" spans="28:32" x14ac:dyDescent="0.25">
      <c r="AB2037" t="str">
        <f t="shared" ref="AB2037:AC2037" si="2115">AB2016</f>
        <v>Scaffolding Platform</v>
      </c>
      <c r="AC2037" t="str">
        <f t="shared" si="2115"/>
        <v>Second Floor</v>
      </c>
      <c r="AD2037" t="b">
        <f t="shared" ca="1" si="2091"/>
        <v>1</v>
      </c>
      <c r="AE2037" s="1">
        <f t="shared" ca="1" si="2112"/>
        <v>141</v>
      </c>
      <c r="AF2037" t="str">
        <f t="shared" ca="1" si="2089"/>
        <v>Plot 141</v>
      </c>
    </row>
    <row r="2038" spans="28:32" x14ac:dyDescent="0.25">
      <c r="AB2038" t="str">
        <f t="shared" ref="AB2038:AC2038" si="2116">AB2017</f>
        <v>Supporting Scaffold</v>
      </c>
      <c r="AC2038" t="str">
        <f t="shared" si="2116"/>
        <v>Ground Floor Prop.</v>
      </c>
      <c r="AD2038" t="str">
        <f t="shared" ca="1" si="2091"/>
        <v>TRUE</v>
      </c>
      <c r="AE2038" s="1">
        <f t="shared" ca="1" si="2112"/>
        <v>141</v>
      </c>
      <c r="AF2038" t="str">
        <f t="shared" ca="1" si="2089"/>
        <v>Plot 141</v>
      </c>
    </row>
    <row r="2039" spans="28:32" x14ac:dyDescent="0.25">
      <c r="AB2039" t="str">
        <f t="shared" ref="AB2039:AC2039" si="2117">AB2018</f>
        <v>Supporting Scaffold</v>
      </c>
      <c r="AC2039" t="str">
        <f t="shared" si="2117"/>
        <v>First Floor Prop.</v>
      </c>
      <c r="AD2039" t="str">
        <f t="shared" ca="1" si="2091"/>
        <v>TRUE</v>
      </c>
      <c r="AE2039" s="1">
        <f t="shared" ca="1" si="2112"/>
        <v>141</v>
      </c>
      <c r="AF2039" t="str">
        <f t="shared" ca="1" si="2089"/>
        <v>Plot 141</v>
      </c>
    </row>
    <row r="2040" spans="28:32" x14ac:dyDescent="0.25">
      <c r="AB2040" t="str">
        <f t="shared" ref="AB2040:AC2040" si="2118">AB2019</f>
        <v>Supporting Scaffold</v>
      </c>
      <c r="AC2040" t="str">
        <f t="shared" si="2118"/>
        <v>Second Floor Prop.</v>
      </c>
      <c r="AD2040" t="str">
        <f t="shared" ca="1" si="2091"/>
        <v>FALSE</v>
      </c>
      <c r="AE2040" s="1">
        <f t="shared" ca="1" si="2112"/>
        <v>141</v>
      </c>
      <c r="AF2040" t="str">
        <f t="shared" ca="1" si="2089"/>
        <v>Plot 141</v>
      </c>
    </row>
    <row r="2041" spans="28:32" x14ac:dyDescent="0.25">
      <c r="AB2041" t="str">
        <f t="shared" ref="AB2041:AC2041" si="2119">AB2020</f>
        <v>External Scaffolding</v>
      </c>
      <c r="AC2041" t="str">
        <f t="shared" si="2119"/>
        <v>Hop-ups</v>
      </c>
      <c r="AD2041" t="b">
        <f t="shared" ca="1" si="2091"/>
        <v>1</v>
      </c>
      <c r="AE2041" s="1">
        <f t="shared" ca="1" si="2112"/>
        <v>141</v>
      </c>
      <c r="AF2041" t="str">
        <f t="shared" ca="1" si="2089"/>
        <v>Plot 141</v>
      </c>
    </row>
    <row r="2042" spans="28:32" x14ac:dyDescent="0.25">
      <c r="AB2042" t="str">
        <f t="shared" ref="AB2042:AC2042" si="2120">AB2021</f>
        <v>External Scaffolding</v>
      </c>
      <c r="AC2042" t="str">
        <f t="shared" si="2120"/>
        <v>Adaptions</v>
      </c>
      <c r="AD2042" t="b">
        <f t="shared" ca="1" si="2091"/>
        <v>1</v>
      </c>
      <c r="AE2042" s="1">
        <f t="shared" ca="1" si="2112"/>
        <v>141</v>
      </c>
      <c r="AF2042" t="str">
        <f t="shared" ca="1" si="2089"/>
        <v>Plot 141</v>
      </c>
    </row>
    <row r="2043" spans="28:32" x14ac:dyDescent="0.25">
      <c r="AB2043" t="str">
        <f t="shared" ref="AB2043:AC2043" si="2121">AB2022</f>
        <v>External Scaffolding</v>
      </c>
      <c r="AC2043" t="str">
        <f t="shared" si="2121"/>
        <v>Adaption Tower</v>
      </c>
      <c r="AD2043" t="b">
        <f t="shared" ca="1" si="2091"/>
        <v>1</v>
      </c>
      <c r="AE2043" s="1">
        <f t="shared" ca="1" si="2112"/>
        <v>141</v>
      </c>
      <c r="AF2043" t="str">
        <f t="shared" ca="1" si="2089"/>
        <v>Plot 141</v>
      </c>
    </row>
    <row r="2044" spans="28:32" x14ac:dyDescent="0.25">
      <c r="AB2044" t="str">
        <f t="shared" ref="AB2044:AC2044" si="2122">AB2023</f>
        <v>External Scaffolding</v>
      </c>
      <c r="AC2044" t="str">
        <f t="shared" si="2122"/>
        <v>Lift 1</v>
      </c>
      <c r="AD2044" t="b">
        <f t="shared" ca="1" si="2091"/>
        <v>1</v>
      </c>
      <c r="AE2044" s="1">
        <f t="shared" ca="1" si="2112"/>
        <v>142</v>
      </c>
      <c r="AF2044" t="str">
        <f t="shared" ca="1" si="2089"/>
        <v>Plot 142</v>
      </c>
    </row>
    <row r="2045" spans="28:32" x14ac:dyDescent="0.25">
      <c r="AB2045" t="str">
        <f t="shared" ref="AB2045:AC2045" si="2123">AB2024</f>
        <v>External Scaffolding</v>
      </c>
      <c r="AC2045" t="str">
        <f t="shared" si="2123"/>
        <v>Lift 2</v>
      </c>
      <c r="AD2045" t="b">
        <f t="shared" ca="1" si="2091"/>
        <v>1</v>
      </c>
      <c r="AE2045" s="1">
        <f t="shared" ca="1" si="2112"/>
        <v>142</v>
      </c>
      <c r="AF2045" t="str">
        <f t="shared" ca="1" si="2089"/>
        <v>Plot 142</v>
      </c>
    </row>
    <row r="2046" spans="28:32" x14ac:dyDescent="0.25">
      <c r="AB2046" t="str">
        <f t="shared" ref="AB2046:AC2046" si="2124">AB2025</f>
        <v>External Scaffolding</v>
      </c>
      <c r="AC2046" t="str">
        <f t="shared" si="2124"/>
        <v>Lift 3</v>
      </c>
      <c r="AD2046" t="b">
        <f t="shared" ca="1" si="2091"/>
        <v>1</v>
      </c>
      <c r="AE2046" s="1">
        <f t="shared" ca="1" si="2112"/>
        <v>142</v>
      </c>
      <c r="AF2046" t="str">
        <f t="shared" ca="1" si="2089"/>
        <v>Plot 142</v>
      </c>
    </row>
    <row r="2047" spans="28:32" x14ac:dyDescent="0.25">
      <c r="AB2047" t="str">
        <f t="shared" ref="AB2047:AC2047" si="2125">AB2026</f>
        <v>External Scaffolding</v>
      </c>
      <c r="AC2047" t="str">
        <f t="shared" si="2125"/>
        <v>Lift 4</v>
      </c>
      <c r="AD2047" t="b">
        <f t="shared" ca="1" si="2091"/>
        <v>0</v>
      </c>
      <c r="AE2047" s="1">
        <f t="shared" ca="1" si="2112"/>
        <v>142</v>
      </c>
      <c r="AF2047" t="str">
        <f t="shared" ca="1" si="2089"/>
        <v>Plot 142</v>
      </c>
    </row>
    <row r="2048" spans="28:32" x14ac:dyDescent="0.25">
      <c r="AB2048" t="str">
        <f t="shared" ref="AB2048:AC2048" si="2126">AB2027</f>
        <v>External Scaffolding</v>
      </c>
      <c r="AC2048" t="str">
        <f t="shared" si="2126"/>
        <v>Lift 5</v>
      </c>
      <c r="AD2048" t="b">
        <f t="shared" ca="1" si="2091"/>
        <v>0</v>
      </c>
      <c r="AE2048" s="1">
        <f t="shared" ca="1" si="2112"/>
        <v>142</v>
      </c>
      <c r="AF2048" t="str">
        <f t="shared" ca="1" si="2089"/>
        <v>Plot 142</v>
      </c>
    </row>
    <row r="2049" spans="28:32" x14ac:dyDescent="0.25">
      <c r="AB2049" t="str">
        <f t="shared" ref="AB2049:AC2049" si="2127">AB2028</f>
        <v>External Scaffolding</v>
      </c>
      <c r="AC2049" t="str">
        <f t="shared" si="2127"/>
        <v>Lift 6</v>
      </c>
      <c r="AD2049" t="b">
        <f t="shared" ca="1" si="2091"/>
        <v>0</v>
      </c>
      <c r="AE2049" s="1">
        <f t="shared" ca="1" si="2112"/>
        <v>142</v>
      </c>
      <c r="AF2049" t="str">
        <f t="shared" ca="1" si="2089"/>
        <v>Plot 142</v>
      </c>
    </row>
    <row r="2050" spans="28:32" x14ac:dyDescent="0.25">
      <c r="AB2050" t="str">
        <f t="shared" ref="AB2050:AC2050" si="2128">AB2029</f>
        <v>Loading Bay</v>
      </c>
      <c r="AC2050" t="str">
        <f t="shared" si="2128"/>
        <v>Lift 1</v>
      </c>
      <c r="AD2050" t="b">
        <f t="shared" ca="1" si="2091"/>
        <v>1</v>
      </c>
      <c r="AE2050" s="1">
        <f t="shared" ca="1" si="2112"/>
        <v>142</v>
      </c>
      <c r="AF2050" t="str">
        <f t="shared" ca="1" si="2089"/>
        <v>Plot 142</v>
      </c>
    </row>
    <row r="2051" spans="28:32" x14ac:dyDescent="0.25">
      <c r="AB2051" t="str">
        <f t="shared" ref="AB2051:AC2051" si="2129">AB2030</f>
        <v>Loading Bay</v>
      </c>
      <c r="AC2051" t="str">
        <f t="shared" si="2129"/>
        <v>Lift 2</v>
      </c>
      <c r="AD2051" t="b">
        <f t="shared" ca="1" si="2091"/>
        <v>1</v>
      </c>
      <c r="AE2051" s="1">
        <f t="shared" ca="1" si="2112"/>
        <v>142</v>
      </c>
      <c r="AF2051" t="str">
        <f t="shared" ca="1" si="2089"/>
        <v>Plot 142</v>
      </c>
    </row>
    <row r="2052" spans="28:32" x14ac:dyDescent="0.25">
      <c r="AB2052" t="str">
        <f t="shared" ref="AB2052:AC2052" si="2130">AB2031</f>
        <v>Loading Bay</v>
      </c>
      <c r="AC2052" t="str">
        <f t="shared" si="2130"/>
        <v>Lift 3</v>
      </c>
      <c r="AD2052" t="b">
        <f t="shared" ca="1" si="2091"/>
        <v>1</v>
      </c>
      <c r="AE2052" s="1">
        <f t="shared" ca="1" si="2112"/>
        <v>142</v>
      </c>
      <c r="AF2052" t="str">
        <f t="shared" ca="1" si="2089"/>
        <v>Plot 142</v>
      </c>
    </row>
    <row r="2053" spans="28:32" x14ac:dyDescent="0.25">
      <c r="AB2053" t="str">
        <f t="shared" ref="AB2053:AC2053" si="2131">AB2032</f>
        <v>Loading Bay</v>
      </c>
      <c r="AC2053" t="str">
        <f t="shared" si="2131"/>
        <v>Lift 4</v>
      </c>
      <c r="AD2053" t="b">
        <f t="shared" ca="1" si="2091"/>
        <v>0</v>
      </c>
      <c r="AE2053" s="1">
        <f t="shared" ca="1" si="2112"/>
        <v>142</v>
      </c>
      <c r="AF2053" t="str">
        <f t="shared" ca="1" si="2089"/>
        <v>Plot 142</v>
      </c>
    </row>
    <row r="2054" spans="28:32" x14ac:dyDescent="0.25">
      <c r="AB2054" t="str">
        <f t="shared" ref="AB2054:AC2054" si="2132">AB2033</f>
        <v>Loading Bay</v>
      </c>
      <c r="AC2054" t="str">
        <f t="shared" si="2132"/>
        <v>Lift 5</v>
      </c>
      <c r="AD2054" t="b">
        <f t="shared" ca="1" si="2091"/>
        <v>0</v>
      </c>
      <c r="AE2054" s="1">
        <f t="shared" ca="1" si="2112"/>
        <v>142</v>
      </c>
      <c r="AF2054" t="str">
        <f t="shared" ca="1" si="2089"/>
        <v>Plot 142</v>
      </c>
    </row>
    <row r="2055" spans="28:32" x14ac:dyDescent="0.25">
      <c r="AB2055" t="str">
        <f t="shared" ref="AB2055:AC2055" si="2133">AB2034</f>
        <v>Loading Bay</v>
      </c>
      <c r="AC2055" t="str">
        <f t="shared" si="2133"/>
        <v>Lift 6</v>
      </c>
      <c r="AD2055" t="b">
        <f t="shared" ca="1" si="2091"/>
        <v>0</v>
      </c>
      <c r="AE2055" s="1">
        <f t="shared" ca="1" si="2112"/>
        <v>142</v>
      </c>
      <c r="AF2055" t="str">
        <f t="shared" ca="1" si="2089"/>
        <v>Plot 142</v>
      </c>
    </row>
    <row r="2056" spans="28:32" x14ac:dyDescent="0.25">
      <c r="AB2056" t="str">
        <f t="shared" ref="AB2056:AC2056" si="2134">AB2035</f>
        <v>Scaffolding Platform</v>
      </c>
      <c r="AC2056" t="str">
        <f t="shared" si="2134"/>
        <v>Ground Floor</v>
      </c>
      <c r="AD2056" t="b">
        <f t="shared" ca="1" si="2091"/>
        <v>1</v>
      </c>
      <c r="AE2056" s="1">
        <f t="shared" ca="1" si="2112"/>
        <v>142</v>
      </c>
      <c r="AF2056" t="str">
        <f t="shared" ca="1" si="2089"/>
        <v>Plot 142</v>
      </c>
    </row>
    <row r="2057" spans="28:32" x14ac:dyDescent="0.25">
      <c r="AB2057" t="str">
        <f t="shared" ref="AB2057:AC2057" si="2135">AB2036</f>
        <v>Scaffolding Platform</v>
      </c>
      <c r="AC2057" t="str">
        <f t="shared" si="2135"/>
        <v>First Floor</v>
      </c>
      <c r="AD2057" t="b">
        <f t="shared" ca="1" si="2091"/>
        <v>1</v>
      </c>
      <c r="AE2057" s="1">
        <f t="shared" ca="1" si="2112"/>
        <v>142</v>
      </c>
      <c r="AF2057" t="str">
        <f t="shared" ca="1" si="2089"/>
        <v>Plot 142</v>
      </c>
    </row>
    <row r="2058" spans="28:32" x14ac:dyDescent="0.25">
      <c r="AB2058" t="str">
        <f t="shared" ref="AB2058:AC2058" si="2136">AB2037</f>
        <v>Scaffolding Platform</v>
      </c>
      <c r="AC2058" t="str">
        <f t="shared" si="2136"/>
        <v>Second Floor</v>
      </c>
      <c r="AD2058" t="b">
        <f t="shared" ca="1" si="2091"/>
        <v>0</v>
      </c>
      <c r="AE2058" s="1">
        <f t="shared" ca="1" si="2112"/>
        <v>142</v>
      </c>
      <c r="AF2058" t="str">
        <f t="shared" ca="1" si="2089"/>
        <v>Plot 142</v>
      </c>
    </row>
    <row r="2059" spans="28:32" x14ac:dyDescent="0.25">
      <c r="AB2059" t="str">
        <f t="shared" ref="AB2059:AC2059" si="2137">AB2038</f>
        <v>Supporting Scaffold</v>
      </c>
      <c r="AC2059" t="str">
        <f t="shared" si="2137"/>
        <v>Ground Floor Prop.</v>
      </c>
      <c r="AD2059" t="str">
        <f t="shared" ca="1" si="2091"/>
        <v>TRUE</v>
      </c>
      <c r="AE2059" s="1">
        <f t="shared" ca="1" si="2112"/>
        <v>142</v>
      </c>
      <c r="AF2059" t="str">
        <f t="shared" ca="1" si="2089"/>
        <v>Plot 142</v>
      </c>
    </row>
    <row r="2060" spans="28:32" x14ac:dyDescent="0.25">
      <c r="AB2060" t="str">
        <f t="shared" ref="AB2060:AC2060" si="2138">AB2039</f>
        <v>Supporting Scaffold</v>
      </c>
      <c r="AC2060" t="str">
        <f t="shared" si="2138"/>
        <v>First Floor Prop.</v>
      </c>
      <c r="AD2060" t="str">
        <f t="shared" ca="1" si="2091"/>
        <v>FALSE</v>
      </c>
      <c r="AE2060" s="1">
        <f t="shared" ca="1" si="2112"/>
        <v>142</v>
      </c>
      <c r="AF2060" t="str">
        <f t="shared" ca="1" si="2089"/>
        <v>Plot 142</v>
      </c>
    </row>
    <row r="2061" spans="28:32" x14ac:dyDescent="0.25">
      <c r="AB2061" t="str">
        <f t="shared" ref="AB2061:AC2061" si="2139">AB2040</f>
        <v>Supporting Scaffold</v>
      </c>
      <c r="AC2061" t="str">
        <f t="shared" si="2139"/>
        <v>Second Floor Prop.</v>
      </c>
      <c r="AD2061" t="str">
        <f t="shared" ca="1" si="2091"/>
        <v>FALSE</v>
      </c>
      <c r="AE2061" s="1">
        <f t="shared" ca="1" si="2112"/>
        <v>142</v>
      </c>
      <c r="AF2061" t="str">
        <f t="shared" ca="1" si="2089"/>
        <v>Plot 142</v>
      </c>
    </row>
    <row r="2062" spans="28:32" x14ac:dyDescent="0.25">
      <c r="AB2062" t="str">
        <f t="shared" ref="AB2062:AC2062" si="2140">AB2041</f>
        <v>External Scaffolding</v>
      </c>
      <c r="AC2062" t="str">
        <f t="shared" si="2140"/>
        <v>Hop-ups</v>
      </c>
      <c r="AD2062" t="b">
        <f t="shared" ca="1" si="2091"/>
        <v>1</v>
      </c>
      <c r="AE2062" s="1">
        <f t="shared" ca="1" si="2112"/>
        <v>142</v>
      </c>
      <c r="AF2062" t="str">
        <f t="shared" ca="1" si="2089"/>
        <v>Plot 142</v>
      </c>
    </row>
    <row r="2063" spans="28:32" x14ac:dyDescent="0.25">
      <c r="AB2063" t="str">
        <f t="shared" ref="AB2063:AC2063" si="2141">AB2042</f>
        <v>External Scaffolding</v>
      </c>
      <c r="AC2063" t="str">
        <f t="shared" si="2141"/>
        <v>Adaptions</v>
      </c>
      <c r="AD2063" t="b">
        <f t="shared" ca="1" si="2091"/>
        <v>1</v>
      </c>
      <c r="AE2063" s="1">
        <f t="shared" ca="1" si="2112"/>
        <v>142</v>
      </c>
      <c r="AF2063" t="str">
        <f t="shared" ca="1" si="2089"/>
        <v>Plot 142</v>
      </c>
    </row>
    <row r="2064" spans="28:32" x14ac:dyDescent="0.25">
      <c r="AB2064" t="str">
        <f t="shared" ref="AB2064:AC2064" si="2142">AB2043</f>
        <v>External Scaffolding</v>
      </c>
      <c r="AC2064" t="str">
        <f t="shared" si="2142"/>
        <v>Adaption Tower</v>
      </c>
      <c r="AD2064" t="b">
        <f t="shared" ca="1" si="2091"/>
        <v>1</v>
      </c>
      <c r="AE2064" s="1">
        <f t="shared" ca="1" si="2112"/>
        <v>142</v>
      </c>
      <c r="AF2064" t="str">
        <f t="shared" ca="1" si="2089"/>
        <v>Plot 142</v>
      </c>
    </row>
    <row r="2065" spans="28:32" x14ac:dyDescent="0.25">
      <c r="AB2065" t="str">
        <f t="shared" ref="AB2065:AC2065" si="2143">AB2044</f>
        <v>External Scaffolding</v>
      </c>
      <c r="AC2065" t="str">
        <f t="shared" si="2143"/>
        <v>Lift 1</v>
      </c>
      <c r="AD2065" t="b">
        <f t="shared" ca="1" si="2091"/>
        <v>1</v>
      </c>
      <c r="AE2065" s="1">
        <f t="shared" ca="1" si="2112"/>
        <v>143</v>
      </c>
      <c r="AF2065" t="str">
        <f t="shared" ca="1" si="2089"/>
        <v>Plot 143</v>
      </c>
    </row>
    <row r="2066" spans="28:32" x14ac:dyDescent="0.25">
      <c r="AB2066" t="str">
        <f t="shared" ref="AB2066:AC2066" si="2144">AB2045</f>
        <v>External Scaffolding</v>
      </c>
      <c r="AC2066" t="str">
        <f t="shared" si="2144"/>
        <v>Lift 2</v>
      </c>
      <c r="AD2066" t="b">
        <f t="shared" ca="1" si="2091"/>
        <v>1</v>
      </c>
      <c r="AE2066" s="1">
        <f t="shared" ca="1" si="2112"/>
        <v>143</v>
      </c>
      <c r="AF2066" t="str">
        <f t="shared" ca="1" si="2089"/>
        <v>Plot 143</v>
      </c>
    </row>
    <row r="2067" spans="28:32" x14ac:dyDescent="0.25">
      <c r="AB2067" t="str">
        <f t="shared" ref="AB2067:AC2067" si="2145">AB2046</f>
        <v>External Scaffolding</v>
      </c>
      <c r="AC2067" t="str">
        <f t="shared" si="2145"/>
        <v>Lift 3</v>
      </c>
      <c r="AD2067" t="b">
        <f t="shared" ca="1" si="2091"/>
        <v>1</v>
      </c>
      <c r="AE2067" s="1">
        <f t="shared" ca="1" si="2112"/>
        <v>143</v>
      </c>
      <c r="AF2067" t="str">
        <f t="shared" ca="1" si="2089"/>
        <v>Plot 143</v>
      </c>
    </row>
    <row r="2068" spans="28:32" x14ac:dyDescent="0.25">
      <c r="AB2068" t="str">
        <f t="shared" ref="AB2068:AC2068" si="2146">AB2047</f>
        <v>External Scaffolding</v>
      </c>
      <c r="AC2068" t="str">
        <f t="shared" si="2146"/>
        <v>Lift 4</v>
      </c>
      <c r="AD2068" t="b">
        <f t="shared" ca="1" si="2091"/>
        <v>0</v>
      </c>
      <c r="AE2068" s="1">
        <f t="shared" ca="1" si="2112"/>
        <v>143</v>
      </c>
      <c r="AF2068" t="str">
        <f t="shared" ca="1" si="2089"/>
        <v>Plot 143</v>
      </c>
    </row>
    <row r="2069" spans="28:32" x14ac:dyDescent="0.25">
      <c r="AB2069" t="str">
        <f t="shared" ref="AB2069:AC2069" si="2147">AB2048</f>
        <v>External Scaffolding</v>
      </c>
      <c r="AC2069" t="str">
        <f t="shared" si="2147"/>
        <v>Lift 5</v>
      </c>
      <c r="AD2069" t="b">
        <f t="shared" ca="1" si="2091"/>
        <v>0</v>
      </c>
      <c r="AE2069" s="1">
        <f t="shared" ca="1" si="2112"/>
        <v>143</v>
      </c>
      <c r="AF2069" t="str">
        <f t="shared" ca="1" si="2089"/>
        <v>Plot 143</v>
      </c>
    </row>
    <row r="2070" spans="28:32" x14ac:dyDescent="0.25">
      <c r="AB2070" t="str">
        <f t="shared" ref="AB2070:AC2070" si="2148">AB2049</f>
        <v>External Scaffolding</v>
      </c>
      <c r="AC2070" t="str">
        <f t="shared" si="2148"/>
        <v>Lift 6</v>
      </c>
      <c r="AD2070" t="b">
        <f t="shared" ca="1" si="2091"/>
        <v>0</v>
      </c>
      <c r="AE2070" s="1">
        <f t="shared" ca="1" si="2112"/>
        <v>143</v>
      </c>
      <c r="AF2070" t="str">
        <f t="shared" ca="1" si="2089"/>
        <v>Plot 143</v>
      </c>
    </row>
    <row r="2071" spans="28:32" x14ac:dyDescent="0.25">
      <c r="AB2071" t="str">
        <f t="shared" ref="AB2071:AC2071" si="2149">AB2050</f>
        <v>Loading Bay</v>
      </c>
      <c r="AC2071" t="str">
        <f t="shared" si="2149"/>
        <v>Lift 1</v>
      </c>
      <c r="AD2071" t="b">
        <f t="shared" ca="1" si="2091"/>
        <v>1</v>
      </c>
      <c r="AE2071" s="1">
        <f t="shared" ca="1" si="2112"/>
        <v>143</v>
      </c>
      <c r="AF2071" t="str">
        <f t="shared" ca="1" si="2089"/>
        <v>Plot 143</v>
      </c>
    </row>
    <row r="2072" spans="28:32" x14ac:dyDescent="0.25">
      <c r="AB2072" t="str">
        <f t="shared" ref="AB2072:AC2072" si="2150">AB2051</f>
        <v>Loading Bay</v>
      </c>
      <c r="AC2072" t="str">
        <f t="shared" si="2150"/>
        <v>Lift 2</v>
      </c>
      <c r="AD2072" t="b">
        <f t="shared" ca="1" si="2091"/>
        <v>1</v>
      </c>
      <c r="AE2072" s="1">
        <f t="shared" ca="1" si="2112"/>
        <v>143</v>
      </c>
      <c r="AF2072" t="str">
        <f t="shared" ca="1" si="2089"/>
        <v>Plot 143</v>
      </c>
    </row>
    <row r="2073" spans="28:32" x14ac:dyDescent="0.25">
      <c r="AB2073" t="str">
        <f t="shared" ref="AB2073:AC2073" si="2151">AB2052</f>
        <v>Loading Bay</v>
      </c>
      <c r="AC2073" t="str">
        <f t="shared" si="2151"/>
        <v>Lift 3</v>
      </c>
      <c r="AD2073" t="b">
        <f t="shared" ca="1" si="2091"/>
        <v>1</v>
      </c>
      <c r="AE2073" s="1">
        <f t="shared" ca="1" si="2112"/>
        <v>143</v>
      </c>
      <c r="AF2073" t="str">
        <f t="shared" ca="1" si="2089"/>
        <v>Plot 143</v>
      </c>
    </row>
    <row r="2074" spans="28:32" x14ac:dyDescent="0.25">
      <c r="AB2074" t="str">
        <f t="shared" ref="AB2074:AC2074" si="2152">AB2053</f>
        <v>Loading Bay</v>
      </c>
      <c r="AC2074" t="str">
        <f t="shared" si="2152"/>
        <v>Lift 4</v>
      </c>
      <c r="AD2074" t="b">
        <f t="shared" ca="1" si="2091"/>
        <v>0</v>
      </c>
      <c r="AE2074" s="1">
        <f t="shared" ca="1" si="2112"/>
        <v>143</v>
      </c>
      <c r="AF2074" t="str">
        <f t="shared" ca="1" si="2089"/>
        <v>Plot 143</v>
      </c>
    </row>
    <row r="2075" spans="28:32" x14ac:dyDescent="0.25">
      <c r="AB2075" t="str">
        <f t="shared" ref="AB2075:AC2075" si="2153">AB2054</f>
        <v>Loading Bay</v>
      </c>
      <c r="AC2075" t="str">
        <f t="shared" si="2153"/>
        <v>Lift 5</v>
      </c>
      <c r="AD2075" t="b">
        <f t="shared" ca="1" si="2091"/>
        <v>0</v>
      </c>
      <c r="AE2075" s="1">
        <f t="shared" ca="1" si="2112"/>
        <v>143</v>
      </c>
      <c r="AF2075" t="str">
        <f t="shared" ca="1" si="2089"/>
        <v>Plot 143</v>
      </c>
    </row>
    <row r="2076" spans="28:32" x14ac:dyDescent="0.25">
      <c r="AB2076" t="str">
        <f t="shared" ref="AB2076:AC2076" si="2154">AB2055</f>
        <v>Loading Bay</v>
      </c>
      <c r="AC2076" t="str">
        <f t="shared" si="2154"/>
        <v>Lift 6</v>
      </c>
      <c r="AD2076" t="b">
        <f t="shared" ca="1" si="2091"/>
        <v>0</v>
      </c>
      <c r="AE2076" s="1">
        <f t="shared" ca="1" si="2112"/>
        <v>143</v>
      </c>
      <c r="AF2076" t="str">
        <f t="shared" ca="1" si="2089"/>
        <v>Plot 143</v>
      </c>
    </row>
    <row r="2077" spans="28:32" x14ac:dyDescent="0.25">
      <c r="AB2077" t="str">
        <f t="shared" ref="AB2077:AC2077" si="2155">AB2056</f>
        <v>Scaffolding Platform</v>
      </c>
      <c r="AC2077" t="str">
        <f t="shared" si="2155"/>
        <v>Ground Floor</v>
      </c>
      <c r="AD2077" t="b">
        <f t="shared" ca="1" si="2091"/>
        <v>1</v>
      </c>
      <c r="AE2077" s="1">
        <f t="shared" ca="1" si="2112"/>
        <v>143</v>
      </c>
      <c r="AF2077" t="str">
        <f t="shared" ref="AF2077:AF2140" ca="1" si="2156">IF(LEFT(AE2077,1)="G",AE2077,"Plot "&amp;AE2077)</f>
        <v>Plot 143</v>
      </c>
    </row>
    <row r="2078" spans="28:32" x14ac:dyDescent="0.25">
      <c r="AB2078" t="str">
        <f t="shared" ref="AB2078:AC2078" si="2157">AB2057</f>
        <v>Scaffolding Platform</v>
      </c>
      <c r="AC2078" t="str">
        <f t="shared" si="2157"/>
        <v>First Floor</v>
      </c>
      <c r="AD2078" t="b">
        <f t="shared" ref="AD2078:AD2141" ca="1" si="2158">INDEX($AC$1:$JH$22,MATCH(AC2078,$AC$1:$AC$22,0),MATCH(AE2078,$AC$1:$JH$1,0))</f>
        <v>1</v>
      </c>
      <c r="AE2078" s="1">
        <f t="shared" ca="1" si="2112"/>
        <v>143</v>
      </c>
      <c r="AF2078" t="str">
        <f t="shared" ca="1" si="2156"/>
        <v>Plot 143</v>
      </c>
    </row>
    <row r="2079" spans="28:32" x14ac:dyDescent="0.25">
      <c r="AB2079" t="str">
        <f t="shared" ref="AB2079:AC2079" si="2159">AB2058</f>
        <v>Scaffolding Platform</v>
      </c>
      <c r="AC2079" t="str">
        <f t="shared" si="2159"/>
        <v>Second Floor</v>
      </c>
      <c r="AD2079" t="b">
        <f t="shared" ca="1" si="2158"/>
        <v>0</v>
      </c>
      <c r="AE2079" s="1">
        <f t="shared" ca="1" si="2112"/>
        <v>143</v>
      </c>
      <c r="AF2079" t="str">
        <f t="shared" ca="1" si="2156"/>
        <v>Plot 143</v>
      </c>
    </row>
    <row r="2080" spans="28:32" x14ac:dyDescent="0.25">
      <c r="AB2080" t="str">
        <f t="shared" ref="AB2080:AC2080" si="2160">AB2059</f>
        <v>Supporting Scaffold</v>
      </c>
      <c r="AC2080" t="str">
        <f t="shared" si="2160"/>
        <v>Ground Floor Prop.</v>
      </c>
      <c r="AD2080" t="str">
        <f t="shared" ca="1" si="2158"/>
        <v>TRUE</v>
      </c>
      <c r="AE2080" s="1">
        <f t="shared" ca="1" si="2112"/>
        <v>143</v>
      </c>
      <c r="AF2080" t="str">
        <f t="shared" ca="1" si="2156"/>
        <v>Plot 143</v>
      </c>
    </row>
    <row r="2081" spans="28:32" x14ac:dyDescent="0.25">
      <c r="AB2081" t="str">
        <f t="shared" ref="AB2081:AC2081" si="2161">AB2060</f>
        <v>Supporting Scaffold</v>
      </c>
      <c r="AC2081" t="str">
        <f t="shared" si="2161"/>
        <v>First Floor Prop.</v>
      </c>
      <c r="AD2081" t="str">
        <f t="shared" ca="1" si="2158"/>
        <v>FALSE</v>
      </c>
      <c r="AE2081" s="1">
        <f t="shared" ca="1" si="2112"/>
        <v>143</v>
      </c>
      <c r="AF2081" t="str">
        <f t="shared" ca="1" si="2156"/>
        <v>Plot 143</v>
      </c>
    </row>
    <row r="2082" spans="28:32" x14ac:dyDescent="0.25">
      <c r="AB2082" t="str">
        <f t="shared" ref="AB2082:AC2082" si="2162">AB2061</f>
        <v>Supporting Scaffold</v>
      </c>
      <c r="AC2082" t="str">
        <f t="shared" si="2162"/>
        <v>Second Floor Prop.</v>
      </c>
      <c r="AD2082" t="str">
        <f t="shared" ca="1" si="2158"/>
        <v>FALSE</v>
      </c>
      <c r="AE2082" s="1">
        <f t="shared" ca="1" si="2112"/>
        <v>143</v>
      </c>
      <c r="AF2082" t="str">
        <f t="shared" ca="1" si="2156"/>
        <v>Plot 143</v>
      </c>
    </row>
    <row r="2083" spans="28:32" x14ac:dyDescent="0.25">
      <c r="AB2083" t="str">
        <f t="shared" ref="AB2083:AC2083" si="2163">AB2062</f>
        <v>External Scaffolding</v>
      </c>
      <c r="AC2083" t="str">
        <f t="shared" si="2163"/>
        <v>Hop-ups</v>
      </c>
      <c r="AD2083" t="b">
        <f t="shared" ca="1" si="2158"/>
        <v>1</v>
      </c>
      <c r="AE2083" s="1">
        <f t="shared" ca="1" si="2112"/>
        <v>143</v>
      </c>
      <c r="AF2083" t="str">
        <f t="shared" ca="1" si="2156"/>
        <v>Plot 143</v>
      </c>
    </row>
    <row r="2084" spans="28:32" x14ac:dyDescent="0.25">
      <c r="AB2084" t="str">
        <f t="shared" ref="AB2084:AC2084" si="2164">AB2063</f>
        <v>External Scaffolding</v>
      </c>
      <c r="AC2084" t="str">
        <f t="shared" si="2164"/>
        <v>Adaptions</v>
      </c>
      <c r="AD2084" t="b">
        <f t="shared" ca="1" si="2158"/>
        <v>1</v>
      </c>
      <c r="AE2084" s="1">
        <f t="shared" ca="1" si="2112"/>
        <v>143</v>
      </c>
      <c r="AF2084" t="str">
        <f t="shared" ca="1" si="2156"/>
        <v>Plot 143</v>
      </c>
    </row>
    <row r="2085" spans="28:32" x14ac:dyDescent="0.25">
      <c r="AB2085" t="str">
        <f t="shared" ref="AB2085:AC2085" si="2165">AB2064</f>
        <v>External Scaffolding</v>
      </c>
      <c r="AC2085" t="str">
        <f t="shared" si="2165"/>
        <v>Adaption Tower</v>
      </c>
      <c r="AD2085" t="b">
        <f t="shared" ca="1" si="2158"/>
        <v>1</v>
      </c>
      <c r="AE2085" s="1">
        <f t="shared" ca="1" si="2112"/>
        <v>143</v>
      </c>
      <c r="AF2085" t="str">
        <f t="shared" ca="1" si="2156"/>
        <v>Plot 143</v>
      </c>
    </row>
    <row r="2086" spans="28:32" x14ac:dyDescent="0.25">
      <c r="AB2086" t="str">
        <f t="shared" ref="AB2086:AC2086" si="2166">AB2065</f>
        <v>External Scaffolding</v>
      </c>
      <c r="AC2086" t="str">
        <f t="shared" si="2166"/>
        <v>Lift 1</v>
      </c>
      <c r="AD2086" t="b">
        <f t="shared" ca="1" si="2158"/>
        <v>1</v>
      </c>
      <c r="AE2086" s="1">
        <f t="shared" ca="1" si="2112"/>
        <v>144</v>
      </c>
      <c r="AF2086" t="str">
        <f t="shared" ca="1" si="2156"/>
        <v>Plot 144</v>
      </c>
    </row>
    <row r="2087" spans="28:32" x14ac:dyDescent="0.25">
      <c r="AB2087" t="str">
        <f t="shared" ref="AB2087:AC2087" si="2167">AB2066</f>
        <v>External Scaffolding</v>
      </c>
      <c r="AC2087" t="str">
        <f t="shared" si="2167"/>
        <v>Lift 2</v>
      </c>
      <c r="AD2087" t="b">
        <f t="shared" ca="1" si="2158"/>
        <v>1</v>
      </c>
      <c r="AE2087" s="1">
        <f t="shared" ca="1" si="2112"/>
        <v>144</v>
      </c>
      <c r="AF2087" t="str">
        <f t="shared" ca="1" si="2156"/>
        <v>Plot 144</v>
      </c>
    </row>
    <row r="2088" spans="28:32" x14ac:dyDescent="0.25">
      <c r="AB2088" t="str">
        <f t="shared" ref="AB2088:AC2088" si="2168">AB2067</f>
        <v>External Scaffolding</v>
      </c>
      <c r="AC2088" t="str">
        <f t="shared" si="2168"/>
        <v>Lift 3</v>
      </c>
      <c r="AD2088" t="b">
        <f t="shared" ca="1" si="2158"/>
        <v>1</v>
      </c>
      <c r="AE2088" s="1">
        <f t="shared" ca="1" si="2112"/>
        <v>144</v>
      </c>
      <c r="AF2088" t="str">
        <f t="shared" ca="1" si="2156"/>
        <v>Plot 144</v>
      </c>
    </row>
    <row r="2089" spans="28:32" x14ac:dyDescent="0.25">
      <c r="AB2089" t="str">
        <f t="shared" ref="AB2089:AC2089" si="2169">AB2068</f>
        <v>External Scaffolding</v>
      </c>
      <c r="AC2089" t="str">
        <f t="shared" si="2169"/>
        <v>Lift 4</v>
      </c>
      <c r="AD2089" t="b">
        <f t="shared" ca="1" si="2158"/>
        <v>0</v>
      </c>
      <c r="AE2089" s="1">
        <f t="shared" ca="1" si="2112"/>
        <v>144</v>
      </c>
      <c r="AF2089" t="str">
        <f t="shared" ca="1" si="2156"/>
        <v>Plot 144</v>
      </c>
    </row>
    <row r="2090" spans="28:32" x14ac:dyDescent="0.25">
      <c r="AB2090" t="str">
        <f t="shared" ref="AB2090:AC2090" si="2170">AB2069</f>
        <v>External Scaffolding</v>
      </c>
      <c r="AC2090" t="str">
        <f t="shared" si="2170"/>
        <v>Lift 5</v>
      </c>
      <c r="AD2090" t="b">
        <f t="shared" ca="1" si="2158"/>
        <v>0</v>
      </c>
      <c r="AE2090" s="1">
        <f t="shared" ca="1" si="2112"/>
        <v>144</v>
      </c>
      <c r="AF2090" t="str">
        <f t="shared" ca="1" si="2156"/>
        <v>Plot 144</v>
      </c>
    </row>
    <row r="2091" spans="28:32" x14ac:dyDescent="0.25">
      <c r="AB2091" t="str">
        <f t="shared" ref="AB2091:AC2091" si="2171">AB2070</f>
        <v>External Scaffolding</v>
      </c>
      <c r="AC2091" t="str">
        <f t="shared" si="2171"/>
        <v>Lift 6</v>
      </c>
      <c r="AD2091" t="b">
        <f t="shared" ca="1" si="2158"/>
        <v>0</v>
      </c>
      <c r="AE2091" s="1">
        <f t="shared" ca="1" si="2112"/>
        <v>144</v>
      </c>
      <c r="AF2091" t="str">
        <f t="shared" ca="1" si="2156"/>
        <v>Plot 144</v>
      </c>
    </row>
    <row r="2092" spans="28:32" x14ac:dyDescent="0.25">
      <c r="AB2092" t="str">
        <f t="shared" ref="AB2092:AC2092" si="2172">AB2071</f>
        <v>Loading Bay</v>
      </c>
      <c r="AC2092" t="str">
        <f t="shared" si="2172"/>
        <v>Lift 1</v>
      </c>
      <c r="AD2092" t="b">
        <f t="shared" ca="1" si="2158"/>
        <v>1</v>
      </c>
      <c r="AE2092" s="1">
        <f t="shared" ca="1" si="2112"/>
        <v>144</v>
      </c>
      <c r="AF2092" t="str">
        <f t="shared" ca="1" si="2156"/>
        <v>Plot 144</v>
      </c>
    </row>
    <row r="2093" spans="28:32" x14ac:dyDescent="0.25">
      <c r="AB2093" t="str">
        <f t="shared" ref="AB2093:AC2093" si="2173">AB2072</f>
        <v>Loading Bay</v>
      </c>
      <c r="AC2093" t="str">
        <f t="shared" si="2173"/>
        <v>Lift 2</v>
      </c>
      <c r="AD2093" t="b">
        <f t="shared" ca="1" si="2158"/>
        <v>1</v>
      </c>
      <c r="AE2093" s="1">
        <f t="shared" ca="1" si="2112"/>
        <v>144</v>
      </c>
      <c r="AF2093" t="str">
        <f t="shared" ca="1" si="2156"/>
        <v>Plot 144</v>
      </c>
    </row>
    <row r="2094" spans="28:32" x14ac:dyDescent="0.25">
      <c r="AB2094" t="str">
        <f t="shared" ref="AB2094:AC2094" si="2174">AB2073</f>
        <v>Loading Bay</v>
      </c>
      <c r="AC2094" t="str">
        <f t="shared" si="2174"/>
        <v>Lift 3</v>
      </c>
      <c r="AD2094" t="b">
        <f t="shared" ca="1" si="2158"/>
        <v>1</v>
      </c>
      <c r="AE2094" s="1">
        <f t="shared" ca="1" si="2112"/>
        <v>144</v>
      </c>
      <c r="AF2094" t="str">
        <f t="shared" ca="1" si="2156"/>
        <v>Plot 144</v>
      </c>
    </row>
    <row r="2095" spans="28:32" x14ac:dyDescent="0.25">
      <c r="AB2095" t="str">
        <f t="shared" ref="AB2095:AC2095" si="2175">AB2074</f>
        <v>Loading Bay</v>
      </c>
      <c r="AC2095" t="str">
        <f t="shared" si="2175"/>
        <v>Lift 4</v>
      </c>
      <c r="AD2095" t="b">
        <f t="shared" ca="1" si="2158"/>
        <v>0</v>
      </c>
      <c r="AE2095" s="1">
        <f t="shared" ca="1" si="2112"/>
        <v>144</v>
      </c>
      <c r="AF2095" t="str">
        <f t="shared" ca="1" si="2156"/>
        <v>Plot 144</v>
      </c>
    </row>
    <row r="2096" spans="28:32" x14ac:dyDescent="0.25">
      <c r="AB2096" t="str">
        <f t="shared" ref="AB2096:AC2096" si="2176">AB2075</f>
        <v>Loading Bay</v>
      </c>
      <c r="AC2096" t="str">
        <f t="shared" si="2176"/>
        <v>Lift 5</v>
      </c>
      <c r="AD2096" t="b">
        <f t="shared" ca="1" si="2158"/>
        <v>0</v>
      </c>
      <c r="AE2096" s="1">
        <f t="shared" ca="1" si="2112"/>
        <v>144</v>
      </c>
      <c r="AF2096" t="str">
        <f t="shared" ca="1" si="2156"/>
        <v>Plot 144</v>
      </c>
    </row>
    <row r="2097" spans="28:32" x14ac:dyDescent="0.25">
      <c r="AB2097" t="str">
        <f t="shared" ref="AB2097:AC2097" si="2177">AB2076</f>
        <v>Loading Bay</v>
      </c>
      <c r="AC2097" t="str">
        <f t="shared" si="2177"/>
        <v>Lift 6</v>
      </c>
      <c r="AD2097" t="b">
        <f t="shared" ca="1" si="2158"/>
        <v>0</v>
      </c>
      <c r="AE2097" s="1">
        <f t="shared" ca="1" si="2112"/>
        <v>144</v>
      </c>
      <c r="AF2097" t="str">
        <f t="shared" ca="1" si="2156"/>
        <v>Plot 144</v>
      </c>
    </row>
    <row r="2098" spans="28:32" x14ac:dyDescent="0.25">
      <c r="AB2098" t="str">
        <f t="shared" ref="AB2098:AC2098" si="2178">AB2077</f>
        <v>Scaffolding Platform</v>
      </c>
      <c r="AC2098" t="str">
        <f t="shared" si="2178"/>
        <v>Ground Floor</v>
      </c>
      <c r="AD2098" t="b">
        <f t="shared" ca="1" si="2158"/>
        <v>1</v>
      </c>
      <c r="AE2098" s="1">
        <f t="shared" ref="AE2098:AE2161" ca="1" si="2179">OFFSET($AD$1,0,FLOOR(ROW(B2070)/21,1))</f>
        <v>144</v>
      </c>
      <c r="AF2098" t="str">
        <f t="shared" ca="1" si="2156"/>
        <v>Plot 144</v>
      </c>
    </row>
    <row r="2099" spans="28:32" x14ac:dyDescent="0.25">
      <c r="AB2099" t="str">
        <f t="shared" ref="AB2099:AC2099" si="2180">AB2078</f>
        <v>Scaffolding Platform</v>
      </c>
      <c r="AC2099" t="str">
        <f t="shared" si="2180"/>
        <v>First Floor</v>
      </c>
      <c r="AD2099" t="b">
        <f t="shared" ca="1" si="2158"/>
        <v>1</v>
      </c>
      <c r="AE2099" s="1">
        <f t="shared" ca="1" si="2179"/>
        <v>144</v>
      </c>
      <c r="AF2099" t="str">
        <f t="shared" ca="1" si="2156"/>
        <v>Plot 144</v>
      </c>
    </row>
    <row r="2100" spans="28:32" x14ac:dyDescent="0.25">
      <c r="AB2100" t="str">
        <f t="shared" ref="AB2100:AC2100" si="2181">AB2079</f>
        <v>Scaffolding Platform</v>
      </c>
      <c r="AC2100" t="str">
        <f t="shared" si="2181"/>
        <v>Second Floor</v>
      </c>
      <c r="AD2100" t="b">
        <f t="shared" ca="1" si="2158"/>
        <v>0</v>
      </c>
      <c r="AE2100" s="1">
        <f t="shared" ca="1" si="2179"/>
        <v>144</v>
      </c>
      <c r="AF2100" t="str">
        <f t="shared" ca="1" si="2156"/>
        <v>Plot 144</v>
      </c>
    </row>
    <row r="2101" spans="28:32" x14ac:dyDescent="0.25">
      <c r="AB2101" t="str">
        <f t="shared" ref="AB2101:AC2101" si="2182">AB2080</f>
        <v>Supporting Scaffold</v>
      </c>
      <c r="AC2101" t="str">
        <f t="shared" si="2182"/>
        <v>Ground Floor Prop.</v>
      </c>
      <c r="AD2101" t="str">
        <f t="shared" ca="1" si="2158"/>
        <v>TRUE</v>
      </c>
      <c r="AE2101" s="1">
        <f t="shared" ca="1" si="2179"/>
        <v>144</v>
      </c>
      <c r="AF2101" t="str">
        <f t="shared" ca="1" si="2156"/>
        <v>Plot 144</v>
      </c>
    </row>
    <row r="2102" spans="28:32" x14ac:dyDescent="0.25">
      <c r="AB2102" t="str">
        <f t="shared" ref="AB2102:AC2102" si="2183">AB2081</f>
        <v>Supporting Scaffold</v>
      </c>
      <c r="AC2102" t="str">
        <f t="shared" si="2183"/>
        <v>First Floor Prop.</v>
      </c>
      <c r="AD2102" t="str">
        <f t="shared" ca="1" si="2158"/>
        <v>FALSE</v>
      </c>
      <c r="AE2102" s="1">
        <f t="shared" ca="1" si="2179"/>
        <v>144</v>
      </c>
      <c r="AF2102" t="str">
        <f t="shared" ca="1" si="2156"/>
        <v>Plot 144</v>
      </c>
    </row>
    <row r="2103" spans="28:32" x14ac:dyDescent="0.25">
      <c r="AB2103" t="str">
        <f t="shared" ref="AB2103:AC2103" si="2184">AB2082</f>
        <v>Supporting Scaffold</v>
      </c>
      <c r="AC2103" t="str">
        <f t="shared" si="2184"/>
        <v>Second Floor Prop.</v>
      </c>
      <c r="AD2103" t="str">
        <f t="shared" ca="1" si="2158"/>
        <v>FALSE</v>
      </c>
      <c r="AE2103" s="1">
        <f t="shared" ca="1" si="2179"/>
        <v>144</v>
      </c>
      <c r="AF2103" t="str">
        <f t="shared" ca="1" si="2156"/>
        <v>Plot 144</v>
      </c>
    </row>
    <row r="2104" spans="28:32" x14ac:dyDescent="0.25">
      <c r="AB2104" t="str">
        <f t="shared" ref="AB2104:AC2104" si="2185">AB2083</f>
        <v>External Scaffolding</v>
      </c>
      <c r="AC2104" t="str">
        <f t="shared" si="2185"/>
        <v>Hop-ups</v>
      </c>
      <c r="AD2104" t="b">
        <f t="shared" ca="1" si="2158"/>
        <v>1</v>
      </c>
      <c r="AE2104" s="1">
        <f t="shared" ca="1" si="2179"/>
        <v>144</v>
      </c>
      <c r="AF2104" t="str">
        <f t="shared" ca="1" si="2156"/>
        <v>Plot 144</v>
      </c>
    </row>
    <row r="2105" spans="28:32" x14ac:dyDescent="0.25">
      <c r="AB2105" t="str">
        <f t="shared" ref="AB2105:AC2105" si="2186">AB2084</f>
        <v>External Scaffolding</v>
      </c>
      <c r="AC2105" t="str">
        <f t="shared" si="2186"/>
        <v>Adaptions</v>
      </c>
      <c r="AD2105" t="b">
        <f t="shared" ca="1" si="2158"/>
        <v>1</v>
      </c>
      <c r="AE2105" s="1">
        <f t="shared" ca="1" si="2179"/>
        <v>144</v>
      </c>
      <c r="AF2105" t="str">
        <f t="shared" ca="1" si="2156"/>
        <v>Plot 144</v>
      </c>
    </row>
    <row r="2106" spans="28:32" x14ac:dyDescent="0.25">
      <c r="AB2106" t="str">
        <f t="shared" ref="AB2106:AC2106" si="2187">AB2085</f>
        <v>External Scaffolding</v>
      </c>
      <c r="AC2106" t="str">
        <f t="shared" si="2187"/>
        <v>Adaption Tower</v>
      </c>
      <c r="AD2106" t="b">
        <f t="shared" ca="1" si="2158"/>
        <v>1</v>
      </c>
      <c r="AE2106" s="1">
        <f t="shared" ca="1" si="2179"/>
        <v>144</v>
      </c>
      <c r="AF2106" t="str">
        <f t="shared" ca="1" si="2156"/>
        <v>Plot 144</v>
      </c>
    </row>
    <row r="2107" spans="28:32" x14ac:dyDescent="0.25">
      <c r="AB2107" t="str">
        <f t="shared" ref="AB2107:AC2107" si="2188">AB2086</f>
        <v>External Scaffolding</v>
      </c>
      <c r="AC2107" t="str">
        <f t="shared" si="2188"/>
        <v>Lift 1</v>
      </c>
      <c r="AD2107" t="b">
        <f t="shared" ca="1" si="2158"/>
        <v>1</v>
      </c>
      <c r="AE2107" s="1">
        <f t="shared" ca="1" si="2179"/>
        <v>145</v>
      </c>
      <c r="AF2107" t="str">
        <f t="shared" ca="1" si="2156"/>
        <v>Plot 145</v>
      </c>
    </row>
    <row r="2108" spans="28:32" x14ac:dyDescent="0.25">
      <c r="AB2108" t="str">
        <f t="shared" ref="AB2108:AC2108" si="2189">AB2087</f>
        <v>External Scaffolding</v>
      </c>
      <c r="AC2108" t="str">
        <f t="shared" si="2189"/>
        <v>Lift 2</v>
      </c>
      <c r="AD2108" t="b">
        <f t="shared" ca="1" si="2158"/>
        <v>1</v>
      </c>
      <c r="AE2108" s="1">
        <f t="shared" ca="1" si="2179"/>
        <v>145</v>
      </c>
      <c r="AF2108" t="str">
        <f t="shared" ca="1" si="2156"/>
        <v>Plot 145</v>
      </c>
    </row>
    <row r="2109" spans="28:32" x14ac:dyDescent="0.25">
      <c r="AB2109" t="str">
        <f t="shared" ref="AB2109:AC2109" si="2190">AB2088</f>
        <v>External Scaffolding</v>
      </c>
      <c r="AC2109" t="str">
        <f t="shared" si="2190"/>
        <v>Lift 3</v>
      </c>
      <c r="AD2109" t="b">
        <f t="shared" ca="1" si="2158"/>
        <v>1</v>
      </c>
      <c r="AE2109" s="1">
        <f t="shared" ca="1" si="2179"/>
        <v>145</v>
      </c>
      <c r="AF2109" t="str">
        <f t="shared" ca="1" si="2156"/>
        <v>Plot 145</v>
      </c>
    </row>
    <row r="2110" spans="28:32" x14ac:dyDescent="0.25">
      <c r="AB2110" t="str">
        <f t="shared" ref="AB2110:AC2110" si="2191">AB2089</f>
        <v>External Scaffolding</v>
      </c>
      <c r="AC2110" t="str">
        <f t="shared" si="2191"/>
        <v>Lift 4</v>
      </c>
      <c r="AD2110" t="b">
        <f t="shared" ca="1" si="2158"/>
        <v>0</v>
      </c>
      <c r="AE2110" s="1">
        <f t="shared" ca="1" si="2179"/>
        <v>145</v>
      </c>
      <c r="AF2110" t="str">
        <f t="shared" ca="1" si="2156"/>
        <v>Plot 145</v>
      </c>
    </row>
    <row r="2111" spans="28:32" x14ac:dyDescent="0.25">
      <c r="AB2111" t="str">
        <f t="shared" ref="AB2111:AC2111" si="2192">AB2090</f>
        <v>External Scaffolding</v>
      </c>
      <c r="AC2111" t="str">
        <f t="shared" si="2192"/>
        <v>Lift 5</v>
      </c>
      <c r="AD2111" t="b">
        <f t="shared" ca="1" si="2158"/>
        <v>0</v>
      </c>
      <c r="AE2111" s="1">
        <f t="shared" ca="1" si="2179"/>
        <v>145</v>
      </c>
      <c r="AF2111" t="str">
        <f t="shared" ca="1" si="2156"/>
        <v>Plot 145</v>
      </c>
    </row>
    <row r="2112" spans="28:32" x14ac:dyDescent="0.25">
      <c r="AB2112" t="str">
        <f t="shared" ref="AB2112:AC2112" si="2193">AB2091</f>
        <v>External Scaffolding</v>
      </c>
      <c r="AC2112" t="str">
        <f t="shared" si="2193"/>
        <v>Lift 6</v>
      </c>
      <c r="AD2112" t="b">
        <f t="shared" ca="1" si="2158"/>
        <v>0</v>
      </c>
      <c r="AE2112" s="1">
        <f t="shared" ca="1" si="2179"/>
        <v>145</v>
      </c>
      <c r="AF2112" t="str">
        <f t="shared" ca="1" si="2156"/>
        <v>Plot 145</v>
      </c>
    </row>
    <row r="2113" spans="28:32" x14ac:dyDescent="0.25">
      <c r="AB2113" t="str">
        <f t="shared" ref="AB2113:AC2113" si="2194">AB2092</f>
        <v>Loading Bay</v>
      </c>
      <c r="AC2113" t="str">
        <f t="shared" si="2194"/>
        <v>Lift 1</v>
      </c>
      <c r="AD2113" t="b">
        <f t="shared" ca="1" si="2158"/>
        <v>1</v>
      </c>
      <c r="AE2113" s="1">
        <f t="shared" ca="1" si="2179"/>
        <v>145</v>
      </c>
      <c r="AF2113" t="str">
        <f t="shared" ca="1" si="2156"/>
        <v>Plot 145</v>
      </c>
    </row>
    <row r="2114" spans="28:32" x14ac:dyDescent="0.25">
      <c r="AB2114" t="str">
        <f t="shared" ref="AB2114:AC2114" si="2195">AB2093</f>
        <v>Loading Bay</v>
      </c>
      <c r="AC2114" t="str">
        <f t="shared" si="2195"/>
        <v>Lift 2</v>
      </c>
      <c r="AD2114" t="b">
        <f t="shared" ca="1" si="2158"/>
        <v>1</v>
      </c>
      <c r="AE2114" s="1">
        <f t="shared" ca="1" si="2179"/>
        <v>145</v>
      </c>
      <c r="AF2114" t="str">
        <f t="shared" ca="1" si="2156"/>
        <v>Plot 145</v>
      </c>
    </row>
    <row r="2115" spans="28:32" x14ac:dyDescent="0.25">
      <c r="AB2115" t="str">
        <f t="shared" ref="AB2115:AC2115" si="2196">AB2094</f>
        <v>Loading Bay</v>
      </c>
      <c r="AC2115" t="str">
        <f t="shared" si="2196"/>
        <v>Lift 3</v>
      </c>
      <c r="AD2115" t="b">
        <f t="shared" ca="1" si="2158"/>
        <v>1</v>
      </c>
      <c r="AE2115" s="1">
        <f t="shared" ca="1" si="2179"/>
        <v>145</v>
      </c>
      <c r="AF2115" t="str">
        <f t="shared" ca="1" si="2156"/>
        <v>Plot 145</v>
      </c>
    </row>
    <row r="2116" spans="28:32" x14ac:dyDescent="0.25">
      <c r="AB2116" t="str">
        <f t="shared" ref="AB2116:AC2116" si="2197">AB2095</f>
        <v>Loading Bay</v>
      </c>
      <c r="AC2116" t="str">
        <f t="shared" si="2197"/>
        <v>Lift 4</v>
      </c>
      <c r="AD2116" t="b">
        <f t="shared" ca="1" si="2158"/>
        <v>0</v>
      </c>
      <c r="AE2116" s="1">
        <f t="shared" ca="1" si="2179"/>
        <v>145</v>
      </c>
      <c r="AF2116" t="str">
        <f t="shared" ca="1" si="2156"/>
        <v>Plot 145</v>
      </c>
    </row>
    <row r="2117" spans="28:32" x14ac:dyDescent="0.25">
      <c r="AB2117" t="str">
        <f t="shared" ref="AB2117:AC2117" si="2198">AB2096</f>
        <v>Loading Bay</v>
      </c>
      <c r="AC2117" t="str">
        <f t="shared" si="2198"/>
        <v>Lift 5</v>
      </c>
      <c r="AD2117" t="b">
        <f t="shared" ca="1" si="2158"/>
        <v>0</v>
      </c>
      <c r="AE2117" s="1">
        <f t="shared" ca="1" si="2179"/>
        <v>145</v>
      </c>
      <c r="AF2117" t="str">
        <f t="shared" ca="1" si="2156"/>
        <v>Plot 145</v>
      </c>
    </row>
    <row r="2118" spans="28:32" x14ac:dyDescent="0.25">
      <c r="AB2118" t="str">
        <f t="shared" ref="AB2118:AC2118" si="2199">AB2097</f>
        <v>Loading Bay</v>
      </c>
      <c r="AC2118" t="str">
        <f t="shared" si="2199"/>
        <v>Lift 6</v>
      </c>
      <c r="AD2118" t="b">
        <f t="shared" ca="1" si="2158"/>
        <v>0</v>
      </c>
      <c r="AE2118" s="1">
        <f t="shared" ca="1" si="2179"/>
        <v>145</v>
      </c>
      <c r="AF2118" t="str">
        <f t="shared" ca="1" si="2156"/>
        <v>Plot 145</v>
      </c>
    </row>
    <row r="2119" spans="28:32" x14ac:dyDescent="0.25">
      <c r="AB2119" t="str">
        <f t="shared" ref="AB2119:AC2119" si="2200">AB2098</f>
        <v>Scaffolding Platform</v>
      </c>
      <c r="AC2119" t="str">
        <f t="shared" si="2200"/>
        <v>Ground Floor</v>
      </c>
      <c r="AD2119" t="b">
        <f t="shared" ca="1" si="2158"/>
        <v>1</v>
      </c>
      <c r="AE2119" s="1">
        <f t="shared" ca="1" si="2179"/>
        <v>145</v>
      </c>
      <c r="AF2119" t="str">
        <f t="shared" ca="1" si="2156"/>
        <v>Plot 145</v>
      </c>
    </row>
    <row r="2120" spans="28:32" x14ac:dyDescent="0.25">
      <c r="AB2120" t="str">
        <f t="shared" ref="AB2120:AC2120" si="2201">AB2099</f>
        <v>Scaffolding Platform</v>
      </c>
      <c r="AC2120" t="str">
        <f t="shared" si="2201"/>
        <v>First Floor</v>
      </c>
      <c r="AD2120" t="b">
        <f t="shared" ca="1" si="2158"/>
        <v>1</v>
      </c>
      <c r="AE2120" s="1">
        <f t="shared" ca="1" si="2179"/>
        <v>145</v>
      </c>
      <c r="AF2120" t="str">
        <f t="shared" ca="1" si="2156"/>
        <v>Plot 145</v>
      </c>
    </row>
    <row r="2121" spans="28:32" x14ac:dyDescent="0.25">
      <c r="AB2121" t="str">
        <f t="shared" ref="AB2121:AC2121" si="2202">AB2100</f>
        <v>Scaffolding Platform</v>
      </c>
      <c r="AC2121" t="str">
        <f t="shared" si="2202"/>
        <v>Second Floor</v>
      </c>
      <c r="AD2121" t="b">
        <f t="shared" ca="1" si="2158"/>
        <v>0</v>
      </c>
      <c r="AE2121" s="1">
        <f t="shared" ca="1" si="2179"/>
        <v>145</v>
      </c>
      <c r="AF2121" t="str">
        <f t="shared" ca="1" si="2156"/>
        <v>Plot 145</v>
      </c>
    </row>
    <row r="2122" spans="28:32" x14ac:dyDescent="0.25">
      <c r="AB2122" t="str">
        <f t="shared" ref="AB2122:AC2122" si="2203">AB2101</f>
        <v>Supporting Scaffold</v>
      </c>
      <c r="AC2122" t="str">
        <f t="shared" si="2203"/>
        <v>Ground Floor Prop.</v>
      </c>
      <c r="AD2122" t="str">
        <f t="shared" ca="1" si="2158"/>
        <v>TRUE</v>
      </c>
      <c r="AE2122" s="1">
        <f t="shared" ca="1" si="2179"/>
        <v>145</v>
      </c>
      <c r="AF2122" t="str">
        <f t="shared" ca="1" si="2156"/>
        <v>Plot 145</v>
      </c>
    </row>
    <row r="2123" spans="28:32" x14ac:dyDescent="0.25">
      <c r="AB2123" t="str">
        <f t="shared" ref="AB2123:AC2123" si="2204">AB2102</f>
        <v>Supporting Scaffold</v>
      </c>
      <c r="AC2123" t="str">
        <f t="shared" si="2204"/>
        <v>First Floor Prop.</v>
      </c>
      <c r="AD2123" t="str">
        <f t="shared" ca="1" si="2158"/>
        <v>FALSE</v>
      </c>
      <c r="AE2123" s="1">
        <f t="shared" ca="1" si="2179"/>
        <v>145</v>
      </c>
      <c r="AF2123" t="str">
        <f t="shared" ca="1" si="2156"/>
        <v>Plot 145</v>
      </c>
    </row>
    <row r="2124" spans="28:32" x14ac:dyDescent="0.25">
      <c r="AB2124" t="str">
        <f t="shared" ref="AB2124:AC2124" si="2205">AB2103</f>
        <v>Supporting Scaffold</v>
      </c>
      <c r="AC2124" t="str">
        <f t="shared" si="2205"/>
        <v>Second Floor Prop.</v>
      </c>
      <c r="AD2124" t="str">
        <f t="shared" ca="1" si="2158"/>
        <v>FALSE</v>
      </c>
      <c r="AE2124" s="1">
        <f t="shared" ca="1" si="2179"/>
        <v>145</v>
      </c>
      <c r="AF2124" t="str">
        <f t="shared" ca="1" si="2156"/>
        <v>Plot 145</v>
      </c>
    </row>
    <row r="2125" spans="28:32" x14ac:dyDescent="0.25">
      <c r="AB2125" t="str">
        <f t="shared" ref="AB2125:AC2125" si="2206">AB2104</f>
        <v>External Scaffolding</v>
      </c>
      <c r="AC2125" t="str">
        <f t="shared" si="2206"/>
        <v>Hop-ups</v>
      </c>
      <c r="AD2125" t="b">
        <f t="shared" ca="1" si="2158"/>
        <v>1</v>
      </c>
      <c r="AE2125" s="1">
        <f t="shared" ca="1" si="2179"/>
        <v>145</v>
      </c>
      <c r="AF2125" t="str">
        <f t="shared" ca="1" si="2156"/>
        <v>Plot 145</v>
      </c>
    </row>
    <row r="2126" spans="28:32" x14ac:dyDescent="0.25">
      <c r="AB2126" t="str">
        <f t="shared" ref="AB2126:AC2126" si="2207">AB2105</f>
        <v>External Scaffolding</v>
      </c>
      <c r="AC2126" t="str">
        <f t="shared" si="2207"/>
        <v>Adaptions</v>
      </c>
      <c r="AD2126" t="b">
        <f t="shared" ca="1" si="2158"/>
        <v>1</v>
      </c>
      <c r="AE2126" s="1">
        <f t="shared" ca="1" si="2179"/>
        <v>145</v>
      </c>
      <c r="AF2126" t="str">
        <f t="shared" ca="1" si="2156"/>
        <v>Plot 145</v>
      </c>
    </row>
    <row r="2127" spans="28:32" x14ac:dyDescent="0.25">
      <c r="AB2127" t="str">
        <f t="shared" ref="AB2127:AC2127" si="2208">AB2106</f>
        <v>External Scaffolding</v>
      </c>
      <c r="AC2127" t="str">
        <f t="shared" si="2208"/>
        <v>Adaption Tower</v>
      </c>
      <c r="AD2127" t="b">
        <f t="shared" ca="1" si="2158"/>
        <v>1</v>
      </c>
      <c r="AE2127" s="1">
        <f t="shared" ca="1" si="2179"/>
        <v>145</v>
      </c>
      <c r="AF2127" t="str">
        <f t="shared" ca="1" si="2156"/>
        <v>Plot 145</v>
      </c>
    </row>
    <row r="2128" spans="28:32" x14ac:dyDescent="0.25">
      <c r="AB2128" t="str">
        <f t="shared" ref="AB2128:AC2128" si="2209">AB2107</f>
        <v>External Scaffolding</v>
      </c>
      <c r="AC2128" t="str">
        <f t="shared" si="2209"/>
        <v>Lift 1</v>
      </c>
      <c r="AD2128" t="b">
        <f t="shared" ca="1" si="2158"/>
        <v>1</v>
      </c>
      <c r="AE2128" s="1">
        <f t="shared" ca="1" si="2179"/>
        <v>146</v>
      </c>
      <c r="AF2128" t="str">
        <f t="shared" ca="1" si="2156"/>
        <v>Plot 146</v>
      </c>
    </row>
    <row r="2129" spans="28:32" x14ac:dyDescent="0.25">
      <c r="AB2129" t="str">
        <f t="shared" ref="AB2129:AC2129" si="2210">AB2108</f>
        <v>External Scaffolding</v>
      </c>
      <c r="AC2129" t="str">
        <f t="shared" si="2210"/>
        <v>Lift 2</v>
      </c>
      <c r="AD2129" t="b">
        <f t="shared" ca="1" si="2158"/>
        <v>1</v>
      </c>
      <c r="AE2129" s="1">
        <f t="shared" ca="1" si="2179"/>
        <v>146</v>
      </c>
      <c r="AF2129" t="str">
        <f t="shared" ca="1" si="2156"/>
        <v>Plot 146</v>
      </c>
    </row>
    <row r="2130" spans="28:32" x14ac:dyDescent="0.25">
      <c r="AB2130" t="str">
        <f t="shared" ref="AB2130:AC2130" si="2211">AB2109</f>
        <v>External Scaffolding</v>
      </c>
      <c r="AC2130" t="str">
        <f t="shared" si="2211"/>
        <v>Lift 3</v>
      </c>
      <c r="AD2130" t="b">
        <f t="shared" ca="1" si="2158"/>
        <v>1</v>
      </c>
      <c r="AE2130" s="1">
        <f t="shared" ca="1" si="2179"/>
        <v>146</v>
      </c>
      <c r="AF2130" t="str">
        <f t="shared" ca="1" si="2156"/>
        <v>Plot 146</v>
      </c>
    </row>
    <row r="2131" spans="28:32" x14ac:dyDescent="0.25">
      <c r="AB2131" t="str">
        <f t="shared" ref="AB2131:AC2131" si="2212">AB2110</f>
        <v>External Scaffolding</v>
      </c>
      <c r="AC2131" t="str">
        <f t="shared" si="2212"/>
        <v>Lift 4</v>
      </c>
      <c r="AD2131" t="b">
        <f t="shared" ca="1" si="2158"/>
        <v>0</v>
      </c>
      <c r="AE2131" s="1">
        <f t="shared" ca="1" si="2179"/>
        <v>146</v>
      </c>
      <c r="AF2131" t="str">
        <f t="shared" ca="1" si="2156"/>
        <v>Plot 146</v>
      </c>
    </row>
    <row r="2132" spans="28:32" x14ac:dyDescent="0.25">
      <c r="AB2132" t="str">
        <f t="shared" ref="AB2132:AC2132" si="2213">AB2111</f>
        <v>External Scaffolding</v>
      </c>
      <c r="AC2132" t="str">
        <f t="shared" si="2213"/>
        <v>Lift 5</v>
      </c>
      <c r="AD2132" t="b">
        <f t="shared" ca="1" si="2158"/>
        <v>0</v>
      </c>
      <c r="AE2132" s="1">
        <f t="shared" ca="1" si="2179"/>
        <v>146</v>
      </c>
      <c r="AF2132" t="str">
        <f t="shared" ca="1" si="2156"/>
        <v>Plot 146</v>
      </c>
    </row>
    <row r="2133" spans="28:32" x14ac:dyDescent="0.25">
      <c r="AB2133" t="str">
        <f t="shared" ref="AB2133:AC2133" si="2214">AB2112</f>
        <v>External Scaffolding</v>
      </c>
      <c r="AC2133" t="str">
        <f t="shared" si="2214"/>
        <v>Lift 6</v>
      </c>
      <c r="AD2133" t="b">
        <f t="shared" ca="1" si="2158"/>
        <v>0</v>
      </c>
      <c r="AE2133" s="1">
        <f t="shared" ca="1" si="2179"/>
        <v>146</v>
      </c>
      <c r="AF2133" t="str">
        <f t="shared" ca="1" si="2156"/>
        <v>Plot 146</v>
      </c>
    </row>
    <row r="2134" spans="28:32" x14ac:dyDescent="0.25">
      <c r="AB2134" t="str">
        <f t="shared" ref="AB2134:AC2134" si="2215">AB2113</f>
        <v>Loading Bay</v>
      </c>
      <c r="AC2134" t="str">
        <f t="shared" si="2215"/>
        <v>Lift 1</v>
      </c>
      <c r="AD2134" t="b">
        <f t="shared" ca="1" si="2158"/>
        <v>1</v>
      </c>
      <c r="AE2134" s="1">
        <f t="shared" ca="1" si="2179"/>
        <v>146</v>
      </c>
      <c r="AF2134" t="str">
        <f t="shared" ca="1" si="2156"/>
        <v>Plot 146</v>
      </c>
    </row>
    <row r="2135" spans="28:32" x14ac:dyDescent="0.25">
      <c r="AB2135" t="str">
        <f t="shared" ref="AB2135:AC2135" si="2216">AB2114</f>
        <v>Loading Bay</v>
      </c>
      <c r="AC2135" t="str">
        <f t="shared" si="2216"/>
        <v>Lift 2</v>
      </c>
      <c r="AD2135" t="b">
        <f t="shared" ca="1" si="2158"/>
        <v>1</v>
      </c>
      <c r="AE2135" s="1">
        <f t="shared" ca="1" si="2179"/>
        <v>146</v>
      </c>
      <c r="AF2135" t="str">
        <f t="shared" ca="1" si="2156"/>
        <v>Plot 146</v>
      </c>
    </row>
    <row r="2136" spans="28:32" x14ac:dyDescent="0.25">
      <c r="AB2136" t="str">
        <f t="shared" ref="AB2136:AC2136" si="2217">AB2115</f>
        <v>Loading Bay</v>
      </c>
      <c r="AC2136" t="str">
        <f t="shared" si="2217"/>
        <v>Lift 3</v>
      </c>
      <c r="AD2136" t="b">
        <f t="shared" ca="1" si="2158"/>
        <v>1</v>
      </c>
      <c r="AE2136" s="1">
        <f t="shared" ca="1" si="2179"/>
        <v>146</v>
      </c>
      <c r="AF2136" t="str">
        <f t="shared" ca="1" si="2156"/>
        <v>Plot 146</v>
      </c>
    </row>
    <row r="2137" spans="28:32" x14ac:dyDescent="0.25">
      <c r="AB2137" t="str">
        <f t="shared" ref="AB2137:AC2137" si="2218">AB2116</f>
        <v>Loading Bay</v>
      </c>
      <c r="AC2137" t="str">
        <f t="shared" si="2218"/>
        <v>Lift 4</v>
      </c>
      <c r="AD2137" t="b">
        <f t="shared" ca="1" si="2158"/>
        <v>0</v>
      </c>
      <c r="AE2137" s="1">
        <f t="shared" ca="1" si="2179"/>
        <v>146</v>
      </c>
      <c r="AF2137" t="str">
        <f t="shared" ca="1" si="2156"/>
        <v>Plot 146</v>
      </c>
    </row>
    <row r="2138" spans="28:32" x14ac:dyDescent="0.25">
      <c r="AB2138" t="str">
        <f t="shared" ref="AB2138:AC2138" si="2219">AB2117</f>
        <v>Loading Bay</v>
      </c>
      <c r="AC2138" t="str">
        <f t="shared" si="2219"/>
        <v>Lift 5</v>
      </c>
      <c r="AD2138" t="b">
        <f t="shared" ca="1" si="2158"/>
        <v>0</v>
      </c>
      <c r="AE2138" s="1">
        <f t="shared" ca="1" si="2179"/>
        <v>146</v>
      </c>
      <c r="AF2138" t="str">
        <f t="shared" ca="1" si="2156"/>
        <v>Plot 146</v>
      </c>
    </row>
    <row r="2139" spans="28:32" x14ac:dyDescent="0.25">
      <c r="AB2139" t="str">
        <f t="shared" ref="AB2139:AC2139" si="2220">AB2118</f>
        <v>Loading Bay</v>
      </c>
      <c r="AC2139" t="str">
        <f t="shared" si="2220"/>
        <v>Lift 6</v>
      </c>
      <c r="AD2139" t="b">
        <f t="shared" ca="1" si="2158"/>
        <v>0</v>
      </c>
      <c r="AE2139" s="1">
        <f t="shared" ca="1" si="2179"/>
        <v>146</v>
      </c>
      <c r="AF2139" t="str">
        <f t="shared" ca="1" si="2156"/>
        <v>Plot 146</v>
      </c>
    </row>
    <row r="2140" spans="28:32" x14ac:dyDescent="0.25">
      <c r="AB2140" t="str">
        <f t="shared" ref="AB2140:AC2140" si="2221">AB2119</f>
        <v>Scaffolding Platform</v>
      </c>
      <c r="AC2140" t="str">
        <f t="shared" si="2221"/>
        <v>Ground Floor</v>
      </c>
      <c r="AD2140" t="b">
        <f t="shared" ca="1" si="2158"/>
        <v>1</v>
      </c>
      <c r="AE2140" s="1">
        <f t="shared" ca="1" si="2179"/>
        <v>146</v>
      </c>
      <c r="AF2140" t="str">
        <f t="shared" ca="1" si="2156"/>
        <v>Plot 146</v>
      </c>
    </row>
    <row r="2141" spans="28:32" x14ac:dyDescent="0.25">
      <c r="AB2141" t="str">
        <f t="shared" ref="AB2141:AC2141" si="2222">AB2120</f>
        <v>Scaffolding Platform</v>
      </c>
      <c r="AC2141" t="str">
        <f t="shared" si="2222"/>
        <v>First Floor</v>
      </c>
      <c r="AD2141" t="b">
        <f t="shared" ca="1" si="2158"/>
        <v>1</v>
      </c>
      <c r="AE2141" s="1">
        <f t="shared" ca="1" si="2179"/>
        <v>146</v>
      </c>
      <c r="AF2141" t="str">
        <f t="shared" ref="AF2141:AF2204" ca="1" si="2223">IF(LEFT(AE2141,1)="G",AE2141,"Plot "&amp;AE2141)</f>
        <v>Plot 146</v>
      </c>
    </row>
    <row r="2142" spans="28:32" x14ac:dyDescent="0.25">
      <c r="AB2142" t="str">
        <f t="shared" ref="AB2142:AC2142" si="2224">AB2121</f>
        <v>Scaffolding Platform</v>
      </c>
      <c r="AC2142" t="str">
        <f t="shared" si="2224"/>
        <v>Second Floor</v>
      </c>
      <c r="AD2142" t="b">
        <f t="shared" ref="AD2142:AD2205" ca="1" si="2225">INDEX($AC$1:$JH$22,MATCH(AC2142,$AC$1:$AC$22,0),MATCH(AE2142,$AC$1:$JH$1,0))</f>
        <v>0</v>
      </c>
      <c r="AE2142" s="1">
        <f t="shared" ca="1" si="2179"/>
        <v>146</v>
      </c>
      <c r="AF2142" t="str">
        <f t="shared" ca="1" si="2223"/>
        <v>Plot 146</v>
      </c>
    </row>
    <row r="2143" spans="28:32" x14ac:dyDescent="0.25">
      <c r="AB2143" t="str">
        <f t="shared" ref="AB2143:AC2143" si="2226">AB2122</f>
        <v>Supporting Scaffold</v>
      </c>
      <c r="AC2143" t="str">
        <f t="shared" si="2226"/>
        <v>Ground Floor Prop.</v>
      </c>
      <c r="AD2143" t="str">
        <f t="shared" ca="1" si="2225"/>
        <v>TRUE</v>
      </c>
      <c r="AE2143" s="1">
        <f t="shared" ca="1" si="2179"/>
        <v>146</v>
      </c>
      <c r="AF2143" t="str">
        <f t="shared" ca="1" si="2223"/>
        <v>Plot 146</v>
      </c>
    </row>
    <row r="2144" spans="28:32" x14ac:dyDescent="0.25">
      <c r="AB2144" t="str">
        <f t="shared" ref="AB2144:AC2144" si="2227">AB2123</f>
        <v>Supporting Scaffold</v>
      </c>
      <c r="AC2144" t="str">
        <f t="shared" si="2227"/>
        <v>First Floor Prop.</v>
      </c>
      <c r="AD2144" t="str">
        <f t="shared" ca="1" si="2225"/>
        <v>FALSE</v>
      </c>
      <c r="AE2144" s="1">
        <f t="shared" ca="1" si="2179"/>
        <v>146</v>
      </c>
      <c r="AF2144" t="str">
        <f t="shared" ca="1" si="2223"/>
        <v>Plot 146</v>
      </c>
    </row>
    <row r="2145" spans="28:32" x14ac:dyDescent="0.25">
      <c r="AB2145" t="str">
        <f t="shared" ref="AB2145:AC2145" si="2228">AB2124</f>
        <v>Supporting Scaffold</v>
      </c>
      <c r="AC2145" t="str">
        <f t="shared" si="2228"/>
        <v>Second Floor Prop.</v>
      </c>
      <c r="AD2145" t="str">
        <f t="shared" ca="1" si="2225"/>
        <v>FALSE</v>
      </c>
      <c r="AE2145" s="1">
        <f t="shared" ca="1" si="2179"/>
        <v>146</v>
      </c>
      <c r="AF2145" t="str">
        <f t="shared" ca="1" si="2223"/>
        <v>Plot 146</v>
      </c>
    </row>
    <row r="2146" spans="28:32" x14ac:dyDescent="0.25">
      <c r="AB2146" t="str">
        <f t="shared" ref="AB2146:AC2146" si="2229">AB2125</f>
        <v>External Scaffolding</v>
      </c>
      <c r="AC2146" t="str">
        <f t="shared" si="2229"/>
        <v>Hop-ups</v>
      </c>
      <c r="AD2146" t="b">
        <f t="shared" ca="1" si="2225"/>
        <v>1</v>
      </c>
      <c r="AE2146" s="1">
        <f t="shared" ca="1" si="2179"/>
        <v>146</v>
      </c>
      <c r="AF2146" t="str">
        <f t="shared" ca="1" si="2223"/>
        <v>Plot 146</v>
      </c>
    </row>
    <row r="2147" spans="28:32" x14ac:dyDescent="0.25">
      <c r="AB2147" t="str">
        <f t="shared" ref="AB2147:AC2147" si="2230">AB2126</f>
        <v>External Scaffolding</v>
      </c>
      <c r="AC2147" t="str">
        <f t="shared" si="2230"/>
        <v>Adaptions</v>
      </c>
      <c r="AD2147" t="b">
        <f t="shared" ca="1" si="2225"/>
        <v>1</v>
      </c>
      <c r="AE2147" s="1">
        <f t="shared" ca="1" si="2179"/>
        <v>146</v>
      </c>
      <c r="AF2147" t="str">
        <f t="shared" ca="1" si="2223"/>
        <v>Plot 146</v>
      </c>
    </row>
    <row r="2148" spans="28:32" x14ac:dyDescent="0.25">
      <c r="AB2148" t="str">
        <f t="shared" ref="AB2148:AC2148" si="2231">AB2127</f>
        <v>External Scaffolding</v>
      </c>
      <c r="AC2148" t="str">
        <f t="shared" si="2231"/>
        <v>Adaption Tower</v>
      </c>
      <c r="AD2148" t="b">
        <f t="shared" ca="1" si="2225"/>
        <v>1</v>
      </c>
      <c r="AE2148" s="1">
        <f t="shared" ca="1" si="2179"/>
        <v>146</v>
      </c>
      <c r="AF2148" t="str">
        <f t="shared" ca="1" si="2223"/>
        <v>Plot 146</v>
      </c>
    </row>
    <row r="2149" spans="28:32" x14ac:dyDescent="0.25">
      <c r="AB2149" t="str">
        <f t="shared" ref="AB2149:AC2149" si="2232">AB2128</f>
        <v>External Scaffolding</v>
      </c>
      <c r="AC2149" t="str">
        <f t="shared" si="2232"/>
        <v>Lift 1</v>
      </c>
      <c r="AD2149" t="b">
        <f t="shared" ca="1" si="2225"/>
        <v>1</v>
      </c>
      <c r="AE2149" s="1">
        <f t="shared" ca="1" si="2179"/>
        <v>147</v>
      </c>
      <c r="AF2149" t="str">
        <f t="shared" ca="1" si="2223"/>
        <v>Plot 147</v>
      </c>
    </row>
    <row r="2150" spans="28:32" x14ac:dyDescent="0.25">
      <c r="AB2150" t="str">
        <f t="shared" ref="AB2150:AC2150" si="2233">AB2129</f>
        <v>External Scaffolding</v>
      </c>
      <c r="AC2150" t="str">
        <f t="shared" si="2233"/>
        <v>Lift 2</v>
      </c>
      <c r="AD2150" t="b">
        <f t="shared" ca="1" si="2225"/>
        <v>1</v>
      </c>
      <c r="AE2150" s="1">
        <f t="shared" ca="1" si="2179"/>
        <v>147</v>
      </c>
      <c r="AF2150" t="str">
        <f t="shared" ca="1" si="2223"/>
        <v>Plot 147</v>
      </c>
    </row>
    <row r="2151" spans="28:32" x14ac:dyDescent="0.25">
      <c r="AB2151" t="str">
        <f t="shared" ref="AB2151:AC2151" si="2234">AB2130</f>
        <v>External Scaffolding</v>
      </c>
      <c r="AC2151" t="str">
        <f t="shared" si="2234"/>
        <v>Lift 3</v>
      </c>
      <c r="AD2151" t="b">
        <f t="shared" ca="1" si="2225"/>
        <v>1</v>
      </c>
      <c r="AE2151" s="1">
        <f t="shared" ca="1" si="2179"/>
        <v>147</v>
      </c>
      <c r="AF2151" t="str">
        <f t="shared" ca="1" si="2223"/>
        <v>Plot 147</v>
      </c>
    </row>
    <row r="2152" spans="28:32" x14ac:dyDescent="0.25">
      <c r="AB2152" t="str">
        <f t="shared" ref="AB2152:AC2152" si="2235">AB2131</f>
        <v>External Scaffolding</v>
      </c>
      <c r="AC2152" t="str">
        <f t="shared" si="2235"/>
        <v>Lift 4</v>
      </c>
      <c r="AD2152" t="b">
        <f t="shared" ca="1" si="2225"/>
        <v>0</v>
      </c>
      <c r="AE2152" s="1">
        <f t="shared" ca="1" si="2179"/>
        <v>147</v>
      </c>
      <c r="AF2152" t="str">
        <f t="shared" ca="1" si="2223"/>
        <v>Plot 147</v>
      </c>
    </row>
    <row r="2153" spans="28:32" x14ac:dyDescent="0.25">
      <c r="AB2153" t="str">
        <f t="shared" ref="AB2153:AC2153" si="2236">AB2132</f>
        <v>External Scaffolding</v>
      </c>
      <c r="AC2153" t="str">
        <f t="shared" si="2236"/>
        <v>Lift 5</v>
      </c>
      <c r="AD2153" t="b">
        <f t="shared" ca="1" si="2225"/>
        <v>0</v>
      </c>
      <c r="AE2153" s="1">
        <f t="shared" ca="1" si="2179"/>
        <v>147</v>
      </c>
      <c r="AF2153" t="str">
        <f t="shared" ca="1" si="2223"/>
        <v>Plot 147</v>
      </c>
    </row>
    <row r="2154" spans="28:32" x14ac:dyDescent="0.25">
      <c r="AB2154" t="str">
        <f t="shared" ref="AB2154:AC2154" si="2237">AB2133</f>
        <v>External Scaffolding</v>
      </c>
      <c r="AC2154" t="str">
        <f t="shared" si="2237"/>
        <v>Lift 6</v>
      </c>
      <c r="AD2154" t="b">
        <f t="shared" ca="1" si="2225"/>
        <v>0</v>
      </c>
      <c r="AE2154" s="1">
        <f t="shared" ca="1" si="2179"/>
        <v>147</v>
      </c>
      <c r="AF2154" t="str">
        <f t="shared" ca="1" si="2223"/>
        <v>Plot 147</v>
      </c>
    </row>
    <row r="2155" spans="28:32" x14ac:dyDescent="0.25">
      <c r="AB2155" t="str">
        <f t="shared" ref="AB2155:AC2155" si="2238">AB2134</f>
        <v>Loading Bay</v>
      </c>
      <c r="AC2155" t="str">
        <f t="shared" si="2238"/>
        <v>Lift 1</v>
      </c>
      <c r="AD2155" t="b">
        <f t="shared" ca="1" si="2225"/>
        <v>1</v>
      </c>
      <c r="AE2155" s="1">
        <f t="shared" ca="1" si="2179"/>
        <v>147</v>
      </c>
      <c r="AF2155" t="str">
        <f t="shared" ca="1" si="2223"/>
        <v>Plot 147</v>
      </c>
    </row>
    <row r="2156" spans="28:32" x14ac:dyDescent="0.25">
      <c r="AB2156" t="str">
        <f t="shared" ref="AB2156:AC2156" si="2239">AB2135</f>
        <v>Loading Bay</v>
      </c>
      <c r="AC2156" t="str">
        <f t="shared" si="2239"/>
        <v>Lift 2</v>
      </c>
      <c r="AD2156" t="b">
        <f t="shared" ca="1" si="2225"/>
        <v>1</v>
      </c>
      <c r="AE2156" s="1">
        <f t="shared" ca="1" si="2179"/>
        <v>147</v>
      </c>
      <c r="AF2156" t="str">
        <f t="shared" ca="1" si="2223"/>
        <v>Plot 147</v>
      </c>
    </row>
    <row r="2157" spans="28:32" x14ac:dyDescent="0.25">
      <c r="AB2157" t="str">
        <f t="shared" ref="AB2157:AC2157" si="2240">AB2136</f>
        <v>Loading Bay</v>
      </c>
      <c r="AC2157" t="str">
        <f t="shared" si="2240"/>
        <v>Lift 3</v>
      </c>
      <c r="AD2157" t="b">
        <f t="shared" ca="1" si="2225"/>
        <v>1</v>
      </c>
      <c r="AE2157" s="1">
        <f t="shared" ca="1" si="2179"/>
        <v>147</v>
      </c>
      <c r="AF2157" t="str">
        <f t="shared" ca="1" si="2223"/>
        <v>Plot 147</v>
      </c>
    </row>
    <row r="2158" spans="28:32" x14ac:dyDescent="0.25">
      <c r="AB2158" t="str">
        <f t="shared" ref="AB2158:AC2158" si="2241">AB2137</f>
        <v>Loading Bay</v>
      </c>
      <c r="AC2158" t="str">
        <f t="shared" si="2241"/>
        <v>Lift 4</v>
      </c>
      <c r="AD2158" t="b">
        <f t="shared" ca="1" si="2225"/>
        <v>0</v>
      </c>
      <c r="AE2158" s="1">
        <f t="shared" ca="1" si="2179"/>
        <v>147</v>
      </c>
      <c r="AF2158" t="str">
        <f t="shared" ca="1" si="2223"/>
        <v>Plot 147</v>
      </c>
    </row>
    <row r="2159" spans="28:32" x14ac:dyDescent="0.25">
      <c r="AB2159" t="str">
        <f t="shared" ref="AB2159:AC2159" si="2242">AB2138</f>
        <v>Loading Bay</v>
      </c>
      <c r="AC2159" t="str">
        <f t="shared" si="2242"/>
        <v>Lift 5</v>
      </c>
      <c r="AD2159" t="b">
        <f t="shared" ca="1" si="2225"/>
        <v>0</v>
      </c>
      <c r="AE2159" s="1">
        <f t="shared" ca="1" si="2179"/>
        <v>147</v>
      </c>
      <c r="AF2159" t="str">
        <f t="shared" ca="1" si="2223"/>
        <v>Plot 147</v>
      </c>
    </row>
    <row r="2160" spans="28:32" x14ac:dyDescent="0.25">
      <c r="AB2160" t="str">
        <f t="shared" ref="AB2160:AC2160" si="2243">AB2139</f>
        <v>Loading Bay</v>
      </c>
      <c r="AC2160" t="str">
        <f t="shared" si="2243"/>
        <v>Lift 6</v>
      </c>
      <c r="AD2160" t="b">
        <f t="shared" ca="1" si="2225"/>
        <v>0</v>
      </c>
      <c r="AE2160" s="1">
        <f t="shared" ca="1" si="2179"/>
        <v>147</v>
      </c>
      <c r="AF2160" t="str">
        <f t="shared" ca="1" si="2223"/>
        <v>Plot 147</v>
      </c>
    </row>
    <row r="2161" spans="28:32" x14ac:dyDescent="0.25">
      <c r="AB2161" t="str">
        <f t="shared" ref="AB2161:AC2161" si="2244">AB2140</f>
        <v>Scaffolding Platform</v>
      </c>
      <c r="AC2161" t="str">
        <f t="shared" si="2244"/>
        <v>Ground Floor</v>
      </c>
      <c r="AD2161" t="b">
        <f t="shared" ca="1" si="2225"/>
        <v>1</v>
      </c>
      <c r="AE2161" s="1">
        <f t="shared" ca="1" si="2179"/>
        <v>147</v>
      </c>
      <c r="AF2161" t="str">
        <f t="shared" ca="1" si="2223"/>
        <v>Plot 147</v>
      </c>
    </row>
    <row r="2162" spans="28:32" x14ac:dyDescent="0.25">
      <c r="AB2162" t="str">
        <f t="shared" ref="AB2162:AC2162" si="2245">AB2141</f>
        <v>Scaffolding Platform</v>
      </c>
      <c r="AC2162" t="str">
        <f t="shared" si="2245"/>
        <v>First Floor</v>
      </c>
      <c r="AD2162" t="b">
        <f t="shared" ca="1" si="2225"/>
        <v>1</v>
      </c>
      <c r="AE2162" s="1">
        <f t="shared" ref="AE2162:AE2225" ca="1" si="2246">OFFSET($AD$1,0,FLOOR(ROW(B2134)/21,1))</f>
        <v>147</v>
      </c>
      <c r="AF2162" t="str">
        <f t="shared" ca="1" si="2223"/>
        <v>Plot 147</v>
      </c>
    </row>
    <row r="2163" spans="28:32" x14ac:dyDescent="0.25">
      <c r="AB2163" t="str">
        <f t="shared" ref="AB2163:AC2163" si="2247">AB2142</f>
        <v>Scaffolding Platform</v>
      </c>
      <c r="AC2163" t="str">
        <f t="shared" si="2247"/>
        <v>Second Floor</v>
      </c>
      <c r="AD2163" t="b">
        <f t="shared" ca="1" si="2225"/>
        <v>0</v>
      </c>
      <c r="AE2163" s="1">
        <f t="shared" ca="1" si="2246"/>
        <v>147</v>
      </c>
      <c r="AF2163" t="str">
        <f t="shared" ca="1" si="2223"/>
        <v>Plot 147</v>
      </c>
    </row>
    <row r="2164" spans="28:32" x14ac:dyDescent="0.25">
      <c r="AB2164" t="str">
        <f t="shared" ref="AB2164:AC2164" si="2248">AB2143</f>
        <v>Supporting Scaffold</v>
      </c>
      <c r="AC2164" t="str">
        <f t="shared" si="2248"/>
        <v>Ground Floor Prop.</v>
      </c>
      <c r="AD2164" t="str">
        <f t="shared" ca="1" si="2225"/>
        <v>TRUE</v>
      </c>
      <c r="AE2164" s="1">
        <f t="shared" ca="1" si="2246"/>
        <v>147</v>
      </c>
      <c r="AF2164" t="str">
        <f t="shared" ca="1" si="2223"/>
        <v>Plot 147</v>
      </c>
    </row>
    <row r="2165" spans="28:32" x14ac:dyDescent="0.25">
      <c r="AB2165" t="str">
        <f t="shared" ref="AB2165:AC2165" si="2249">AB2144</f>
        <v>Supporting Scaffold</v>
      </c>
      <c r="AC2165" t="str">
        <f t="shared" si="2249"/>
        <v>First Floor Prop.</v>
      </c>
      <c r="AD2165" t="str">
        <f t="shared" ca="1" si="2225"/>
        <v>FALSE</v>
      </c>
      <c r="AE2165" s="1">
        <f t="shared" ca="1" si="2246"/>
        <v>147</v>
      </c>
      <c r="AF2165" t="str">
        <f t="shared" ca="1" si="2223"/>
        <v>Plot 147</v>
      </c>
    </row>
    <row r="2166" spans="28:32" x14ac:dyDescent="0.25">
      <c r="AB2166" t="str">
        <f t="shared" ref="AB2166:AC2166" si="2250">AB2145</f>
        <v>Supporting Scaffold</v>
      </c>
      <c r="AC2166" t="str">
        <f t="shared" si="2250"/>
        <v>Second Floor Prop.</v>
      </c>
      <c r="AD2166" t="str">
        <f t="shared" ca="1" si="2225"/>
        <v>FALSE</v>
      </c>
      <c r="AE2166" s="1">
        <f t="shared" ca="1" si="2246"/>
        <v>147</v>
      </c>
      <c r="AF2166" t="str">
        <f t="shared" ca="1" si="2223"/>
        <v>Plot 147</v>
      </c>
    </row>
    <row r="2167" spans="28:32" x14ac:dyDescent="0.25">
      <c r="AB2167" t="str">
        <f t="shared" ref="AB2167:AC2167" si="2251">AB2146</f>
        <v>External Scaffolding</v>
      </c>
      <c r="AC2167" t="str">
        <f t="shared" si="2251"/>
        <v>Hop-ups</v>
      </c>
      <c r="AD2167" t="b">
        <f t="shared" ca="1" si="2225"/>
        <v>1</v>
      </c>
      <c r="AE2167" s="1">
        <f t="shared" ca="1" si="2246"/>
        <v>147</v>
      </c>
      <c r="AF2167" t="str">
        <f t="shared" ca="1" si="2223"/>
        <v>Plot 147</v>
      </c>
    </row>
    <row r="2168" spans="28:32" x14ac:dyDescent="0.25">
      <c r="AB2168" t="str">
        <f t="shared" ref="AB2168:AC2168" si="2252">AB2147</f>
        <v>External Scaffolding</v>
      </c>
      <c r="AC2168" t="str">
        <f t="shared" si="2252"/>
        <v>Adaptions</v>
      </c>
      <c r="AD2168" t="b">
        <f t="shared" ca="1" si="2225"/>
        <v>1</v>
      </c>
      <c r="AE2168" s="1">
        <f t="shared" ca="1" si="2246"/>
        <v>147</v>
      </c>
      <c r="AF2168" t="str">
        <f t="shared" ca="1" si="2223"/>
        <v>Plot 147</v>
      </c>
    </row>
    <row r="2169" spans="28:32" x14ac:dyDescent="0.25">
      <c r="AB2169" t="str">
        <f t="shared" ref="AB2169:AC2169" si="2253">AB2148</f>
        <v>External Scaffolding</v>
      </c>
      <c r="AC2169" t="str">
        <f t="shared" si="2253"/>
        <v>Adaption Tower</v>
      </c>
      <c r="AD2169" t="b">
        <f t="shared" ca="1" si="2225"/>
        <v>1</v>
      </c>
      <c r="AE2169" s="1">
        <f t="shared" ca="1" si="2246"/>
        <v>147</v>
      </c>
      <c r="AF2169" t="str">
        <f t="shared" ca="1" si="2223"/>
        <v>Plot 147</v>
      </c>
    </row>
    <row r="2170" spans="28:32" x14ac:dyDescent="0.25">
      <c r="AB2170" t="str">
        <f t="shared" ref="AB2170:AC2170" si="2254">AB2149</f>
        <v>External Scaffolding</v>
      </c>
      <c r="AC2170" t="str">
        <f t="shared" si="2254"/>
        <v>Lift 1</v>
      </c>
      <c r="AD2170" t="b">
        <f t="shared" ca="1" si="2225"/>
        <v>1</v>
      </c>
      <c r="AE2170" s="1" t="str">
        <f t="shared" ca="1" si="2246"/>
        <v>148-149</v>
      </c>
      <c r="AF2170" t="str">
        <f t="shared" ca="1" si="2223"/>
        <v>Plot 148-149</v>
      </c>
    </row>
    <row r="2171" spans="28:32" x14ac:dyDescent="0.25">
      <c r="AB2171" t="str">
        <f t="shared" ref="AB2171:AC2171" si="2255">AB2150</f>
        <v>External Scaffolding</v>
      </c>
      <c r="AC2171" t="str">
        <f t="shared" si="2255"/>
        <v>Lift 2</v>
      </c>
      <c r="AD2171" t="b">
        <f t="shared" ca="1" si="2225"/>
        <v>1</v>
      </c>
      <c r="AE2171" s="1" t="str">
        <f t="shared" ca="1" si="2246"/>
        <v>148-149</v>
      </c>
      <c r="AF2171" t="str">
        <f t="shared" ca="1" si="2223"/>
        <v>Plot 148-149</v>
      </c>
    </row>
    <row r="2172" spans="28:32" x14ac:dyDescent="0.25">
      <c r="AB2172" t="str">
        <f t="shared" ref="AB2172:AC2172" si="2256">AB2151</f>
        <v>External Scaffolding</v>
      </c>
      <c r="AC2172" t="str">
        <f t="shared" si="2256"/>
        <v>Lift 3</v>
      </c>
      <c r="AD2172" t="b">
        <f t="shared" ca="1" si="2225"/>
        <v>1</v>
      </c>
      <c r="AE2172" s="1" t="str">
        <f t="shared" ca="1" si="2246"/>
        <v>148-149</v>
      </c>
      <c r="AF2172" t="str">
        <f t="shared" ca="1" si="2223"/>
        <v>Plot 148-149</v>
      </c>
    </row>
    <row r="2173" spans="28:32" x14ac:dyDescent="0.25">
      <c r="AB2173" t="str">
        <f t="shared" ref="AB2173:AC2173" si="2257">AB2152</f>
        <v>External Scaffolding</v>
      </c>
      <c r="AC2173" t="str">
        <f t="shared" si="2257"/>
        <v>Lift 4</v>
      </c>
      <c r="AD2173" t="b">
        <f t="shared" ca="1" si="2225"/>
        <v>0</v>
      </c>
      <c r="AE2173" s="1" t="str">
        <f t="shared" ca="1" si="2246"/>
        <v>148-149</v>
      </c>
      <c r="AF2173" t="str">
        <f t="shared" ca="1" si="2223"/>
        <v>Plot 148-149</v>
      </c>
    </row>
    <row r="2174" spans="28:32" x14ac:dyDescent="0.25">
      <c r="AB2174" t="str">
        <f t="shared" ref="AB2174:AC2174" si="2258">AB2153</f>
        <v>External Scaffolding</v>
      </c>
      <c r="AC2174" t="str">
        <f t="shared" si="2258"/>
        <v>Lift 5</v>
      </c>
      <c r="AD2174" t="b">
        <f t="shared" ca="1" si="2225"/>
        <v>0</v>
      </c>
      <c r="AE2174" s="1" t="str">
        <f t="shared" ca="1" si="2246"/>
        <v>148-149</v>
      </c>
      <c r="AF2174" t="str">
        <f t="shared" ca="1" si="2223"/>
        <v>Plot 148-149</v>
      </c>
    </row>
    <row r="2175" spans="28:32" x14ac:dyDescent="0.25">
      <c r="AB2175" t="str">
        <f t="shared" ref="AB2175:AC2175" si="2259">AB2154</f>
        <v>External Scaffolding</v>
      </c>
      <c r="AC2175" t="str">
        <f t="shared" si="2259"/>
        <v>Lift 6</v>
      </c>
      <c r="AD2175" t="b">
        <f t="shared" ca="1" si="2225"/>
        <v>0</v>
      </c>
      <c r="AE2175" s="1" t="str">
        <f t="shared" ca="1" si="2246"/>
        <v>148-149</v>
      </c>
      <c r="AF2175" t="str">
        <f t="shared" ca="1" si="2223"/>
        <v>Plot 148-149</v>
      </c>
    </row>
    <row r="2176" spans="28:32" x14ac:dyDescent="0.25">
      <c r="AB2176" t="str">
        <f t="shared" ref="AB2176:AC2176" si="2260">AB2155</f>
        <v>Loading Bay</v>
      </c>
      <c r="AC2176" t="str">
        <f t="shared" si="2260"/>
        <v>Lift 1</v>
      </c>
      <c r="AD2176" t="b">
        <f t="shared" ca="1" si="2225"/>
        <v>1</v>
      </c>
      <c r="AE2176" s="1" t="str">
        <f t="shared" ca="1" si="2246"/>
        <v>148-149</v>
      </c>
      <c r="AF2176" t="str">
        <f t="shared" ca="1" si="2223"/>
        <v>Plot 148-149</v>
      </c>
    </row>
    <row r="2177" spans="28:32" x14ac:dyDescent="0.25">
      <c r="AB2177" t="str">
        <f t="shared" ref="AB2177:AC2177" si="2261">AB2156</f>
        <v>Loading Bay</v>
      </c>
      <c r="AC2177" t="str">
        <f t="shared" si="2261"/>
        <v>Lift 2</v>
      </c>
      <c r="AD2177" t="b">
        <f t="shared" ca="1" si="2225"/>
        <v>1</v>
      </c>
      <c r="AE2177" s="1" t="str">
        <f t="shared" ca="1" si="2246"/>
        <v>148-149</v>
      </c>
      <c r="AF2177" t="str">
        <f t="shared" ca="1" si="2223"/>
        <v>Plot 148-149</v>
      </c>
    </row>
    <row r="2178" spans="28:32" x14ac:dyDescent="0.25">
      <c r="AB2178" t="str">
        <f t="shared" ref="AB2178:AC2178" si="2262">AB2157</f>
        <v>Loading Bay</v>
      </c>
      <c r="AC2178" t="str">
        <f t="shared" si="2262"/>
        <v>Lift 3</v>
      </c>
      <c r="AD2178" t="b">
        <f t="shared" ca="1" si="2225"/>
        <v>1</v>
      </c>
      <c r="AE2178" s="1" t="str">
        <f t="shared" ca="1" si="2246"/>
        <v>148-149</v>
      </c>
      <c r="AF2178" t="str">
        <f t="shared" ca="1" si="2223"/>
        <v>Plot 148-149</v>
      </c>
    </row>
    <row r="2179" spans="28:32" x14ac:dyDescent="0.25">
      <c r="AB2179" t="str">
        <f t="shared" ref="AB2179:AC2179" si="2263">AB2158</f>
        <v>Loading Bay</v>
      </c>
      <c r="AC2179" t="str">
        <f t="shared" si="2263"/>
        <v>Lift 4</v>
      </c>
      <c r="AD2179" t="b">
        <f t="shared" ca="1" si="2225"/>
        <v>0</v>
      </c>
      <c r="AE2179" s="1" t="str">
        <f t="shared" ca="1" si="2246"/>
        <v>148-149</v>
      </c>
      <c r="AF2179" t="str">
        <f t="shared" ca="1" si="2223"/>
        <v>Plot 148-149</v>
      </c>
    </row>
    <row r="2180" spans="28:32" x14ac:dyDescent="0.25">
      <c r="AB2180" t="str">
        <f t="shared" ref="AB2180:AC2180" si="2264">AB2159</f>
        <v>Loading Bay</v>
      </c>
      <c r="AC2180" t="str">
        <f t="shared" si="2264"/>
        <v>Lift 5</v>
      </c>
      <c r="AD2180" t="b">
        <f t="shared" ca="1" si="2225"/>
        <v>0</v>
      </c>
      <c r="AE2180" s="1" t="str">
        <f t="shared" ca="1" si="2246"/>
        <v>148-149</v>
      </c>
      <c r="AF2180" t="str">
        <f t="shared" ca="1" si="2223"/>
        <v>Plot 148-149</v>
      </c>
    </row>
    <row r="2181" spans="28:32" x14ac:dyDescent="0.25">
      <c r="AB2181" t="str">
        <f t="shared" ref="AB2181:AC2181" si="2265">AB2160</f>
        <v>Loading Bay</v>
      </c>
      <c r="AC2181" t="str">
        <f t="shared" si="2265"/>
        <v>Lift 6</v>
      </c>
      <c r="AD2181" t="b">
        <f t="shared" ca="1" si="2225"/>
        <v>0</v>
      </c>
      <c r="AE2181" s="1" t="str">
        <f t="shared" ca="1" si="2246"/>
        <v>148-149</v>
      </c>
      <c r="AF2181" t="str">
        <f t="shared" ca="1" si="2223"/>
        <v>Plot 148-149</v>
      </c>
    </row>
    <row r="2182" spans="28:32" x14ac:dyDescent="0.25">
      <c r="AB2182" t="str">
        <f t="shared" ref="AB2182:AC2182" si="2266">AB2161</f>
        <v>Scaffolding Platform</v>
      </c>
      <c r="AC2182" t="str">
        <f t="shared" si="2266"/>
        <v>Ground Floor</v>
      </c>
      <c r="AD2182" t="b">
        <f t="shared" ca="1" si="2225"/>
        <v>1</v>
      </c>
      <c r="AE2182" s="1" t="str">
        <f t="shared" ca="1" si="2246"/>
        <v>148-149</v>
      </c>
      <c r="AF2182" t="str">
        <f t="shared" ca="1" si="2223"/>
        <v>Plot 148-149</v>
      </c>
    </row>
    <row r="2183" spans="28:32" x14ac:dyDescent="0.25">
      <c r="AB2183" t="str">
        <f t="shared" ref="AB2183:AC2183" si="2267">AB2162</f>
        <v>Scaffolding Platform</v>
      </c>
      <c r="AC2183" t="str">
        <f t="shared" si="2267"/>
        <v>First Floor</v>
      </c>
      <c r="AD2183" t="b">
        <f t="shared" ca="1" si="2225"/>
        <v>1</v>
      </c>
      <c r="AE2183" s="1" t="str">
        <f t="shared" ca="1" si="2246"/>
        <v>148-149</v>
      </c>
      <c r="AF2183" t="str">
        <f t="shared" ca="1" si="2223"/>
        <v>Plot 148-149</v>
      </c>
    </row>
    <row r="2184" spans="28:32" x14ac:dyDescent="0.25">
      <c r="AB2184" t="str">
        <f t="shared" ref="AB2184:AC2184" si="2268">AB2163</f>
        <v>Scaffolding Platform</v>
      </c>
      <c r="AC2184" t="str">
        <f t="shared" si="2268"/>
        <v>Second Floor</v>
      </c>
      <c r="AD2184" t="b">
        <f t="shared" ca="1" si="2225"/>
        <v>0</v>
      </c>
      <c r="AE2184" s="1" t="str">
        <f t="shared" ca="1" si="2246"/>
        <v>148-149</v>
      </c>
      <c r="AF2184" t="str">
        <f t="shared" ca="1" si="2223"/>
        <v>Plot 148-149</v>
      </c>
    </row>
    <row r="2185" spans="28:32" x14ac:dyDescent="0.25">
      <c r="AB2185" t="str">
        <f t="shared" ref="AB2185:AC2185" si="2269">AB2164</f>
        <v>Supporting Scaffold</v>
      </c>
      <c r="AC2185" t="str">
        <f t="shared" si="2269"/>
        <v>Ground Floor Prop.</v>
      </c>
      <c r="AD2185" t="str">
        <f t="shared" ca="1" si="2225"/>
        <v>TRUE</v>
      </c>
      <c r="AE2185" s="1" t="str">
        <f t="shared" ca="1" si="2246"/>
        <v>148-149</v>
      </c>
      <c r="AF2185" t="str">
        <f t="shared" ca="1" si="2223"/>
        <v>Plot 148-149</v>
      </c>
    </row>
    <row r="2186" spans="28:32" x14ac:dyDescent="0.25">
      <c r="AB2186" t="str">
        <f t="shared" ref="AB2186:AC2186" si="2270">AB2165</f>
        <v>Supporting Scaffold</v>
      </c>
      <c r="AC2186" t="str">
        <f t="shared" si="2270"/>
        <v>First Floor Prop.</v>
      </c>
      <c r="AD2186" t="str">
        <f t="shared" ca="1" si="2225"/>
        <v>FALSE</v>
      </c>
      <c r="AE2186" s="1" t="str">
        <f t="shared" ca="1" si="2246"/>
        <v>148-149</v>
      </c>
      <c r="AF2186" t="str">
        <f t="shared" ca="1" si="2223"/>
        <v>Plot 148-149</v>
      </c>
    </row>
    <row r="2187" spans="28:32" x14ac:dyDescent="0.25">
      <c r="AB2187" t="str">
        <f t="shared" ref="AB2187:AC2187" si="2271">AB2166</f>
        <v>Supporting Scaffold</v>
      </c>
      <c r="AC2187" t="str">
        <f t="shared" si="2271"/>
        <v>Second Floor Prop.</v>
      </c>
      <c r="AD2187" t="str">
        <f t="shared" ca="1" si="2225"/>
        <v>FALSE</v>
      </c>
      <c r="AE2187" s="1" t="str">
        <f t="shared" ca="1" si="2246"/>
        <v>148-149</v>
      </c>
      <c r="AF2187" t="str">
        <f t="shared" ca="1" si="2223"/>
        <v>Plot 148-149</v>
      </c>
    </row>
    <row r="2188" spans="28:32" x14ac:dyDescent="0.25">
      <c r="AB2188" t="str">
        <f t="shared" ref="AB2188:AC2188" si="2272">AB2167</f>
        <v>External Scaffolding</v>
      </c>
      <c r="AC2188" t="str">
        <f t="shared" si="2272"/>
        <v>Hop-ups</v>
      </c>
      <c r="AD2188" t="b">
        <f t="shared" ca="1" si="2225"/>
        <v>1</v>
      </c>
      <c r="AE2188" s="1" t="str">
        <f t="shared" ca="1" si="2246"/>
        <v>148-149</v>
      </c>
      <c r="AF2188" t="str">
        <f t="shared" ca="1" si="2223"/>
        <v>Plot 148-149</v>
      </c>
    </row>
    <row r="2189" spans="28:32" x14ac:dyDescent="0.25">
      <c r="AB2189" t="str">
        <f t="shared" ref="AB2189:AC2189" si="2273">AB2168</f>
        <v>External Scaffolding</v>
      </c>
      <c r="AC2189" t="str">
        <f t="shared" si="2273"/>
        <v>Adaptions</v>
      </c>
      <c r="AD2189" t="b">
        <f t="shared" ca="1" si="2225"/>
        <v>1</v>
      </c>
      <c r="AE2189" s="1" t="str">
        <f t="shared" ca="1" si="2246"/>
        <v>148-149</v>
      </c>
      <c r="AF2189" t="str">
        <f t="shared" ca="1" si="2223"/>
        <v>Plot 148-149</v>
      </c>
    </row>
    <row r="2190" spans="28:32" x14ac:dyDescent="0.25">
      <c r="AB2190" t="str">
        <f t="shared" ref="AB2190:AC2190" si="2274">AB2169</f>
        <v>External Scaffolding</v>
      </c>
      <c r="AC2190" t="str">
        <f t="shared" si="2274"/>
        <v>Adaption Tower</v>
      </c>
      <c r="AD2190" t="b">
        <f t="shared" ca="1" si="2225"/>
        <v>1</v>
      </c>
      <c r="AE2190" s="1" t="str">
        <f t="shared" ca="1" si="2246"/>
        <v>148-149</v>
      </c>
      <c r="AF2190" t="str">
        <f t="shared" ca="1" si="2223"/>
        <v>Plot 148-149</v>
      </c>
    </row>
    <row r="2191" spans="28:32" x14ac:dyDescent="0.25">
      <c r="AB2191" t="str">
        <f t="shared" ref="AB2191:AC2191" si="2275">AB2170</f>
        <v>External Scaffolding</v>
      </c>
      <c r="AC2191" t="str">
        <f t="shared" si="2275"/>
        <v>Lift 1</v>
      </c>
      <c r="AD2191" t="b">
        <f t="shared" ca="1" si="2225"/>
        <v>1</v>
      </c>
      <c r="AE2191" s="1">
        <f t="shared" ca="1" si="2246"/>
        <v>150</v>
      </c>
      <c r="AF2191" t="str">
        <f t="shared" ca="1" si="2223"/>
        <v>Plot 150</v>
      </c>
    </row>
    <row r="2192" spans="28:32" x14ac:dyDescent="0.25">
      <c r="AB2192" t="str">
        <f t="shared" ref="AB2192:AC2192" si="2276">AB2171</f>
        <v>External Scaffolding</v>
      </c>
      <c r="AC2192" t="str">
        <f t="shared" si="2276"/>
        <v>Lift 2</v>
      </c>
      <c r="AD2192" t="b">
        <f t="shared" ca="1" si="2225"/>
        <v>1</v>
      </c>
      <c r="AE2192" s="1">
        <f t="shared" ca="1" si="2246"/>
        <v>150</v>
      </c>
      <c r="AF2192" t="str">
        <f t="shared" ca="1" si="2223"/>
        <v>Plot 150</v>
      </c>
    </row>
    <row r="2193" spans="28:32" x14ac:dyDescent="0.25">
      <c r="AB2193" t="str">
        <f t="shared" ref="AB2193:AC2193" si="2277">AB2172</f>
        <v>External Scaffolding</v>
      </c>
      <c r="AC2193" t="str">
        <f t="shared" si="2277"/>
        <v>Lift 3</v>
      </c>
      <c r="AD2193" t="b">
        <f t="shared" ca="1" si="2225"/>
        <v>1</v>
      </c>
      <c r="AE2193" s="1">
        <f t="shared" ca="1" si="2246"/>
        <v>150</v>
      </c>
      <c r="AF2193" t="str">
        <f t="shared" ca="1" si="2223"/>
        <v>Plot 150</v>
      </c>
    </row>
    <row r="2194" spans="28:32" x14ac:dyDescent="0.25">
      <c r="AB2194" t="str">
        <f t="shared" ref="AB2194:AC2194" si="2278">AB2173</f>
        <v>External Scaffolding</v>
      </c>
      <c r="AC2194" t="str">
        <f t="shared" si="2278"/>
        <v>Lift 4</v>
      </c>
      <c r="AD2194" t="b">
        <f t="shared" ca="1" si="2225"/>
        <v>0</v>
      </c>
      <c r="AE2194" s="1">
        <f t="shared" ca="1" si="2246"/>
        <v>150</v>
      </c>
      <c r="AF2194" t="str">
        <f t="shared" ca="1" si="2223"/>
        <v>Plot 150</v>
      </c>
    </row>
    <row r="2195" spans="28:32" x14ac:dyDescent="0.25">
      <c r="AB2195" t="str">
        <f t="shared" ref="AB2195:AC2195" si="2279">AB2174</f>
        <v>External Scaffolding</v>
      </c>
      <c r="AC2195" t="str">
        <f t="shared" si="2279"/>
        <v>Lift 5</v>
      </c>
      <c r="AD2195" t="b">
        <f t="shared" ca="1" si="2225"/>
        <v>0</v>
      </c>
      <c r="AE2195" s="1">
        <f t="shared" ca="1" si="2246"/>
        <v>150</v>
      </c>
      <c r="AF2195" t="str">
        <f t="shared" ca="1" si="2223"/>
        <v>Plot 150</v>
      </c>
    </row>
    <row r="2196" spans="28:32" x14ac:dyDescent="0.25">
      <c r="AB2196" t="str">
        <f t="shared" ref="AB2196:AC2196" si="2280">AB2175</f>
        <v>External Scaffolding</v>
      </c>
      <c r="AC2196" t="str">
        <f t="shared" si="2280"/>
        <v>Lift 6</v>
      </c>
      <c r="AD2196" t="b">
        <f t="shared" ca="1" si="2225"/>
        <v>0</v>
      </c>
      <c r="AE2196" s="1">
        <f t="shared" ca="1" si="2246"/>
        <v>150</v>
      </c>
      <c r="AF2196" t="str">
        <f t="shared" ca="1" si="2223"/>
        <v>Plot 150</v>
      </c>
    </row>
    <row r="2197" spans="28:32" x14ac:dyDescent="0.25">
      <c r="AB2197" t="str">
        <f t="shared" ref="AB2197:AC2197" si="2281">AB2176</f>
        <v>Loading Bay</v>
      </c>
      <c r="AC2197" t="str">
        <f t="shared" si="2281"/>
        <v>Lift 1</v>
      </c>
      <c r="AD2197" t="b">
        <f t="shared" ca="1" si="2225"/>
        <v>1</v>
      </c>
      <c r="AE2197" s="1">
        <f t="shared" ca="1" si="2246"/>
        <v>150</v>
      </c>
      <c r="AF2197" t="str">
        <f t="shared" ca="1" si="2223"/>
        <v>Plot 150</v>
      </c>
    </row>
    <row r="2198" spans="28:32" x14ac:dyDescent="0.25">
      <c r="AB2198" t="str">
        <f t="shared" ref="AB2198:AC2198" si="2282">AB2177</f>
        <v>Loading Bay</v>
      </c>
      <c r="AC2198" t="str">
        <f t="shared" si="2282"/>
        <v>Lift 2</v>
      </c>
      <c r="AD2198" t="b">
        <f t="shared" ca="1" si="2225"/>
        <v>1</v>
      </c>
      <c r="AE2198" s="1">
        <f t="shared" ca="1" si="2246"/>
        <v>150</v>
      </c>
      <c r="AF2198" t="str">
        <f t="shared" ca="1" si="2223"/>
        <v>Plot 150</v>
      </c>
    </row>
    <row r="2199" spans="28:32" x14ac:dyDescent="0.25">
      <c r="AB2199" t="str">
        <f t="shared" ref="AB2199:AC2199" si="2283">AB2178</f>
        <v>Loading Bay</v>
      </c>
      <c r="AC2199" t="str">
        <f t="shared" si="2283"/>
        <v>Lift 3</v>
      </c>
      <c r="AD2199" t="b">
        <f t="shared" ca="1" si="2225"/>
        <v>1</v>
      </c>
      <c r="AE2199" s="1">
        <f t="shared" ca="1" si="2246"/>
        <v>150</v>
      </c>
      <c r="AF2199" t="str">
        <f t="shared" ca="1" si="2223"/>
        <v>Plot 150</v>
      </c>
    </row>
    <row r="2200" spans="28:32" x14ac:dyDescent="0.25">
      <c r="AB2200" t="str">
        <f t="shared" ref="AB2200:AC2200" si="2284">AB2179</f>
        <v>Loading Bay</v>
      </c>
      <c r="AC2200" t="str">
        <f t="shared" si="2284"/>
        <v>Lift 4</v>
      </c>
      <c r="AD2200" t="b">
        <f t="shared" ca="1" si="2225"/>
        <v>0</v>
      </c>
      <c r="AE2200" s="1">
        <f t="shared" ca="1" si="2246"/>
        <v>150</v>
      </c>
      <c r="AF2200" t="str">
        <f t="shared" ca="1" si="2223"/>
        <v>Plot 150</v>
      </c>
    </row>
    <row r="2201" spans="28:32" x14ac:dyDescent="0.25">
      <c r="AB2201" t="str">
        <f t="shared" ref="AB2201:AC2201" si="2285">AB2180</f>
        <v>Loading Bay</v>
      </c>
      <c r="AC2201" t="str">
        <f t="shared" si="2285"/>
        <v>Lift 5</v>
      </c>
      <c r="AD2201" t="b">
        <f t="shared" ca="1" si="2225"/>
        <v>0</v>
      </c>
      <c r="AE2201" s="1">
        <f t="shared" ca="1" si="2246"/>
        <v>150</v>
      </c>
      <c r="AF2201" t="str">
        <f t="shared" ca="1" si="2223"/>
        <v>Plot 150</v>
      </c>
    </row>
    <row r="2202" spans="28:32" x14ac:dyDescent="0.25">
      <c r="AB2202" t="str">
        <f t="shared" ref="AB2202:AC2202" si="2286">AB2181</f>
        <v>Loading Bay</v>
      </c>
      <c r="AC2202" t="str">
        <f t="shared" si="2286"/>
        <v>Lift 6</v>
      </c>
      <c r="AD2202" t="b">
        <f t="shared" ca="1" si="2225"/>
        <v>0</v>
      </c>
      <c r="AE2202" s="1">
        <f t="shared" ca="1" si="2246"/>
        <v>150</v>
      </c>
      <c r="AF2202" t="str">
        <f t="shared" ca="1" si="2223"/>
        <v>Plot 150</v>
      </c>
    </row>
    <row r="2203" spans="28:32" x14ac:dyDescent="0.25">
      <c r="AB2203" t="str">
        <f t="shared" ref="AB2203:AC2203" si="2287">AB2182</f>
        <v>Scaffolding Platform</v>
      </c>
      <c r="AC2203" t="str">
        <f t="shared" si="2287"/>
        <v>Ground Floor</v>
      </c>
      <c r="AD2203" t="b">
        <f t="shared" ca="1" si="2225"/>
        <v>1</v>
      </c>
      <c r="AE2203" s="1">
        <f t="shared" ca="1" si="2246"/>
        <v>150</v>
      </c>
      <c r="AF2203" t="str">
        <f t="shared" ca="1" si="2223"/>
        <v>Plot 150</v>
      </c>
    </row>
    <row r="2204" spans="28:32" x14ac:dyDescent="0.25">
      <c r="AB2204" t="str">
        <f t="shared" ref="AB2204:AC2204" si="2288">AB2183</f>
        <v>Scaffolding Platform</v>
      </c>
      <c r="AC2204" t="str">
        <f t="shared" si="2288"/>
        <v>First Floor</v>
      </c>
      <c r="AD2204" t="b">
        <f t="shared" ca="1" si="2225"/>
        <v>1</v>
      </c>
      <c r="AE2204" s="1">
        <f t="shared" ca="1" si="2246"/>
        <v>150</v>
      </c>
      <c r="AF2204" t="str">
        <f t="shared" ca="1" si="2223"/>
        <v>Plot 150</v>
      </c>
    </row>
    <row r="2205" spans="28:32" x14ac:dyDescent="0.25">
      <c r="AB2205" t="str">
        <f t="shared" ref="AB2205:AC2205" si="2289">AB2184</f>
        <v>Scaffolding Platform</v>
      </c>
      <c r="AC2205" t="str">
        <f t="shared" si="2289"/>
        <v>Second Floor</v>
      </c>
      <c r="AD2205" t="b">
        <f t="shared" ca="1" si="2225"/>
        <v>0</v>
      </c>
      <c r="AE2205" s="1">
        <f t="shared" ca="1" si="2246"/>
        <v>150</v>
      </c>
      <c r="AF2205" t="str">
        <f t="shared" ref="AF2205:AF2268" ca="1" si="2290">IF(LEFT(AE2205,1)="G",AE2205,"Plot "&amp;AE2205)</f>
        <v>Plot 150</v>
      </c>
    </row>
    <row r="2206" spans="28:32" x14ac:dyDescent="0.25">
      <c r="AB2206" t="str">
        <f t="shared" ref="AB2206:AC2206" si="2291">AB2185</f>
        <v>Supporting Scaffold</v>
      </c>
      <c r="AC2206" t="str">
        <f t="shared" si="2291"/>
        <v>Ground Floor Prop.</v>
      </c>
      <c r="AD2206" t="str">
        <f t="shared" ref="AD2206:AD2269" ca="1" si="2292">INDEX($AC$1:$JH$22,MATCH(AC2206,$AC$1:$AC$22,0),MATCH(AE2206,$AC$1:$JH$1,0))</f>
        <v>TRUE</v>
      </c>
      <c r="AE2206" s="1">
        <f t="shared" ca="1" si="2246"/>
        <v>150</v>
      </c>
      <c r="AF2206" t="str">
        <f t="shared" ca="1" si="2290"/>
        <v>Plot 150</v>
      </c>
    </row>
    <row r="2207" spans="28:32" x14ac:dyDescent="0.25">
      <c r="AB2207" t="str">
        <f t="shared" ref="AB2207:AC2207" si="2293">AB2186</f>
        <v>Supporting Scaffold</v>
      </c>
      <c r="AC2207" t="str">
        <f t="shared" si="2293"/>
        <v>First Floor Prop.</v>
      </c>
      <c r="AD2207" t="str">
        <f t="shared" ca="1" si="2292"/>
        <v>FALSE</v>
      </c>
      <c r="AE2207" s="1">
        <f t="shared" ca="1" si="2246"/>
        <v>150</v>
      </c>
      <c r="AF2207" t="str">
        <f t="shared" ca="1" si="2290"/>
        <v>Plot 150</v>
      </c>
    </row>
    <row r="2208" spans="28:32" x14ac:dyDescent="0.25">
      <c r="AB2208" t="str">
        <f t="shared" ref="AB2208:AC2208" si="2294">AB2187</f>
        <v>Supporting Scaffold</v>
      </c>
      <c r="AC2208" t="str">
        <f t="shared" si="2294"/>
        <v>Second Floor Prop.</v>
      </c>
      <c r="AD2208" t="str">
        <f t="shared" ca="1" si="2292"/>
        <v>FALSE</v>
      </c>
      <c r="AE2208" s="1">
        <f t="shared" ca="1" si="2246"/>
        <v>150</v>
      </c>
      <c r="AF2208" t="str">
        <f t="shared" ca="1" si="2290"/>
        <v>Plot 150</v>
      </c>
    </row>
    <row r="2209" spans="28:32" x14ac:dyDescent="0.25">
      <c r="AB2209" t="str">
        <f t="shared" ref="AB2209:AC2209" si="2295">AB2188</f>
        <v>External Scaffolding</v>
      </c>
      <c r="AC2209" t="str">
        <f t="shared" si="2295"/>
        <v>Hop-ups</v>
      </c>
      <c r="AD2209" t="b">
        <f t="shared" ca="1" si="2292"/>
        <v>1</v>
      </c>
      <c r="AE2209" s="1">
        <f t="shared" ca="1" si="2246"/>
        <v>150</v>
      </c>
      <c r="AF2209" t="str">
        <f t="shared" ca="1" si="2290"/>
        <v>Plot 150</v>
      </c>
    </row>
    <row r="2210" spans="28:32" x14ac:dyDescent="0.25">
      <c r="AB2210" t="str">
        <f t="shared" ref="AB2210:AC2210" si="2296">AB2189</f>
        <v>External Scaffolding</v>
      </c>
      <c r="AC2210" t="str">
        <f t="shared" si="2296"/>
        <v>Adaptions</v>
      </c>
      <c r="AD2210" t="b">
        <f t="shared" ca="1" si="2292"/>
        <v>1</v>
      </c>
      <c r="AE2210" s="1">
        <f t="shared" ca="1" si="2246"/>
        <v>150</v>
      </c>
      <c r="AF2210" t="str">
        <f t="shared" ca="1" si="2290"/>
        <v>Plot 150</v>
      </c>
    </row>
    <row r="2211" spans="28:32" x14ac:dyDescent="0.25">
      <c r="AB2211" t="str">
        <f t="shared" ref="AB2211:AC2211" si="2297">AB2190</f>
        <v>External Scaffolding</v>
      </c>
      <c r="AC2211" t="str">
        <f t="shared" si="2297"/>
        <v>Adaption Tower</v>
      </c>
      <c r="AD2211" t="b">
        <f t="shared" ca="1" si="2292"/>
        <v>1</v>
      </c>
      <c r="AE2211" s="1">
        <f t="shared" ca="1" si="2246"/>
        <v>150</v>
      </c>
      <c r="AF2211" t="str">
        <f t="shared" ca="1" si="2290"/>
        <v>Plot 150</v>
      </c>
    </row>
    <row r="2212" spans="28:32" x14ac:dyDescent="0.25">
      <c r="AB2212" t="str">
        <f t="shared" ref="AB2212:AC2212" si="2298">AB2191</f>
        <v>External Scaffolding</v>
      </c>
      <c r="AC2212" t="str">
        <f t="shared" si="2298"/>
        <v>Lift 1</v>
      </c>
      <c r="AD2212" t="b">
        <f t="shared" ca="1" si="2292"/>
        <v>1</v>
      </c>
      <c r="AE2212" s="1">
        <f t="shared" ca="1" si="2246"/>
        <v>151</v>
      </c>
      <c r="AF2212" t="str">
        <f t="shared" ca="1" si="2290"/>
        <v>Plot 151</v>
      </c>
    </row>
    <row r="2213" spans="28:32" x14ac:dyDescent="0.25">
      <c r="AB2213" t="str">
        <f t="shared" ref="AB2213:AC2213" si="2299">AB2192</f>
        <v>External Scaffolding</v>
      </c>
      <c r="AC2213" t="str">
        <f t="shared" si="2299"/>
        <v>Lift 2</v>
      </c>
      <c r="AD2213" t="b">
        <f t="shared" ca="1" si="2292"/>
        <v>1</v>
      </c>
      <c r="AE2213" s="1">
        <f t="shared" ca="1" si="2246"/>
        <v>151</v>
      </c>
      <c r="AF2213" t="str">
        <f t="shared" ca="1" si="2290"/>
        <v>Plot 151</v>
      </c>
    </row>
    <row r="2214" spans="28:32" x14ac:dyDescent="0.25">
      <c r="AB2214" t="str">
        <f t="shared" ref="AB2214:AC2214" si="2300">AB2193</f>
        <v>External Scaffolding</v>
      </c>
      <c r="AC2214" t="str">
        <f t="shared" si="2300"/>
        <v>Lift 3</v>
      </c>
      <c r="AD2214" t="b">
        <f t="shared" ca="1" si="2292"/>
        <v>1</v>
      </c>
      <c r="AE2214" s="1">
        <f t="shared" ca="1" si="2246"/>
        <v>151</v>
      </c>
      <c r="AF2214" t="str">
        <f t="shared" ca="1" si="2290"/>
        <v>Plot 151</v>
      </c>
    </row>
    <row r="2215" spans="28:32" x14ac:dyDescent="0.25">
      <c r="AB2215" t="str">
        <f t="shared" ref="AB2215:AC2215" si="2301">AB2194</f>
        <v>External Scaffolding</v>
      </c>
      <c r="AC2215" t="str">
        <f t="shared" si="2301"/>
        <v>Lift 4</v>
      </c>
      <c r="AD2215" t="b">
        <f t="shared" ca="1" si="2292"/>
        <v>1</v>
      </c>
      <c r="AE2215" s="1">
        <f t="shared" ca="1" si="2246"/>
        <v>151</v>
      </c>
      <c r="AF2215" t="str">
        <f t="shared" ca="1" si="2290"/>
        <v>Plot 151</v>
      </c>
    </row>
    <row r="2216" spans="28:32" x14ac:dyDescent="0.25">
      <c r="AB2216" t="str">
        <f t="shared" ref="AB2216:AC2216" si="2302">AB2195</f>
        <v>External Scaffolding</v>
      </c>
      <c r="AC2216" t="str">
        <f t="shared" si="2302"/>
        <v>Lift 5</v>
      </c>
      <c r="AD2216" t="b">
        <f t="shared" ca="1" si="2292"/>
        <v>0</v>
      </c>
      <c r="AE2216" s="1">
        <f t="shared" ca="1" si="2246"/>
        <v>151</v>
      </c>
      <c r="AF2216" t="str">
        <f t="shared" ca="1" si="2290"/>
        <v>Plot 151</v>
      </c>
    </row>
    <row r="2217" spans="28:32" x14ac:dyDescent="0.25">
      <c r="AB2217" t="str">
        <f t="shared" ref="AB2217:AC2217" si="2303">AB2196</f>
        <v>External Scaffolding</v>
      </c>
      <c r="AC2217" t="str">
        <f t="shared" si="2303"/>
        <v>Lift 6</v>
      </c>
      <c r="AD2217" t="b">
        <f t="shared" ca="1" si="2292"/>
        <v>0</v>
      </c>
      <c r="AE2217" s="1">
        <f t="shared" ca="1" si="2246"/>
        <v>151</v>
      </c>
      <c r="AF2217" t="str">
        <f t="shared" ca="1" si="2290"/>
        <v>Plot 151</v>
      </c>
    </row>
    <row r="2218" spans="28:32" x14ac:dyDescent="0.25">
      <c r="AB2218" t="str">
        <f t="shared" ref="AB2218:AC2218" si="2304">AB2197</f>
        <v>Loading Bay</v>
      </c>
      <c r="AC2218" t="str">
        <f t="shared" si="2304"/>
        <v>Lift 1</v>
      </c>
      <c r="AD2218" t="b">
        <f t="shared" ca="1" si="2292"/>
        <v>1</v>
      </c>
      <c r="AE2218" s="1">
        <f t="shared" ca="1" si="2246"/>
        <v>151</v>
      </c>
      <c r="AF2218" t="str">
        <f t="shared" ca="1" si="2290"/>
        <v>Plot 151</v>
      </c>
    </row>
    <row r="2219" spans="28:32" x14ac:dyDescent="0.25">
      <c r="AB2219" t="str">
        <f t="shared" ref="AB2219:AC2219" si="2305">AB2198</f>
        <v>Loading Bay</v>
      </c>
      <c r="AC2219" t="str">
        <f t="shared" si="2305"/>
        <v>Lift 2</v>
      </c>
      <c r="AD2219" t="b">
        <f t="shared" ca="1" si="2292"/>
        <v>1</v>
      </c>
      <c r="AE2219" s="1">
        <f t="shared" ca="1" si="2246"/>
        <v>151</v>
      </c>
      <c r="AF2219" t="str">
        <f t="shared" ca="1" si="2290"/>
        <v>Plot 151</v>
      </c>
    </row>
    <row r="2220" spans="28:32" x14ac:dyDescent="0.25">
      <c r="AB2220" t="str">
        <f t="shared" ref="AB2220:AC2220" si="2306">AB2199</f>
        <v>Loading Bay</v>
      </c>
      <c r="AC2220" t="str">
        <f t="shared" si="2306"/>
        <v>Lift 3</v>
      </c>
      <c r="AD2220" t="b">
        <f t="shared" ca="1" si="2292"/>
        <v>1</v>
      </c>
      <c r="AE2220" s="1">
        <f t="shared" ca="1" si="2246"/>
        <v>151</v>
      </c>
      <c r="AF2220" t="str">
        <f t="shared" ca="1" si="2290"/>
        <v>Plot 151</v>
      </c>
    </row>
    <row r="2221" spans="28:32" x14ac:dyDescent="0.25">
      <c r="AB2221" t="str">
        <f t="shared" ref="AB2221:AC2221" si="2307">AB2200</f>
        <v>Loading Bay</v>
      </c>
      <c r="AC2221" t="str">
        <f t="shared" si="2307"/>
        <v>Lift 4</v>
      </c>
      <c r="AD2221" t="b">
        <f t="shared" ca="1" si="2292"/>
        <v>1</v>
      </c>
      <c r="AE2221" s="1">
        <f t="shared" ca="1" si="2246"/>
        <v>151</v>
      </c>
      <c r="AF2221" t="str">
        <f t="shared" ca="1" si="2290"/>
        <v>Plot 151</v>
      </c>
    </row>
    <row r="2222" spans="28:32" x14ac:dyDescent="0.25">
      <c r="AB2222" t="str">
        <f t="shared" ref="AB2222:AC2222" si="2308">AB2201</f>
        <v>Loading Bay</v>
      </c>
      <c r="AC2222" t="str">
        <f t="shared" si="2308"/>
        <v>Lift 5</v>
      </c>
      <c r="AD2222" t="b">
        <f t="shared" ca="1" si="2292"/>
        <v>0</v>
      </c>
      <c r="AE2222" s="1">
        <f t="shared" ca="1" si="2246"/>
        <v>151</v>
      </c>
      <c r="AF2222" t="str">
        <f t="shared" ca="1" si="2290"/>
        <v>Plot 151</v>
      </c>
    </row>
    <row r="2223" spans="28:32" x14ac:dyDescent="0.25">
      <c r="AB2223" t="str">
        <f t="shared" ref="AB2223:AC2223" si="2309">AB2202</f>
        <v>Loading Bay</v>
      </c>
      <c r="AC2223" t="str">
        <f t="shared" si="2309"/>
        <v>Lift 6</v>
      </c>
      <c r="AD2223" t="b">
        <f t="shared" ca="1" si="2292"/>
        <v>0</v>
      </c>
      <c r="AE2223" s="1">
        <f t="shared" ca="1" si="2246"/>
        <v>151</v>
      </c>
      <c r="AF2223" t="str">
        <f t="shared" ca="1" si="2290"/>
        <v>Plot 151</v>
      </c>
    </row>
    <row r="2224" spans="28:32" x14ac:dyDescent="0.25">
      <c r="AB2224" t="str">
        <f t="shared" ref="AB2224:AC2224" si="2310">AB2203</f>
        <v>Scaffolding Platform</v>
      </c>
      <c r="AC2224" t="str">
        <f t="shared" si="2310"/>
        <v>Ground Floor</v>
      </c>
      <c r="AD2224" t="b">
        <f t="shared" ca="1" si="2292"/>
        <v>1</v>
      </c>
      <c r="AE2224" s="1">
        <f t="shared" ca="1" si="2246"/>
        <v>151</v>
      </c>
      <c r="AF2224" t="str">
        <f t="shared" ca="1" si="2290"/>
        <v>Plot 151</v>
      </c>
    </row>
    <row r="2225" spans="28:32" x14ac:dyDescent="0.25">
      <c r="AB2225" t="str">
        <f t="shared" ref="AB2225:AC2225" si="2311">AB2204</f>
        <v>Scaffolding Platform</v>
      </c>
      <c r="AC2225" t="str">
        <f t="shared" si="2311"/>
        <v>First Floor</v>
      </c>
      <c r="AD2225" t="b">
        <f t="shared" ca="1" si="2292"/>
        <v>1</v>
      </c>
      <c r="AE2225" s="1">
        <f t="shared" ca="1" si="2246"/>
        <v>151</v>
      </c>
      <c r="AF2225" t="str">
        <f t="shared" ca="1" si="2290"/>
        <v>Plot 151</v>
      </c>
    </row>
    <row r="2226" spans="28:32" x14ac:dyDescent="0.25">
      <c r="AB2226" t="str">
        <f t="shared" ref="AB2226:AC2226" si="2312">AB2205</f>
        <v>Scaffolding Platform</v>
      </c>
      <c r="AC2226" t="str">
        <f t="shared" si="2312"/>
        <v>Second Floor</v>
      </c>
      <c r="AD2226" t="b">
        <f t="shared" ca="1" si="2292"/>
        <v>1</v>
      </c>
      <c r="AE2226" s="1">
        <f t="shared" ref="AE2226:AE2289" ca="1" si="2313">OFFSET($AD$1,0,FLOOR(ROW(B2198)/21,1))</f>
        <v>151</v>
      </c>
      <c r="AF2226" t="str">
        <f t="shared" ca="1" si="2290"/>
        <v>Plot 151</v>
      </c>
    </row>
    <row r="2227" spans="28:32" x14ac:dyDescent="0.25">
      <c r="AB2227" t="str">
        <f t="shared" ref="AB2227:AC2227" si="2314">AB2206</f>
        <v>Supporting Scaffold</v>
      </c>
      <c r="AC2227" t="str">
        <f t="shared" si="2314"/>
        <v>Ground Floor Prop.</v>
      </c>
      <c r="AD2227" t="str">
        <f t="shared" ca="1" si="2292"/>
        <v>TRUE</v>
      </c>
      <c r="AE2227" s="1">
        <f t="shared" ca="1" si="2313"/>
        <v>151</v>
      </c>
      <c r="AF2227" t="str">
        <f t="shared" ca="1" si="2290"/>
        <v>Plot 151</v>
      </c>
    </row>
    <row r="2228" spans="28:32" x14ac:dyDescent="0.25">
      <c r="AB2228" t="str">
        <f t="shared" ref="AB2228:AC2228" si="2315">AB2207</f>
        <v>Supporting Scaffold</v>
      </c>
      <c r="AC2228" t="str">
        <f t="shared" si="2315"/>
        <v>First Floor Prop.</v>
      </c>
      <c r="AD2228" t="str">
        <f t="shared" ca="1" si="2292"/>
        <v>TRUE</v>
      </c>
      <c r="AE2228" s="1">
        <f t="shared" ca="1" si="2313"/>
        <v>151</v>
      </c>
      <c r="AF2228" t="str">
        <f t="shared" ca="1" si="2290"/>
        <v>Plot 151</v>
      </c>
    </row>
    <row r="2229" spans="28:32" x14ac:dyDescent="0.25">
      <c r="AB2229" t="str">
        <f t="shared" ref="AB2229:AC2229" si="2316">AB2208</f>
        <v>Supporting Scaffold</v>
      </c>
      <c r="AC2229" t="str">
        <f t="shared" si="2316"/>
        <v>Second Floor Prop.</v>
      </c>
      <c r="AD2229" t="str">
        <f t="shared" ca="1" si="2292"/>
        <v>FALSE</v>
      </c>
      <c r="AE2229" s="1">
        <f t="shared" ca="1" si="2313"/>
        <v>151</v>
      </c>
      <c r="AF2229" t="str">
        <f t="shared" ca="1" si="2290"/>
        <v>Plot 151</v>
      </c>
    </row>
    <row r="2230" spans="28:32" x14ac:dyDescent="0.25">
      <c r="AB2230" t="str">
        <f t="shared" ref="AB2230:AC2230" si="2317">AB2209</f>
        <v>External Scaffolding</v>
      </c>
      <c r="AC2230" t="str">
        <f t="shared" si="2317"/>
        <v>Hop-ups</v>
      </c>
      <c r="AD2230" t="b">
        <f t="shared" ca="1" si="2292"/>
        <v>1</v>
      </c>
      <c r="AE2230" s="1">
        <f t="shared" ca="1" si="2313"/>
        <v>151</v>
      </c>
      <c r="AF2230" t="str">
        <f t="shared" ca="1" si="2290"/>
        <v>Plot 151</v>
      </c>
    </row>
    <row r="2231" spans="28:32" x14ac:dyDescent="0.25">
      <c r="AB2231" t="str">
        <f t="shared" ref="AB2231:AC2231" si="2318">AB2210</f>
        <v>External Scaffolding</v>
      </c>
      <c r="AC2231" t="str">
        <f t="shared" si="2318"/>
        <v>Adaptions</v>
      </c>
      <c r="AD2231" t="b">
        <f t="shared" ca="1" si="2292"/>
        <v>1</v>
      </c>
      <c r="AE2231" s="1">
        <f t="shared" ca="1" si="2313"/>
        <v>151</v>
      </c>
      <c r="AF2231" t="str">
        <f t="shared" ca="1" si="2290"/>
        <v>Plot 151</v>
      </c>
    </row>
    <row r="2232" spans="28:32" x14ac:dyDescent="0.25">
      <c r="AB2232" t="str">
        <f t="shared" ref="AB2232:AC2232" si="2319">AB2211</f>
        <v>External Scaffolding</v>
      </c>
      <c r="AC2232" t="str">
        <f t="shared" si="2319"/>
        <v>Adaption Tower</v>
      </c>
      <c r="AD2232" t="b">
        <f t="shared" ca="1" si="2292"/>
        <v>1</v>
      </c>
      <c r="AE2232" s="1">
        <f t="shared" ca="1" si="2313"/>
        <v>151</v>
      </c>
      <c r="AF2232" t="str">
        <f t="shared" ca="1" si="2290"/>
        <v>Plot 151</v>
      </c>
    </row>
    <row r="2233" spans="28:32" x14ac:dyDescent="0.25">
      <c r="AB2233" t="str">
        <f t="shared" ref="AB2233:AC2233" si="2320">AB2212</f>
        <v>External Scaffolding</v>
      </c>
      <c r="AC2233" t="str">
        <f t="shared" si="2320"/>
        <v>Lift 1</v>
      </c>
      <c r="AD2233" t="b">
        <f t="shared" ca="1" si="2292"/>
        <v>1</v>
      </c>
      <c r="AE2233" s="1">
        <f t="shared" ca="1" si="2313"/>
        <v>152</v>
      </c>
      <c r="AF2233" t="str">
        <f t="shared" ca="1" si="2290"/>
        <v>Plot 152</v>
      </c>
    </row>
    <row r="2234" spans="28:32" x14ac:dyDescent="0.25">
      <c r="AB2234" t="str">
        <f t="shared" ref="AB2234:AC2234" si="2321">AB2213</f>
        <v>External Scaffolding</v>
      </c>
      <c r="AC2234" t="str">
        <f t="shared" si="2321"/>
        <v>Lift 2</v>
      </c>
      <c r="AD2234" t="b">
        <f t="shared" ca="1" si="2292"/>
        <v>1</v>
      </c>
      <c r="AE2234" s="1">
        <f t="shared" ca="1" si="2313"/>
        <v>152</v>
      </c>
      <c r="AF2234" t="str">
        <f t="shared" ca="1" si="2290"/>
        <v>Plot 152</v>
      </c>
    </row>
    <row r="2235" spans="28:32" x14ac:dyDescent="0.25">
      <c r="AB2235" t="str">
        <f t="shared" ref="AB2235:AC2235" si="2322">AB2214</f>
        <v>External Scaffolding</v>
      </c>
      <c r="AC2235" t="str">
        <f t="shared" si="2322"/>
        <v>Lift 3</v>
      </c>
      <c r="AD2235" t="b">
        <f t="shared" ca="1" si="2292"/>
        <v>1</v>
      </c>
      <c r="AE2235" s="1">
        <f t="shared" ca="1" si="2313"/>
        <v>152</v>
      </c>
      <c r="AF2235" t="str">
        <f t="shared" ca="1" si="2290"/>
        <v>Plot 152</v>
      </c>
    </row>
    <row r="2236" spans="28:32" x14ac:dyDescent="0.25">
      <c r="AB2236" t="str">
        <f t="shared" ref="AB2236:AC2236" si="2323">AB2215</f>
        <v>External Scaffolding</v>
      </c>
      <c r="AC2236" t="str">
        <f t="shared" si="2323"/>
        <v>Lift 4</v>
      </c>
      <c r="AD2236" t="b">
        <f t="shared" ca="1" si="2292"/>
        <v>1</v>
      </c>
      <c r="AE2236" s="1">
        <f t="shared" ca="1" si="2313"/>
        <v>152</v>
      </c>
      <c r="AF2236" t="str">
        <f t="shared" ca="1" si="2290"/>
        <v>Plot 152</v>
      </c>
    </row>
    <row r="2237" spans="28:32" x14ac:dyDescent="0.25">
      <c r="AB2237" t="str">
        <f t="shared" ref="AB2237:AC2237" si="2324">AB2216</f>
        <v>External Scaffolding</v>
      </c>
      <c r="AC2237" t="str">
        <f t="shared" si="2324"/>
        <v>Lift 5</v>
      </c>
      <c r="AD2237" t="b">
        <f t="shared" ca="1" si="2292"/>
        <v>0</v>
      </c>
      <c r="AE2237" s="1">
        <f t="shared" ca="1" si="2313"/>
        <v>152</v>
      </c>
      <c r="AF2237" t="str">
        <f t="shared" ca="1" si="2290"/>
        <v>Plot 152</v>
      </c>
    </row>
    <row r="2238" spans="28:32" x14ac:dyDescent="0.25">
      <c r="AB2238" t="str">
        <f t="shared" ref="AB2238:AC2238" si="2325">AB2217</f>
        <v>External Scaffolding</v>
      </c>
      <c r="AC2238" t="str">
        <f t="shared" si="2325"/>
        <v>Lift 6</v>
      </c>
      <c r="AD2238" t="b">
        <f t="shared" ca="1" si="2292"/>
        <v>0</v>
      </c>
      <c r="AE2238" s="1">
        <f t="shared" ca="1" si="2313"/>
        <v>152</v>
      </c>
      <c r="AF2238" t="str">
        <f t="shared" ca="1" si="2290"/>
        <v>Plot 152</v>
      </c>
    </row>
    <row r="2239" spans="28:32" x14ac:dyDescent="0.25">
      <c r="AB2239" t="str">
        <f t="shared" ref="AB2239:AC2239" si="2326">AB2218</f>
        <v>Loading Bay</v>
      </c>
      <c r="AC2239" t="str">
        <f t="shared" si="2326"/>
        <v>Lift 1</v>
      </c>
      <c r="AD2239" t="b">
        <f t="shared" ca="1" si="2292"/>
        <v>1</v>
      </c>
      <c r="AE2239" s="1">
        <f t="shared" ca="1" si="2313"/>
        <v>152</v>
      </c>
      <c r="AF2239" t="str">
        <f t="shared" ca="1" si="2290"/>
        <v>Plot 152</v>
      </c>
    </row>
    <row r="2240" spans="28:32" x14ac:dyDescent="0.25">
      <c r="AB2240" t="str">
        <f t="shared" ref="AB2240:AC2240" si="2327">AB2219</f>
        <v>Loading Bay</v>
      </c>
      <c r="AC2240" t="str">
        <f t="shared" si="2327"/>
        <v>Lift 2</v>
      </c>
      <c r="AD2240" t="b">
        <f t="shared" ca="1" si="2292"/>
        <v>1</v>
      </c>
      <c r="AE2240" s="1">
        <f t="shared" ca="1" si="2313"/>
        <v>152</v>
      </c>
      <c r="AF2240" t="str">
        <f t="shared" ca="1" si="2290"/>
        <v>Plot 152</v>
      </c>
    </row>
    <row r="2241" spans="28:32" x14ac:dyDescent="0.25">
      <c r="AB2241" t="str">
        <f t="shared" ref="AB2241:AC2241" si="2328">AB2220</f>
        <v>Loading Bay</v>
      </c>
      <c r="AC2241" t="str">
        <f t="shared" si="2328"/>
        <v>Lift 3</v>
      </c>
      <c r="AD2241" t="b">
        <f t="shared" ca="1" si="2292"/>
        <v>1</v>
      </c>
      <c r="AE2241" s="1">
        <f t="shared" ca="1" si="2313"/>
        <v>152</v>
      </c>
      <c r="AF2241" t="str">
        <f t="shared" ca="1" si="2290"/>
        <v>Plot 152</v>
      </c>
    </row>
    <row r="2242" spans="28:32" x14ac:dyDescent="0.25">
      <c r="AB2242" t="str">
        <f t="shared" ref="AB2242:AC2242" si="2329">AB2221</f>
        <v>Loading Bay</v>
      </c>
      <c r="AC2242" t="str">
        <f t="shared" si="2329"/>
        <v>Lift 4</v>
      </c>
      <c r="AD2242" t="b">
        <f t="shared" ca="1" si="2292"/>
        <v>1</v>
      </c>
      <c r="AE2242" s="1">
        <f t="shared" ca="1" si="2313"/>
        <v>152</v>
      </c>
      <c r="AF2242" t="str">
        <f t="shared" ca="1" si="2290"/>
        <v>Plot 152</v>
      </c>
    </row>
    <row r="2243" spans="28:32" x14ac:dyDescent="0.25">
      <c r="AB2243" t="str">
        <f t="shared" ref="AB2243:AC2243" si="2330">AB2222</f>
        <v>Loading Bay</v>
      </c>
      <c r="AC2243" t="str">
        <f t="shared" si="2330"/>
        <v>Lift 5</v>
      </c>
      <c r="AD2243" t="b">
        <f t="shared" ca="1" si="2292"/>
        <v>0</v>
      </c>
      <c r="AE2243" s="1">
        <f t="shared" ca="1" si="2313"/>
        <v>152</v>
      </c>
      <c r="AF2243" t="str">
        <f t="shared" ca="1" si="2290"/>
        <v>Plot 152</v>
      </c>
    </row>
    <row r="2244" spans="28:32" x14ac:dyDescent="0.25">
      <c r="AB2244" t="str">
        <f t="shared" ref="AB2244:AC2244" si="2331">AB2223</f>
        <v>Loading Bay</v>
      </c>
      <c r="AC2244" t="str">
        <f t="shared" si="2331"/>
        <v>Lift 6</v>
      </c>
      <c r="AD2244" t="b">
        <f t="shared" ca="1" si="2292"/>
        <v>0</v>
      </c>
      <c r="AE2244" s="1">
        <f t="shared" ca="1" si="2313"/>
        <v>152</v>
      </c>
      <c r="AF2244" t="str">
        <f t="shared" ca="1" si="2290"/>
        <v>Plot 152</v>
      </c>
    </row>
    <row r="2245" spans="28:32" x14ac:dyDescent="0.25">
      <c r="AB2245" t="str">
        <f t="shared" ref="AB2245:AC2245" si="2332">AB2224</f>
        <v>Scaffolding Platform</v>
      </c>
      <c r="AC2245" t="str">
        <f t="shared" si="2332"/>
        <v>Ground Floor</v>
      </c>
      <c r="AD2245" t="b">
        <f t="shared" ca="1" si="2292"/>
        <v>1</v>
      </c>
      <c r="AE2245" s="1">
        <f t="shared" ca="1" si="2313"/>
        <v>152</v>
      </c>
      <c r="AF2245" t="str">
        <f t="shared" ca="1" si="2290"/>
        <v>Plot 152</v>
      </c>
    </row>
    <row r="2246" spans="28:32" x14ac:dyDescent="0.25">
      <c r="AB2246" t="str">
        <f t="shared" ref="AB2246:AC2246" si="2333">AB2225</f>
        <v>Scaffolding Platform</v>
      </c>
      <c r="AC2246" t="str">
        <f t="shared" si="2333"/>
        <v>First Floor</v>
      </c>
      <c r="AD2246" t="b">
        <f t="shared" ca="1" si="2292"/>
        <v>1</v>
      </c>
      <c r="AE2246" s="1">
        <f t="shared" ca="1" si="2313"/>
        <v>152</v>
      </c>
      <c r="AF2246" t="str">
        <f t="shared" ca="1" si="2290"/>
        <v>Plot 152</v>
      </c>
    </row>
    <row r="2247" spans="28:32" x14ac:dyDescent="0.25">
      <c r="AB2247" t="str">
        <f t="shared" ref="AB2247:AC2247" si="2334">AB2226</f>
        <v>Scaffolding Platform</v>
      </c>
      <c r="AC2247" t="str">
        <f t="shared" si="2334"/>
        <v>Second Floor</v>
      </c>
      <c r="AD2247" t="b">
        <f t="shared" ca="1" si="2292"/>
        <v>1</v>
      </c>
      <c r="AE2247" s="1">
        <f t="shared" ca="1" si="2313"/>
        <v>152</v>
      </c>
      <c r="AF2247" t="str">
        <f t="shared" ca="1" si="2290"/>
        <v>Plot 152</v>
      </c>
    </row>
    <row r="2248" spans="28:32" x14ac:dyDescent="0.25">
      <c r="AB2248" t="str">
        <f t="shared" ref="AB2248:AC2248" si="2335">AB2227</f>
        <v>Supporting Scaffold</v>
      </c>
      <c r="AC2248" t="str">
        <f t="shared" si="2335"/>
        <v>Ground Floor Prop.</v>
      </c>
      <c r="AD2248" t="str">
        <f t="shared" ca="1" si="2292"/>
        <v>TRUE</v>
      </c>
      <c r="AE2248" s="1">
        <f t="shared" ca="1" si="2313"/>
        <v>152</v>
      </c>
      <c r="AF2248" t="str">
        <f t="shared" ca="1" si="2290"/>
        <v>Plot 152</v>
      </c>
    </row>
    <row r="2249" spans="28:32" x14ac:dyDescent="0.25">
      <c r="AB2249" t="str">
        <f t="shared" ref="AB2249:AC2249" si="2336">AB2228</f>
        <v>Supporting Scaffold</v>
      </c>
      <c r="AC2249" t="str">
        <f t="shared" si="2336"/>
        <v>First Floor Prop.</v>
      </c>
      <c r="AD2249" t="str">
        <f t="shared" ca="1" si="2292"/>
        <v>TRUE</v>
      </c>
      <c r="AE2249" s="1">
        <f t="shared" ca="1" si="2313"/>
        <v>152</v>
      </c>
      <c r="AF2249" t="str">
        <f t="shared" ca="1" si="2290"/>
        <v>Plot 152</v>
      </c>
    </row>
    <row r="2250" spans="28:32" x14ac:dyDescent="0.25">
      <c r="AB2250" t="str">
        <f t="shared" ref="AB2250:AC2250" si="2337">AB2229</f>
        <v>Supporting Scaffold</v>
      </c>
      <c r="AC2250" t="str">
        <f t="shared" si="2337"/>
        <v>Second Floor Prop.</v>
      </c>
      <c r="AD2250" t="str">
        <f t="shared" ca="1" si="2292"/>
        <v>FALSE</v>
      </c>
      <c r="AE2250" s="1">
        <f t="shared" ca="1" si="2313"/>
        <v>152</v>
      </c>
      <c r="AF2250" t="str">
        <f t="shared" ca="1" si="2290"/>
        <v>Plot 152</v>
      </c>
    </row>
    <row r="2251" spans="28:32" x14ac:dyDescent="0.25">
      <c r="AB2251" t="str">
        <f t="shared" ref="AB2251:AC2251" si="2338">AB2230</f>
        <v>External Scaffolding</v>
      </c>
      <c r="AC2251" t="str">
        <f t="shared" si="2338"/>
        <v>Hop-ups</v>
      </c>
      <c r="AD2251" t="b">
        <f t="shared" ca="1" si="2292"/>
        <v>1</v>
      </c>
      <c r="AE2251" s="1">
        <f t="shared" ca="1" si="2313"/>
        <v>152</v>
      </c>
      <c r="AF2251" t="str">
        <f t="shared" ca="1" si="2290"/>
        <v>Plot 152</v>
      </c>
    </row>
    <row r="2252" spans="28:32" x14ac:dyDescent="0.25">
      <c r="AB2252" t="str">
        <f t="shared" ref="AB2252:AC2252" si="2339">AB2231</f>
        <v>External Scaffolding</v>
      </c>
      <c r="AC2252" t="str">
        <f t="shared" si="2339"/>
        <v>Adaptions</v>
      </c>
      <c r="AD2252" t="b">
        <f t="shared" ca="1" si="2292"/>
        <v>1</v>
      </c>
      <c r="AE2252" s="1">
        <f t="shared" ca="1" si="2313"/>
        <v>152</v>
      </c>
      <c r="AF2252" t="str">
        <f t="shared" ca="1" si="2290"/>
        <v>Plot 152</v>
      </c>
    </row>
    <row r="2253" spans="28:32" x14ac:dyDescent="0.25">
      <c r="AB2253" t="str">
        <f t="shared" ref="AB2253:AC2253" si="2340">AB2232</f>
        <v>External Scaffolding</v>
      </c>
      <c r="AC2253" t="str">
        <f t="shared" si="2340"/>
        <v>Adaption Tower</v>
      </c>
      <c r="AD2253" t="b">
        <f t="shared" ca="1" si="2292"/>
        <v>1</v>
      </c>
      <c r="AE2253" s="1">
        <f t="shared" ca="1" si="2313"/>
        <v>152</v>
      </c>
      <c r="AF2253" t="str">
        <f t="shared" ca="1" si="2290"/>
        <v>Plot 152</v>
      </c>
    </row>
    <row r="2254" spans="28:32" x14ac:dyDescent="0.25">
      <c r="AB2254" t="str">
        <f t="shared" ref="AB2254:AC2254" si="2341">AB2233</f>
        <v>External Scaffolding</v>
      </c>
      <c r="AC2254" t="str">
        <f t="shared" si="2341"/>
        <v>Lift 1</v>
      </c>
      <c r="AD2254" t="b">
        <f t="shared" ca="1" si="2292"/>
        <v>1</v>
      </c>
      <c r="AE2254" s="1">
        <f t="shared" ca="1" si="2313"/>
        <v>153</v>
      </c>
      <c r="AF2254" t="str">
        <f t="shared" ca="1" si="2290"/>
        <v>Plot 153</v>
      </c>
    </row>
    <row r="2255" spans="28:32" x14ac:dyDescent="0.25">
      <c r="AB2255" t="str">
        <f t="shared" ref="AB2255:AC2255" si="2342">AB2234</f>
        <v>External Scaffolding</v>
      </c>
      <c r="AC2255" t="str">
        <f t="shared" si="2342"/>
        <v>Lift 2</v>
      </c>
      <c r="AD2255" t="b">
        <f t="shared" ca="1" si="2292"/>
        <v>1</v>
      </c>
      <c r="AE2255" s="1">
        <f t="shared" ca="1" si="2313"/>
        <v>153</v>
      </c>
      <c r="AF2255" t="str">
        <f t="shared" ca="1" si="2290"/>
        <v>Plot 153</v>
      </c>
    </row>
    <row r="2256" spans="28:32" x14ac:dyDescent="0.25">
      <c r="AB2256" t="str">
        <f t="shared" ref="AB2256:AC2256" si="2343">AB2235</f>
        <v>External Scaffolding</v>
      </c>
      <c r="AC2256" t="str">
        <f t="shared" si="2343"/>
        <v>Lift 3</v>
      </c>
      <c r="AD2256" t="b">
        <f t="shared" ca="1" si="2292"/>
        <v>1</v>
      </c>
      <c r="AE2256" s="1">
        <f t="shared" ca="1" si="2313"/>
        <v>153</v>
      </c>
      <c r="AF2256" t="str">
        <f t="shared" ca="1" si="2290"/>
        <v>Plot 153</v>
      </c>
    </row>
    <row r="2257" spans="28:32" x14ac:dyDescent="0.25">
      <c r="AB2257" t="str">
        <f t="shared" ref="AB2257:AC2257" si="2344">AB2236</f>
        <v>External Scaffolding</v>
      </c>
      <c r="AC2257" t="str">
        <f t="shared" si="2344"/>
        <v>Lift 4</v>
      </c>
      <c r="AD2257" t="b">
        <f t="shared" ca="1" si="2292"/>
        <v>1</v>
      </c>
      <c r="AE2257" s="1">
        <f t="shared" ca="1" si="2313"/>
        <v>153</v>
      </c>
      <c r="AF2257" t="str">
        <f t="shared" ca="1" si="2290"/>
        <v>Plot 153</v>
      </c>
    </row>
    <row r="2258" spans="28:32" x14ac:dyDescent="0.25">
      <c r="AB2258" t="str">
        <f t="shared" ref="AB2258:AC2258" si="2345">AB2237</f>
        <v>External Scaffolding</v>
      </c>
      <c r="AC2258" t="str">
        <f t="shared" si="2345"/>
        <v>Lift 5</v>
      </c>
      <c r="AD2258" t="b">
        <f t="shared" ca="1" si="2292"/>
        <v>0</v>
      </c>
      <c r="AE2258" s="1">
        <f t="shared" ca="1" si="2313"/>
        <v>153</v>
      </c>
      <c r="AF2258" t="str">
        <f t="shared" ca="1" si="2290"/>
        <v>Plot 153</v>
      </c>
    </row>
    <row r="2259" spans="28:32" x14ac:dyDescent="0.25">
      <c r="AB2259" t="str">
        <f t="shared" ref="AB2259:AC2259" si="2346">AB2238</f>
        <v>External Scaffolding</v>
      </c>
      <c r="AC2259" t="str">
        <f t="shared" si="2346"/>
        <v>Lift 6</v>
      </c>
      <c r="AD2259" t="b">
        <f t="shared" ca="1" si="2292"/>
        <v>0</v>
      </c>
      <c r="AE2259" s="1">
        <f t="shared" ca="1" si="2313"/>
        <v>153</v>
      </c>
      <c r="AF2259" t="str">
        <f t="shared" ca="1" si="2290"/>
        <v>Plot 153</v>
      </c>
    </row>
    <row r="2260" spans="28:32" x14ac:dyDescent="0.25">
      <c r="AB2260" t="str">
        <f t="shared" ref="AB2260:AC2260" si="2347">AB2239</f>
        <v>Loading Bay</v>
      </c>
      <c r="AC2260" t="str">
        <f t="shared" si="2347"/>
        <v>Lift 1</v>
      </c>
      <c r="AD2260" t="b">
        <f t="shared" ca="1" si="2292"/>
        <v>1</v>
      </c>
      <c r="AE2260" s="1">
        <f t="shared" ca="1" si="2313"/>
        <v>153</v>
      </c>
      <c r="AF2260" t="str">
        <f t="shared" ca="1" si="2290"/>
        <v>Plot 153</v>
      </c>
    </row>
    <row r="2261" spans="28:32" x14ac:dyDescent="0.25">
      <c r="AB2261" t="str">
        <f t="shared" ref="AB2261:AC2261" si="2348">AB2240</f>
        <v>Loading Bay</v>
      </c>
      <c r="AC2261" t="str">
        <f t="shared" si="2348"/>
        <v>Lift 2</v>
      </c>
      <c r="AD2261" t="b">
        <f t="shared" ca="1" si="2292"/>
        <v>1</v>
      </c>
      <c r="AE2261" s="1">
        <f t="shared" ca="1" si="2313"/>
        <v>153</v>
      </c>
      <c r="AF2261" t="str">
        <f t="shared" ca="1" si="2290"/>
        <v>Plot 153</v>
      </c>
    </row>
    <row r="2262" spans="28:32" x14ac:dyDescent="0.25">
      <c r="AB2262" t="str">
        <f t="shared" ref="AB2262:AC2262" si="2349">AB2241</f>
        <v>Loading Bay</v>
      </c>
      <c r="AC2262" t="str">
        <f t="shared" si="2349"/>
        <v>Lift 3</v>
      </c>
      <c r="AD2262" t="b">
        <f t="shared" ca="1" si="2292"/>
        <v>1</v>
      </c>
      <c r="AE2262" s="1">
        <f t="shared" ca="1" si="2313"/>
        <v>153</v>
      </c>
      <c r="AF2262" t="str">
        <f t="shared" ca="1" si="2290"/>
        <v>Plot 153</v>
      </c>
    </row>
    <row r="2263" spans="28:32" x14ac:dyDescent="0.25">
      <c r="AB2263" t="str">
        <f t="shared" ref="AB2263:AC2263" si="2350">AB2242</f>
        <v>Loading Bay</v>
      </c>
      <c r="AC2263" t="str">
        <f t="shared" si="2350"/>
        <v>Lift 4</v>
      </c>
      <c r="AD2263" t="b">
        <f t="shared" ca="1" si="2292"/>
        <v>1</v>
      </c>
      <c r="AE2263" s="1">
        <f t="shared" ca="1" si="2313"/>
        <v>153</v>
      </c>
      <c r="AF2263" t="str">
        <f t="shared" ca="1" si="2290"/>
        <v>Plot 153</v>
      </c>
    </row>
    <row r="2264" spans="28:32" x14ac:dyDescent="0.25">
      <c r="AB2264" t="str">
        <f t="shared" ref="AB2264:AC2264" si="2351">AB2243</f>
        <v>Loading Bay</v>
      </c>
      <c r="AC2264" t="str">
        <f t="shared" si="2351"/>
        <v>Lift 5</v>
      </c>
      <c r="AD2264" t="b">
        <f t="shared" ca="1" si="2292"/>
        <v>0</v>
      </c>
      <c r="AE2264" s="1">
        <f t="shared" ca="1" si="2313"/>
        <v>153</v>
      </c>
      <c r="AF2264" t="str">
        <f t="shared" ca="1" si="2290"/>
        <v>Plot 153</v>
      </c>
    </row>
    <row r="2265" spans="28:32" x14ac:dyDescent="0.25">
      <c r="AB2265" t="str">
        <f t="shared" ref="AB2265:AC2265" si="2352">AB2244</f>
        <v>Loading Bay</v>
      </c>
      <c r="AC2265" t="str">
        <f t="shared" si="2352"/>
        <v>Lift 6</v>
      </c>
      <c r="AD2265" t="b">
        <f t="shared" ca="1" si="2292"/>
        <v>0</v>
      </c>
      <c r="AE2265" s="1">
        <f t="shared" ca="1" si="2313"/>
        <v>153</v>
      </c>
      <c r="AF2265" t="str">
        <f t="shared" ca="1" si="2290"/>
        <v>Plot 153</v>
      </c>
    </row>
    <row r="2266" spans="28:32" x14ac:dyDescent="0.25">
      <c r="AB2266" t="str">
        <f t="shared" ref="AB2266:AC2266" si="2353">AB2245</f>
        <v>Scaffolding Platform</v>
      </c>
      <c r="AC2266" t="str">
        <f t="shared" si="2353"/>
        <v>Ground Floor</v>
      </c>
      <c r="AD2266" t="b">
        <f t="shared" ca="1" si="2292"/>
        <v>1</v>
      </c>
      <c r="AE2266" s="1">
        <f t="shared" ca="1" si="2313"/>
        <v>153</v>
      </c>
      <c r="AF2266" t="str">
        <f t="shared" ca="1" si="2290"/>
        <v>Plot 153</v>
      </c>
    </row>
    <row r="2267" spans="28:32" x14ac:dyDescent="0.25">
      <c r="AB2267" t="str">
        <f t="shared" ref="AB2267:AC2267" si="2354">AB2246</f>
        <v>Scaffolding Platform</v>
      </c>
      <c r="AC2267" t="str">
        <f t="shared" si="2354"/>
        <v>First Floor</v>
      </c>
      <c r="AD2267" t="b">
        <f t="shared" ca="1" si="2292"/>
        <v>1</v>
      </c>
      <c r="AE2267" s="1">
        <f t="shared" ca="1" si="2313"/>
        <v>153</v>
      </c>
      <c r="AF2267" t="str">
        <f t="shared" ca="1" si="2290"/>
        <v>Plot 153</v>
      </c>
    </row>
    <row r="2268" spans="28:32" x14ac:dyDescent="0.25">
      <c r="AB2268" t="str">
        <f t="shared" ref="AB2268:AC2268" si="2355">AB2247</f>
        <v>Scaffolding Platform</v>
      </c>
      <c r="AC2268" t="str">
        <f t="shared" si="2355"/>
        <v>Second Floor</v>
      </c>
      <c r="AD2268" t="b">
        <f t="shared" ca="1" si="2292"/>
        <v>1</v>
      </c>
      <c r="AE2268" s="1">
        <f t="shared" ca="1" si="2313"/>
        <v>153</v>
      </c>
      <c r="AF2268" t="str">
        <f t="shared" ca="1" si="2290"/>
        <v>Plot 153</v>
      </c>
    </row>
    <row r="2269" spans="28:32" x14ac:dyDescent="0.25">
      <c r="AB2269" t="str">
        <f t="shared" ref="AB2269:AC2269" si="2356">AB2248</f>
        <v>Supporting Scaffold</v>
      </c>
      <c r="AC2269" t="str">
        <f t="shared" si="2356"/>
        <v>Ground Floor Prop.</v>
      </c>
      <c r="AD2269" t="str">
        <f t="shared" ca="1" si="2292"/>
        <v>TRUE</v>
      </c>
      <c r="AE2269" s="1">
        <f t="shared" ca="1" si="2313"/>
        <v>153</v>
      </c>
      <c r="AF2269" t="str">
        <f t="shared" ref="AF2269:AF2332" ca="1" si="2357">IF(LEFT(AE2269,1)="G",AE2269,"Plot "&amp;AE2269)</f>
        <v>Plot 153</v>
      </c>
    </row>
    <row r="2270" spans="28:32" x14ac:dyDescent="0.25">
      <c r="AB2270" t="str">
        <f t="shared" ref="AB2270:AC2270" si="2358">AB2249</f>
        <v>Supporting Scaffold</v>
      </c>
      <c r="AC2270" t="str">
        <f t="shared" si="2358"/>
        <v>First Floor Prop.</v>
      </c>
      <c r="AD2270" t="str">
        <f t="shared" ref="AD2270:AD2333" ca="1" si="2359">INDEX($AC$1:$JH$22,MATCH(AC2270,$AC$1:$AC$22,0),MATCH(AE2270,$AC$1:$JH$1,0))</f>
        <v>TRUE</v>
      </c>
      <c r="AE2270" s="1">
        <f t="shared" ca="1" si="2313"/>
        <v>153</v>
      </c>
      <c r="AF2270" t="str">
        <f t="shared" ca="1" si="2357"/>
        <v>Plot 153</v>
      </c>
    </row>
    <row r="2271" spans="28:32" x14ac:dyDescent="0.25">
      <c r="AB2271" t="str">
        <f t="shared" ref="AB2271:AC2271" si="2360">AB2250</f>
        <v>Supporting Scaffold</v>
      </c>
      <c r="AC2271" t="str">
        <f t="shared" si="2360"/>
        <v>Second Floor Prop.</v>
      </c>
      <c r="AD2271" t="str">
        <f t="shared" ca="1" si="2359"/>
        <v>FALSE</v>
      </c>
      <c r="AE2271" s="1">
        <f t="shared" ca="1" si="2313"/>
        <v>153</v>
      </c>
      <c r="AF2271" t="str">
        <f t="shared" ca="1" si="2357"/>
        <v>Plot 153</v>
      </c>
    </row>
    <row r="2272" spans="28:32" x14ac:dyDescent="0.25">
      <c r="AB2272" t="str">
        <f t="shared" ref="AB2272:AC2272" si="2361">AB2251</f>
        <v>External Scaffolding</v>
      </c>
      <c r="AC2272" t="str">
        <f t="shared" si="2361"/>
        <v>Hop-ups</v>
      </c>
      <c r="AD2272" t="b">
        <f t="shared" ca="1" si="2359"/>
        <v>1</v>
      </c>
      <c r="AE2272" s="1">
        <f t="shared" ca="1" si="2313"/>
        <v>153</v>
      </c>
      <c r="AF2272" t="str">
        <f t="shared" ca="1" si="2357"/>
        <v>Plot 153</v>
      </c>
    </row>
    <row r="2273" spans="28:32" x14ac:dyDescent="0.25">
      <c r="AB2273" t="str">
        <f t="shared" ref="AB2273:AC2273" si="2362">AB2252</f>
        <v>External Scaffolding</v>
      </c>
      <c r="AC2273" t="str">
        <f t="shared" si="2362"/>
        <v>Adaptions</v>
      </c>
      <c r="AD2273" t="b">
        <f t="shared" ca="1" si="2359"/>
        <v>1</v>
      </c>
      <c r="AE2273" s="1">
        <f t="shared" ca="1" si="2313"/>
        <v>153</v>
      </c>
      <c r="AF2273" t="str">
        <f t="shared" ca="1" si="2357"/>
        <v>Plot 153</v>
      </c>
    </row>
    <row r="2274" spans="28:32" x14ac:dyDescent="0.25">
      <c r="AB2274" t="str">
        <f t="shared" ref="AB2274:AC2274" si="2363">AB2253</f>
        <v>External Scaffolding</v>
      </c>
      <c r="AC2274" t="str">
        <f t="shared" si="2363"/>
        <v>Adaption Tower</v>
      </c>
      <c r="AD2274" t="b">
        <f t="shared" ca="1" si="2359"/>
        <v>1</v>
      </c>
      <c r="AE2274" s="1">
        <f t="shared" ca="1" si="2313"/>
        <v>153</v>
      </c>
      <c r="AF2274" t="str">
        <f t="shared" ca="1" si="2357"/>
        <v>Plot 153</v>
      </c>
    </row>
    <row r="2275" spans="28:32" x14ac:dyDescent="0.25">
      <c r="AB2275" t="str">
        <f t="shared" ref="AB2275:AC2275" si="2364">AB2254</f>
        <v>External Scaffolding</v>
      </c>
      <c r="AC2275" t="str">
        <f t="shared" si="2364"/>
        <v>Lift 1</v>
      </c>
      <c r="AD2275" t="b">
        <f t="shared" ca="1" si="2359"/>
        <v>1</v>
      </c>
      <c r="AE2275" s="1">
        <f t="shared" ca="1" si="2313"/>
        <v>154</v>
      </c>
      <c r="AF2275" t="str">
        <f t="shared" ca="1" si="2357"/>
        <v>Plot 154</v>
      </c>
    </row>
    <row r="2276" spans="28:32" x14ac:dyDescent="0.25">
      <c r="AB2276" t="str">
        <f t="shared" ref="AB2276:AC2276" si="2365">AB2255</f>
        <v>External Scaffolding</v>
      </c>
      <c r="AC2276" t="str">
        <f t="shared" si="2365"/>
        <v>Lift 2</v>
      </c>
      <c r="AD2276" t="b">
        <f t="shared" ca="1" si="2359"/>
        <v>1</v>
      </c>
      <c r="AE2276" s="1">
        <f t="shared" ca="1" si="2313"/>
        <v>154</v>
      </c>
      <c r="AF2276" t="str">
        <f t="shared" ca="1" si="2357"/>
        <v>Plot 154</v>
      </c>
    </row>
    <row r="2277" spans="28:32" x14ac:dyDescent="0.25">
      <c r="AB2277" t="str">
        <f t="shared" ref="AB2277:AC2277" si="2366">AB2256</f>
        <v>External Scaffolding</v>
      </c>
      <c r="AC2277" t="str">
        <f t="shared" si="2366"/>
        <v>Lift 3</v>
      </c>
      <c r="AD2277" t="b">
        <f t="shared" ca="1" si="2359"/>
        <v>1</v>
      </c>
      <c r="AE2277" s="1">
        <f t="shared" ca="1" si="2313"/>
        <v>154</v>
      </c>
      <c r="AF2277" t="str">
        <f t="shared" ca="1" si="2357"/>
        <v>Plot 154</v>
      </c>
    </row>
    <row r="2278" spans="28:32" x14ac:dyDescent="0.25">
      <c r="AB2278" t="str">
        <f t="shared" ref="AB2278:AC2278" si="2367">AB2257</f>
        <v>External Scaffolding</v>
      </c>
      <c r="AC2278" t="str">
        <f t="shared" si="2367"/>
        <v>Lift 4</v>
      </c>
      <c r="AD2278" t="b">
        <f t="shared" ca="1" si="2359"/>
        <v>0</v>
      </c>
      <c r="AE2278" s="1">
        <f t="shared" ca="1" si="2313"/>
        <v>154</v>
      </c>
      <c r="AF2278" t="str">
        <f t="shared" ca="1" si="2357"/>
        <v>Plot 154</v>
      </c>
    </row>
    <row r="2279" spans="28:32" x14ac:dyDescent="0.25">
      <c r="AB2279" t="str">
        <f t="shared" ref="AB2279:AC2279" si="2368">AB2258</f>
        <v>External Scaffolding</v>
      </c>
      <c r="AC2279" t="str">
        <f t="shared" si="2368"/>
        <v>Lift 5</v>
      </c>
      <c r="AD2279" t="b">
        <f t="shared" ca="1" si="2359"/>
        <v>0</v>
      </c>
      <c r="AE2279" s="1">
        <f t="shared" ca="1" si="2313"/>
        <v>154</v>
      </c>
      <c r="AF2279" t="str">
        <f t="shared" ca="1" si="2357"/>
        <v>Plot 154</v>
      </c>
    </row>
    <row r="2280" spans="28:32" x14ac:dyDescent="0.25">
      <c r="AB2280" t="str">
        <f t="shared" ref="AB2280:AC2280" si="2369">AB2259</f>
        <v>External Scaffolding</v>
      </c>
      <c r="AC2280" t="str">
        <f t="shared" si="2369"/>
        <v>Lift 6</v>
      </c>
      <c r="AD2280" t="b">
        <f t="shared" ca="1" si="2359"/>
        <v>0</v>
      </c>
      <c r="AE2280" s="1">
        <f t="shared" ca="1" si="2313"/>
        <v>154</v>
      </c>
      <c r="AF2280" t="str">
        <f t="shared" ca="1" si="2357"/>
        <v>Plot 154</v>
      </c>
    </row>
    <row r="2281" spans="28:32" x14ac:dyDescent="0.25">
      <c r="AB2281" t="str">
        <f t="shared" ref="AB2281:AC2281" si="2370">AB2260</f>
        <v>Loading Bay</v>
      </c>
      <c r="AC2281" t="str">
        <f t="shared" si="2370"/>
        <v>Lift 1</v>
      </c>
      <c r="AD2281" t="b">
        <f t="shared" ca="1" si="2359"/>
        <v>1</v>
      </c>
      <c r="AE2281" s="1">
        <f t="shared" ca="1" si="2313"/>
        <v>154</v>
      </c>
      <c r="AF2281" t="str">
        <f t="shared" ca="1" si="2357"/>
        <v>Plot 154</v>
      </c>
    </row>
    <row r="2282" spans="28:32" x14ac:dyDescent="0.25">
      <c r="AB2282" t="str">
        <f t="shared" ref="AB2282:AC2282" si="2371">AB2261</f>
        <v>Loading Bay</v>
      </c>
      <c r="AC2282" t="str">
        <f t="shared" si="2371"/>
        <v>Lift 2</v>
      </c>
      <c r="AD2282" t="b">
        <f t="shared" ca="1" si="2359"/>
        <v>1</v>
      </c>
      <c r="AE2282" s="1">
        <f t="shared" ca="1" si="2313"/>
        <v>154</v>
      </c>
      <c r="AF2282" t="str">
        <f t="shared" ca="1" si="2357"/>
        <v>Plot 154</v>
      </c>
    </row>
    <row r="2283" spans="28:32" x14ac:dyDescent="0.25">
      <c r="AB2283" t="str">
        <f t="shared" ref="AB2283:AC2283" si="2372">AB2262</f>
        <v>Loading Bay</v>
      </c>
      <c r="AC2283" t="str">
        <f t="shared" si="2372"/>
        <v>Lift 3</v>
      </c>
      <c r="AD2283" t="b">
        <f t="shared" ca="1" si="2359"/>
        <v>1</v>
      </c>
      <c r="AE2283" s="1">
        <f t="shared" ca="1" si="2313"/>
        <v>154</v>
      </c>
      <c r="AF2283" t="str">
        <f t="shared" ca="1" si="2357"/>
        <v>Plot 154</v>
      </c>
    </row>
    <row r="2284" spans="28:32" x14ac:dyDescent="0.25">
      <c r="AB2284" t="str">
        <f t="shared" ref="AB2284:AC2284" si="2373">AB2263</f>
        <v>Loading Bay</v>
      </c>
      <c r="AC2284" t="str">
        <f t="shared" si="2373"/>
        <v>Lift 4</v>
      </c>
      <c r="AD2284" t="b">
        <f t="shared" ca="1" si="2359"/>
        <v>0</v>
      </c>
      <c r="AE2284" s="1">
        <f t="shared" ca="1" si="2313"/>
        <v>154</v>
      </c>
      <c r="AF2284" t="str">
        <f t="shared" ca="1" si="2357"/>
        <v>Plot 154</v>
      </c>
    </row>
    <row r="2285" spans="28:32" x14ac:dyDescent="0.25">
      <c r="AB2285" t="str">
        <f t="shared" ref="AB2285:AC2285" si="2374">AB2264</f>
        <v>Loading Bay</v>
      </c>
      <c r="AC2285" t="str">
        <f t="shared" si="2374"/>
        <v>Lift 5</v>
      </c>
      <c r="AD2285" t="b">
        <f t="shared" ca="1" si="2359"/>
        <v>0</v>
      </c>
      <c r="AE2285" s="1">
        <f t="shared" ca="1" si="2313"/>
        <v>154</v>
      </c>
      <c r="AF2285" t="str">
        <f t="shared" ca="1" si="2357"/>
        <v>Plot 154</v>
      </c>
    </row>
    <row r="2286" spans="28:32" x14ac:dyDescent="0.25">
      <c r="AB2286" t="str">
        <f t="shared" ref="AB2286:AC2286" si="2375">AB2265</f>
        <v>Loading Bay</v>
      </c>
      <c r="AC2286" t="str">
        <f t="shared" si="2375"/>
        <v>Lift 6</v>
      </c>
      <c r="AD2286" t="b">
        <f t="shared" ca="1" si="2359"/>
        <v>0</v>
      </c>
      <c r="AE2286" s="1">
        <f t="shared" ca="1" si="2313"/>
        <v>154</v>
      </c>
      <c r="AF2286" t="str">
        <f t="shared" ca="1" si="2357"/>
        <v>Plot 154</v>
      </c>
    </row>
    <row r="2287" spans="28:32" x14ac:dyDescent="0.25">
      <c r="AB2287" t="str">
        <f t="shared" ref="AB2287:AC2287" si="2376">AB2266</f>
        <v>Scaffolding Platform</v>
      </c>
      <c r="AC2287" t="str">
        <f t="shared" si="2376"/>
        <v>Ground Floor</v>
      </c>
      <c r="AD2287" t="b">
        <f t="shared" ca="1" si="2359"/>
        <v>1</v>
      </c>
      <c r="AE2287" s="1">
        <f t="shared" ca="1" si="2313"/>
        <v>154</v>
      </c>
      <c r="AF2287" t="str">
        <f t="shared" ca="1" si="2357"/>
        <v>Plot 154</v>
      </c>
    </row>
    <row r="2288" spans="28:32" x14ac:dyDescent="0.25">
      <c r="AB2288" t="str">
        <f t="shared" ref="AB2288:AC2288" si="2377">AB2267</f>
        <v>Scaffolding Platform</v>
      </c>
      <c r="AC2288" t="str">
        <f t="shared" si="2377"/>
        <v>First Floor</v>
      </c>
      <c r="AD2288" t="b">
        <f t="shared" ca="1" si="2359"/>
        <v>1</v>
      </c>
      <c r="AE2288" s="1">
        <f t="shared" ca="1" si="2313"/>
        <v>154</v>
      </c>
      <c r="AF2288" t="str">
        <f t="shared" ca="1" si="2357"/>
        <v>Plot 154</v>
      </c>
    </row>
    <row r="2289" spans="28:32" x14ac:dyDescent="0.25">
      <c r="AB2289" t="str">
        <f t="shared" ref="AB2289:AC2289" si="2378">AB2268</f>
        <v>Scaffolding Platform</v>
      </c>
      <c r="AC2289" t="str">
        <f t="shared" si="2378"/>
        <v>Second Floor</v>
      </c>
      <c r="AD2289" t="b">
        <f t="shared" ca="1" si="2359"/>
        <v>0</v>
      </c>
      <c r="AE2289" s="1">
        <f t="shared" ca="1" si="2313"/>
        <v>154</v>
      </c>
      <c r="AF2289" t="str">
        <f t="shared" ca="1" si="2357"/>
        <v>Plot 154</v>
      </c>
    </row>
    <row r="2290" spans="28:32" x14ac:dyDescent="0.25">
      <c r="AB2290" t="str">
        <f t="shared" ref="AB2290:AC2290" si="2379">AB2269</f>
        <v>Supporting Scaffold</v>
      </c>
      <c r="AC2290" t="str">
        <f t="shared" si="2379"/>
        <v>Ground Floor Prop.</v>
      </c>
      <c r="AD2290" t="str">
        <f t="shared" ca="1" si="2359"/>
        <v>TRUE</v>
      </c>
      <c r="AE2290" s="1">
        <f t="shared" ref="AE2290:AE2353" ca="1" si="2380">OFFSET($AD$1,0,FLOOR(ROW(B2262)/21,1))</f>
        <v>154</v>
      </c>
      <c r="AF2290" t="str">
        <f t="shared" ca="1" si="2357"/>
        <v>Plot 154</v>
      </c>
    </row>
    <row r="2291" spans="28:32" x14ac:dyDescent="0.25">
      <c r="AB2291" t="str">
        <f t="shared" ref="AB2291:AC2291" si="2381">AB2270</f>
        <v>Supporting Scaffold</v>
      </c>
      <c r="AC2291" t="str">
        <f t="shared" si="2381"/>
        <v>First Floor Prop.</v>
      </c>
      <c r="AD2291" t="str">
        <f t="shared" ca="1" si="2359"/>
        <v>FALSE</v>
      </c>
      <c r="AE2291" s="1">
        <f t="shared" ca="1" si="2380"/>
        <v>154</v>
      </c>
      <c r="AF2291" t="str">
        <f t="shared" ca="1" si="2357"/>
        <v>Plot 154</v>
      </c>
    </row>
    <row r="2292" spans="28:32" x14ac:dyDescent="0.25">
      <c r="AB2292" t="str">
        <f t="shared" ref="AB2292:AC2292" si="2382">AB2271</f>
        <v>Supporting Scaffold</v>
      </c>
      <c r="AC2292" t="str">
        <f t="shared" si="2382"/>
        <v>Second Floor Prop.</v>
      </c>
      <c r="AD2292" t="str">
        <f t="shared" ca="1" si="2359"/>
        <v>FALSE</v>
      </c>
      <c r="AE2292" s="1">
        <f t="shared" ca="1" si="2380"/>
        <v>154</v>
      </c>
      <c r="AF2292" t="str">
        <f t="shared" ca="1" si="2357"/>
        <v>Plot 154</v>
      </c>
    </row>
    <row r="2293" spans="28:32" x14ac:dyDescent="0.25">
      <c r="AB2293" t="str">
        <f t="shared" ref="AB2293:AC2293" si="2383">AB2272</f>
        <v>External Scaffolding</v>
      </c>
      <c r="AC2293" t="str">
        <f t="shared" si="2383"/>
        <v>Hop-ups</v>
      </c>
      <c r="AD2293" t="b">
        <f t="shared" ca="1" si="2359"/>
        <v>1</v>
      </c>
      <c r="AE2293" s="1">
        <f t="shared" ca="1" si="2380"/>
        <v>154</v>
      </c>
      <c r="AF2293" t="str">
        <f t="shared" ca="1" si="2357"/>
        <v>Plot 154</v>
      </c>
    </row>
    <row r="2294" spans="28:32" x14ac:dyDescent="0.25">
      <c r="AB2294" t="str">
        <f t="shared" ref="AB2294:AC2294" si="2384">AB2273</f>
        <v>External Scaffolding</v>
      </c>
      <c r="AC2294" t="str">
        <f t="shared" si="2384"/>
        <v>Adaptions</v>
      </c>
      <c r="AD2294" t="b">
        <f t="shared" ca="1" si="2359"/>
        <v>1</v>
      </c>
      <c r="AE2294" s="1">
        <f t="shared" ca="1" si="2380"/>
        <v>154</v>
      </c>
      <c r="AF2294" t="str">
        <f t="shared" ca="1" si="2357"/>
        <v>Plot 154</v>
      </c>
    </row>
    <row r="2295" spans="28:32" x14ac:dyDescent="0.25">
      <c r="AB2295" t="str">
        <f t="shared" ref="AB2295:AC2295" si="2385">AB2274</f>
        <v>External Scaffolding</v>
      </c>
      <c r="AC2295" t="str">
        <f t="shared" si="2385"/>
        <v>Adaption Tower</v>
      </c>
      <c r="AD2295" t="b">
        <f t="shared" ca="1" si="2359"/>
        <v>1</v>
      </c>
      <c r="AE2295" s="1">
        <f t="shared" ca="1" si="2380"/>
        <v>154</v>
      </c>
      <c r="AF2295" t="str">
        <f t="shared" ca="1" si="2357"/>
        <v>Plot 154</v>
      </c>
    </row>
    <row r="2296" spans="28:32" x14ac:dyDescent="0.25">
      <c r="AB2296" t="str">
        <f t="shared" ref="AB2296:AC2296" si="2386">AB2275</f>
        <v>External Scaffolding</v>
      </c>
      <c r="AC2296" t="str">
        <f t="shared" si="2386"/>
        <v>Lift 1</v>
      </c>
      <c r="AD2296" t="b">
        <f t="shared" ca="1" si="2359"/>
        <v>1</v>
      </c>
      <c r="AE2296" s="1" t="str">
        <f t="shared" ca="1" si="2380"/>
        <v>155-156</v>
      </c>
      <c r="AF2296" t="str">
        <f t="shared" ca="1" si="2357"/>
        <v>Plot 155-156</v>
      </c>
    </row>
    <row r="2297" spans="28:32" x14ac:dyDescent="0.25">
      <c r="AB2297" t="str">
        <f t="shared" ref="AB2297:AC2297" si="2387">AB2276</f>
        <v>External Scaffolding</v>
      </c>
      <c r="AC2297" t="str">
        <f t="shared" si="2387"/>
        <v>Lift 2</v>
      </c>
      <c r="AD2297" t="b">
        <f t="shared" ca="1" si="2359"/>
        <v>1</v>
      </c>
      <c r="AE2297" s="1" t="str">
        <f t="shared" ca="1" si="2380"/>
        <v>155-156</v>
      </c>
      <c r="AF2297" t="str">
        <f t="shared" ca="1" si="2357"/>
        <v>Plot 155-156</v>
      </c>
    </row>
    <row r="2298" spans="28:32" x14ac:dyDescent="0.25">
      <c r="AB2298" t="str">
        <f t="shared" ref="AB2298:AC2298" si="2388">AB2277</f>
        <v>External Scaffolding</v>
      </c>
      <c r="AC2298" t="str">
        <f t="shared" si="2388"/>
        <v>Lift 3</v>
      </c>
      <c r="AD2298" t="b">
        <f t="shared" ca="1" si="2359"/>
        <v>1</v>
      </c>
      <c r="AE2298" s="1" t="str">
        <f t="shared" ca="1" si="2380"/>
        <v>155-156</v>
      </c>
      <c r="AF2298" t="str">
        <f t="shared" ca="1" si="2357"/>
        <v>Plot 155-156</v>
      </c>
    </row>
    <row r="2299" spans="28:32" x14ac:dyDescent="0.25">
      <c r="AB2299" t="str">
        <f t="shared" ref="AB2299:AC2299" si="2389">AB2278</f>
        <v>External Scaffolding</v>
      </c>
      <c r="AC2299" t="str">
        <f t="shared" si="2389"/>
        <v>Lift 4</v>
      </c>
      <c r="AD2299" t="b">
        <f t="shared" ca="1" si="2359"/>
        <v>0</v>
      </c>
      <c r="AE2299" s="1" t="str">
        <f t="shared" ca="1" si="2380"/>
        <v>155-156</v>
      </c>
      <c r="AF2299" t="str">
        <f t="shared" ca="1" si="2357"/>
        <v>Plot 155-156</v>
      </c>
    </row>
    <row r="2300" spans="28:32" x14ac:dyDescent="0.25">
      <c r="AB2300" t="str">
        <f t="shared" ref="AB2300:AC2300" si="2390">AB2279</f>
        <v>External Scaffolding</v>
      </c>
      <c r="AC2300" t="str">
        <f t="shared" si="2390"/>
        <v>Lift 5</v>
      </c>
      <c r="AD2300" t="b">
        <f t="shared" ca="1" si="2359"/>
        <v>0</v>
      </c>
      <c r="AE2300" s="1" t="str">
        <f t="shared" ca="1" si="2380"/>
        <v>155-156</v>
      </c>
      <c r="AF2300" t="str">
        <f t="shared" ca="1" si="2357"/>
        <v>Plot 155-156</v>
      </c>
    </row>
    <row r="2301" spans="28:32" x14ac:dyDescent="0.25">
      <c r="AB2301" t="str">
        <f t="shared" ref="AB2301:AC2301" si="2391">AB2280</f>
        <v>External Scaffolding</v>
      </c>
      <c r="AC2301" t="str">
        <f t="shared" si="2391"/>
        <v>Lift 6</v>
      </c>
      <c r="AD2301" t="b">
        <f t="shared" ca="1" si="2359"/>
        <v>0</v>
      </c>
      <c r="AE2301" s="1" t="str">
        <f t="shared" ca="1" si="2380"/>
        <v>155-156</v>
      </c>
      <c r="AF2301" t="str">
        <f t="shared" ca="1" si="2357"/>
        <v>Plot 155-156</v>
      </c>
    </row>
    <row r="2302" spans="28:32" x14ac:dyDescent="0.25">
      <c r="AB2302" t="str">
        <f t="shared" ref="AB2302:AC2302" si="2392">AB2281</f>
        <v>Loading Bay</v>
      </c>
      <c r="AC2302" t="str">
        <f t="shared" si="2392"/>
        <v>Lift 1</v>
      </c>
      <c r="AD2302" t="b">
        <f t="shared" ca="1" si="2359"/>
        <v>1</v>
      </c>
      <c r="AE2302" s="1" t="str">
        <f t="shared" ca="1" si="2380"/>
        <v>155-156</v>
      </c>
      <c r="AF2302" t="str">
        <f t="shared" ca="1" si="2357"/>
        <v>Plot 155-156</v>
      </c>
    </row>
    <row r="2303" spans="28:32" x14ac:dyDescent="0.25">
      <c r="AB2303" t="str">
        <f t="shared" ref="AB2303:AC2303" si="2393">AB2282</f>
        <v>Loading Bay</v>
      </c>
      <c r="AC2303" t="str">
        <f t="shared" si="2393"/>
        <v>Lift 2</v>
      </c>
      <c r="AD2303" t="b">
        <f t="shared" ca="1" si="2359"/>
        <v>1</v>
      </c>
      <c r="AE2303" s="1" t="str">
        <f t="shared" ca="1" si="2380"/>
        <v>155-156</v>
      </c>
      <c r="AF2303" t="str">
        <f t="shared" ca="1" si="2357"/>
        <v>Plot 155-156</v>
      </c>
    </row>
    <row r="2304" spans="28:32" x14ac:dyDescent="0.25">
      <c r="AB2304" t="str">
        <f t="shared" ref="AB2304:AC2304" si="2394">AB2283</f>
        <v>Loading Bay</v>
      </c>
      <c r="AC2304" t="str">
        <f t="shared" si="2394"/>
        <v>Lift 3</v>
      </c>
      <c r="AD2304" t="b">
        <f t="shared" ca="1" si="2359"/>
        <v>1</v>
      </c>
      <c r="AE2304" s="1" t="str">
        <f t="shared" ca="1" si="2380"/>
        <v>155-156</v>
      </c>
      <c r="AF2304" t="str">
        <f t="shared" ca="1" si="2357"/>
        <v>Plot 155-156</v>
      </c>
    </row>
    <row r="2305" spans="28:32" x14ac:dyDescent="0.25">
      <c r="AB2305" t="str">
        <f t="shared" ref="AB2305:AC2305" si="2395">AB2284</f>
        <v>Loading Bay</v>
      </c>
      <c r="AC2305" t="str">
        <f t="shared" si="2395"/>
        <v>Lift 4</v>
      </c>
      <c r="AD2305" t="b">
        <f t="shared" ca="1" si="2359"/>
        <v>0</v>
      </c>
      <c r="AE2305" s="1" t="str">
        <f t="shared" ca="1" si="2380"/>
        <v>155-156</v>
      </c>
      <c r="AF2305" t="str">
        <f t="shared" ca="1" si="2357"/>
        <v>Plot 155-156</v>
      </c>
    </row>
    <row r="2306" spans="28:32" x14ac:dyDescent="0.25">
      <c r="AB2306" t="str">
        <f t="shared" ref="AB2306:AC2306" si="2396">AB2285</f>
        <v>Loading Bay</v>
      </c>
      <c r="AC2306" t="str">
        <f t="shared" si="2396"/>
        <v>Lift 5</v>
      </c>
      <c r="AD2306" t="b">
        <f t="shared" ca="1" si="2359"/>
        <v>0</v>
      </c>
      <c r="AE2306" s="1" t="str">
        <f t="shared" ca="1" si="2380"/>
        <v>155-156</v>
      </c>
      <c r="AF2306" t="str">
        <f t="shared" ca="1" si="2357"/>
        <v>Plot 155-156</v>
      </c>
    </row>
    <row r="2307" spans="28:32" x14ac:dyDescent="0.25">
      <c r="AB2307" t="str">
        <f t="shared" ref="AB2307:AC2307" si="2397">AB2286</f>
        <v>Loading Bay</v>
      </c>
      <c r="AC2307" t="str">
        <f t="shared" si="2397"/>
        <v>Lift 6</v>
      </c>
      <c r="AD2307" t="b">
        <f t="shared" ca="1" si="2359"/>
        <v>0</v>
      </c>
      <c r="AE2307" s="1" t="str">
        <f t="shared" ca="1" si="2380"/>
        <v>155-156</v>
      </c>
      <c r="AF2307" t="str">
        <f t="shared" ca="1" si="2357"/>
        <v>Plot 155-156</v>
      </c>
    </row>
    <row r="2308" spans="28:32" x14ac:dyDescent="0.25">
      <c r="AB2308" t="str">
        <f t="shared" ref="AB2308:AC2308" si="2398">AB2287</f>
        <v>Scaffolding Platform</v>
      </c>
      <c r="AC2308" t="str">
        <f t="shared" si="2398"/>
        <v>Ground Floor</v>
      </c>
      <c r="AD2308" t="b">
        <f t="shared" ca="1" si="2359"/>
        <v>1</v>
      </c>
      <c r="AE2308" s="1" t="str">
        <f t="shared" ca="1" si="2380"/>
        <v>155-156</v>
      </c>
      <c r="AF2308" t="str">
        <f t="shared" ca="1" si="2357"/>
        <v>Plot 155-156</v>
      </c>
    </row>
    <row r="2309" spans="28:32" x14ac:dyDescent="0.25">
      <c r="AB2309" t="str">
        <f t="shared" ref="AB2309:AC2309" si="2399">AB2288</f>
        <v>Scaffolding Platform</v>
      </c>
      <c r="AC2309" t="str">
        <f t="shared" si="2399"/>
        <v>First Floor</v>
      </c>
      <c r="AD2309" t="b">
        <f t="shared" ca="1" si="2359"/>
        <v>1</v>
      </c>
      <c r="AE2309" s="1" t="str">
        <f t="shared" ca="1" si="2380"/>
        <v>155-156</v>
      </c>
      <c r="AF2309" t="str">
        <f t="shared" ca="1" si="2357"/>
        <v>Plot 155-156</v>
      </c>
    </row>
    <row r="2310" spans="28:32" x14ac:dyDescent="0.25">
      <c r="AB2310" t="str">
        <f t="shared" ref="AB2310:AC2310" si="2400">AB2289</f>
        <v>Scaffolding Platform</v>
      </c>
      <c r="AC2310" t="str">
        <f t="shared" si="2400"/>
        <v>Second Floor</v>
      </c>
      <c r="AD2310" t="b">
        <f t="shared" ca="1" si="2359"/>
        <v>0</v>
      </c>
      <c r="AE2310" s="1" t="str">
        <f t="shared" ca="1" si="2380"/>
        <v>155-156</v>
      </c>
      <c r="AF2310" t="str">
        <f t="shared" ca="1" si="2357"/>
        <v>Plot 155-156</v>
      </c>
    </row>
    <row r="2311" spans="28:32" x14ac:dyDescent="0.25">
      <c r="AB2311" t="str">
        <f t="shared" ref="AB2311:AC2311" si="2401">AB2290</f>
        <v>Supporting Scaffold</v>
      </c>
      <c r="AC2311" t="str">
        <f t="shared" si="2401"/>
        <v>Ground Floor Prop.</v>
      </c>
      <c r="AD2311" t="str">
        <f t="shared" ca="1" si="2359"/>
        <v>TRUE</v>
      </c>
      <c r="AE2311" s="1" t="str">
        <f t="shared" ca="1" si="2380"/>
        <v>155-156</v>
      </c>
      <c r="AF2311" t="str">
        <f t="shared" ca="1" si="2357"/>
        <v>Plot 155-156</v>
      </c>
    </row>
    <row r="2312" spans="28:32" x14ac:dyDescent="0.25">
      <c r="AB2312" t="str">
        <f t="shared" ref="AB2312:AC2312" si="2402">AB2291</f>
        <v>Supporting Scaffold</v>
      </c>
      <c r="AC2312" t="str">
        <f t="shared" si="2402"/>
        <v>First Floor Prop.</v>
      </c>
      <c r="AD2312" t="str">
        <f t="shared" ca="1" si="2359"/>
        <v>FALSE</v>
      </c>
      <c r="AE2312" s="1" t="str">
        <f t="shared" ca="1" si="2380"/>
        <v>155-156</v>
      </c>
      <c r="AF2312" t="str">
        <f t="shared" ca="1" si="2357"/>
        <v>Plot 155-156</v>
      </c>
    </row>
    <row r="2313" spans="28:32" x14ac:dyDescent="0.25">
      <c r="AB2313" t="str">
        <f t="shared" ref="AB2313:AC2313" si="2403">AB2292</f>
        <v>Supporting Scaffold</v>
      </c>
      <c r="AC2313" t="str">
        <f t="shared" si="2403"/>
        <v>Second Floor Prop.</v>
      </c>
      <c r="AD2313" t="str">
        <f t="shared" ca="1" si="2359"/>
        <v>FALSE</v>
      </c>
      <c r="AE2313" s="1" t="str">
        <f t="shared" ca="1" si="2380"/>
        <v>155-156</v>
      </c>
      <c r="AF2313" t="str">
        <f t="shared" ca="1" si="2357"/>
        <v>Plot 155-156</v>
      </c>
    </row>
    <row r="2314" spans="28:32" x14ac:dyDescent="0.25">
      <c r="AB2314" t="str">
        <f t="shared" ref="AB2314:AC2314" si="2404">AB2293</f>
        <v>External Scaffolding</v>
      </c>
      <c r="AC2314" t="str">
        <f t="shared" si="2404"/>
        <v>Hop-ups</v>
      </c>
      <c r="AD2314" t="b">
        <f t="shared" ca="1" si="2359"/>
        <v>1</v>
      </c>
      <c r="AE2314" s="1" t="str">
        <f t="shared" ca="1" si="2380"/>
        <v>155-156</v>
      </c>
      <c r="AF2314" t="str">
        <f t="shared" ca="1" si="2357"/>
        <v>Plot 155-156</v>
      </c>
    </row>
    <row r="2315" spans="28:32" x14ac:dyDescent="0.25">
      <c r="AB2315" t="str">
        <f t="shared" ref="AB2315:AC2315" si="2405">AB2294</f>
        <v>External Scaffolding</v>
      </c>
      <c r="AC2315" t="str">
        <f t="shared" si="2405"/>
        <v>Adaptions</v>
      </c>
      <c r="AD2315" t="b">
        <f t="shared" ca="1" si="2359"/>
        <v>1</v>
      </c>
      <c r="AE2315" s="1" t="str">
        <f t="shared" ca="1" si="2380"/>
        <v>155-156</v>
      </c>
      <c r="AF2315" t="str">
        <f t="shared" ca="1" si="2357"/>
        <v>Plot 155-156</v>
      </c>
    </row>
    <row r="2316" spans="28:32" x14ac:dyDescent="0.25">
      <c r="AB2316" t="str">
        <f t="shared" ref="AB2316:AC2316" si="2406">AB2295</f>
        <v>External Scaffolding</v>
      </c>
      <c r="AC2316" t="str">
        <f t="shared" si="2406"/>
        <v>Adaption Tower</v>
      </c>
      <c r="AD2316" t="b">
        <f t="shared" ca="1" si="2359"/>
        <v>1</v>
      </c>
      <c r="AE2316" s="1" t="str">
        <f t="shared" ca="1" si="2380"/>
        <v>155-156</v>
      </c>
      <c r="AF2316" t="str">
        <f t="shared" ca="1" si="2357"/>
        <v>Plot 155-156</v>
      </c>
    </row>
    <row r="2317" spans="28:32" x14ac:dyDescent="0.25">
      <c r="AB2317" t="str">
        <f t="shared" ref="AB2317:AC2317" si="2407">AB2296</f>
        <v>External Scaffolding</v>
      </c>
      <c r="AC2317" t="str">
        <f t="shared" si="2407"/>
        <v>Lift 1</v>
      </c>
      <c r="AD2317" t="b">
        <f t="shared" ca="1" si="2359"/>
        <v>1</v>
      </c>
      <c r="AE2317" s="1">
        <f t="shared" ca="1" si="2380"/>
        <v>157</v>
      </c>
      <c r="AF2317" t="str">
        <f t="shared" ca="1" si="2357"/>
        <v>Plot 157</v>
      </c>
    </row>
    <row r="2318" spans="28:32" x14ac:dyDescent="0.25">
      <c r="AB2318" t="str">
        <f t="shared" ref="AB2318:AC2318" si="2408">AB2297</f>
        <v>External Scaffolding</v>
      </c>
      <c r="AC2318" t="str">
        <f t="shared" si="2408"/>
        <v>Lift 2</v>
      </c>
      <c r="AD2318" t="b">
        <f t="shared" ca="1" si="2359"/>
        <v>1</v>
      </c>
      <c r="AE2318" s="1">
        <f t="shared" ca="1" si="2380"/>
        <v>157</v>
      </c>
      <c r="AF2318" t="str">
        <f t="shared" ca="1" si="2357"/>
        <v>Plot 157</v>
      </c>
    </row>
    <row r="2319" spans="28:32" x14ac:dyDescent="0.25">
      <c r="AB2319" t="str">
        <f t="shared" ref="AB2319:AC2319" si="2409">AB2298</f>
        <v>External Scaffolding</v>
      </c>
      <c r="AC2319" t="str">
        <f t="shared" si="2409"/>
        <v>Lift 3</v>
      </c>
      <c r="AD2319" t="b">
        <f t="shared" ca="1" si="2359"/>
        <v>1</v>
      </c>
      <c r="AE2319" s="1">
        <f t="shared" ca="1" si="2380"/>
        <v>157</v>
      </c>
      <c r="AF2319" t="str">
        <f t="shared" ca="1" si="2357"/>
        <v>Plot 157</v>
      </c>
    </row>
    <row r="2320" spans="28:32" x14ac:dyDescent="0.25">
      <c r="AB2320" t="str">
        <f t="shared" ref="AB2320:AC2320" si="2410">AB2299</f>
        <v>External Scaffolding</v>
      </c>
      <c r="AC2320" t="str">
        <f t="shared" si="2410"/>
        <v>Lift 4</v>
      </c>
      <c r="AD2320" t="b">
        <f t="shared" ca="1" si="2359"/>
        <v>0</v>
      </c>
      <c r="AE2320" s="1">
        <f t="shared" ca="1" si="2380"/>
        <v>157</v>
      </c>
      <c r="AF2320" t="str">
        <f t="shared" ca="1" si="2357"/>
        <v>Plot 157</v>
      </c>
    </row>
    <row r="2321" spans="28:32" x14ac:dyDescent="0.25">
      <c r="AB2321" t="str">
        <f t="shared" ref="AB2321:AC2321" si="2411">AB2300</f>
        <v>External Scaffolding</v>
      </c>
      <c r="AC2321" t="str">
        <f t="shared" si="2411"/>
        <v>Lift 5</v>
      </c>
      <c r="AD2321" t="b">
        <f t="shared" ca="1" si="2359"/>
        <v>0</v>
      </c>
      <c r="AE2321" s="1">
        <f t="shared" ca="1" si="2380"/>
        <v>157</v>
      </c>
      <c r="AF2321" t="str">
        <f t="shared" ca="1" si="2357"/>
        <v>Plot 157</v>
      </c>
    </row>
    <row r="2322" spans="28:32" x14ac:dyDescent="0.25">
      <c r="AB2322" t="str">
        <f t="shared" ref="AB2322:AC2322" si="2412">AB2301</f>
        <v>External Scaffolding</v>
      </c>
      <c r="AC2322" t="str">
        <f t="shared" si="2412"/>
        <v>Lift 6</v>
      </c>
      <c r="AD2322" t="b">
        <f t="shared" ca="1" si="2359"/>
        <v>0</v>
      </c>
      <c r="AE2322" s="1">
        <f t="shared" ca="1" si="2380"/>
        <v>157</v>
      </c>
      <c r="AF2322" t="str">
        <f t="shared" ca="1" si="2357"/>
        <v>Plot 157</v>
      </c>
    </row>
    <row r="2323" spans="28:32" x14ac:dyDescent="0.25">
      <c r="AB2323" t="str">
        <f t="shared" ref="AB2323:AC2323" si="2413">AB2302</f>
        <v>Loading Bay</v>
      </c>
      <c r="AC2323" t="str">
        <f t="shared" si="2413"/>
        <v>Lift 1</v>
      </c>
      <c r="AD2323" t="b">
        <f t="shared" ca="1" si="2359"/>
        <v>1</v>
      </c>
      <c r="AE2323" s="1">
        <f t="shared" ca="1" si="2380"/>
        <v>157</v>
      </c>
      <c r="AF2323" t="str">
        <f t="shared" ca="1" si="2357"/>
        <v>Plot 157</v>
      </c>
    </row>
    <row r="2324" spans="28:32" x14ac:dyDescent="0.25">
      <c r="AB2324" t="str">
        <f t="shared" ref="AB2324:AC2324" si="2414">AB2303</f>
        <v>Loading Bay</v>
      </c>
      <c r="AC2324" t="str">
        <f t="shared" si="2414"/>
        <v>Lift 2</v>
      </c>
      <c r="AD2324" t="b">
        <f t="shared" ca="1" si="2359"/>
        <v>1</v>
      </c>
      <c r="AE2324" s="1">
        <f t="shared" ca="1" si="2380"/>
        <v>157</v>
      </c>
      <c r="AF2324" t="str">
        <f t="shared" ca="1" si="2357"/>
        <v>Plot 157</v>
      </c>
    </row>
    <row r="2325" spans="28:32" x14ac:dyDescent="0.25">
      <c r="AB2325" t="str">
        <f t="shared" ref="AB2325:AC2325" si="2415">AB2304</f>
        <v>Loading Bay</v>
      </c>
      <c r="AC2325" t="str">
        <f t="shared" si="2415"/>
        <v>Lift 3</v>
      </c>
      <c r="AD2325" t="b">
        <f t="shared" ca="1" si="2359"/>
        <v>1</v>
      </c>
      <c r="AE2325" s="1">
        <f t="shared" ca="1" si="2380"/>
        <v>157</v>
      </c>
      <c r="AF2325" t="str">
        <f t="shared" ca="1" si="2357"/>
        <v>Plot 157</v>
      </c>
    </row>
    <row r="2326" spans="28:32" x14ac:dyDescent="0.25">
      <c r="AB2326" t="str">
        <f t="shared" ref="AB2326:AC2326" si="2416">AB2305</f>
        <v>Loading Bay</v>
      </c>
      <c r="AC2326" t="str">
        <f t="shared" si="2416"/>
        <v>Lift 4</v>
      </c>
      <c r="AD2326" t="b">
        <f t="shared" ca="1" si="2359"/>
        <v>0</v>
      </c>
      <c r="AE2326" s="1">
        <f t="shared" ca="1" si="2380"/>
        <v>157</v>
      </c>
      <c r="AF2326" t="str">
        <f t="shared" ca="1" si="2357"/>
        <v>Plot 157</v>
      </c>
    </row>
    <row r="2327" spans="28:32" x14ac:dyDescent="0.25">
      <c r="AB2327" t="str">
        <f t="shared" ref="AB2327:AC2327" si="2417">AB2306</f>
        <v>Loading Bay</v>
      </c>
      <c r="AC2327" t="str">
        <f t="shared" si="2417"/>
        <v>Lift 5</v>
      </c>
      <c r="AD2327" t="b">
        <f t="shared" ca="1" si="2359"/>
        <v>0</v>
      </c>
      <c r="AE2327" s="1">
        <f t="shared" ca="1" si="2380"/>
        <v>157</v>
      </c>
      <c r="AF2327" t="str">
        <f t="shared" ca="1" si="2357"/>
        <v>Plot 157</v>
      </c>
    </row>
    <row r="2328" spans="28:32" x14ac:dyDescent="0.25">
      <c r="AB2328" t="str">
        <f t="shared" ref="AB2328:AC2328" si="2418">AB2307</f>
        <v>Loading Bay</v>
      </c>
      <c r="AC2328" t="str">
        <f t="shared" si="2418"/>
        <v>Lift 6</v>
      </c>
      <c r="AD2328" t="b">
        <f t="shared" ca="1" si="2359"/>
        <v>0</v>
      </c>
      <c r="AE2328" s="1">
        <f t="shared" ca="1" si="2380"/>
        <v>157</v>
      </c>
      <c r="AF2328" t="str">
        <f t="shared" ca="1" si="2357"/>
        <v>Plot 157</v>
      </c>
    </row>
    <row r="2329" spans="28:32" x14ac:dyDescent="0.25">
      <c r="AB2329" t="str">
        <f t="shared" ref="AB2329:AC2329" si="2419">AB2308</f>
        <v>Scaffolding Platform</v>
      </c>
      <c r="AC2329" t="str">
        <f t="shared" si="2419"/>
        <v>Ground Floor</v>
      </c>
      <c r="AD2329" t="b">
        <f t="shared" ca="1" si="2359"/>
        <v>1</v>
      </c>
      <c r="AE2329" s="1">
        <f t="shared" ca="1" si="2380"/>
        <v>157</v>
      </c>
      <c r="AF2329" t="str">
        <f t="shared" ca="1" si="2357"/>
        <v>Plot 157</v>
      </c>
    </row>
    <row r="2330" spans="28:32" x14ac:dyDescent="0.25">
      <c r="AB2330" t="str">
        <f t="shared" ref="AB2330:AC2330" si="2420">AB2309</f>
        <v>Scaffolding Platform</v>
      </c>
      <c r="AC2330" t="str">
        <f t="shared" si="2420"/>
        <v>First Floor</v>
      </c>
      <c r="AD2330" t="b">
        <f t="shared" ca="1" si="2359"/>
        <v>1</v>
      </c>
      <c r="AE2330" s="1">
        <f t="shared" ca="1" si="2380"/>
        <v>157</v>
      </c>
      <c r="AF2330" t="str">
        <f t="shared" ca="1" si="2357"/>
        <v>Plot 157</v>
      </c>
    </row>
    <row r="2331" spans="28:32" x14ac:dyDescent="0.25">
      <c r="AB2331" t="str">
        <f t="shared" ref="AB2331:AC2331" si="2421">AB2310</f>
        <v>Scaffolding Platform</v>
      </c>
      <c r="AC2331" t="str">
        <f t="shared" si="2421"/>
        <v>Second Floor</v>
      </c>
      <c r="AD2331" t="b">
        <f t="shared" ca="1" si="2359"/>
        <v>0</v>
      </c>
      <c r="AE2331" s="1">
        <f t="shared" ca="1" si="2380"/>
        <v>157</v>
      </c>
      <c r="AF2331" t="str">
        <f t="shared" ca="1" si="2357"/>
        <v>Plot 157</v>
      </c>
    </row>
    <row r="2332" spans="28:32" x14ac:dyDescent="0.25">
      <c r="AB2332" t="str">
        <f t="shared" ref="AB2332:AC2332" si="2422">AB2311</f>
        <v>Supporting Scaffold</v>
      </c>
      <c r="AC2332" t="str">
        <f t="shared" si="2422"/>
        <v>Ground Floor Prop.</v>
      </c>
      <c r="AD2332" t="str">
        <f t="shared" ca="1" si="2359"/>
        <v>TRUE</v>
      </c>
      <c r="AE2332" s="1">
        <f t="shared" ca="1" si="2380"/>
        <v>157</v>
      </c>
      <c r="AF2332" t="str">
        <f t="shared" ca="1" si="2357"/>
        <v>Plot 157</v>
      </c>
    </row>
    <row r="2333" spans="28:32" x14ac:dyDescent="0.25">
      <c r="AB2333" t="str">
        <f t="shared" ref="AB2333:AC2333" si="2423">AB2312</f>
        <v>Supporting Scaffold</v>
      </c>
      <c r="AC2333" t="str">
        <f t="shared" si="2423"/>
        <v>First Floor Prop.</v>
      </c>
      <c r="AD2333" t="str">
        <f t="shared" ca="1" si="2359"/>
        <v>FALSE</v>
      </c>
      <c r="AE2333" s="1">
        <f t="shared" ca="1" si="2380"/>
        <v>157</v>
      </c>
      <c r="AF2333" t="str">
        <f t="shared" ref="AF2333:AF2396" ca="1" si="2424">IF(LEFT(AE2333,1)="G",AE2333,"Plot "&amp;AE2333)</f>
        <v>Plot 157</v>
      </c>
    </row>
    <row r="2334" spans="28:32" x14ac:dyDescent="0.25">
      <c r="AB2334" t="str">
        <f t="shared" ref="AB2334:AC2334" si="2425">AB2313</f>
        <v>Supporting Scaffold</v>
      </c>
      <c r="AC2334" t="str">
        <f t="shared" si="2425"/>
        <v>Second Floor Prop.</v>
      </c>
      <c r="AD2334" t="str">
        <f t="shared" ref="AD2334:AD2397" ca="1" si="2426">INDEX($AC$1:$JH$22,MATCH(AC2334,$AC$1:$AC$22,0),MATCH(AE2334,$AC$1:$JH$1,0))</f>
        <v>FALSE</v>
      </c>
      <c r="AE2334" s="1">
        <f t="shared" ca="1" si="2380"/>
        <v>157</v>
      </c>
      <c r="AF2334" t="str">
        <f t="shared" ca="1" si="2424"/>
        <v>Plot 157</v>
      </c>
    </row>
    <row r="2335" spans="28:32" x14ac:dyDescent="0.25">
      <c r="AB2335" t="str">
        <f t="shared" ref="AB2335:AC2335" si="2427">AB2314</f>
        <v>External Scaffolding</v>
      </c>
      <c r="AC2335" t="str">
        <f t="shared" si="2427"/>
        <v>Hop-ups</v>
      </c>
      <c r="AD2335" t="b">
        <f t="shared" ca="1" si="2426"/>
        <v>1</v>
      </c>
      <c r="AE2335" s="1">
        <f t="shared" ca="1" si="2380"/>
        <v>157</v>
      </c>
      <c r="AF2335" t="str">
        <f t="shared" ca="1" si="2424"/>
        <v>Plot 157</v>
      </c>
    </row>
    <row r="2336" spans="28:32" x14ac:dyDescent="0.25">
      <c r="AB2336" t="str">
        <f t="shared" ref="AB2336:AC2336" si="2428">AB2315</f>
        <v>External Scaffolding</v>
      </c>
      <c r="AC2336" t="str">
        <f t="shared" si="2428"/>
        <v>Adaptions</v>
      </c>
      <c r="AD2336" t="b">
        <f t="shared" ca="1" si="2426"/>
        <v>1</v>
      </c>
      <c r="AE2336" s="1">
        <f t="shared" ca="1" si="2380"/>
        <v>157</v>
      </c>
      <c r="AF2336" t="str">
        <f t="shared" ca="1" si="2424"/>
        <v>Plot 157</v>
      </c>
    </row>
    <row r="2337" spans="28:32" x14ac:dyDescent="0.25">
      <c r="AB2337" t="str">
        <f t="shared" ref="AB2337:AC2337" si="2429">AB2316</f>
        <v>External Scaffolding</v>
      </c>
      <c r="AC2337" t="str">
        <f t="shared" si="2429"/>
        <v>Adaption Tower</v>
      </c>
      <c r="AD2337" t="b">
        <f t="shared" ca="1" si="2426"/>
        <v>1</v>
      </c>
      <c r="AE2337" s="1">
        <f t="shared" ca="1" si="2380"/>
        <v>157</v>
      </c>
      <c r="AF2337" t="str">
        <f t="shared" ca="1" si="2424"/>
        <v>Plot 157</v>
      </c>
    </row>
    <row r="2338" spans="28:32" x14ac:dyDescent="0.25">
      <c r="AB2338" t="str">
        <f t="shared" ref="AB2338:AC2338" si="2430">AB2317</f>
        <v>External Scaffolding</v>
      </c>
      <c r="AC2338" t="str">
        <f t="shared" si="2430"/>
        <v>Lift 1</v>
      </c>
      <c r="AD2338" t="b">
        <f t="shared" ca="1" si="2426"/>
        <v>1</v>
      </c>
      <c r="AE2338" s="1">
        <f t="shared" ca="1" si="2380"/>
        <v>158</v>
      </c>
      <c r="AF2338" t="str">
        <f t="shared" ca="1" si="2424"/>
        <v>Plot 158</v>
      </c>
    </row>
    <row r="2339" spans="28:32" x14ac:dyDescent="0.25">
      <c r="AB2339" t="str">
        <f t="shared" ref="AB2339:AC2339" si="2431">AB2318</f>
        <v>External Scaffolding</v>
      </c>
      <c r="AC2339" t="str">
        <f t="shared" si="2431"/>
        <v>Lift 2</v>
      </c>
      <c r="AD2339" t="b">
        <f t="shared" ca="1" si="2426"/>
        <v>1</v>
      </c>
      <c r="AE2339" s="1">
        <f t="shared" ca="1" si="2380"/>
        <v>158</v>
      </c>
      <c r="AF2339" t="str">
        <f t="shared" ca="1" si="2424"/>
        <v>Plot 158</v>
      </c>
    </row>
    <row r="2340" spans="28:32" x14ac:dyDescent="0.25">
      <c r="AB2340" t="str">
        <f t="shared" ref="AB2340:AC2340" si="2432">AB2319</f>
        <v>External Scaffolding</v>
      </c>
      <c r="AC2340" t="str">
        <f t="shared" si="2432"/>
        <v>Lift 3</v>
      </c>
      <c r="AD2340" t="b">
        <f t="shared" ca="1" si="2426"/>
        <v>1</v>
      </c>
      <c r="AE2340" s="1">
        <f t="shared" ca="1" si="2380"/>
        <v>158</v>
      </c>
      <c r="AF2340" t="str">
        <f t="shared" ca="1" si="2424"/>
        <v>Plot 158</v>
      </c>
    </row>
    <row r="2341" spans="28:32" x14ac:dyDescent="0.25">
      <c r="AB2341" t="str">
        <f t="shared" ref="AB2341:AC2341" si="2433">AB2320</f>
        <v>External Scaffolding</v>
      </c>
      <c r="AC2341" t="str">
        <f t="shared" si="2433"/>
        <v>Lift 4</v>
      </c>
      <c r="AD2341" t="b">
        <f t="shared" ca="1" si="2426"/>
        <v>0</v>
      </c>
      <c r="AE2341" s="1">
        <f t="shared" ca="1" si="2380"/>
        <v>158</v>
      </c>
      <c r="AF2341" t="str">
        <f t="shared" ca="1" si="2424"/>
        <v>Plot 158</v>
      </c>
    </row>
    <row r="2342" spans="28:32" x14ac:dyDescent="0.25">
      <c r="AB2342" t="str">
        <f t="shared" ref="AB2342:AC2342" si="2434">AB2321</f>
        <v>External Scaffolding</v>
      </c>
      <c r="AC2342" t="str">
        <f t="shared" si="2434"/>
        <v>Lift 5</v>
      </c>
      <c r="AD2342" t="b">
        <f t="shared" ca="1" si="2426"/>
        <v>0</v>
      </c>
      <c r="AE2342" s="1">
        <f t="shared" ca="1" si="2380"/>
        <v>158</v>
      </c>
      <c r="AF2342" t="str">
        <f t="shared" ca="1" si="2424"/>
        <v>Plot 158</v>
      </c>
    </row>
    <row r="2343" spans="28:32" x14ac:dyDescent="0.25">
      <c r="AB2343" t="str">
        <f t="shared" ref="AB2343:AC2343" si="2435">AB2322</f>
        <v>External Scaffolding</v>
      </c>
      <c r="AC2343" t="str">
        <f t="shared" si="2435"/>
        <v>Lift 6</v>
      </c>
      <c r="AD2343" t="b">
        <f t="shared" ca="1" si="2426"/>
        <v>0</v>
      </c>
      <c r="AE2343" s="1">
        <f t="shared" ca="1" si="2380"/>
        <v>158</v>
      </c>
      <c r="AF2343" t="str">
        <f t="shared" ca="1" si="2424"/>
        <v>Plot 158</v>
      </c>
    </row>
    <row r="2344" spans="28:32" x14ac:dyDescent="0.25">
      <c r="AB2344" t="str">
        <f t="shared" ref="AB2344:AC2344" si="2436">AB2323</f>
        <v>Loading Bay</v>
      </c>
      <c r="AC2344" t="str">
        <f t="shared" si="2436"/>
        <v>Lift 1</v>
      </c>
      <c r="AD2344" t="b">
        <f t="shared" ca="1" si="2426"/>
        <v>1</v>
      </c>
      <c r="AE2344" s="1">
        <f t="shared" ca="1" si="2380"/>
        <v>158</v>
      </c>
      <c r="AF2344" t="str">
        <f t="shared" ca="1" si="2424"/>
        <v>Plot 158</v>
      </c>
    </row>
    <row r="2345" spans="28:32" x14ac:dyDescent="0.25">
      <c r="AB2345" t="str">
        <f t="shared" ref="AB2345:AC2345" si="2437">AB2324</f>
        <v>Loading Bay</v>
      </c>
      <c r="AC2345" t="str">
        <f t="shared" si="2437"/>
        <v>Lift 2</v>
      </c>
      <c r="AD2345" t="b">
        <f t="shared" ca="1" si="2426"/>
        <v>1</v>
      </c>
      <c r="AE2345" s="1">
        <f t="shared" ca="1" si="2380"/>
        <v>158</v>
      </c>
      <c r="AF2345" t="str">
        <f t="shared" ca="1" si="2424"/>
        <v>Plot 158</v>
      </c>
    </row>
    <row r="2346" spans="28:32" x14ac:dyDescent="0.25">
      <c r="AB2346" t="str">
        <f t="shared" ref="AB2346:AC2346" si="2438">AB2325</f>
        <v>Loading Bay</v>
      </c>
      <c r="AC2346" t="str">
        <f t="shared" si="2438"/>
        <v>Lift 3</v>
      </c>
      <c r="AD2346" t="b">
        <f t="shared" ca="1" si="2426"/>
        <v>1</v>
      </c>
      <c r="AE2346" s="1">
        <f t="shared" ca="1" si="2380"/>
        <v>158</v>
      </c>
      <c r="AF2346" t="str">
        <f t="shared" ca="1" si="2424"/>
        <v>Plot 158</v>
      </c>
    </row>
    <row r="2347" spans="28:32" x14ac:dyDescent="0.25">
      <c r="AB2347" t="str">
        <f t="shared" ref="AB2347:AC2347" si="2439">AB2326</f>
        <v>Loading Bay</v>
      </c>
      <c r="AC2347" t="str">
        <f t="shared" si="2439"/>
        <v>Lift 4</v>
      </c>
      <c r="AD2347" t="b">
        <f t="shared" ca="1" si="2426"/>
        <v>0</v>
      </c>
      <c r="AE2347" s="1">
        <f t="shared" ca="1" si="2380"/>
        <v>158</v>
      </c>
      <c r="AF2347" t="str">
        <f t="shared" ca="1" si="2424"/>
        <v>Plot 158</v>
      </c>
    </row>
    <row r="2348" spans="28:32" x14ac:dyDescent="0.25">
      <c r="AB2348" t="str">
        <f t="shared" ref="AB2348:AC2348" si="2440">AB2327</f>
        <v>Loading Bay</v>
      </c>
      <c r="AC2348" t="str">
        <f t="shared" si="2440"/>
        <v>Lift 5</v>
      </c>
      <c r="AD2348" t="b">
        <f t="shared" ca="1" si="2426"/>
        <v>0</v>
      </c>
      <c r="AE2348" s="1">
        <f t="shared" ca="1" si="2380"/>
        <v>158</v>
      </c>
      <c r="AF2348" t="str">
        <f t="shared" ca="1" si="2424"/>
        <v>Plot 158</v>
      </c>
    </row>
    <row r="2349" spans="28:32" x14ac:dyDescent="0.25">
      <c r="AB2349" t="str">
        <f t="shared" ref="AB2349:AC2349" si="2441">AB2328</f>
        <v>Loading Bay</v>
      </c>
      <c r="AC2349" t="str">
        <f t="shared" si="2441"/>
        <v>Lift 6</v>
      </c>
      <c r="AD2349" t="b">
        <f t="shared" ca="1" si="2426"/>
        <v>0</v>
      </c>
      <c r="AE2349" s="1">
        <f t="shared" ca="1" si="2380"/>
        <v>158</v>
      </c>
      <c r="AF2349" t="str">
        <f t="shared" ca="1" si="2424"/>
        <v>Plot 158</v>
      </c>
    </row>
    <row r="2350" spans="28:32" x14ac:dyDescent="0.25">
      <c r="AB2350" t="str">
        <f t="shared" ref="AB2350:AC2350" si="2442">AB2329</f>
        <v>Scaffolding Platform</v>
      </c>
      <c r="AC2350" t="str">
        <f t="shared" si="2442"/>
        <v>Ground Floor</v>
      </c>
      <c r="AD2350" t="b">
        <f t="shared" ca="1" si="2426"/>
        <v>1</v>
      </c>
      <c r="AE2350" s="1">
        <f t="shared" ca="1" si="2380"/>
        <v>158</v>
      </c>
      <c r="AF2350" t="str">
        <f t="shared" ca="1" si="2424"/>
        <v>Plot 158</v>
      </c>
    </row>
    <row r="2351" spans="28:32" x14ac:dyDescent="0.25">
      <c r="AB2351" t="str">
        <f t="shared" ref="AB2351:AC2351" si="2443">AB2330</f>
        <v>Scaffolding Platform</v>
      </c>
      <c r="AC2351" t="str">
        <f t="shared" si="2443"/>
        <v>First Floor</v>
      </c>
      <c r="AD2351" t="b">
        <f t="shared" ca="1" si="2426"/>
        <v>1</v>
      </c>
      <c r="AE2351" s="1">
        <f t="shared" ca="1" si="2380"/>
        <v>158</v>
      </c>
      <c r="AF2351" t="str">
        <f t="shared" ca="1" si="2424"/>
        <v>Plot 158</v>
      </c>
    </row>
    <row r="2352" spans="28:32" x14ac:dyDescent="0.25">
      <c r="AB2352" t="str">
        <f t="shared" ref="AB2352:AC2352" si="2444">AB2331</f>
        <v>Scaffolding Platform</v>
      </c>
      <c r="AC2352" t="str">
        <f t="shared" si="2444"/>
        <v>Second Floor</v>
      </c>
      <c r="AD2352" t="b">
        <f t="shared" ca="1" si="2426"/>
        <v>0</v>
      </c>
      <c r="AE2352" s="1">
        <f t="shared" ca="1" si="2380"/>
        <v>158</v>
      </c>
      <c r="AF2352" t="str">
        <f t="shared" ca="1" si="2424"/>
        <v>Plot 158</v>
      </c>
    </row>
    <row r="2353" spans="28:32" x14ac:dyDescent="0.25">
      <c r="AB2353" t="str">
        <f t="shared" ref="AB2353:AC2353" si="2445">AB2332</f>
        <v>Supporting Scaffold</v>
      </c>
      <c r="AC2353" t="str">
        <f t="shared" si="2445"/>
        <v>Ground Floor Prop.</v>
      </c>
      <c r="AD2353" t="str">
        <f t="shared" ca="1" si="2426"/>
        <v>TRUE</v>
      </c>
      <c r="AE2353" s="1">
        <f t="shared" ca="1" si="2380"/>
        <v>158</v>
      </c>
      <c r="AF2353" t="str">
        <f t="shared" ca="1" si="2424"/>
        <v>Plot 158</v>
      </c>
    </row>
    <row r="2354" spans="28:32" x14ac:dyDescent="0.25">
      <c r="AB2354" t="str">
        <f t="shared" ref="AB2354:AC2354" si="2446">AB2333</f>
        <v>Supporting Scaffold</v>
      </c>
      <c r="AC2354" t="str">
        <f t="shared" si="2446"/>
        <v>First Floor Prop.</v>
      </c>
      <c r="AD2354" t="str">
        <f t="shared" ca="1" si="2426"/>
        <v>FALSE</v>
      </c>
      <c r="AE2354" s="1">
        <f t="shared" ref="AE2354:AE2417" ca="1" si="2447">OFFSET($AD$1,0,FLOOR(ROW(B2326)/21,1))</f>
        <v>158</v>
      </c>
      <c r="AF2354" t="str">
        <f t="shared" ca="1" si="2424"/>
        <v>Plot 158</v>
      </c>
    </row>
    <row r="2355" spans="28:32" x14ac:dyDescent="0.25">
      <c r="AB2355" t="str">
        <f t="shared" ref="AB2355:AC2355" si="2448">AB2334</f>
        <v>Supporting Scaffold</v>
      </c>
      <c r="AC2355" t="str">
        <f t="shared" si="2448"/>
        <v>Second Floor Prop.</v>
      </c>
      <c r="AD2355" t="str">
        <f t="shared" ca="1" si="2426"/>
        <v>FALSE</v>
      </c>
      <c r="AE2355" s="1">
        <f t="shared" ca="1" si="2447"/>
        <v>158</v>
      </c>
      <c r="AF2355" t="str">
        <f t="shared" ca="1" si="2424"/>
        <v>Plot 158</v>
      </c>
    </row>
    <row r="2356" spans="28:32" x14ac:dyDescent="0.25">
      <c r="AB2356" t="str">
        <f t="shared" ref="AB2356:AC2356" si="2449">AB2335</f>
        <v>External Scaffolding</v>
      </c>
      <c r="AC2356" t="str">
        <f t="shared" si="2449"/>
        <v>Hop-ups</v>
      </c>
      <c r="AD2356" t="b">
        <f t="shared" ca="1" si="2426"/>
        <v>1</v>
      </c>
      <c r="AE2356" s="1">
        <f t="shared" ca="1" si="2447"/>
        <v>158</v>
      </c>
      <c r="AF2356" t="str">
        <f t="shared" ca="1" si="2424"/>
        <v>Plot 158</v>
      </c>
    </row>
    <row r="2357" spans="28:32" x14ac:dyDescent="0.25">
      <c r="AB2357" t="str">
        <f t="shared" ref="AB2357:AC2357" si="2450">AB2336</f>
        <v>External Scaffolding</v>
      </c>
      <c r="AC2357" t="str">
        <f t="shared" si="2450"/>
        <v>Adaptions</v>
      </c>
      <c r="AD2357" t="b">
        <f t="shared" ca="1" si="2426"/>
        <v>1</v>
      </c>
      <c r="AE2357" s="1">
        <f t="shared" ca="1" si="2447"/>
        <v>158</v>
      </c>
      <c r="AF2357" t="str">
        <f t="shared" ca="1" si="2424"/>
        <v>Plot 158</v>
      </c>
    </row>
    <row r="2358" spans="28:32" x14ac:dyDescent="0.25">
      <c r="AB2358" t="str">
        <f t="shared" ref="AB2358:AC2358" si="2451">AB2337</f>
        <v>External Scaffolding</v>
      </c>
      <c r="AC2358" t="str">
        <f t="shared" si="2451"/>
        <v>Adaption Tower</v>
      </c>
      <c r="AD2358" t="b">
        <f t="shared" ca="1" si="2426"/>
        <v>1</v>
      </c>
      <c r="AE2358" s="1">
        <f t="shared" ca="1" si="2447"/>
        <v>158</v>
      </c>
      <c r="AF2358" t="str">
        <f t="shared" ca="1" si="2424"/>
        <v>Plot 158</v>
      </c>
    </row>
    <row r="2359" spans="28:32" x14ac:dyDescent="0.25">
      <c r="AB2359" t="str">
        <f t="shared" ref="AB2359:AC2359" si="2452">AB2338</f>
        <v>External Scaffolding</v>
      </c>
      <c r="AC2359" t="str">
        <f t="shared" si="2452"/>
        <v>Lift 1</v>
      </c>
      <c r="AD2359" t="b">
        <f t="shared" ca="1" si="2426"/>
        <v>1</v>
      </c>
      <c r="AE2359" s="1">
        <f t="shared" ca="1" si="2447"/>
        <v>159</v>
      </c>
      <c r="AF2359" t="str">
        <f t="shared" ca="1" si="2424"/>
        <v>Plot 159</v>
      </c>
    </row>
    <row r="2360" spans="28:32" x14ac:dyDescent="0.25">
      <c r="AB2360" t="str">
        <f t="shared" ref="AB2360:AC2360" si="2453">AB2339</f>
        <v>External Scaffolding</v>
      </c>
      <c r="AC2360" t="str">
        <f t="shared" si="2453"/>
        <v>Lift 2</v>
      </c>
      <c r="AD2360" t="b">
        <f t="shared" ca="1" si="2426"/>
        <v>1</v>
      </c>
      <c r="AE2360" s="1">
        <f t="shared" ca="1" si="2447"/>
        <v>159</v>
      </c>
      <c r="AF2360" t="str">
        <f t="shared" ca="1" si="2424"/>
        <v>Plot 159</v>
      </c>
    </row>
    <row r="2361" spans="28:32" x14ac:dyDescent="0.25">
      <c r="AB2361" t="str">
        <f t="shared" ref="AB2361:AC2361" si="2454">AB2340</f>
        <v>External Scaffolding</v>
      </c>
      <c r="AC2361" t="str">
        <f t="shared" si="2454"/>
        <v>Lift 3</v>
      </c>
      <c r="AD2361" t="b">
        <f t="shared" ca="1" si="2426"/>
        <v>1</v>
      </c>
      <c r="AE2361" s="1">
        <f t="shared" ca="1" si="2447"/>
        <v>159</v>
      </c>
      <c r="AF2361" t="str">
        <f t="shared" ca="1" si="2424"/>
        <v>Plot 159</v>
      </c>
    </row>
    <row r="2362" spans="28:32" x14ac:dyDescent="0.25">
      <c r="AB2362" t="str">
        <f t="shared" ref="AB2362:AC2362" si="2455">AB2341</f>
        <v>External Scaffolding</v>
      </c>
      <c r="AC2362" t="str">
        <f t="shared" si="2455"/>
        <v>Lift 4</v>
      </c>
      <c r="AD2362" t="b">
        <f t="shared" ca="1" si="2426"/>
        <v>0</v>
      </c>
      <c r="AE2362" s="1">
        <f t="shared" ca="1" si="2447"/>
        <v>159</v>
      </c>
      <c r="AF2362" t="str">
        <f t="shared" ca="1" si="2424"/>
        <v>Plot 159</v>
      </c>
    </row>
    <row r="2363" spans="28:32" x14ac:dyDescent="0.25">
      <c r="AB2363" t="str">
        <f t="shared" ref="AB2363:AC2363" si="2456">AB2342</f>
        <v>External Scaffolding</v>
      </c>
      <c r="AC2363" t="str">
        <f t="shared" si="2456"/>
        <v>Lift 5</v>
      </c>
      <c r="AD2363" t="b">
        <f t="shared" ca="1" si="2426"/>
        <v>0</v>
      </c>
      <c r="AE2363" s="1">
        <f t="shared" ca="1" si="2447"/>
        <v>159</v>
      </c>
      <c r="AF2363" t="str">
        <f t="shared" ca="1" si="2424"/>
        <v>Plot 159</v>
      </c>
    </row>
    <row r="2364" spans="28:32" x14ac:dyDescent="0.25">
      <c r="AB2364" t="str">
        <f t="shared" ref="AB2364:AC2364" si="2457">AB2343</f>
        <v>External Scaffolding</v>
      </c>
      <c r="AC2364" t="str">
        <f t="shared" si="2457"/>
        <v>Lift 6</v>
      </c>
      <c r="AD2364" t="b">
        <f t="shared" ca="1" si="2426"/>
        <v>0</v>
      </c>
      <c r="AE2364" s="1">
        <f t="shared" ca="1" si="2447"/>
        <v>159</v>
      </c>
      <c r="AF2364" t="str">
        <f t="shared" ca="1" si="2424"/>
        <v>Plot 159</v>
      </c>
    </row>
    <row r="2365" spans="28:32" x14ac:dyDescent="0.25">
      <c r="AB2365" t="str">
        <f t="shared" ref="AB2365:AC2365" si="2458">AB2344</f>
        <v>Loading Bay</v>
      </c>
      <c r="AC2365" t="str">
        <f t="shared" si="2458"/>
        <v>Lift 1</v>
      </c>
      <c r="AD2365" t="b">
        <f t="shared" ca="1" si="2426"/>
        <v>1</v>
      </c>
      <c r="AE2365" s="1">
        <f t="shared" ca="1" si="2447"/>
        <v>159</v>
      </c>
      <c r="AF2365" t="str">
        <f t="shared" ca="1" si="2424"/>
        <v>Plot 159</v>
      </c>
    </row>
    <row r="2366" spans="28:32" x14ac:dyDescent="0.25">
      <c r="AB2366" t="str">
        <f t="shared" ref="AB2366:AC2366" si="2459">AB2345</f>
        <v>Loading Bay</v>
      </c>
      <c r="AC2366" t="str">
        <f t="shared" si="2459"/>
        <v>Lift 2</v>
      </c>
      <c r="AD2366" t="b">
        <f t="shared" ca="1" si="2426"/>
        <v>1</v>
      </c>
      <c r="AE2366" s="1">
        <f t="shared" ca="1" si="2447"/>
        <v>159</v>
      </c>
      <c r="AF2366" t="str">
        <f t="shared" ca="1" si="2424"/>
        <v>Plot 159</v>
      </c>
    </row>
    <row r="2367" spans="28:32" x14ac:dyDescent="0.25">
      <c r="AB2367" t="str">
        <f t="shared" ref="AB2367:AC2367" si="2460">AB2346</f>
        <v>Loading Bay</v>
      </c>
      <c r="AC2367" t="str">
        <f t="shared" si="2460"/>
        <v>Lift 3</v>
      </c>
      <c r="AD2367" t="b">
        <f t="shared" ca="1" si="2426"/>
        <v>1</v>
      </c>
      <c r="AE2367" s="1">
        <f t="shared" ca="1" si="2447"/>
        <v>159</v>
      </c>
      <c r="AF2367" t="str">
        <f t="shared" ca="1" si="2424"/>
        <v>Plot 159</v>
      </c>
    </row>
    <row r="2368" spans="28:32" x14ac:dyDescent="0.25">
      <c r="AB2368" t="str">
        <f t="shared" ref="AB2368:AC2368" si="2461">AB2347</f>
        <v>Loading Bay</v>
      </c>
      <c r="AC2368" t="str">
        <f t="shared" si="2461"/>
        <v>Lift 4</v>
      </c>
      <c r="AD2368" t="b">
        <f t="shared" ca="1" si="2426"/>
        <v>0</v>
      </c>
      <c r="AE2368" s="1">
        <f t="shared" ca="1" si="2447"/>
        <v>159</v>
      </c>
      <c r="AF2368" t="str">
        <f t="shared" ca="1" si="2424"/>
        <v>Plot 159</v>
      </c>
    </row>
    <row r="2369" spans="28:32" x14ac:dyDescent="0.25">
      <c r="AB2369" t="str">
        <f t="shared" ref="AB2369:AC2369" si="2462">AB2348</f>
        <v>Loading Bay</v>
      </c>
      <c r="AC2369" t="str">
        <f t="shared" si="2462"/>
        <v>Lift 5</v>
      </c>
      <c r="AD2369" t="b">
        <f t="shared" ca="1" si="2426"/>
        <v>0</v>
      </c>
      <c r="AE2369" s="1">
        <f t="shared" ca="1" si="2447"/>
        <v>159</v>
      </c>
      <c r="AF2369" t="str">
        <f t="shared" ca="1" si="2424"/>
        <v>Plot 159</v>
      </c>
    </row>
    <row r="2370" spans="28:32" x14ac:dyDescent="0.25">
      <c r="AB2370" t="str">
        <f t="shared" ref="AB2370:AC2370" si="2463">AB2349</f>
        <v>Loading Bay</v>
      </c>
      <c r="AC2370" t="str">
        <f t="shared" si="2463"/>
        <v>Lift 6</v>
      </c>
      <c r="AD2370" t="b">
        <f t="shared" ca="1" si="2426"/>
        <v>0</v>
      </c>
      <c r="AE2370" s="1">
        <f t="shared" ca="1" si="2447"/>
        <v>159</v>
      </c>
      <c r="AF2370" t="str">
        <f t="shared" ca="1" si="2424"/>
        <v>Plot 159</v>
      </c>
    </row>
    <row r="2371" spans="28:32" x14ac:dyDescent="0.25">
      <c r="AB2371" t="str">
        <f t="shared" ref="AB2371:AC2371" si="2464">AB2350</f>
        <v>Scaffolding Platform</v>
      </c>
      <c r="AC2371" t="str">
        <f t="shared" si="2464"/>
        <v>Ground Floor</v>
      </c>
      <c r="AD2371" t="b">
        <f t="shared" ca="1" si="2426"/>
        <v>1</v>
      </c>
      <c r="AE2371" s="1">
        <f t="shared" ca="1" si="2447"/>
        <v>159</v>
      </c>
      <c r="AF2371" t="str">
        <f t="shared" ca="1" si="2424"/>
        <v>Plot 159</v>
      </c>
    </row>
    <row r="2372" spans="28:32" x14ac:dyDescent="0.25">
      <c r="AB2372" t="str">
        <f t="shared" ref="AB2372:AC2372" si="2465">AB2351</f>
        <v>Scaffolding Platform</v>
      </c>
      <c r="AC2372" t="str">
        <f t="shared" si="2465"/>
        <v>First Floor</v>
      </c>
      <c r="AD2372" t="b">
        <f t="shared" ca="1" si="2426"/>
        <v>1</v>
      </c>
      <c r="AE2372" s="1">
        <f t="shared" ca="1" si="2447"/>
        <v>159</v>
      </c>
      <c r="AF2372" t="str">
        <f t="shared" ca="1" si="2424"/>
        <v>Plot 159</v>
      </c>
    </row>
    <row r="2373" spans="28:32" x14ac:dyDescent="0.25">
      <c r="AB2373" t="str">
        <f t="shared" ref="AB2373:AC2373" si="2466">AB2352</f>
        <v>Scaffolding Platform</v>
      </c>
      <c r="AC2373" t="str">
        <f t="shared" si="2466"/>
        <v>Second Floor</v>
      </c>
      <c r="AD2373" t="b">
        <f t="shared" ca="1" si="2426"/>
        <v>0</v>
      </c>
      <c r="AE2373" s="1">
        <f t="shared" ca="1" si="2447"/>
        <v>159</v>
      </c>
      <c r="AF2373" t="str">
        <f t="shared" ca="1" si="2424"/>
        <v>Plot 159</v>
      </c>
    </row>
    <row r="2374" spans="28:32" x14ac:dyDescent="0.25">
      <c r="AB2374" t="str">
        <f t="shared" ref="AB2374:AC2374" si="2467">AB2353</f>
        <v>Supporting Scaffold</v>
      </c>
      <c r="AC2374" t="str">
        <f t="shared" si="2467"/>
        <v>Ground Floor Prop.</v>
      </c>
      <c r="AD2374" t="str">
        <f t="shared" ca="1" si="2426"/>
        <v>TRUE</v>
      </c>
      <c r="AE2374" s="1">
        <f t="shared" ca="1" si="2447"/>
        <v>159</v>
      </c>
      <c r="AF2374" t="str">
        <f t="shared" ca="1" si="2424"/>
        <v>Plot 159</v>
      </c>
    </row>
    <row r="2375" spans="28:32" x14ac:dyDescent="0.25">
      <c r="AB2375" t="str">
        <f t="shared" ref="AB2375:AC2375" si="2468">AB2354</f>
        <v>Supporting Scaffold</v>
      </c>
      <c r="AC2375" t="str">
        <f t="shared" si="2468"/>
        <v>First Floor Prop.</v>
      </c>
      <c r="AD2375" t="str">
        <f t="shared" ca="1" si="2426"/>
        <v>FALSE</v>
      </c>
      <c r="AE2375" s="1">
        <f t="shared" ca="1" si="2447"/>
        <v>159</v>
      </c>
      <c r="AF2375" t="str">
        <f t="shared" ca="1" si="2424"/>
        <v>Plot 159</v>
      </c>
    </row>
    <row r="2376" spans="28:32" x14ac:dyDescent="0.25">
      <c r="AB2376" t="str">
        <f t="shared" ref="AB2376:AC2376" si="2469">AB2355</f>
        <v>Supporting Scaffold</v>
      </c>
      <c r="AC2376" t="str">
        <f t="shared" si="2469"/>
        <v>Second Floor Prop.</v>
      </c>
      <c r="AD2376" t="str">
        <f t="shared" ca="1" si="2426"/>
        <v>FALSE</v>
      </c>
      <c r="AE2376" s="1">
        <f t="shared" ca="1" si="2447"/>
        <v>159</v>
      </c>
      <c r="AF2376" t="str">
        <f t="shared" ca="1" si="2424"/>
        <v>Plot 159</v>
      </c>
    </row>
    <row r="2377" spans="28:32" x14ac:dyDescent="0.25">
      <c r="AB2377" t="str">
        <f t="shared" ref="AB2377:AC2377" si="2470">AB2356</f>
        <v>External Scaffolding</v>
      </c>
      <c r="AC2377" t="str">
        <f t="shared" si="2470"/>
        <v>Hop-ups</v>
      </c>
      <c r="AD2377" t="b">
        <f t="shared" ca="1" si="2426"/>
        <v>1</v>
      </c>
      <c r="AE2377" s="1">
        <f t="shared" ca="1" si="2447"/>
        <v>159</v>
      </c>
      <c r="AF2377" t="str">
        <f t="shared" ca="1" si="2424"/>
        <v>Plot 159</v>
      </c>
    </row>
    <row r="2378" spans="28:32" x14ac:dyDescent="0.25">
      <c r="AB2378" t="str">
        <f t="shared" ref="AB2378:AC2378" si="2471">AB2357</f>
        <v>External Scaffolding</v>
      </c>
      <c r="AC2378" t="str">
        <f t="shared" si="2471"/>
        <v>Adaptions</v>
      </c>
      <c r="AD2378" t="b">
        <f t="shared" ca="1" si="2426"/>
        <v>1</v>
      </c>
      <c r="AE2378" s="1">
        <f t="shared" ca="1" si="2447"/>
        <v>159</v>
      </c>
      <c r="AF2378" t="str">
        <f t="shared" ca="1" si="2424"/>
        <v>Plot 159</v>
      </c>
    </row>
    <row r="2379" spans="28:32" x14ac:dyDescent="0.25">
      <c r="AB2379" t="str">
        <f t="shared" ref="AB2379:AC2379" si="2472">AB2358</f>
        <v>External Scaffolding</v>
      </c>
      <c r="AC2379" t="str">
        <f t="shared" si="2472"/>
        <v>Adaption Tower</v>
      </c>
      <c r="AD2379" t="b">
        <f t="shared" ca="1" si="2426"/>
        <v>1</v>
      </c>
      <c r="AE2379" s="1">
        <f t="shared" ca="1" si="2447"/>
        <v>159</v>
      </c>
      <c r="AF2379" t="str">
        <f t="shared" ca="1" si="2424"/>
        <v>Plot 159</v>
      </c>
    </row>
    <row r="2380" spans="28:32" x14ac:dyDescent="0.25">
      <c r="AB2380" t="str">
        <f t="shared" ref="AB2380:AC2380" si="2473">AB2359</f>
        <v>External Scaffolding</v>
      </c>
      <c r="AC2380" t="str">
        <f t="shared" si="2473"/>
        <v>Lift 1</v>
      </c>
      <c r="AD2380" t="b">
        <f t="shared" ca="1" si="2426"/>
        <v>1</v>
      </c>
      <c r="AE2380" s="1" t="str">
        <f t="shared" ca="1" si="2447"/>
        <v>160-161</v>
      </c>
      <c r="AF2380" t="str">
        <f t="shared" ca="1" si="2424"/>
        <v>Plot 160-161</v>
      </c>
    </row>
    <row r="2381" spans="28:32" x14ac:dyDescent="0.25">
      <c r="AB2381" t="str">
        <f t="shared" ref="AB2381:AC2381" si="2474">AB2360</f>
        <v>External Scaffolding</v>
      </c>
      <c r="AC2381" t="str">
        <f t="shared" si="2474"/>
        <v>Lift 2</v>
      </c>
      <c r="AD2381" t="b">
        <f t="shared" ca="1" si="2426"/>
        <v>1</v>
      </c>
      <c r="AE2381" s="1" t="str">
        <f t="shared" ca="1" si="2447"/>
        <v>160-161</v>
      </c>
      <c r="AF2381" t="str">
        <f t="shared" ca="1" si="2424"/>
        <v>Plot 160-161</v>
      </c>
    </row>
    <row r="2382" spans="28:32" x14ac:dyDescent="0.25">
      <c r="AB2382" t="str">
        <f t="shared" ref="AB2382:AC2382" si="2475">AB2361</f>
        <v>External Scaffolding</v>
      </c>
      <c r="AC2382" t="str">
        <f t="shared" si="2475"/>
        <v>Lift 3</v>
      </c>
      <c r="AD2382" t="b">
        <f t="shared" ca="1" si="2426"/>
        <v>0</v>
      </c>
      <c r="AE2382" s="1" t="str">
        <f t="shared" ca="1" si="2447"/>
        <v>160-161</v>
      </c>
      <c r="AF2382" t="str">
        <f t="shared" ca="1" si="2424"/>
        <v>Plot 160-161</v>
      </c>
    </row>
    <row r="2383" spans="28:32" x14ac:dyDescent="0.25">
      <c r="AB2383" t="str">
        <f t="shared" ref="AB2383:AC2383" si="2476">AB2362</f>
        <v>External Scaffolding</v>
      </c>
      <c r="AC2383" t="str">
        <f t="shared" si="2476"/>
        <v>Lift 4</v>
      </c>
      <c r="AD2383" t="b">
        <f t="shared" ca="1" si="2426"/>
        <v>0</v>
      </c>
      <c r="AE2383" s="1" t="str">
        <f t="shared" ca="1" si="2447"/>
        <v>160-161</v>
      </c>
      <c r="AF2383" t="str">
        <f t="shared" ca="1" si="2424"/>
        <v>Plot 160-161</v>
      </c>
    </row>
    <row r="2384" spans="28:32" x14ac:dyDescent="0.25">
      <c r="AB2384" t="str">
        <f t="shared" ref="AB2384:AC2384" si="2477">AB2363</f>
        <v>External Scaffolding</v>
      </c>
      <c r="AC2384" t="str">
        <f t="shared" si="2477"/>
        <v>Lift 5</v>
      </c>
      <c r="AD2384" t="b">
        <f t="shared" ca="1" si="2426"/>
        <v>0</v>
      </c>
      <c r="AE2384" s="1" t="str">
        <f t="shared" ca="1" si="2447"/>
        <v>160-161</v>
      </c>
      <c r="AF2384" t="str">
        <f t="shared" ca="1" si="2424"/>
        <v>Plot 160-161</v>
      </c>
    </row>
    <row r="2385" spans="28:32" x14ac:dyDescent="0.25">
      <c r="AB2385" t="str">
        <f t="shared" ref="AB2385:AC2385" si="2478">AB2364</f>
        <v>External Scaffolding</v>
      </c>
      <c r="AC2385" t="str">
        <f t="shared" si="2478"/>
        <v>Lift 6</v>
      </c>
      <c r="AD2385" t="b">
        <f t="shared" ca="1" si="2426"/>
        <v>0</v>
      </c>
      <c r="AE2385" s="1" t="str">
        <f t="shared" ca="1" si="2447"/>
        <v>160-161</v>
      </c>
      <c r="AF2385" t="str">
        <f t="shared" ca="1" si="2424"/>
        <v>Plot 160-161</v>
      </c>
    </row>
    <row r="2386" spans="28:32" x14ac:dyDescent="0.25">
      <c r="AB2386" t="str">
        <f t="shared" ref="AB2386:AC2386" si="2479">AB2365</f>
        <v>Loading Bay</v>
      </c>
      <c r="AC2386" t="str">
        <f t="shared" si="2479"/>
        <v>Lift 1</v>
      </c>
      <c r="AD2386" t="b">
        <f t="shared" ca="1" si="2426"/>
        <v>1</v>
      </c>
      <c r="AE2386" s="1" t="str">
        <f t="shared" ca="1" si="2447"/>
        <v>160-161</v>
      </c>
      <c r="AF2386" t="str">
        <f t="shared" ca="1" si="2424"/>
        <v>Plot 160-161</v>
      </c>
    </row>
    <row r="2387" spans="28:32" x14ac:dyDescent="0.25">
      <c r="AB2387" t="str">
        <f t="shared" ref="AB2387:AC2387" si="2480">AB2366</f>
        <v>Loading Bay</v>
      </c>
      <c r="AC2387" t="str">
        <f t="shared" si="2480"/>
        <v>Lift 2</v>
      </c>
      <c r="AD2387" t="b">
        <f t="shared" ca="1" si="2426"/>
        <v>1</v>
      </c>
      <c r="AE2387" s="1" t="str">
        <f t="shared" ca="1" si="2447"/>
        <v>160-161</v>
      </c>
      <c r="AF2387" t="str">
        <f t="shared" ca="1" si="2424"/>
        <v>Plot 160-161</v>
      </c>
    </row>
    <row r="2388" spans="28:32" x14ac:dyDescent="0.25">
      <c r="AB2388" t="str">
        <f t="shared" ref="AB2388:AC2388" si="2481">AB2367</f>
        <v>Loading Bay</v>
      </c>
      <c r="AC2388" t="str">
        <f t="shared" si="2481"/>
        <v>Lift 3</v>
      </c>
      <c r="AD2388" t="b">
        <f t="shared" ca="1" si="2426"/>
        <v>0</v>
      </c>
      <c r="AE2388" s="1" t="str">
        <f t="shared" ca="1" si="2447"/>
        <v>160-161</v>
      </c>
      <c r="AF2388" t="str">
        <f t="shared" ca="1" si="2424"/>
        <v>Plot 160-161</v>
      </c>
    </row>
    <row r="2389" spans="28:32" x14ac:dyDescent="0.25">
      <c r="AB2389" t="str">
        <f t="shared" ref="AB2389:AC2389" si="2482">AB2368</f>
        <v>Loading Bay</v>
      </c>
      <c r="AC2389" t="str">
        <f t="shared" si="2482"/>
        <v>Lift 4</v>
      </c>
      <c r="AD2389" t="b">
        <f t="shared" ca="1" si="2426"/>
        <v>0</v>
      </c>
      <c r="AE2389" s="1" t="str">
        <f t="shared" ca="1" si="2447"/>
        <v>160-161</v>
      </c>
      <c r="AF2389" t="str">
        <f t="shared" ca="1" si="2424"/>
        <v>Plot 160-161</v>
      </c>
    </row>
    <row r="2390" spans="28:32" x14ac:dyDescent="0.25">
      <c r="AB2390" t="str">
        <f t="shared" ref="AB2390:AC2390" si="2483">AB2369</f>
        <v>Loading Bay</v>
      </c>
      <c r="AC2390" t="str">
        <f t="shared" si="2483"/>
        <v>Lift 5</v>
      </c>
      <c r="AD2390" t="b">
        <f t="shared" ca="1" si="2426"/>
        <v>0</v>
      </c>
      <c r="AE2390" s="1" t="str">
        <f t="shared" ca="1" si="2447"/>
        <v>160-161</v>
      </c>
      <c r="AF2390" t="str">
        <f t="shared" ca="1" si="2424"/>
        <v>Plot 160-161</v>
      </c>
    </row>
    <row r="2391" spans="28:32" x14ac:dyDescent="0.25">
      <c r="AB2391" t="str">
        <f t="shared" ref="AB2391:AC2391" si="2484">AB2370</f>
        <v>Loading Bay</v>
      </c>
      <c r="AC2391" t="str">
        <f t="shared" si="2484"/>
        <v>Lift 6</v>
      </c>
      <c r="AD2391" t="b">
        <f t="shared" ca="1" si="2426"/>
        <v>0</v>
      </c>
      <c r="AE2391" s="1" t="str">
        <f t="shared" ca="1" si="2447"/>
        <v>160-161</v>
      </c>
      <c r="AF2391" t="str">
        <f t="shared" ca="1" si="2424"/>
        <v>Plot 160-161</v>
      </c>
    </row>
    <row r="2392" spans="28:32" x14ac:dyDescent="0.25">
      <c r="AB2392" t="str">
        <f t="shared" ref="AB2392:AC2392" si="2485">AB2371</f>
        <v>Scaffolding Platform</v>
      </c>
      <c r="AC2392" t="str">
        <f t="shared" si="2485"/>
        <v>Ground Floor</v>
      </c>
      <c r="AD2392" t="b">
        <f t="shared" ca="1" si="2426"/>
        <v>1</v>
      </c>
      <c r="AE2392" s="1" t="str">
        <f t="shared" ca="1" si="2447"/>
        <v>160-161</v>
      </c>
      <c r="AF2392" t="str">
        <f t="shared" ca="1" si="2424"/>
        <v>Plot 160-161</v>
      </c>
    </row>
    <row r="2393" spans="28:32" x14ac:dyDescent="0.25">
      <c r="AB2393" t="str">
        <f t="shared" ref="AB2393:AC2393" si="2486">AB2372</f>
        <v>Scaffolding Platform</v>
      </c>
      <c r="AC2393" t="str">
        <f t="shared" si="2486"/>
        <v>First Floor</v>
      </c>
      <c r="AD2393" t="b">
        <f t="shared" ca="1" si="2426"/>
        <v>0</v>
      </c>
      <c r="AE2393" s="1" t="str">
        <f t="shared" ca="1" si="2447"/>
        <v>160-161</v>
      </c>
      <c r="AF2393" t="str">
        <f t="shared" ca="1" si="2424"/>
        <v>Plot 160-161</v>
      </c>
    </row>
    <row r="2394" spans="28:32" x14ac:dyDescent="0.25">
      <c r="AB2394" t="str">
        <f t="shared" ref="AB2394:AC2394" si="2487">AB2373</f>
        <v>Scaffolding Platform</v>
      </c>
      <c r="AC2394" t="str">
        <f t="shared" si="2487"/>
        <v>Second Floor</v>
      </c>
      <c r="AD2394" t="b">
        <f t="shared" ca="1" si="2426"/>
        <v>0</v>
      </c>
      <c r="AE2394" s="1" t="str">
        <f t="shared" ca="1" si="2447"/>
        <v>160-161</v>
      </c>
      <c r="AF2394" t="str">
        <f t="shared" ca="1" si="2424"/>
        <v>Plot 160-161</v>
      </c>
    </row>
    <row r="2395" spans="28:32" x14ac:dyDescent="0.25">
      <c r="AB2395" t="str">
        <f t="shared" ref="AB2395:AC2395" si="2488">AB2374</f>
        <v>Supporting Scaffold</v>
      </c>
      <c r="AC2395" t="str">
        <f t="shared" si="2488"/>
        <v>Ground Floor Prop.</v>
      </c>
      <c r="AD2395" t="str">
        <f t="shared" ca="1" si="2426"/>
        <v>FALSE</v>
      </c>
      <c r="AE2395" s="1" t="str">
        <f t="shared" ca="1" si="2447"/>
        <v>160-161</v>
      </c>
      <c r="AF2395" t="str">
        <f t="shared" ca="1" si="2424"/>
        <v>Plot 160-161</v>
      </c>
    </row>
    <row r="2396" spans="28:32" x14ac:dyDescent="0.25">
      <c r="AB2396" t="str">
        <f t="shared" ref="AB2396:AC2396" si="2489">AB2375</f>
        <v>Supporting Scaffold</v>
      </c>
      <c r="AC2396" t="str">
        <f t="shared" si="2489"/>
        <v>First Floor Prop.</v>
      </c>
      <c r="AD2396" t="str">
        <f t="shared" ca="1" si="2426"/>
        <v>FALSE</v>
      </c>
      <c r="AE2396" s="1" t="str">
        <f t="shared" ca="1" si="2447"/>
        <v>160-161</v>
      </c>
      <c r="AF2396" t="str">
        <f t="shared" ca="1" si="2424"/>
        <v>Plot 160-161</v>
      </c>
    </row>
    <row r="2397" spans="28:32" x14ac:dyDescent="0.25">
      <c r="AB2397" t="str">
        <f t="shared" ref="AB2397:AC2397" si="2490">AB2376</f>
        <v>Supporting Scaffold</v>
      </c>
      <c r="AC2397" t="str">
        <f t="shared" si="2490"/>
        <v>Second Floor Prop.</v>
      </c>
      <c r="AD2397" t="str">
        <f t="shared" ca="1" si="2426"/>
        <v>FALSE</v>
      </c>
      <c r="AE2397" s="1" t="str">
        <f t="shared" ca="1" si="2447"/>
        <v>160-161</v>
      </c>
      <c r="AF2397" t="str">
        <f t="shared" ref="AF2397:AF2460" ca="1" si="2491">IF(LEFT(AE2397,1)="G",AE2397,"Plot "&amp;AE2397)</f>
        <v>Plot 160-161</v>
      </c>
    </row>
    <row r="2398" spans="28:32" x14ac:dyDescent="0.25">
      <c r="AB2398" t="str">
        <f t="shared" ref="AB2398:AC2398" si="2492">AB2377</f>
        <v>External Scaffolding</v>
      </c>
      <c r="AC2398" t="str">
        <f t="shared" si="2492"/>
        <v>Hop-ups</v>
      </c>
      <c r="AD2398" t="b">
        <f t="shared" ref="AD2398:AD2461" ca="1" si="2493">INDEX($AC$1:$JH$22,MATCH(AC2398,$AC$1:$AC$22,0),MATCH(AE2398,$AC$1:$JH$1,0))</f>
        <v>1</v>
      </c>
      <c r="AE2398" s="1" t="str">
        <f t="shared" ca="1" si="2447"/>
        <v>160-161</v>
      </c>
      <c r="AF2398" t="str">
        <f t="shared" ca="1" si="2491"/>
        <v>Plot 160-161</v>
      </c>
    </row>
    <row r="2399" spans="28:32" x14ac:dyDescent="0.25">
      <c r="AB2399" t="str">
        <f t="shared" ref="AB2399:AC2399" si="2494">AB2378</f>
        <v>External Scaffolding</v>
      </c>
      <c r="AC2399" t="str">
        <f t="shared" si="2494"/>
        <v>Adaptions</v>
      </c>
      <c r="AD2399" t="b">
        <f t="shared" ca="1" si="2493"/>
        <v>1</v>
      </c>
      <c r="AE2399" s="1" t="str">
        <f t="shared" ca="1" si="2447"/>
        <v>160-161</v>
      </c>
      <c r="AF2399" t="str">
        <f t="shared" ca="1" si="2491"/>
        <v>Plot 160-161</v>
      </c>
    </row>
    <row r="2400" spans="28:32" x14ac:dyDescent="0.25">
      <c r="AB2400" t="str">
        <f t="shared" ref="AB2400:AC2400" si="2495">AB2379</f>
        <v>External Scaffolding</v>
      </c>
      <c r="AC2400" t="str">
        <f t="shared" si="2495"/>
        <v>Adaption Tower</v>
      </c>
      <c r="AD2400" t="b">
        <f t="shared" ca="1" si="2493"/>
        <v>1</v>
      </c>
      <c r="AE2400" s="1" t="str">
        <f t="shared" ca="1" si="2447"/>
        <v>160-161</v>
      </c>
      <c r="AF2400" t="str">
        <f t="shared" ca="1" si="2491"/>
        <v>Plot 160-161</v>
      </c>
    </row>
    <row r="2401" spans="28:32" x14ac:dyDescent="0.25">
      <c r="AB2401" t="str">
        <f t="shared" ref="AB2401:AC2401" si="2496">AB2380</f>
        <v>External Scaffolding</v>
      </c>
      <c r="AC2401" t="str">
        <f t="shared" si="2496"/>
        <v>Lift 1</v>
      </c>
      <c r="AD2401" t="b">
        <f t="shared" ca="1" si="2493"/>
        <v>1</v>
      </c>
      <c r="AE2401" s="1" t="str">
        <f t="shared" ca="1" si="2447"/>
        <v>162-163</v>
      </c>
      <c r="AF2401" t="str">
        <f t="shared" ca="1" si="2491"/>
        <v>Plot 162-163</v>
      </c>
    </row>
    <row r="2402" spans="28:32" x14ac:dyDescent="0.25">
      <c r="AB2402" t="str">
        <f t="shared" ref="AB2402:AC2402" si="2497">AB2381</f>
        <v>External Scaffolding</v>
      </c>
      <c r="AC2402" t="str">
        <f t="shared" si="2497"/>
        <v>Lift 2</v>
      </c>
      <c r="AD2402" t="b">
        <f t="shared" ca="1" si="2493"/>
        <v>1</v>
      </c>
      <c r="AE2402" s="1" t="str">
        <f t="shared" ca="1" si="2447"/>
        <v>162-163</v>
      </c>
      <c r="AF2402" t="str">
        <f t="shared" ca="1" si="2491"/>
        <v>Plot 162-163</v>
      </c>
    </row>
    <row r="2403" spans="28:32" x14ac:dyDescent="0.25">
      <c r="AB2403" t="str">
        <f t="shared" ref="AB2403:AC2403" si="2498">AB2382</f>
        <v>External Scaffolding</v>
      </c>
      <c r="AC2403" t="str">
        <f t="shared" si="2498"/>
        <v>Lift 3</v>
      </c>
      <c r="AD2403" t="b">
        <f t="shared" ca="1" si="2493"/>
        <v>0</v>
      </c>
      <c r="AE2403" s="1" t="str">
        <f t="shared" ca="1" si="2447"/>
        <v>162-163</v>
      </c>
      <c r="AF2403" t="str">
        <f t="shared" ca="1" si="2491"/>
        <v>Plot 162-163</v>
      </c>
    </row>
    <row r="2404" spans="28:32" x14ac:dyDescent="0.25">
      <c r="AB2404" t="str">
        <f t="shared" ref="AB2404:AC2404" si="2499">AB2383</f>
        <v>External Scaffolding</v>
      </c>
      <c r="AC2404" t="str">
        <f t="shared" si="2499"/>
        <v>Lift 4</v>
      </c>
      <c r="AD2404" t="b">
        <f t="shared" ca="1" si="2493"/>
        <v>0</v>
      </c>
      <c r="AE2404" s="1" t="str">
        <f t="shared" ca="1" si="2447"/>
        <v>162-163</v>
      </c>
      <c r="AF2404" t="str">
        <f t="shared" ca="1" si="2491"/>
        <v>Plot 162-163</v>
      </c>
    </row>
    <row r="2405" spans="28:32" x14ac:dyDescent="0.25">
      <c r="AB2405" t="str">
        <f t="shared" ref="AB2405:AC2405" si="2500">AB2384</f>
        <v>External Scaffolding</v>
      </c>
      <c r="AC2405" t="str">
        <f t="shared" si="2500"/>
        <v>Lift 5</v>
      </c>
      <c r="AD2405" t="b">
        <f t="shared" ca="1" si="2493"/>
        <v>0</v>
      </c>
      <c r="AE2405" s="1" t="str">
        <f t="shared" ca="1" si="2447"/>
        <v>162-163</v>
      </c>
      <c r="AF2405" t="str">
        <f t="shared" ca="1" si="2491"/>
        <v>Plot 162-163</v>
      </c>
    </row>
    <row r="2406" spans="28:32" x14ac:dyDescent="0.25">
      <c r="AB2406" t="str">
        <f t="shared" ref="AB2406:AC2406" si="2501">AB2385</f>
        <v>External Scaffolding</v>
      </c>
      <c r="AC2406" t="str">
        <f t="shared" si="2501"/>
        <v>Lift 6</v>
      </c>
      <c r="AD2406" t="b">
        <f t="shared" ca="1" si="2493"/>
        <v>0</v>
      </c>
      <c r="AE2406" s="1" t="str">
        <f t="shared" ca="1" si="2447"/>
        <v>162-163</v>
      </c>
      <c r="AF2406" t="str">
        <f t="shared" ca="1" si="2491"/>
        <v>Plot 162-163</v>
      </c>
    </row>
    <row r="2407" spans="28:32" x14ac:dyDescent="0.25">
      <c r="AB2407" t="str">
        <f t="shared" ref="AB2407:AC2407" si="2502">AB2386</f>
        <v>Loading Bay</v>
      </c>
      <c r="AC2407" t="str">
        <f t="shared" si="2502"/>
        <v>Lift 1</v>
      </c>
      <c r="AD2407" t="b">
        <f t="shared" ca="1" si="2493"/>
        <v>1</v>
      </c>
      <c r="AE2407" s="1" t="str">
        <f t="shared" ca="1" si="2447"/>
        <v>162-163</v>
      </c>
      <c r="AF2407" t="str">
        <f t="shared" ca="1" si="2491"/>
        <v>Plot 162-163</v>
      </c>
    </row>
    <row r="2408" spans="28:32" x14ac:dyDescent="0.25">
      <c r="AB2408" t="str">
        <f t="shared" ref="AB2408:AC2408" si="2503">AB2387</f>
        <v>Loading Bay</v>
      </c>
      <c r="AC2408" t="str">
        <f t="shared" si="2503"/>
        <v>Lift 2</v>
      </c>
      <c r="AD2408" t="b">
        <f t="shared" ca="1" si="2493"/>
        <v>1</v>
      </c>
      <c r="AE2408" s="1" t="str">
        <f t="shared" ca="1" si="2447"/>
        <v>162-163</v>
      </c>
      <c r="AF2408" t="str">
        <f t="shared" ca="1" si="2491"/>
        <v>Plot 162-163</v>
      </c>
    </row>
    <row r="2409" spans="28:32" x14ac:dyDescent="0.25">
      <c r="AB2409" t="str">
        <f t="shared" ref="AB2409:AC2409" si="2504">AB2388</f>
        <v>Loading Bay</v>
      </c>
      <c r="AC2409" t="str">
        <f t="shared" si="2504"/>
        <v>Lift 3</v>
      </c>
      <c r="AD2409" t="b">
        <f t="shared" ca="1" si="2493"/>
        <v>0</v>
      </c>
      <c r="AE2409" s="1" t="str">
        <f t="shared" ca="1" si="2447"/>
        <v>162-163</v>
      </c>
      <c r="AF2409" t="str">
        <f t="shared" ca="1" si="2491"/>
        <v>Plot 162-163</v>
      </c>
    </row>
    <row r="2410" spans="28:32" x14ac:dyDescent="0.25">
      <c r="AB2410" t="str">
        <f t="shared" ref="AB2410:AC2410" si="2505">AB2389</f>
        <v>Loading Bay</v>
      </c>
      <c r="AC2410" t="str">
        <f t="shared" si="2505"/>
        <v>Lift 4</v>
      </c>
      <c r="AD2410" t="b">
        <f t="shared" ca="1" si="2493"/>
        <v>0</v>
      </c>
      <c r="AE2410" s="1" t="str">
        <f t="shared" ca="1" si="2447"/>
        <v>162-163</v>
      </c>
      <c r="AF2410" t="str">
        <f t="shared" ca="1" si="2491"/>
        <v>Plot 162-163</v>
      </c>
    </row>
    <row r="2411" spans="28:32" x14ac:dyDescent="0.25">
      <c r="AB2411" t="str">
        <f t="shared" ref="AB2411:AC2411" si="2506">AB2390</f>
        <v>Loading Bay</v>
      </c>
      <c r="AC2411" t="str">
        <f t="shared" si="2506"/>
        <v>Lift 5</v>
      </c>
      <c r="AD2411" t="b">
        <f t="shared" ca="1" si="2493"/>
        <v>0</v>
      </c>
      <c r="AE2411" s="1" t="str">
        <f t="shared" ca="1" si="2447"/>
        <v>162-163</v>
      </c>
      <c r="AF2411" t="str">
        <f t="shared" ca="1" si="2491"/>
        <v>Plot 162-163</v>
      </c>
    </row>
    <row r="2412" spans="28:32" x14ac:dyDescent="0.25">
      <c r="AB2412" t="str">
        <f t="shared" ref="AB2412:AC2412" si="2507">AB2391</f>
        <v>Loading Bay</v>
      </c>
      <c r="AC2412" t="str">
        <f t="shared" si="2507"/>
        <v>Lift 6</v>
      </c>
      <c r="AD2412" t="b">
        <f t="shared" ca="1" si="2493"/>
        <v>0</v>
      </c>
      <c r="AE2412" s="1" t="str">
        <f t="shared" ca="1" si="2447"/>
        <v>162-163</v>
      </c>
      <c r="AF2412" t="str">
        <f t="shared" ca="1" si="2491"/>
        <v>Plot 162-163</v>
      </c>
    </row>
    <row r="2413" spans="28:32" x14ac:dyDescent="0.25">
      <c r="AB2413" t="str">
        <f t="shared" ref="AB2413:AC2413" si="2508">AB2392</f>
        <v>Scaffolding Platform</v>
      </c>
      <c r="AC2413" t="str">
        <f t="shared" si="2508"/>
        <v>Ground Floor</v>
      </c>
      <c r="AD2413" t="b">
        <f t="shared" ca="1" si="2493"/>
        <v>1</v>
      </c>
      <c r="AE2413" s="1" t="str">
        <f t="shared" ca="1" si="2447"/>
        <v>162-163</v>
      </c>
      <c r="AF2413" t="str">
        <f t="shared" ca="1" si="2491"/>
        <v>Plot 162-163</v>
      </c>
    </row>
    <row r="2414" spans="28:32" x14ac:dyDescent="0.25">
      <c r="AB2414" t="str">
        <f t="shared" ref="AB2414:AC2414" si="2509">AB2393</f>
        <v>Scaffolding Platform</v>
      </c>
      <c r="AC2414" t="str">
        <f t="shared" si="2509"/>
        <v>First Floor</v>
      </c>
      <c r="AD2414" t="b">
        <f t="shared" ca="1" si="2493"/>
        <v>0</v>
      </c>
      <c r="AE2414" s="1" t="str">
        <f t="shared" ca="1" si="2447"/>
        <v>162-163</v>
      </c>
      <c r="AF2414" t="str">
        <f t="shared" ca="1" si="2491"/>
        <v>Plot 162-163</v>
      </c>
    </row>
    <row r="2415" spans="28:32" x14ac:dyDescent="0.25">
      <c r="AB2415" t="str">
        <f t="shared" ref="AB2415:AC2415" si="2510">AB2394</f>
        <v>Scaffolding Platform</v>
      </c>
      <c r="AC2415" t="str">
        <f t="shared" si="2510"/>
        <v>Second Floor</v>
      </c>
      <c r="AD2415" t="b">
        <f t="shared" ca="1" si="2493"/>
        <v>0</v>
      </c>
      <c r="AE2415" s="1" t="str">
        <f t="shared" ca="1" si="2447"/>
        <v>162-163</v>
      </c>
      <c r="AF2415" t="str">
        <f t="shared" ca="1" si="2491"/>
        <v>Plot 162-163</v>
      </c>
    </row>
    <row r="2416" spans="28:32" x14ac:dyDescent="0.25">
      <c r="AB2416" t="str">
        <f t="shared" ref="AB2416:AC2416" si="2511">AB2395</f>
        <v>Supporting Scaffold</v>
      </c>
      <c r="AC2416" t="str">
        <f t="shared" si="2511"/>
        <v>Ground Floor Prop.</v>
      </c>
      <c r="AD2416" t="str">
        <f t="shared" ca="1" si="2493"/>
        <v>FALSE</v>
      </c>
      <c r="AE2416" s="1" t="str">
        <f t="shared" ca="1" si="2447"/>
        <v>162-163</v>
      </c>
      <c r="AF2416" t="str">
        <f t="shared" ca="1" si="2491"/>
        <v>Plot 162-163</v>
      </c>
    </row>
    <row r="2417" spans="28:32" x14ac:dyDescent="0.25">
      <c r="AB2417" t="str">
        <f t="shared" ref="AB2417:AC2417" si="2512">AB2396</f>
        <v>Supporting Scaffold</v>
      </c>
      <c r="AC2417" t="str">
        <f t="shared" si="2512"/>
        <v>First Floor Prop.</v>
      </c>
      <c r="AD2417" t="str">
        <f t="shared" ca="1" si="2493"/>
        <v>FALSE</v>
      </c>
      <c r="AE2417" s="1" t="str">
        <f t="shared" ca="1" si="2447"/>
        <v>162-163</v>
      </c>
      <c r="AF2417" t="str">
        <f t="shared" ca="1" si="2491"/>
        <v>Plot 162-163</v>
      </c>
    </row>
    <row r="2418" spans="28:32" x14ac:dyDescent="0.25">
      <c r="AB2418" t="str">
        <f t="shared" ref="AB2418:AC2418" si="2513">AB2397</f>
        <v>Supporting Scaffold</v>
      </c>
      <c r="AC2418" t="str">
        <f t="shared" si="2513"/>
        <v>Second Floor Prop.</v>
      </c>
      <c r="AD2418" t="str">
        <f t="shared" ca="1" si="2493"/>
        <v>FALSE</v>
      </c>
      <c r="AE2418" s="1" t="str">
        <f t="shared" ref="AE2418:AE2481" ca="1" si="2514">OFFSET($AD$1,0,FLOOR(ROW(B2390)/21,1))</f>
        <v>162-163</v>
      </c>
      <c r="AF2418" t="str">
        <f t="shared" ca="1" si="2491"/>
        <v>Plot 162-163</v>
      </c>
    </row>
    <row r="2419" spans="28:32" x14ac:dyDescent="0.25">
      <c r="AB2419" t="str">
        <f t="shared" ref="AB2419:AC2419" si="2515">AB2398</f>
        <v>External Scaffolding</v>
      </c>
      <c r="AC2419" t="str">
        <f t="shared" si="2515"/>
        <v>Hop-ups</v>
      </c>
      <c r="AD2419" t="b">
        <f t="shared" ca="1" si="2493"/>
        <v>1</v>
      </c>
      <c r="AE2419" s="1" t="str">
        <f t="shared" ca="1" si="2514"/>
        <v>162-163</v>
      </c>
      <c r="AF2419" t="str">
        <f t="shared" ca="1" si="2491"/>
        <v>Plot 162-163</v>
      </c>
    </row>
    <row r="2420" spans="28:32" x14ac:dyDescent="0.25">
      <c r="AB2420" t="str">
        <f t="shared" ref="AB2420:AC2420" si="2516">AB2399</f>
        <v>External Scaffolding</v>
      </c>
      <c r="AC2420" t="str">
        <f t="shared" si="2516"/>
        <v>Adaptions</v>
      </c>
      <c r="AD2420" t="b">
        <f t="shared" ca="1" si="2493"/>
        <v>1</v>
      </c>
      <c r="AE2420" s="1" t="str">
        <f t="shared" ca="1" si="2514"/>
        <v>162-163</v>
      </c>
      <c r="AF2420" t="str">
        <f t="shared" ca="1" si="2491"/>
        <v>Plot 162-163</v>
      </c>
    </row>
    <row r="2421" spans="28:32" x14ac:dyDescent="0.25">
      <c r="AB2421" t="str">
        <f t="shared" ref="AB2421:AC2421" si="2517">AB2400</f>
        <v>External Scaffolding</v>
      </c>
      <c r="AC2421" t="str">
        <f t="shared" si="2517"/>
        <v>Adaption Tower</v>
      </c>
      <c r="AD2421" t="b">
        <f t="shared" ca="1" si="2493"/>
        <v>1</v>
      </c>
      <c r="AE2421" s="1" t="str">
        <f t="shared" ca="1" si="2514"/>
        <v>162-163</v>
      </c>
      <c r="AF2421" t="str">
        <f t="shared" ca="1" si="2491"/>
        <v>Plot 162-163</v>
      </c>
    </row>
    <row r="2422" spans="28:32" x14ac:dyDescent="0.25">
      <c r="AB2422" t="str">
        <f t="shared" ref="AB2422:AC2422" si="2518">AB2401</f>
        <v>External Scaffolding</v>
      </c>
      <c r="AC2422" t="str">
        <f t="shared" si="2518"/>
        <v>Lift 1</v>
      </c>
      <c r="AD2422" t="b">
        <f t="shared" ca="1" si="2493"/>
        <v>1</v>
      </c>
      <c r="AE2422" s="1">
        <f t="shared" ca="1" si="2514"/>
        <v>164</v>
      </c>
      <c r="AF2422" t="str">
        <f t="shared" ca="1" si="2491"/>
        <v>Plot 164</v>
      </c>
    </row>
    <row r="2423" spans="28:32" x14ac:dyDescent="0.25">
      <c r="AB2423" t="str">
        <f t="shared" ref="AB2423:AC2423" si="2519">AB2402</f>
        <v>External Scaffolding</v>
      </c>
      <c r="AC2423" t="str">
        <f t="shared" si="2519"/>
        <v>Lift 2</v>
      </c>
      <c r="AD2423" t="b">
        <f t="shared" ca="1" si="2493"/>
        <v>1</v>
      </c>
      <c r="AE2423" s="1">
        <f t="shared" ca="1" si="2514"/>
        <v>164</v>
      </c>
      <c r="AF2423" t="str">
        <f t="shared" ca="1" si="2491"/>
        <v>Plot 164</v>
      </c>
    </row>
    <row r="2424" spans="28:32" x14ac:dyDescent="0.25">
      <c r="AB2424" t="str">
        <f t="shared" ref="AB2424:AC2424" si="2520">AB2403</f>
        <v>External Scaffolding</v>
      </c>
      <c r="AC2424" t="str">
        <f t="shared" si="2520"/>
        <v>Lift 3</v>
      </c>
      <c r="AD2424" t="b">
        <f t="shared" ca="1" si="2493"/>
        <v>1</v>
      </c>
      <c r="AE2424" s="1">
        <f t="shared" ca="1" si="2514"/>
        <v>164</v>
      </c>
      <c r="AF2424" t="str">
        <f t="shared" ca="1" si="2491"/>
        <v>Plot 164</v>
      </c>
    </row>
    <row r="2425" spans="28:32" x14ac:dyDescent="0.25">
      <c r="AB2425" t="str">
        <f t="shared" ref="AB2425:AC2425" si="2521">AB2404</f>
        <v>External Scaffolding</v>
      </c>
      <c r="AC2425" t="str">
        <f t="shared" si="2521"/>
        <v>Lift 4</v>
      </c>
      <c r="AD2425" t="b">
        <f t="shared" ca="1" si="2493"/>
        <v>0</v>
      </c>
      <c r="AE2425" s="1">
        <f t="shared" ca="1" si="2514"/>
        <v>164</v>
      </c>
      <c r="AF2425" t="str">
        <f t="shared" ca="1" si="2491"/>
        <v>Plot 164</v>
      </c>
    </row>
    <row r="2426" spans="28:32" x14ac:dyDescent="0.25">
      <c r="AB2426" t="str">
        <f t="shared" ref="AB2426:AC2426" si="2522">AB2405</f>
        <v>External Scaffolding</v>
      </c>
      <c r="AC2426" t="str">
        <f t="shared" si="2522"/>
        <v>Lift 5</v>
      </c>
      <c r="AD2426" t="b">
        <f t="shared" ca="1" si="2493"/>
        <v>0</v>
      </c>
      <c r="AE2426" s="1">
        <f t="shared" ca="1" si="2514"/>
        <v>164</v>
      </c>
      <c r="AF2426" t="str">
        <f t="shared" ca="1" si="2491"/>
        <v>Plot 164</v>
      </c>
    </row>
    <row r="2427" spans="28:32" x14ac:dyDescent="0.25">
      <c r="AB2427" t="str">
        <f t="shared" ref="AB2427:AC2427" si="2523">AB2406</f>
        <v>External Scaffolding</v>
      </c>
      <c r="AC2427" t="str">
        <f t="shared" si="2523"/>
        <v>Lift 6</v>
      </c>
      <c r="AD2427" t="b">
        <f t="shared" ca="1" si="2493"/>
        <v>0</v>
      </c>
      <c r="AE2427" s="1">
        <f t="shared" ca="1" si="2514"/>
        <v>164</v>
      </c>
      <c r="AF2427" t="str">
        <f t="shared" ca="1" si="2491"/>
        <v>Plot 164</v>
      </c>
    </row>
    <row r="2428" spans="28:32" x14ac:dyDescent="0.25">
      <c r="AB2428" t="str">
        <f t="shared" ref="AB2428:AC2428" si="2524">AB2407</f>
        <v>Loading Bay</v>
      </c>
      <c r="AC2428" t="str">
        <f t="shared" si="2524"/>
        <v>Lift 1</v>
      </c>
      <c r="AD2428" t="b">
        <f t="shared" ca="1" si="2493"/>
        <v>1</v>
      </c>
      <c r="AE2428" s="1">
        <f t="shared" ca="1" si="2514"/>
        <v>164</v>
      </c>
      <c r="AF2428" t="str">
        <f t="shared" ca="1" si="2491"/>
        <v>Plot 164</v>
      </c>
    </row>
    <row r="2429" spans="28:32" x14ac:dyDescent="0.25">
      <c r="AB2429" t="str">
        <f t="shared" ref="AB2429:AC2429" si="2525">AB2408</f>
        <v>Loading Bay</v>
      </c>
      <c r="AC2429" t="str">
        <f t="shared" si="2525"/>
        <v>Lift 2</v>
      </c>
      <c r="AD2429" t="b">
        <f t="shared" ca="1" si="2493"/>
        <v>1</v>
      </c>
      <c r="AE2429" s="1">
        <f t="shared" ca="1" si="2514"/>
        <v>164</v>
      </c>
      <c r="AF2429" t="str">
        <f t="shared" ca="1" si="2491"/>
        <v>Plot 164</v>
      </c>
    </row>
    <row r="2430" spans="28:32" x14ac:dyDescent="0.25">
      <c r="AB2430" t="str">
        <f t="shared" ref="AB2430:AC2430" si="2526">AB2409</f>
        <v>Loading Bay</v>
      </c>
      <c r="AC2430" t="str">
        <f t="shared" si="2526"/>
        <v>Lift 3</v>
      </c>
      <c r="AD2430" t="b">
        <f t="shared" ca="1" si="2493"/>
        <v>1</v>
      </c>
      <c r="AE2430" s="1">
        <f t="shared" ca="1" si="2514"/>
        <v>164</v>
      </c>
      <c r="AF2430" t="str">
        <f t="shared" ca="1" si="2491"/>
        <v>Plot 164</v>
      </c>
    </row>
    <row r="2431" spans="28:32" x14ac:dyDescent="0.25">
      <c r="AB2431" t="str">
        <f t="shared" ref="AB2431:AC2431" si="2527">AB2410</f>
        <v>Loading Bay</v>
      </c>
      <c r="AC2431" t="str">
        <f t="shared" si="2527"/>
        <v>Lift 4</v>
      </c>
      <c r="AD2431" t="b">
        <f t="shared" ca="1" si="2493"/>
        <v>0</v>
      </c>
      <c r="AE2431" s="1">
        <f t="shared" ca="1" si="2514"/>
        <v>164</v>
      </c>
      <c r="AF2431" t="str">
        <f t="shared" ca="1" si="2491"/>
        <v>Plot 164</v>
      </c>
    </row>
    <row r="2432" spans="28:32" x14ac:dyDescent="0.25">
      <c r="AB2432" t="str">
        <f t="shared" ref="AB2432:AC2432" si="2528">AB2411</f>
        <v>Loading Bay</v>
      </c>
      <c r="AC2432" t="str">
        <f t="shared" si="2528"/>
        <v>Lift 5</v>
      </c>
      <c r="AD2432" t="b">
        <f t="shared" ca="1" si="2493"/>
        <v>0</v>
      </c>
      <c r="AE2432" s="1">
        <f t="shared" ca="1" si="2514"/>
        <v>164</v>
      </c>
      <c r="AF2432" t="str">
        <f t="shared" ca="1" si="2491"/>
        <v>Plot 164</v>
      </c>
    </row>
    <row r="2433" spans="28:32" x14ac:dyDescent="0.25">
      <c r="AB2433" t="str">
        <f t="shared" ref="AB2433:AC2433" si="2529">AB2412</f>
        <v>Loading Bay</v>
      </c>
      <c r="AC2433" t="str">
        <f t="shared" si="2529"/>
        <v>Lift 6</v>
      </c>
      <c r="AD2433" t="b">
        <f t="shared" ca="1" si="2493"/>
        <v>0</v>
      </c>
      <c r="AE2433" s="1">
        <f t="shared" ca="1" si="2514"/>
        <v>164</v>
      </c>
      <c r="AF2433" t="str">
        <f t="shared" ca="1" si="2491"/>
        <v>Plot 164</v>
      </c>
    </row>
    <row r="2434" spans="28:32" x14ac:dyDescent="0.25">
      <c r="AB2434" t="str">
        <f t="shared" ref="AB2434:AC2434" si="2530">AB2413</f>
        <v>Scaffolding Platform</v>
      </c>
      <c r="AC2434" t="str">
        <f t="shared" si="2530"/>
        <v>Ground Floor</v>
      </c>
      <c r="AD2434" t="b">
        <f t="shared" ca="1" si="2493"/>
        <v>1</v>
      </c>
      <c r="AE2434" s="1">
        <f t="shared" ca="1" si="2514"/>
        <v>164</v>
      </c>
      <c r="AF2434" t="str">
        <f t="shared" ca="1" si="2491"/>
        <v>Plot 164</v>
      </c>
    </row>
    <row r="2435" spans="28:32" x14ac:dyDescent="0.25">
      <c r="AB2435" t="str">
        <f t="shared" ref="AB2435:AC2435" si="2531">AB2414</f>
        <v>Scaffolding Platform</v>
      </c>
      <c r="AC2435" t="str">
        <f t="shared" si="2531"/>
        <v>First Floor</v>
      </c>
      <c r="AD2435" t="b">
        <f t="shared" ca="1" si="2493"/>
        <v>1</v>
      </c>
      <c r="AE2435" s="1">
        <f t="shared" ca="1" si="2514"/>
        <v>164</v>
      </c>
      <c r="AF2435" t="str">
        <f t="shared" ca="1" si="2491"/>
        <v>Plot 164</v>
      </c>
    </row>
    <row r="2436" spans="28:32" x14ac:dyDescent="0.25">
      <c r="AB2436" t="str">
        <f t="shared" ref="AB2436:AC2436" si="2532">AB2415</f>
        <v>Scaffolding Platform</v>
      </c>
      <c r="AC2436" t="str">
        <f t="shared" si="2532"/>
        <v>Second Floor</v>
      </c>
      <c r="AD2436" t="b">
        <f t="shared" ca="1" si="2493"/>
        <v>0</v>
      </c>
      <c r="AE2436" s="1">
        <f t="shared" ca="1" si="2514"/>
        <v>164</v>
      </c>
      <c r="AF2436" t="str">
        <f t="shared" ca="1" si="2491"/>
        <v>Plot 164</v>
      </c>
    </row>
    <row r="2437" spans="28:32" x14ac:dyDescent="0.25">
      <c r="AB2437" t="str">
        <f t="shared" ref="AB2437:AC2437" si="2533">AB2416</f>
        <v>Supporting Scaffold</v>
      </c>
      <c r="AC2437" t="str">
        <f t="shared" si="2533"/>
        <v>Ground Floor Prop.</v>
      </c>
      <c r="AD2437" t="str">
        <f t="shared" ca="1" si="2493"/>
        <v>TRUE</v>
      </c>
      <c r="AE2437" s="1">
        <f t="shared" ca="1" si="2514"/>
        <v>164</v>
      </c>
      <c r="AF2437" t="str">
        <f t="shared" ca="1" si="2491"/>
        <v>Plot 164</v>
      </c>
    </row>
    <row r="2438" spans="28:32" x14ac:dyDescent="0.25">
      <c r="AB2438" t="str">
        <f t="shared" ref="AB2438:AC2438" si="2534">AB2417</f>
        <v>Supporting Scaffold</v>
      </c>
      <c r="AC2438" t="str">
        <f t="shared" si="2534"/>
        <v>First Floor Prop.</v>
      </c>
      <c r="AD2438" t="str">
        <f t="shared" ca="1" si="2493"/>
        <v>FALSE</v>
      </c>
      <c r="AE2438" s="1">
        <f t="shared" ca="1" si="2514"/>
        <v>164</v>
      </c>
      <c r="AF2438" t="str">
        <f t="shared" ca="1" si="2491"/>
        <v>Plot 164</v>
      </c>
    </row>
    <row r="2439" spans="28:32" x14ac:dyDescent="0.25">
      <c r="AB2439" t="str">
        <f t="shared" ref="AB2439:AC2439" si="2535">AB2418</f>
        <v>Supporting Scaffold</v>
      </c>
      <c r="AC2439" t="str">
        <f t="shared" si="2535"/>
        <v>Second Floor Prop.</v>
      </c>
      <c r="AD2439" t="str">
        <f t="shared" ca="1" si="2493"/>
        <v>FALSE</v>
      </c>
      <c r="AE2439" s="1">
        <f t="shared" ca="1" si="2514"/>
        <v>164</v>
      </c>
      <c r="AF2439" t="str">
        <f t="shared" ca="1" si="2491"/>
        <v>Plot 164</v>
      </c>
    </row>
    <row r="2440" spans="28:32" x14ac:dyDescent="0.25">
      <c r="AB2440" t="str">
        <f t="shared" ref="AB2440:AC2440" si="2536">AB2419</f>
        <v>External Scaffolding</v>
      </c>
      <c r="AC2440" t="str">
        <f t="shared" si="2536"/>
        <v>Hop-ups</v>
      </c>
      <c r="AD2440" t="b">
        <f t="shared" ca="1" si="2493"/>
        <v>1</v>
      </c>
      <c r="AE2440" s="1">
        <f t="shared" ca="1" si="2514"/>
        <v>164</v>
      </c>
      <c r="AF2440" t="str">
        <f t="shared" ca="1" si="2491"/>
        <v>Plot 164</v>
      </c>
    </row>
    <row r="2441" spans="28:32" x14ac:dyDescent="0.25">
      <c r="AB2441" t="str">
        <f t="shared" ref="AB2441:AC2441" si="2537">AB2420</f>
        <v>External Scaffolding</v>
      </c>
      <c r="AC2441" t="str">
        <f t="shared" si="2537"/>
        <v>Adaptions</v>
      </c>
      <c r="AD2441" t="b">
        <f t="shared" ca="1" si="2493"/>
        <v>1</v>
      </c>
      <c r="AE2441" s="1">
        <f t="shared" ca="1" si="2514"/>
        <v>164</v>
      </c>
      <c r="AF2441" t="str">
        <f t="shared" ca="1" si="2491"/>
        <v>Plot 164</v>
      </c>
    </row>
    <row r="2442" spans="28:32" x14ac:dyDescent="0.25">
      <c r="AB2442" t="str">
        <f t="shared" ref="AB2442:AC2442" si="2538">AB2421</f>
        <v>External Scaffolding</v>
      </c>
      <c r="AC2442" t="str">
        <f t="shared" si="2538"/>
        <v>Adaption Tower</v>
      </c>
      <c r="AD2442" t="b">
        <f t="shared" ca="1" si="2493"/>
        <v>1</v>
      </c>
      <c r="AE2442" s="1">
        <f t="shared" ca="1" si="2514"/>
        <v>164</v>
      </c>
      <c r="AF2442" t="str">
        <f t="shared" ca="1" si="2491"/>
        <v>Plot 164</v>
      </c>
    </row>
    <row r="2443" spans="28:32" x14ac:dyDescent="0.25">
      <c r="AB2443" t="str">
        <f t="shared" ref="AB2443:AC2443" si="2539">AB2422</f>
        <v>External Scaffolding</v>
      </c>
      <c r="AC2443" t="str">
        <f t="shared" si="2539"/>
        <v>Lift 1</v>
      </c>
      <c r="AD2443" t="b">
        <f t="shared" ca="1" si="2493"/>
        <v>1</v>
      </c>
      <c r="AE2443" s="1">
        <f t="shared" ca="1" si="2514"/>
        <v>165</v>
      </c>
      <c r="AF2443" t="str">
        <f t="shared" ca="1" si="2491"/>
        <v>Plot 165</v>
      </c>
    </row>
    <row r="2444" spans="28:32" x14ac:dyDescent="0.25">
      <c r="AB2444" t="str">
        <f t="shared" ref="AB2444:AC2444" si="2540">AB2423</f>
        <v>External Scaffolding</v>
      </c>
      <c r="AC2444" t="str">
        <f t="shared" si="2540"/>
        <v>Lift 2</v>
      </c>
      <c r="AD2444" t="b">
        <f t="shared" ca="1" si="2493"/>
        <v>1</v>
      </c>
      <c r="AE2444" s="1">
        <f t="shared" ca="1" si="2514"/>
        <v>165</v>
      </c>
      <c r="AF2444" t="str">
        <f t="shared" ca="1" si="2491"/>
        <v>Plot 165</v>
      </c>
    </row>
    <row r="2445" spans="28:32" x14ac:dyDescent="0.25">
      <c r="AB2445" t="str">
        <f t="shared" ref="AB2445:AC2445" si="2541">AB2424</f>
        <v>External Scaffolding</v>
      </c>
      <c r="AC2445" t="str">
        <f t="shared" si="2541"/>
        <v>Lift 3</v>
      </c>
      <c r="AD2445" t="b">
        <f t="shared" ca="1" si="2493"/>
        <v>1</v>
      </c>
      <c r="AE2445" s="1">
        <f t="shared" ca="1" si="2514"/>
        <v>165</v>
      </c>
      <c r="AF2445" t="str">
        <f t="shared" ca="1" si="2491"/>
        <v>Plot 165</v>
      </c>
    </row>
    <row r="2446" spans="28:32" x14ac:dyDescent="0.25">
      <c r="AB2446" t="str">
        <f t="shared" ref="AB2446:AC2446" si="2542">AB2425</f>
        <v>External Scaffolding</v>
      </c>
      <c r="AC2446" t="str">
        <f t="shared" si="2542"/>
        <v>Lift 4</v>
      </c>
      <c r="AD2446" t="b">
        <f t="shared" ca="1" si="2493"/>
        <v>0</v>
      </c>
      <c r="AE2446" s="1">
        <f t="shared" ca="1" si="2514"/>
        <v>165</v>
      </c>
      <c r="AF2446" t="str">
        <f t="shared" ca="1" si="2491"/>
        <v>Plot 165</v>
      </c>
    </row>
    <row r="2447" spans="28:32" x14ac:dyDescent="0.25">
      <c r="AB2447" t="str">
        <f t="shared" ref="AB2447:AC2447" si="2543">AB2426</f>
        <v>External Scaffolding</v>
      </c>
      <c r="AC2447" t="str">
        <f t="shared" si="2543"/>
        <v>Lift 5</v>
      </c>
      <c r="AD2447" t="b">
        <f t="shared" ca="1" si="2493"/>
        <v>0</v>
      </c>
      <c r="AE2447" s="1">
        <f t="shared" ca="1" si="2514"/>
        <v>165</v>
      </c>
      <c r="AF2447" t="str">
        <f t="shared" ca="1" si="2491"/>
        <v>Plot 165</v>
      </c>
    </row>
    <row r="2448" spans="28:32" x14ac:dyDescent="0.25">
      <c r="AB2448" t="str">
        <f t="shared" ref="AB2448:AC2448" si="2544">AB2427</f>
        <v>External Scaffolding</v>
      </c>
      <c r="AC2448" t="str">
        <f t="shared" si="2544"/>
        <v>Lift 6</v>
      </c>
      <c r="AD2448" t="b">
        <f t="shared" ca="1" si="2493"/>
        <v>0</v>
      </c>
      <c r="AE2448" s="1">
        <f t="shared" ca="1" si="2514"/>
        <v>165</v>
      </c>
      <c r="AF2448" t="str">
        <f t="shared" ca="1" si="2491"/>
        <v>Plot 165</v>
      </c>
    </row>
    <row r="2449" spans="28:32" x14ac:dyDescent="0.25">
      <c r="AB2449" t="str">
        <f t="shared" ref="AB2449:AC2449" si="2545">AB2428</f>
        <v>Loading Bay</v>
      </c>
      <c r="AC2449" t="str">
        <f t="shared" si="2545"/>
        <v>Lift 1</v>
      </c>
      <c r="AD2449" t="b">
        <f t="shared" ca="1" si="2493"/>
        <v>1</v>
      </c>
      <c r="AE2449" s="1">
        <f t="shared" ca="1" si="2514"/>
        <v>165</v>
      </c>
      <c r="AF2449" t="str">
        <f t="shared" ca="1" si="2491"/>
        <v>Plot 165</v>
      </c>
    </row>
    <row r="2450" spans="28:32" x14ac:dyDescent="0.25">
      <c r="AB2450" t="str">
        <f t="shared" ref="AB2450:AC2450" si="2546">AB2429</f>
        <v>Loading Bay</v>
      </c>
      <c r="AC2450" t="str">
        <f t="shared" si="2546"/>
        <v>Lift 2</v>
      </c>
      <c r="AD2450" t="b">
        <f t="shared" ca="1" si="2493"/>
        <v>1</v>
      </c>
      <c r="AE2450" s="1">
        <f t="shared" ca="1" si="2514"/>
        <v>165</v>
      </c>
      <c r="AF2450" t="str">
        <f t="shared" ca="1" si="2491"/>
        <v>Plot 165</v>
      </c>
    </row>
    <row r="2451" spans="28:32" x14ac:dyDescent="0.25">
      <c r="AB2451" t="str">
        <f t="shared" ref="AB2451:AC2451" si="2547">AB2430</f>
        <v>Loading Bay</v>
      </c>
      <c r="AC2451" t="str">
        <f t="shared" si="2547"/>
        <v>Lift 3</v>
      </c>
      <c r="AD2451" t="b">
        <f t="shared" ca="1" si="2493"/>
        <v>1</v>
      </c>
      <c r="AE2451" s="1">
        <f t="shared" ca="1" si="2514"/>
        <v>165</v>
      </c>
      <c r="AF2451" t="str">
        <f t="shared" ca="1" si="2491"/>
        <v>Plot 165</v>
      </c>
    </row>
    <row r="2452" spans="28:32" x14ac:dyDescent="0.25">
      <c r="AB2452" t="str">
        <f t="shared" ref="AB2452:AC2452" si="2548">AB2431</f>
        <v>Loading Bay</v>
      </c>
      <c r="AC2452" t="str">
        <f t="shared" si="2548"/>
        <v>Lift 4</v>
      </c>
      <c r="AD2452" t="b">
        <f t="shared" ca="1" si="2493"/>
        <v>0</v>
      </c>
      <c r="AE2452" s="1">
        <f t="shared" ca="1" si="2514"/>
        <v>165</v>
      </c>
      <c r="AF2452" t="str">
        <f t="shared" ca="1" si="2491"/>
        <v>Plot 165</v>
      </c>
    </row>
    <row r="2453" spans="28:32" x14ac:dyDescent="0.25">
      <c r="AB2453" t="str">
        <f t="shared" ref="AB2453:AC2453" si="2549">AB2432</f>
        <v>Loading Bay</v>
      </c>
      <c r="AC2453" t="str">
        <f t="shared" si="2549"/>
        <v>Lift 5</v>
      </c>
      <c r="AD2453" t="b">
        <f t="shared" ca="1" si="2493"/>
        <v>0</v>
      </c>
      <c r="AE2453" s="1">
        <f t="shared" ca="1" si="2514"/>
        <v>165</v>
      </c>
      <c r="AF2453" t="str">
        <f t="shared" ca="1" si="2491"/>
        <v>Plot 165</v>
      </c>
    </row>
    <row r="2454" spans="28:32" x14ac:dyDescent="0.25">
      <c r="AB2454" t="str">
        <f t="shared" ref="AB2454:AC2454" si="2550">AB2433</f>
        <v>Loading Bay</v>
      </c>
      <c r="AC2454" t="str">
        <f t="shared" si="2550"/>
        <v>Lift 6</v>
      </c>
      <c r="AD2454" t="b">
        <f t="shared" ca="1" si="2493"/>
        <v>0</v>
      </c>
      <c r="AE2454" s="1">
        <f t="shared" ca="1" si="2514"/>
        <v>165</v>
      </c>
      <c r="AF2454" t="str">
        <f t="shared" ca="1" si="2491"/>
        <v>Plot 165</v>
      </c>
    </row>
    <row r="2455" spans="28:32" x14ac:dyDescent="0.25">
      <c r="AB2455" t="str">
        <f t="shared" ref="AB2455:AC2455" si="2551">AB2434</f>
        <v>Scaffolding Platform</v>
      </c>
      <c r="AC2455" t="str">
        <f t="shared" si="2551"/>
        <v>Ground Floor</v>
      </c>
      <c r="AD2455" t="b">
        <f t="shared" ca="1" si="2493"/>
        <v>1</v>
      </c>
      <c r="AE2455" s="1">
        <f t="shared" ca="1" si="2514"/>
        <v>165</v>
      </c>
      <c r="AF2455" t="str">
        <f t="shared" ca="1" si="2491"/>
        <v>Plot 165</v>
      </c>
    </row>
    <row r="2456" spans="28:32" x14ac:dyDescent="0.25">
      <c r="AB2456" t="str">
        <f t="shared" ref="AB2456:AC2456" si="2552">AB2435</f>
        <v>Scaffolding Platform</v>
      </c>
      <c r="AC2456" t="str">
        <f t="shared" si="2552"/>
        <v>First Floor</v>
      </c>
      <c r="AD2456" t="b">
        <f t="shared" ca="1" si="2493"/>
        <v>1</v>
      </c>
      <c r="AE2456" s="1">
        <f t="shared" ca="1" si="2514"/>
        <v>165</v>
      </c>
      <c r="AF2456" t="str">
        <f t="shared" ca="1" si="2491"/>
        <v>Plot 165</v>
      </c>
    </row>
    <row r="2457" spans="28:32" x14ac:dyDescent="0.25">
      <c r="AB2457" t="str">
        <f t="shared" ref="AB2457:AC2457" si="2553">AB2436</f>
        <v>Scaffolding Platform</v>
      </c>
      <c r="AC2457" t="str">
        <f t="shared" si="2553"/>
        <v>Second Floor</v>
      </c>
      <c r="AD2457" t="b">
        <f t="shared" ca="1" si="2493"/>
        <v>0</v>
      </c>
      <c r="AE2457" s="1">
        <f t="shared" ca="1" si="2514"/>
        <v>165</v>
      </c>
      <c r="AF2457" t="str">
        <f t="shared" ca="1" si="2491"/>
        <v>Plot 165</v>
      </c>
    </row>
    <row r="2458" spans="28:32" x14ac:dyDescent="0.25">
      <c r="AB2458" t="str">
        <f t="shared" ref="AB2458:AC2458" si="2554">AB2437</f>
        <v>Supporting Scaffold</v>
      </c>
      <c r="AC2458" t="str">
        <f t="shared" si="2554"/>
        <v>Ground Floor Prop.</v>
      </c>
      <c r="AD2458" t="str">
        <f t="shared" ca="1" si="2493"/>
        <v>TRUE</v>
      </c>
      <c r="AE2458" s="1">
        <f t="shared" ca="1" si="2514"/>
        <v>165</v>
      </c>
      <c r="AF2458" t="str">
        <f t="shared" ca="1" si="2491"/>
        <v>Plot 165</v>
      </c>
    </row>
    <row r="2459" spans="28:32" x14ac:dyDescent="0.25">
      <c r="AB2459" t="str">
        <f t="shared" ref="AB2459:AC2459" si="2555">AB2438</f>
        <v>Supporting Scaffold</v>
      </c>
      <c r="AC2459" t="str">
        <f t="shared" si="2555"/>
        <v>First Floor Prop.</v>
      </c>
      <c r="AD2459" t="str">
        <f t="shared" ca="1" si="2493"/>
        <v>FALSE</v>
      </c>
      <c r="AE2459" s="1">
        <f t="shared" ca="1" si="2514"/>
        <v>165</v>
      </c>
      <c r="AF2459" t="str">
        <f t="shared" ca="1" si="2491"/>
        <v>Plot 165</v>
      </c>
    </row>
    <row r="2460" spans="28:32" x14ac:dyDescent="0.25">
      <c r="AB2460" t="str">
        <f t="shared" ref="AB2460:AC2460" si="2556">AB2439</f>
        <v>Supporting Scaffold</v>
      </c>
      <c r="AC2460" t="str">
        <f t="shared" si="2556"/>
        <v>Second Floor Prop.</v>
      </c>
      <c r="AD2460" t="str">
        <f t="shared" ca="1" si="2493"/>
        <v>FALSE</v>
      </c>
      <c r="AE2460" s="1">
        <f t="shared" ca="1" si="2514"/>
        <v>165</v>
      </c>
      <c r="AF2460" t="str">
        <f t="shared" ca="1" si="2491"/>
        <v>Plot 165</v>
      </c>
    </row>
    <row r="2461" spans="28:32" x14ac:dyDescent="0.25">
      <c r="AB2461" t="str">
        <f t="shared" ref="AB2461:AC2461" si="2557">AB2440</f>
        <v>External Scaffolding</v>
      </c>
      <c r="AC2461" t="str">
        <f t="shared" si="2557"/>
        <v>Hop-ups</v>
      </c>
      <c r="AD2461" t="b">
        <f t="shared" ca="1" si="2493"/>
        <v>1</v>
      </c>
      <c r="AE2461" s="1">
        <f t="shared" ca="1" si="2514"/>
        <v>165</v>
      </c>
      <c r="AF2461" t="str">
        <f t="shared" ref="AF2461:AF2524" ca="1" si="2558">IF(LEFT(AE2461,1)="G",AE2461,"Plot "&amp;AE2461)</f>
        <v>Plot 165</v>
      </c>
    </row>
    <row r="2462" spans="28:32" x14ac:dyDescent="0.25">
      <c r="AB2462" t="str">
        <f t="shared" ref="AB2462:AC2462" si="2559">AB2441</f>
        <v>External Scaffolding</v>
      </c>
      <c r="AC2462" t="str">
        <f t="shared" si="2559"/>
        <v>Adaptions</v>
      </c>
      <c r="AD2462" t="b">
        <f t="shared" ref="AD2462:AD2525" ca="1" si="2560">INDEX($AC$1:$JH$22,MATCH(AC2462,$AC$1:$AC$22,0),MATCH(AE2462,$AC$1:$JH$1,0))</f>
        <v>1</v>
      </c>
      <c r="AE2462" s="1">
        <f t="shared" ca="1" si="2514"/>
        <v>165</v>
      </c>
      <c r="AF2462" t="str">
        <f t="shared" ca="1" si="2558"/>
        <v>Plot 165</v>
      </c>
    </row>
    <row r="2463" spans="28:32" x14ac:dyDescent="0.25">
      <c r="AB2463" t="str">
        <f t="shared" ref="AB2463:AC2463" si="2561">AB2442</f>
        <v>External Scaffolding</v>
      </c>
      <c r="AC2463" t="str">
        <f t="shared" si="2561"/>
        <v>Adaption Tower</v>
      </c>
      <c r="AD2463" t="b">
        <f t="shared" ca="1" si="2560"/>
        <v>1</v>
      </c>
      <c r="AE2463" s="1">
        <f t="shared" ca="1" si="2514"/>
        <v>165</v>
      </c>
      <c r="AF2463" t="str">
        <f t="shared" ca="1" si="2558"/>
        <v>Plot 165</v>
      </c>
    </row>
    <row r="2464" spans="28:32" x14ac:dyDescent="0.25">
      <c r="AB2464" t="str">
        <f t="shared" ref="AB2464:AC2464" si="2562">AB2443</f>
        <v>External Scaffolding</v>
      </c>
      <c r="AC2464" t="str">
        <f t="shared" si="2562"/>
        <v>Lift 1</v>
      </c>
      <c r="AD2464" t="b">
        <f t="shared" ca="1" si="2560"/>
        <v>1</v>
      </c>
      <c r="AE2464" s="1" t="str">
        <f t="shared" ca="1" si="2514"/>
        <v>166-167</v>
      </c>
      <c r="AF2464" t="str">
        <f t="shared" ca="1" si="2558"/>
        <v>Plot 166-167</v>
      </c>
    </row>
    <row r="2465" spans="28:32" x14ac:dyDescent="0.25">
      <c r="AB2465" t="str">
        <f t="shared" ref="AB2465:AC2465" si="2563">AB2444</f>
        <v>External Scaffolding</v>
      </c>
      <c r="AC2465" t="str">
        <f t="shared" si="2563"/>
        <v>Lift 2</v>
      </c>
      <c r="AD2465" t="b">
        <f t="shared" ca="1" si="2560"/>
        <v>1</v>
      </c>
      <c r="AE2465" s="1" t="str">
        <f t="shared" ca="1" si="2514"/>
        <v>166-167</v>
      </c>
      <c r="AF2465" t="str">
        <f t="shared" ca="1" si="2558"/>
        <v>Plot 166-167</v>
      </c>
    </row>
    <row r="2466" spans="28:32" x14ac:dyDescent="0.25">
      <c r="AB2466" t="str">
        <f t="shared" ref="AB2466:AC2466" si="2564">AB2445</f>
        <v>External Scaffolding</v>
      </c>
      <c r="AC2466" t="str">
        <f t="shared" si="2564"/>
        <v>Lift 3</v>
      </c>
      <c r="AD2466" t="b">
        <f t="shared" ca="1" si="2560"/>
        <v>1</v>
      </c>
      <c r="AE2466" s="1" t="str">
        <f t="shared" ca="1" si="2514"/>
        <v>166-167</v>
      </c>
      <c r="AF2466" t="str">
        <f t="shared" ca="1" si="2558"/>
        <v>Plot 166-167</v>
      </c>
    </row>
    <row r="2467" spans="28:32" x14ac:dyDescent="0.25">
      <c r="AB2467" t="str">
        <f t="shared" ref="AB2467:AC2467" si="2565">AB2446</f>
        <v>External Scaffolding</v>
      </c>
      <c r="AC2467" t="str">
        <f t="shared" si="2565"/>
        <v>Lift 4</v>
      </c>
      <c r="AD2467" t="b">
        <f t="shared" ca="1" si="2560"/>
        <v>0</v>
      </c>
      <c r="AE2467" s="1" t="str">
        <f t="shared" ca="1" si="2514"/>
        <v>166-167</v>
      </c>
      <c r="AF2467" t="str">
        <f t="shared" ca="1" si="2558"/>
        <v>Plot 166-167</v>
      </c>
    </row>
    <row r="2468" spans="28:32" x14ac:dyDescent="0.25">
      <c r="AB2468" t="str">
        <f t="shared" ref="AB2468:AC2468" si="2566">AB2447</f>
        <v>External Scaffolding</v>
      </c>
      <c r="AC2468" t="str">
        <f t="shared" si="2566"/>
        <v>Lift 5</v>
      </c>
      <c r="AD2468" t="b">
        <f t="shared" ca="1" si="2560"/>
        <v>0</v>
      </c>
      <c r="AE2468" s="1" t="str">
        <f t="shared" ca="1" si="2514"/>
        <v>166-167</v>
      </c>
      <c r="AF2468" t="str">
        <f t="shared" ca="1" si="2558"/>
        <v>Plot 166-167</v>
      </c>
    </row>
    <row r="2469" spans="28:32" x14ac:dyDescent="0.25">
      <c r="AB2469" t="str">
        <f t="shared" ref="AB2469:AC2469" si="2567">AB2448</f>
        <v>External Scaffolding</v>
      </c>
      <c r="AC2469" t="str">
        <f t="shared" si="2567"/>
        <v>Lift 6</v>
      </c>
      <c r="AD2469" t="b">
        <f t="shared" ca="1" si="2560"/>
        <v>0</v>
      </c>
      <c r="AE2469" s="1" t="str">
        <f t="shared" ca="1" si="2514"/>
        <v>166-167</v>
      </c>
      <c r="AF2469" t="str">
        <f t="shared" ca="1" si="2558"/>
        <v>Plot 166-167</v>
      </c>
    </row>
    <row r="2470" spans="28:32" x14ac:dyDescent="0.25">
      <c r="AB2470" t="str">
        <f t="shared" ref="AB2470:AC2470" si="2568">AB2449</f>
        <v>Loading Bay</v>
      </c>
      <c r="AC2470" t="str">
        <f t="shared" si="2568"/>
        <v>Lift 1</v>
      </c>
      <c r="AD2470" t="b">
        <f t="shared" ca="1" si="2560"/>
        <v>1</v>
      </c>
      <c r="AE2470" s="1" t="str">
        <f t="shared" ca="1" si="2514"/>
        <v>166-167</v>
      </c>
      <c r="AF2470" t="str">
        <f t="shared" ca="1" si="2558"/>
        <v>Plot 166-167</v>
      </c>
    </row>
    <row r="2471" spans="28:32" x14ac:dyDescent="0.25">
      <c r="AB2471" t="str">
        <f t="shared" ref="AB2471:AC2471" si="2569">AB2450</f>
        <v>Loading Bay</v>
      </c>
      <c r="AC2471" t="str">
        <f t="shared" si="2569"/>
        <v>Lift 2</v>
      </c>
      <c r="AD2471" t="b">
        <f t="shared" ca="1" si="2560"/>
        <v>1</v>
      </c>
      <c r="AE2471" s="1" t="str">
        <f t="shared" ca="1" si="2514"/>
        <v>166-167</v>
      </c>
      <c r="AF2471" t="str">
        <f t="shared" ca="1" si="2558"/>
        <v>Plot 166-167</v>
      </c>
    </row>
    <row r="2472" spans="28:32" x14ac:dyDescent="0.25">
      <c r="AB2472" t="str">
        <f t="shared" ref="AB2472:AC2472" si="2570">AB2451</f>
        <v>Loading Bay</v>
      </c>
      <c r="AC2472" t="str">
        <f t="shared" si="2570"/>
        <v>Lift 3</v>
      </c>
      <c r="AD2472" t="b">
        <f t="shared" ca="1" si="2560"/>
        <v>1</v>
      </c>
      <c r="AE2472" s="1" t="str">
        <f t="shared" ca="1" si="2514"/>
        <v>166-167</v>
      </c>
      <c r="AF2472" t="str">
        <f t="shared" ca="1" si="2558"/>
        <v>Plot 166-167</v>
      </c>
    </row>
    <row r="2473" spans="28:32" x14ac:dyDescent="0.25">
      <c r="AB2473" t="str">
        <f t="shared" ref="AB2473:AC2473" si="2571">AB2452</f>
        <v>Loading Bay</v>
      </c>
      <c r="AC2473" t="str">
        <f t="shared" si="2571"/>
        <v>Lift 4</v>
      </c>
      <c r="AD2473" t="b">
        <f t="shared" ca="1" si="2560"/>
        <v>0</v>
      </c>
      <c r="AE2473" s="1" t="str">
        <f t="shared" ca="1" si="2514"/>
        <v>166-167</v>
      </c>
      <c r="AF2473" t="str">
        <f t="shared" ca="1" si="2558"/>
        <v>Plot 166-167</v>
      </c>
    </row>
    <row r="2474" spans="28:32" x14ac:dyDescent="0.25">
      <c r="AB2474" t="str">
        <f t="shared" ref="AB2474:AC2474" si="2572">AB2453</f>
        <v>Loading Bay</v>
      </c>
      <c r="AC2474" t="str">
        <f t="shared" si="2572"/>
        <v>Lift 5</v>
      </c>
      <c r="AD2474" t="b">
        <f t="shared" ca="1" si="2560"/>
        <v>0</v>
      </c>
      <c r="AE2474" s="1" t="str">
        <f t="shared" ca="1" si="2514"/>
        <v>166-167</v>
      </c>
      <c r="AF2474" t="str">
        <f t="shared" ca="1" si="2558"/>
        <v>Plot 166-167</v>
      </c>
    </row>
    <row r="2475" spans="28:32" x14ac:dyDescent="0.25">
      <c r="AB2475" t="str">
        <f t="shared" ref="AB2475:AC2475" si="2573">AB2454</f>
        <v>Loading Bay</v>
      </c>
      <c r="AC2475" t="str">
        <f t="shared" si="2573"/>
        <v>Lift 6</v>
      </c>
      <c r="AD2475" t="b">
        <f t="shared" ca="1" si="2560"/>
        <v>0</v>
      </c>
      <c r="AE2475" s="1" t="str">
        <f t="shared" ca="1" si="2514"/>
        <v>166-167</v>
      </c>
      <c r="AF2475" t="str">
        <f t="shared" ca="1" si="2558"/>
        <v>Plot 166-167</v>
      </c>
    </row>
    <row r="2476" spans="28:32" x14ac:dyDescent="0.25">
      <c r="AB2476" t="str">
        <f t="shared" ref="AB2476:AC2476" si="2574">AB2455</f>
        <v>Scaffolding Platform</v>
      </c>
      <c r="AC2476" t="str">
        <f t="shared" si="2574"/>
        <v>Ground Floor</v>
      </c>
      <c r="AD2476" t="b">
        <f t="shared" ca="1" si="2560"/>
        <v>1</v>
      </c>
      <c r="AE2476" s="1" t="str">
        <f t="shared" ca="1" si="2514"/>
        <v>166-167</v>
      </c>
      <c r="AF2476" t="str">
        <f t="shared" ca="1" si="2558"/>
        <v>Plot 166-167</v>
      </c>
    </row>
    <row r="2477" spans="28:32" x14ac:dyDescent="0.25">
      <c r="AB2477" t="str">
        <f t="shared" ref="AB2477:AC2477" si="2575">AB2456</f>
        <v>Scaffolding Platform</v>
      </c>
      <c r="AC2477" t="str">
        <f t="shared" si="2575"/>
        <v>First Floor</v>
      </c>
      <c r="AD2477" t="b">
        <f t="shared" ca="1" si="2560"/>
        <v>1</v>
      </c>
      <c r="AE2477" s="1" t="str">
        <f t="shared" ca="1" si="2514"/>
        <v>166-167</v>
      </c>
      <c r="AF2477" t="str">
        <f t="shared" ca="1" si="2558"/>
        <v>Plot 166-167</v>
      </c>
    </row>
    <row r="2478" spans="28:32" x14ac:dyDescent="0.25">
      <c r="AB2478" t="str">
        <f t="shared" ref="AB2478:AC2478" si="2576">AB2457</f>
        <v>Scaffolding Platform</v>
      </c>
      <c r="AC2478" t="str">
        <f t="shared" si="2576"/>
        <v>Second Floor</v>
      </c>
      <c r="AD2478" t="b">
        <f t="shared" ca="1" si="2560"/>
        <v>0</v>
      </c>
      <c r="AE2478" s="1" t="str">
        <f t="shared" ca="1" si="2514"/>
        <v>166-167</v>
      </c>
      <c r="AF2478" t="str">
        <f t="shared" ca="1" si="2558"/>
        <v>Plot 166-167</v>
      </c>
    </row>
    <row r="2479" spans="28:32" x14ac:dyDescent="0.25">
      <c r="AB2479" t="str">
        <f t="shared" ref="AB2479:AC2479" si="2577">AB2458</f>
        <v>Supporting Scaffold</v>
      </c>
      <c r="AC2479" t="str">
        <f t="shared" si="2577"/>
        <v>Ground Floor Prop.</v>
      </c>
      <c r="AD2479" t="str">
        <f t="shared" ca="1" si="2560"/>
        <v>TRUE</v>
      </c>
      <c r="AE2479" s="1" t="str">
        <f t="shared" ca="1" si="2514"/>
        <v>166-167</v>
      </c>
      <c r="AF2479" t="str">
        <f t="shared" ca="1" si="2558"/>
        <v>Plot 166-167</v>
      </c>
    </row>
    <row r="2480" spans="28:32" x14ac:dyDescent="0.25">
      <c r="AB2480" t="str">
        <f t="shared" ref="AB2480:AC2480" si="2578">AB2459</f>
        <v>Supporting Scaffold</v>
      </c>
      <c r="AC2480" t="str">
        <f t="shared" si="2578"/>
        <v>First Floor Prop.</v>
      </c>
      <c r="AD2480" t="str">
        <f t="shared" ca="1" si="2560"/>
        <v>FALSE</v>
      </c>
      <c r="AE2480" s="1" t="str">
        <f t="shared" ca="1" si="2514"/>
        <v>166-167</v>
      </c>
      <c r="AF2480" t="str">
        <f t="shared" ca="1" si="2558"/>
        <v>Plot 166-167</v>
      </c>
    </row>
    <row r="2481" spans="28:32" x14ac:dyDescent="0.25">
      <c r="AB2481" t="str">
        <f t="shared" ref="AB2481:AC2481" si="2579">AB2460</f>
        <v>Supporting Scaffold</v>
      </c>
      <c r="AC2481" t="str">
        <f t="shared" si="2579"/>
        <v>Second Floor Prop.</v>
      </c>
      <c r="AD2481" t="str">
        <f t="shared" ca="1" si="2560"/>
        <v>FALSE</v>
      </c>
      <c r="AE2481" s="1" t="str">
        <f t="shared" ca="1" si="2514"/>
        <v>166-167</v>
      </c>
      <c r="AF2481" t="str">
        <f t="shared" ca="1" si="2558"/>
        <v>Plot 166-167</v>
      </c>
    </row>
    <row r="2482" spans="28:32" x14ac:dyDescent="0.25">
      <c r="AB2482" t="str">
        <f t="shared" ref="AB2482:AC2482" si="2580">AB2461</f>
        <v>External Scaffolding</v>
      </c>
      <c r="AC2482" t="str">
        <f t="shared" si="2580"/>
        <v>Hop-ups</v>
      </c>
      <c r="AD2482" t="b">
        <f t="shared" ca="1" si="2560"/>
        <v>1</v>
      </c>
      <c r="AE2482" s="1" t="str">
        <f t="shared" ref="AE2482:AE2545" ca="1" si="2581">OFFSET($AD$1,0,FLOOR(ROW(B2454)/21,1))</f>
        <v>166-167</v>
      </c>
      <c r="AF2482" t="str">
        <f t="shared" ca="1" si="2558"/>
        <v>Plot 166-167</v>
      </c>
    </row>
    <row r="2483" spans="28:32" x14ac:dyDescent="0.25">
      <c r="AB2483" t="str">
        <f t="shared" ref="AB2483:AC2483" si="2582">AB2462</f>
        <v>External Scaffolding</v>
      </c>
      <c r="AC2483" t="str">
        <f t="shared" si="2582"/>
        <v>Adaptions</v>
      </c>
      <c r="AD2483" t="b">
        <f t="shared" ca="1" si="2560"/>
        <v>1</v>
      </c>
      <c r="AE2483" s="1" t="str">
        <f t="shared" ca="1" si="2581"/>
        <v>166-167</v>
      </c>
      <c r="AF2483" t="str">
        <f t="shared" ca="1" si="2558"/>
        <v>Plot 166-167</v>
      </c>
    </row>
    <row r="2484" spans="28:32" x14ac:dyDescent="0.25">
      <c r="AB2484" t="str">
        <f t="shared" ref="AB2484:AC2484" si="2583">AB2463</f>
        <v>External Scaffolding</v>
      </c>
      <c r="AC2484" t="str">
        <f t="shared" si="2583"/>
        <v>Adaption Tower</v>
      </c>
      <c r="AD2484" t="b">
        <f t="shared" ca="1" si="2560"/>
        <v>1</v>
      </c>
      <c r="AE2484" s="1" t="str">
        <f t="shared" ca="1" si="2581"/>
        <v>166-167</v>
      </c>
      <c r="AF2484" t="str">
        <f t="shared" ca="1" si="2558"/>
        <v>Plot 166-167</v>
      </c>
    </row>
    <row r="2485" spans="28:32" x14ac:dyDescent="0.25">
      <c r="AB2485" t="str">
        <f t="shared" ref="AB2485:AC2485" si="2584">AB2464</f>
        <v>External Scaffolding</v>
      </c>
      <c r="AC2485" t="str">
        <f t="shared" si="2584"/>
        <v>Lift 1</v>
      </c>
      <c r="AD2485" t="b">
        <f t="shared" ca="1" si="2560"/>
        <v>1</v>
      </c>
      <c r="AE2485" s="1" t="str">
        <f t="shared" ca="1" si="2581"/>
        <v>168-171</v>
      </c>
      <c r="AF2485" t="str">
        <f t="shared" ca="1" si="2558"/>
        <v>Plot 168-171</v>
      </c>
    </row>
    <row r="2486" spans="28:32" x14ac:dyDescent="0.25">
      <c r="AB2486" t="str">
        <f t="shared" ref="AB2486:AC2486" si="2585">AB2465</f>
        <v>External Scaffolding</v>
      </c>
      <c r="AC2486" t="str">
        <f t="shared" si="2585"/>
        <v>Lift 2</v>
      </c>
      <c r="AD2486" t="b">
        <f t="shared" ca="1" si="2560"/>
        <v>1</v>
      </c>
      <c r="AE2486" s="1" t="str">
        <f t="shared" ca="1" si="2581"/>
        <v>168-171</v>
      </c>
      <c r="AF2486" t="str">
        <f t="shared" ca="1" si="2558"/>
        <v>Plot 168-171</v>
      </c>
    </row>
    <row r="2487" spans="28:32" x14ac:dyDescent="0.25">
      <c r="AB2487" t="str">
        <f t="shared" ref="AB2487:AC2487" si="2586">AB2466</f>
        <v>External Scaffolding</v>
      </c>
      <c r="AC2487" t="str">
        <f t="shared" si="2586"/>
        <v>Lift 3</v>
      </c>
      <c r="AD2487" t="b">
        <f t="shared" ca="1" si="2560"/>
        <v>1</v>
      </c>
      <c r="AE2487" s="1" t="str">
        <f t="shared" ca="1" si="2581"/>
        <v>168-171</v>
      </c>
      <c r="AF2487" t="str">
        <f t="shared" ca="1" si="2558"/>
        <v>Plot 168-171</v>
      </c>
    </row>
    <row r="2488" spans="28:32" x14ac:dyDescent="0.25">
      <c r="AB2488" t="str">
        <f t="shared" ref="AB2488:AC2488" si="2587">AB2467</f>
        <v>External Scaffolding</v>
      </c>
      <c r="AC2488" t="str">
        <f t="shared" si="2587"/>
        <v>Lift 4</v>
      </c>
      <c r="AD2488" t="b">
        <f t="shared" ca="1" si="2560"/>
        <v>1</v>
      </c>
      <c r="AE2488" s="1" t="str">
        <f t="shared" ca="1" si="2581"/>
        <v>168-171</v>
      </c>
      <c r="AF2488" t="str">
        <f t="shared" ca="1" si="2558"/>
        <v>Plot 168-171</v>
      </c>
    </row>
    <row r="2489" spans="28:32" x14ac:dyDescent="0.25">
      <c r="AB2489" t="str">
        <f t="shared" ref="AB2489:AC2489" si="2588">AB2468</f>
        <v>External Scaffolding</v>
      </c>
      <c r="AC2489" t="str">
        <f t="shared" si="2588"/>
        <v>Lift 5</v>
      </c>
      <c r="AD2489" t="b">
        <f t="shared" ca="1" si="2560"/>
        <v>1</v>
      </c>
      <c r="AE2489" s="1" t="str">
        <f t="shared" ca="1" si="2581"/>
        <v>168-171</v>
      </c>
      <c r="AF2489" t="str">
        <f t="shared" ca="1" si="2558"/>
        <v>Plot 168-171</v>
      </c>
    </row>
    <row r="2490" spans="28:32" x14ac:dyDescent="0.25">
      <c r="AB2490" t="str">
        <f t="shared" ref="AB2490:AC2490" si="2589">AB2469</f>
        <v>External Scaffolding</v>
      </c>
      <c r="AC2490" t="str">
        <f t="shared" si="2589"/>
        <v>Lift 6</v>
      </c>
      <c r="AD2490" t="b">
        <f t="shared" ca="1" si="2560"/>
        <v>1</v>
      </c>
      <c r="AE2490" s="1" t="str">
        <f t="shared" ca="1" si="2581"/>
        <v>168-171</v>
      </c>
      <c r="AF2490" t="str">
        <f t="shared" ca="1" si="2558"/>
        <v>Plot 168-171</v>
      </c>
    </row>
    <row r="2491" spans="28:32" x14ac:dyDescent="0.25">
      <c r="AB2491" t="str">
        <f t="shared" ref="AB2491:AC2491" si="2590">AB2470</f>
        <v>Loading Bay</v>
      </c>
      <c r="AC2491" t="str">
        <f t="shared" si="2590"/>
        <v>Lift 1</v>
      </c>
      <c r="AD2491" t="b">
        <f t="shared" ca="1" si="2560"/>
        <v>1</v>
      </c>
      <c r="AE2491" s="1" t="str">
        <f t="shared" ca="1" si="2581"/>
        <v>168-171</v>
      </c>
      <c r="AF2491" t="str">
        <f t="shared" ca="1" si="2558"/>
        <v>Plot 168-171</v>
      </c>
    </row>
    <row r="2492" spans="28:32" x14ac:dyDescent="0.25">
      <c r="AB2492" t="str">
        <f t="shared" ref="AB2492:AC2492" si="2591">AB2471</f>
        <v>Loading Bay</v>
      </c>
      <c r="AC2492" t="str">
        <f t="shared" si="2591"/>
        <v>Lift 2</v>
      </c>
      <c r="AD2492" t="b">
        <f t="shared" ca="1" si="2560"/>
        <v>1</v>
      </c>
      <c r="AE2492" s="1" t="str">
        <f t="shared" ca="1" si="2581"/>
        <v>168-171</v>
      </c>
      <c r="AF2492" t="str">
        <f t="shared" ca="1" si="2558"/>
        <v>Plot 168-171</v>
      </c>
    </row>
    <row r="2493" spans="28:32" x14ac:dyDescent="0.25">
      <c r="AB2493" t="str">
        <f t="shared" ref="AB2493:AC2493" si="2592">AB2472</f>
        <v>Loading Bay</v>
      </c>
      <c r="AC2493" t="str">
        <f t="shared" si="2592"/>
        <v>Lift 3</v>
      </c>
      <c r="AD2493" t="b">
        <f t="shared" ca="1" si="2560"/>
        <v>1</v>
      </c>
      <c r="AE2493" s="1" t="str">
        <f t="shared" ca="1" si="2581"/>
        <v>168-171</v>
      </c>
      <c r="AF2493" t="str">
        <f t="shared" ca="1" si="2558"/>
        <v>Plot 168-171</v>
      </c>
    </row>
    <row r="2494" spans="28:32" x14ac:dyDescent="0.25">
      <c r="AB2494" t="str">
        <f t="shared" ref="AB2494:AC2494" si="2593">AB2473</f>
        <v>Loading Bay</v>
      </c>
      <c r="AC2494" t="str">
        <f t="shared" si="2593"/>
        <v>Lift 4</v>
      </c>
      <c r="AD2494" t="b">
        <f t="shared" ca="1" si="2560"/>
        <v>1</v>
      </c>
      <c r="AE2494" s="1" t="str">
        <f t="shared" ca="1" si="2581"/>
        <v>168-171</v>
      </c>
      <c r="AF2494" t="str">
        <f t="shared" ca="1" si="2558"/>
        <v>Plot 168-171</v>
      </c>
    </row>
    <row r="2495" spans="28:32" x14ac:dyDescent="0.25">
      <c r="AB2495" t="str">
        <f t="shared" ref="AB2495:AC2495" si="2594">AB2474</f>
        <v>Loading Bay</v>
      </c>
      <c r="AC2495" t="str">
        <f t="shared" si="2594"/>
        <v>Lift 5</v>
      </c>
      <c r="AD2495" t="b">
        <f t="shared" ca="1" si="2560"/>
        <v>1</v>
      </c>
      <c r="AE2495" s="1" t="str">
        <f t="shared" ca="1" si="2581"/>
        <v>168-171</v>
      </c>
      <c r="AF2495" t="str">
        <f t="shared" ca="1" si="2558"/>
        <v>Plot 168-171</v>
      </c>
    </row>
    <row r="2496" spans="28:32" x14ac:dyDescent="0.25">
      <c r="AB2496" t="str">
        <f t="shared" ref="AB2496:AC2496" si="2595">AB2475</f>
        <v>Loading Bay</v>
      </c>
      <c r="AC2496" t="str">
        <f t="shared" si="2595"/>
        <v>Lift 6</v>
      </c>
      <c r="AD2496" t="b">
        <f t="shared" ca="1" si="2560"/>
        <v>1</v>
      </c>
      <c r="AE2496" s="1" t="str">
        <f t="shared" ca="1" si="2581"/>
        <v>168-171</v>
      </c>
      <c r="AF2496" t="str">
        <f t="shared" ca="1" si="2558"/>
        <v>Plot 168-171</v>
      </c>
    </row>
    <row r="2497" spans="28:32" x14ac:dyDescent="0.25">
      <c r="AB2497" t="str">
        <f t="shared" ref="AB2497:AC2497" si="2596">AB2476</f>
        <v>Scaffolding Platform</v>
      </c>
      <c r="AC2497" t="str">
        <f t="shared" si="2596"/>
        <v>Ground Floor</v>
      </c>
      <c r="AD2497" t="b">
        <f t="shared" ca="1" si="2560"/>
        <v>1</v>
      </c>
      <c r="AE2497" s="1" t="str">
        <f t="shared" ca="1" si="2581"/>
        <v>168-171</v>
      </c>
      <c r="AF2497" t="str">
        <f t="shared" ca="1" si="2558"/>
        <v>Plot 168-171</v>
      </c>
    </row>
    <row r="2498" spans="28:32" x14ac:dyDescent="0.25">
      <c r="AB2498" t="str">
        <f t="shared" ref="AB2498:AC2498" si="2597">AB2477</f>
        <v>Scaffolding Platform</v>
      </c>
      <c r="AC2498" t="str">
        <f t="shared" si="2597"/>
        <v>First Floor</v>
      </c>
      <c r="AD2498" t="b">
        <f t="shared" ca="1" si="2560"/>
        <v>1</v>
      </c>
      <c r="AE2498" s="1" t="str">
        <f t="shared" ca="1" si="2581"/>
        <v>168-171</v>
      </c>
      <c r="AF2498" t="str">
        <f t="shared" ca="1" si="2558"/>
        <v>Plot 168-171</v>
      </c>
    </row>
    <row r="2499" spans="28:32" x14ac:dyDescent="0.25">
      <c r="AB2499" t="str">
        <f t="shared" ref="AB2499:AC2499" si="2598">AB2478</f>
        <v>Scaffolding Platform</v>
      </c>
      <c r="AC2499" t="str">
        <f t="shared" si="2598"/>
        <v>Second Floor</v>
      </c>
      <c r="AD2499" t="b">
        <f t="shared" ca="1" si="2560"/>
        <v>1</v>
      </c>
      <c r="AE2499" s="1" t="str">
        <f t="shared" ca="1" si="2581"/>
        <v>168-171</v>
      </c>
      <c r="AF2499" t="str">
        <f t="shared" ca="1" si="2558"/>
        <v>Plot 168-171</v>
      </c>
    </row>
    <row r="2500" spans="28:32" x14ac:dyDescent="0.25">
      <c r="AB2500" t="str">
        <f t="shared" ref="AB2500:AC2500" si="2599">AB2479</f>
        <v>Supporting Scaffold</v>
      </c>
      <c r="AC2500" t="str">
        <f t="shared" si="2599"/>
        <v>Ground Floor Prop.</v>
      </c>
      <c r="AD2500" t="str">
        <f t="shared" ca="1" si="2560"/>
        <v>TRUE</v>
      </c>
      <c r="AE2500" s="1" t="str">
        <f t="shared" ca="1" si="2581"/>
        <v>168-171</v>
      </c>
      <c r="AF2500" t="str">
        <f t="shared" ca="1" si="2558"/>
        <v>Plot 168-171</v>
      </c>
    </row>
    <row r="2501" spans="28:32" x14ac:dyDescent="0.25">
      <c r="AB2501" t="str">
        <f t="shared" ref="AB2501:AC2501" si="2600">AB2480</f>
        <v>Supporting Scaffold</v>
      </c>
      <c r="AC2501" t="str">
        <f t="shared" si="2600"/>
        <v>First Floor Prop.</v>
      </c>
      <c r="AD2501" t="str">
        <f t="shared" ca="1" si="2560"/>
        <v>TRUE</v>
      </c>
      <c r="AE2501" s="1" t="str">
        <f t="shared" ca="1" si="2581"/>
        <v>168-171</v>
      </c>
      <c r="AF2501" t="str">
        <f t="shared" ca="1" si="2558"/>
        <v>Plot 168-171</v>
      </c>
    </row>
    <row r="2502" spans="28:32" x14ac:dyDescent="0.25">
      <c r="AB2502" t="str">
        <f t="shared" ref="AB2502:AC2502" si="2601">AB2481</f>
        <v>Supporting Scaffold</v>
      </c>
      <c r="AC2502" t="str">
        <f t="shared" si="2601"/>
        <v>Second Floor Prop.</v>
      </c>
      <c r="AD2502" t="str">
        <f t="shared" ca="1" si="2560"/>
        <v>FALSE</v>
      </c>
      <c r="AE2502" s="1" t="str">
        <f t="shared" ca="1" si="2581"/>
        <v>168-171</v>
      </c>
      <c r="AF2502" t="str">
        <f t="shared" ca="1" si="2558"/>
        <v>Plot 168-171</v>
      </c>
    </row>
    <row r="2503" spans="28:32" x14ac:dyDescent="0.25">
      <c r="AB2503" t="str">
        <f t="shared" ref="AB2503:AC2503" si="2602">AB2482</f>
        <v>External Scaffolding</v>
      </c>
      <c r="AC2503" t="str">
        <f t="shared" si="2602"/>
        <v>Hop-ups</v>
      </c>
      <c r="AD2503" t="b">
        <f t="shared" ca="1" si="2560"/>
        <v>1</v>
      </c>
      <c r="AE2503" s="1" t="str">
        <f t="shared" ca="1" si="2581"/>
        <v>168-171</v>
      </c>
      <c r="AF2503" t="str">
        <f t="shared" ca="1" si="2558"/>
        <v>Plot 168-171</v>
      </c>
    </row>
    <row r="2504" spans="28:32" x14ac:dyDescent="0.25">
      <c r="AB2504" t="str">
        <f t="shared" ref="AB2504:AC2504" si="2603">AB2483</f>
        <v>External Scaffolding</v>
      </c>
      <c r="AC2504" t="str">
        <f t="shared" si="2603"/>
        <v>Adaptions</v>
      </c>
      <c r="AD2504" t="b">
        <f t="shared" ca="1" si="2560"/>
        <v>1</v>
      </c>
      <c r="AE2504" s="1" t="str">
        <f t="shared" ca="1" si="2581"/>
        <v>168-171</v>
      </c>
      <c r="AF2504" t="str">
        <f t="shared" ca="1" si="2558"/>
        <v>Plot 168-171</v>
      </c>
    </row>
    <row r="2505" spans="28:32" x14ac:dyDescent="0.25">
      <c r="AB2505" t="str">
        <f t="shared" ref="AB2505:AC2505" si="2604">AB2484</f>
        <v>External Scaffolding</v>
      </c>
      <c r="AC2505" t="str">
        <f t="shared" si="2604"/>
        <v>Adaption Tower</v>
      </c>
      <c r="AD2505" t="b">
        <f t="shared" ca="1" si="2560"/>
        <v>1</v>
      </c>
      <c r="AE2505" s="1" t="str">
        <f t="shared" ca="1" si="2581"/>
        <v>168-171</v>
      </c>
      <c r="AF2505" t="str">
        <f t="shared" ca="1" si="2558"/>
        <v>Plot 168-171</v>
      </c>
    </row>
    <row r="2506" spans="28:32" x14ac:dyDescent="0.25">
      <c r="AB2506" t="str">
        <f t="shared" ref="AB2506:AC2506" si="2605">AB2485</f>
        <v>External Scaffolding</v>
      </c>
      <c r="AC2506" t="str">
        <f t="shared" si="2605"/>
        <v>Lift 1</v>
      </c>
      <c r="AD2506" t="b">
        <f t="shared" ca="1" si="2560"/>
        <v>1</v>
      </c>
      <c r="AE2506" s="1">
        <f t="shared" ca="1" si="2581"/>
        <v>172</v>
      </c>
      <c r="AF2506" t="str">
        <f t="shared" ca="1" si="2558"/>
        <v>Plot 172</v>
      </c>
    </row>
    <row r="2507" spans="28:32" x14ac:dyDescent="0.25">
      <c r="AB2507" t="str">
        <f t="shared" ref="AB2507:AC2507" si="2606">AB2486</f>
        <v>External Scaffolding</v>
      </c>
      <c r="AC2507" t="str">
        <f t="shared" si="2606"/>
        <v>Lift 2</v>
      </c>
      <c r="AD2507" t="b">
        <f t="shared" ca="1" si="2560"/>
        <v>1</v>
      </c>
      <c r="AE2507" s="1">
        <f t="shared" ca="1" si="2581"/>
        <v>172</v>
      </c>
      <c r="AF2507" t="str">
        <f t="shared" ca="1" si="2558"/>
        <v>Plot 172</v>
      </c>
    </row>
    <row r="2508" spans="28:32" x14ac:dyDescent="0.25">
      <c r="AB2508" t="str">
        <f t="shared" ref="AB2508:AC2508" si="2607">AB2487</f>
        <v>External Scaffolding</v>
      </c>
      <c r="AC2508" t="str">
        <f t="shared" si="2607"/>
        <v>Lift 3</v>
      </c>
      <c r="AD2508" t="b">
        <f t="shared" ca="1" si="2560"/>
        <v>1</v>
      </c>
      <c r="AE2508" s="1">
        <f t="shared" ca="1" si="2581"/>
        <v>172</v>
      </c>
      <c r="AF2508" t="str">
        <f t="shared" ca="1" si="2558"/>
        <v>Plot 172</v>
      </c>
    </row>
    <row r="2509" spans="28:32" x14ac:dyDescent="0.25">
      <c r="AB2509" t="str">
        <f t="shared" ref="AB2509:AC2509" si="2608">AB2488</f>
        <v>External Scaffolding</v>
      </c>
      <c r="AC2509" t="str">
        <f t="shared" si="2608"/>
        <v>Lift 4</v>
      </c>
      <c r="AD2509" t="b">
        <f t="shared" ca="1" si="2560"/>
        <v>0</v>
      </c>
      <c r="AE2509" s="1">
        <f t="shared" ca="1" si="2581"/>
        <v>172</v>
      </c>
      <c r="AF2509" t="str">
        <f t="shared" ca="1" si="2558"/>
        <v>Plot 172</v>
      </c>
    </row>
    <row r="2510" spans="28:32" x14ac:dyDescent="0.25">
      <c r="AB2510" t="str">
        <f t="shared" ref="AB2510:AC2510" si="2609">AB2489</f>
        <v>External Scaffolding</v>
      </c>
      <c r="AC2510" t="str">
        <f t="shared" si="2609"/>
        <v>Lift 5</v>
      </c>
      <c r="AD2510" t="b">
        <f t="shared" ca="1" si="2560"/>
        <v>0</v>
      </c>
      <c r="AE2510" s="1">
        <f t="shared" ca="1" si="2581"/>
        <v>172</v>
      </c>
      <c r="AF2510" t="str">
        <f t="shared" ca="1" si="2558"/>
        <v>Plot 172</v>
      </c>
    </row>
    <row r="2511" spans="28:32" x14ac:dyDescent="0.25">
      <c r="AB2511" t="str">
        <f t="shared" ref="AB2511:AC2511" si="2610">AB2490</f>
        <v>External Scaffolding</v>
      </c>
      <c r="AC2511" t="str">
        <f t="shared" si="2610"/>
        <v>Lift 6</v>
      </c>
      <c r="AD2511" t="b">
        <f t="shared" ca="1" si="2560"/>
        <v>0</v>
      </c>
      <c r="AE2511" s="1">
        <f t="shared" ca="1" si="2581"/>
        <v>172</v>
      </c>
      <c r="AF2511" t="str">
        <f t="shared" ca="1" si="2558"/>
        <v>Plot 172</v>
      </c>
    </row>
    <row r="2512" spans="28:32" x14ac:dyDescent="0.25">
      <c r="AB2512" t="str">
        <f t="shared" ref="AB2512:AC2512" si="2611">AB2491</f>
        <v>Loading Bay</v>
      </c>
      <c r="AC2512" t="str">
        <f t="shared" si="2611"/>
        <v>Lift 1</v>
      </c>
      <c r="AD2512" t="b">
        <f t="shared" ca="1" si="2560"/>
        <v>1</v>
      </c>
      <c r="AE2512" s="1">
        <f t="shared" ca="1" si="2581"/>
        <v>172</v>
      </c>
      <c r="AF2512" t="str">
        <f t="shared" ca="1" si="2558"/>
        <v>Plot 172</v>
      </c>
    </row>
    <row r="2513" spans="28:32" x14ac:dyDescent="0.25">
      <c r="AB2513" t="str">
        <f t="shared" ref="AB2513:AC2513" si="2612">AB2492</f>
        <v>Loading Bay</v>
      </c>
      <c r="AC2513" t="str">
        <f t="shared" si="2612"/>
        <v>Lift 2</v>
      </c>
      <c r="AD2513" t="b">
        <f t="shared" ca="1" si="2560"/>
        <v>1</v>
      </c>
      <c r="AE2513" s="1">
        <f t="shared" ca="1" si="2581"/>
        <v>172</v>
      </c>
      <c r="AF2513" t="str">
        <f t="shared" ca="1" si="2558"/>
        <v>Plot 172</v>
      </c>
    </row>
    <row r="2514" spans="28:32" x14ac:dyDescent="0.25">
      <c r="AB2514" t="str">
        <f t="shared" ref="AB2514:AC2514" si="2613">AB2493</f>
        <v>Loading Bay</v>
      </c>
      <c r="AC2514" t="str">
        <f t="shared" si="2613"/>
        <v>Lift 3</v>
      </c>
      <c r="AD2514" t="b">
        <f t="shared" ca="1" si="2560"/>
        <v>1</v>
      </c>
      <c r="AE2514" s="1">
        <f t="shared" ca="1" si="2581"/>
        <v>172</v>
      </c>
      <c r="AF2514" t="str">
        <f t="shared" ca="1" si="2558"/>
        <v>Plot 172</v>
      </c>
    </row>
    <row r="2515" spans="28:32" x14ac:dyDescent="0.25">
      <c r="AB2515" t="str">
        <f t="shared" ref="AB2515:AC2515" si="2614">AB2494</f>
        <v>Loading Bay</v>
      </c>
      <c r="AC2515" t="str">
        <f t="shared" si="2614"/>
        <v>Lift 4</v>
      </c>
      <c r="AD2515" t="b">
        <f t="shared" ca="1" si="2560"/>
        <v>0</v>
      </c>
      <c r="AE2515" s="1">
        <f t="shared" ca="1" si="2581"/>
        <v>172</v>
      </c>
      <c r="AF2515" t="str">
        <f t="shared" ca="1" si="2558"/>
        <v>Plot 172</v>
      </c>
    </row>
    <row r="2516" spans="28:32" x14ac:dyDescent="0.25">
      <c r="AB2516" t="str">
        <f t="shared" ref="AB2516:AC2516" si="2615">AB2495</f>
        <v>Loading Bay</v>
      </c>
      <c r="AC2516" t="str">
        <f t="shared" si="2615"/>
        <v>Lift 5</v>
      </c>
      <c r="AD2516" t="b">
        <f t="shared" ca="1" si="2560"/>
        <v>0</v>
      </c>
      <c r="AE2516" s="1">
        <f t="shared" ca="1" si="2581"/>
        <v>172</v>
      </c>
      <c r="AF2516" t="str">
        <f t="shared" ca="1" si="2558"/>
        <v>Plot 172</v>
      </c>
    </row>
    <row r="2517" spans="28:32" x14ac:dyDescent="0.25">
      <c r="AB2517" t="str">
        <f t="shared" ref="AB2517:AC2517" si="2616">AB2496</f>
        <v>Loading Bay</v>
      </c>
      <c r="AC2517" t="str">
        <f t="shared" si="2616"/>
        <v>Lift 6</v>
      </c>
      <c r="AD2517" t="b">
        <f t="shared" ca="1" si="2560"/>
        <v>0</v>
      </c>
      <c r="AE2517" s="1">
        <f t="shared" ca="1" si="2581"/>
        <v>172</v>
      </c>
      <c r="AF2517" t="str">
        <f t="shared" ca="1" si="2558"/>
        <v>Plot 172</v>
      </c>
    </row>
    <row r="2518" spans="28:32" x14ac:dyDescent="0.25">
      <c r="AB2518" t="str">
        <f t="shared" ref="AB2518:AC2518" si="2617">AB2497</f>
        <v>Scaffolding Platform</v>
      </c>
      <c r="AC2518" t="str">
        <f t="shared" si="2617"/>
        <v>Ground Floor</v>
      </c>
      <c r="AD2518" t="b">
        <f t="shared" ca="1" si="2560"/>
        <v>1</v>
      </c>
      <c r="AE2518" s="1">
        <f t="shared" ca="1" si="2581"/>
        <v>172</v>
      </c>
      <c r="AF2518" t="str">
        <f t="shared" ca="1" si="2558"/>
        <v>Plot 172</v>
      </c>
    </row>
    <row r="2519" spans="28:32" x14ac:dyDescent="0.25">
      <c r="AB2519" t="str">
        <f t="shared" ref="AB2519:AC2519" si="2618">AB2498</f>
        <v>Scaffolding Platform</v>
      </c>
      <c r="AC2519" t="str">
        <f t="shared" si="2618"/>
        <v>First Floor</v>
      </c>
      <c r="AD2519" t="b">
        <f t="shared" ca="1" si="2560"/>
        <v>1</v>
      </c>
      <c r="AE2519" s="1">
        <f t="shared" ca="1" si="2581"/>
        <v>172</v>
      </c>
      <c r="AF2519" t="str">
        <f t="shared" ca="1" si="2558"/>
        <v>Plot 172</v>
      </c>
    </row>
    <row r="2520" spans="28:32" x14ac:dyDescent="0.25">
      <c r="AB2520" t="str">
        <f t="shared" ref="AB2520:AC2520" si="2619">AB2499</f>
        <v>Scaffolding Platform</v>
      </c>
      <c r="AC2520" t="str">
        <f t="shared" si="2619"/>
        <v>Second Floor</v>
      </c>
      <c r="AD2520" t="b">
        <f t="shared" ca="1" si="2560"/>
        <v>0</v>
      </c>
      <c r="AE2520" s="1">
        <f t="shared" ca="1" si="2581"/>
        <v>172</v>
      </c>
      <c r="AF2520" t="str">
        <f t="shared" ca="1" si="2558"/>
        <v>Plot 172</v>
      </c>
    </row>
    <row r="2521" spans="28:32" x14ac:dyDescent="0.25">
      <c r="AB2521" t="str">
        <f t="shared" ref="AB2521:AC2521" si="2620">AB2500</f>
        <v>Supporting Scaffold</v>
      </c>
      <c r="AC2521" t="str">
        <f t="shared" si="2620"/>
        <v>Ground Floor Prop.</v>
      </c>
      <c r="AD2521" t="str">
        <f t="shared" ca="1" si="2560"/>
        <v>TRUE</v>
      </c>
      <c r="AE2521" s="1">
        <f t="shared" ca="1" si="2581"/>
        <v>172</v>
      </c>
      <c r="AF2521" t="str">
        <f t="shared" ca="1" si="2558"/>
        <v>Plot 172</v>
      </c>
    </row>
    <row r="2522" spans="28:32" x14ac:dyDescent="0.25">
      <c r="AB2522" t="str">
        <f t="shared" ref="AB2522:AC2522" si="2621">AB2501</f>
        <v>Supporting Scaffold</v>
      </c>
      <c r="AC2522" t="str">
        <f t="shared" si="2621"/>
        <v>First Floor Prop.</v>
      </c>
      <c r="AD2522" t="str">
        <f t="shared" ca="1" si="2560"/>
        <v>FALSE</v>
      </c>
      <c r="AE2522" s="1">
        <f t="shared" ca="1" si="2581"/>
        <v>172</v>
      </c>
      <c r="AF2522" t="str">
        <f t="shared" ca="1" si="2558"/>
        <v>Plot 172</v>
      </c>
    </row>
    <row r="2523" spans="28:32" x14ac:dyDescent="0.25">
      <c r="AB2523" t="str">
        <f t="shared" ref="AB2523:AC2523" si="2622">AB2502</f>
        <v>Supporting Scaffold</v>
      </c>
      <c r="AC2523" t="str">
        <f t="shared" si="2622"/>
        <v>Second Floor Prop.</v>
      </c>
      <c r="AD2523" t="str">
        <f t="shared" ca="1" si="2560"/>
        <v>FALSE</v>
      </c>
      <c r="AE2523" s="1">
        <f t="shared" ca="1" si="2581"/>
        <v>172</v>
      </c>
      <c r="AF2523" t="str">
        <f t="shared" ca="1" si="2558"/>
        <v>Plot 172</v>
      </c>
    </row>
    <row r="2524" spans="28:32" x14ac:dyDescent="0.25">
      <c r="AB2524" t="str">
        <f t="shared" ref="AB2524:AC2524" si="2623">AB2503</f>
        <v>External Scaffolding</v>
      </c>
      <c r="AC2524" t="str">
        <f t="shared" si="2623"/>
        <v>Hop-ups</v>
      </c>
      <c r="AD2524" t="b">
        <f t="shared" ca="1" si="2560"/>
        <v>1</v>
      </c>
      <c r="AE2524" s="1">
        <f t="shared" ca="1" si="2581"/>
        <v>172</v>
      </c>
      <c r="AF2524" t="str">
        <f t="shared" ca="1" si="2558"/>
        <v>Plot 172</v>
      </c>
    </row>
    <row r="2525" spans="28:32" x14ac:dyDescent="0.25">
      <c r="AB2525" t="str">
        <f t="shared" ref="AB2525:AC2525" si="2624">AB2504</f>
        <v>External Scaffolding</v>
      </c>
      <c r="AC2525" t="str">
        <f t="shared" si="2624"/>
        <v>Adaptions</v>
      </c>
      <c r="AD2525" t="b">
        <f t="shared" ca="1" si="2560"/>
        <v>1</v>
      </c>
      <c r="AE2525" s="1">
        <f t="shared" ca="1" si="2581"/>
        <v>172</v>
      </c>
      <c r="AF2525" t="str">
        <f t="shared" ref="AF2525:AF2588" ca="1" si="2625">IF(LEFT(AE2525,1)="G",AE2525,"Plot "&amp;AE2525)</f>
        <v>Plot 172</v>
      </c>
    </row>
    <row r="2526" spans="28:32" x14ac:dyDescent="0.25">
      <c r="AB2526" t="str">
        <f t="shared" ref="AB2526:AC2526" si="2626">AB2505</f>
        <v>External Scaffolding</v>
      </c>
      <c r="AC2526" t="str">
        <f t="shared" si="2626"/>
        <v>Adaption Tower</v>
      </c>
      <c r="AD2526" t="b">
        <f t="shared" ref="AD2526:AD2589" ca="1" si="2627">INDEX($AC$1:$JH$22,MATCH(AC2526,$AC$1:$AC$22,0),MATCH(AE2526,$AC$1:$JH$1,0))</f>
        <v>1</v>
      </c>
      <c r="AE2526" s="1">
        <f t="shared" ca="1" si="2581"/>
        <v>172</v>
      </c>
      <c r="AF2526" t="str">
        <f t="shared" ca="1" si="2625"/>
        <v>Plot 172</v>
      </c>
    </row>
    <row r="2527" spans="28:32" x14ac:dyDescent="0.25">
      <c r="AB2527" t="str">
        <f t="shared" ref="AB2527:AC2527" si="2628">AB2506</f>
        <v>External Scaffolding</v>
      </c>
      <c r="AC2527" t="str">
        <f t="shared" si="2628"/>
        <v>Lift 1</v>
      </c>
      <c r="AD2527" t="b">
        <f t="shared" ca="1" si="2627"/>
        <v>1</v>
      </c>
      <c r="AE2527" s="1">
        <f t="shared" ca="1" si="2581"/>
        <v>173</v>
      </c>
      <c r="AF2527" t="str">
        <f t="shared" ca="1" si="2625"/>
        <v>Plot 173</v>
      </c>
    </row>
    <row r="2528" spans="28:32" x14ac:dyDescent="0.25">
      <c r="AB2528" t="str">
        <f t="shared" ref="AB2528:AC2528" si="2629">AB2507</f>
        <v>External Scaffolding</v>
      </c>
      <c r="AC2528" t="str">
        <f t="shared" si="2629"/>
        <v>Lift 2</v>
      </c>
      <c r="AD2528" t="b">
        <f t="shared" ca="1" si="2627"/>
        <v>1</v>
      </c>
      <c r="AE2528" s="1">
        <f t="shared" ca="1" si="2581"/>
        <v>173</v>
      </c>
      <c r="AF2528" t="str">
        <f t="shared" ca="1" si="2625"/>
        <v>Plot 173</v>
      </c>
    </row>
    <row r="2529" spans="28:32" x14ac:dyDescent="0.25">
      <c r="AB2529" t="str">
        <f t="shared" ref="AB2529:AC2529" si="2630">AB2508</f>
        <v>External Scaffolding</v>
      </c>
      <c r="AC2529" t="str">
        <f t="shared" si="2630"/>
        <v>Lift 3</v>
      </c>
      <c r="AD2529" t="b">
        <f t="shared" ca="1" si="2627"/>
        <v>1</v>
      </c>
      <c r="AE2529" s="1">
        <f t="shared" ca="1" si="2581"/>
        <v>173</v>
      </c>
      <c r="AF2529" t="str">
        <f t="shared" ca="1" si="2625"/>
        <v>Plot 173</v>
      </c>
    </row>
    <row r="2530" spans="28:32" x14ac:dyDescent="0.25">
      <c r="AB2530" t="str">
        <f t="shared" ref="AB2530:AC2530" si="2631">AB2509</f>
        <v>External Scaffolding</v>
      </c>
      <c r="AC2530" t="str">
        <f t="shared" si="2631"/>
        <v>Lift 4</v>
      </c>
      <c r="AD2530" t="b">
        <f t="shared" ca="1" si="2627"/>
        <v>0</v>
      </c>
      <c r="AE2530" s="1">
        <f t="shared" ca="1" si="2581"/>
        <v>173</v>
      </c>
      <c r="AF2530" t="str">
        <f t="shared" ca="1" si="2625"/>
        <v>Plot 173</v>
      </c>
    </row>
    <row r="2531" spans="28:32" x14ac:dyDescent="0.25">
      <c r="AB2531" t="str">
        <f t="shared" ref="AB2531:AC2531" si="2632">AB2510</f>
        <v>External Scaffolding</v>
      </c>
      <c r="AC2531" t="str">
        <f t="shared" si="2632"/>
        <v>Lift 5</v>
      </c>
      <c r="AD2531" t="b">
        <f t="shared" ca="1" si="2627"/>
        <v>0</v>
      </c>
      <c r="AE2531" s="1">
        <f t="shared" ca="1" si="2581"/>
        <v>173</v>
      </c>
      <c r="AF2531" t="str">
        <f t="shared" ca="1" si="2625"/>
        <v>Plot 173</v>
      </c>
    </row>
    <row r="2532" spans="28:32" x14ac:dyDescent="0.25">
      <c r="AB2532" t="str">
        <f t="shared" ref="AB2532:AC2532" si="2633">AB2511</f>
        <v>External Scaffolding</v>
      </c>
      <c r="AC2532" t="str">
        <f t="shared" si="2633"/>
        <v>Lift 6</v>
      </c>
      <c r="AD2532" t="b">
        <f t="shared" ca="1" si="2627"/>
        <v>0</v>
      </c>
      <c r="AE2532" s="1">
        <f t="shared" ca="1" si="2581"/>
        <v>173</v>
      </c>
      <c r="AF2532" t="str">
        <f t="shared" ca="1" si="2625"/>
        <v>Plot 173</v>
      </c>
    </row>
    <row r="2533" spans="28:32" x14ac:dyDescent="0.25">
      <c r="AB2533" t="str">
        <f t="shared" ref="AB2533:AC2533" si="2634">AB2512</f>
        <v>Loading Bay</v>
      </c>
      <c r="AC2533" t="str">
        <f t="shared" si="2634"/>
        <v>Lift 1</v>
      </c>
      <c r="AD2533" t="b">
        <f t="shared" ca="1" si="2627"/>
        <v>1</v>
      </c>
      <c r="AE2533" s="1">
        <f t="shared" ca="1" si="2581"/>
        <v>173</v>
      </c>
      <c r="AF2533" t="str">
        <f t="shared" ca="1" si="2625"/>
        <v>Plot 173</v>
      </c>
    </row>
    <row r="2534" spans="28:32" x14ac:dyDescent="0.25">
      <c r="AB2534" t="str">
        <f t="shared" ref="AB2534:AC2534" si="2635">AB2513</f>
        <v>Loading Bay</v>
      </c>
      <c r="AC2534" t="str">
        <f t="shared" si="2635"/>
        <v>Lift 2</v>
      </c>
      <c r="AD2534" t="b">
        <f t="shared" ca="1" si="2627"/>
        <v>1</v>
      </c>
      <c r="AE2534" s="1">
        <f t="shared" ca="1" si="2581"/>
        <v>173</v>
      </c>
      <c r="AF2534" t="str">
        <f t="shared" ca="1" si="2625"/>
        <v>Plot 173</v>
      </c>
    </row>
    <row r="2535" spans="28:32" x14ac:dyDescent="0.25">
      <c r="AB2535" t="str">
        <f t="shared" ref="AB2535:AC2535" si="2636">AB2514</f>
        <v>Loading Bay</v>
      </c>
      <c r="AC2535" t="str">
        <f t="shared" si="2636"/>
        <v>Lift 3</v>
      </c>
      <c r="AD2535" t="b">
        <f t="shared" ca="1" si="2627"/>
        <v>1</v>
      </c>
      <c r="AE2535" s="1">
        <f t="shared" ca="1" si="2581"/>
        <v>173</v>
      </c>
      <c r="AF2535" t="str">
        <f t="shared" ca="1" si="2625"/>
        <v>Plot 173</v>
      </c>
    </row>
    <row r="2536" spans="28:32" x14ac:dyDescent="0.25">
      <c r="AB2536" t="str">
        <f t="shared" ref="AB2536:AC2536" si="2637">AB2515</f>
        <v>Loading Bay</v>
      </c>
      <c r="AC2536" t="str">
        <f t="shared" si="2637"/>
        <v>Lift 4</v>
      </c>
      <c r="AD2536" t="b">
        <f t="shared" ca="1" si="2627"/>
        <v>0</v>
      </c>
      <c r="AE2536" s="1">
        <f t="shared" ca="1" si="2581"/>
        <v>173</v>
      </c>
      <c r="AF2536" t="str">
        <f t="shared" ca="1" si="2625"/>
        <v>Plot 173</v>
      </c>
    </row>
    <row r="2537" spans="28:32" x14ac:dyDescent="0.25">
      <c r="AB2537" t="str">
        <f t="shared" ref="AB2537:AC2537" si="2638">AB2516</f>
        <v>Loading Bay</v>
      </c>
      <c r="AC2537" t="str">
        <f t="shared" si="2638"/>
        <v>Lift 5</v>
      </c>
      <c r="AD2537" t="b">
        <f t="shared" ca="1" si="2627"/>
        <v>0</v>
      </c>
      <c r="AE2537" s="1">
        <f t="shared" ca="1" si="2581"/>
        <v>173</v>
      </c>
      <c r="AF2537" t="str">
        <f t="shared" ca="1" si="2625"/>
        <v>Plot 173</v>
      </c>
    </row>
    <row r="2538" spans="28:32" x14ac:dyDescent="0.25">
      <c r="AB2538" t="str">
        <f t="shared" ref="AB2538:AC2538" si="2639">AB2517</f>
        <v>Loading Bay</v>
      </c>
      <c r="AC2538" t="str">
        <f t="shared" si="2639"/>
        <v>Lift 6</v>
      </c>
      <c r="AD2538" t="b">
        <f t="shared" ca="1" si="2627"/>
        <v>0</v>
      </c>
      <c r="AE2538" s="1">
        <f t="shared" ca="1" si="2581"/>
        <v>173</v>
      </c>
      <c r="AF2538" t="str">
        <f t="shared" ca="1" si="2625"/>
        <v>Plot 173</v>
      </c>
    </row>
    <row r="2539" spans="28:32" x14ac:dyDescent="0.25">
      <c r="AB2539" t="str">
        <f t="shared" ref="AB2539:AC2539" si="2640">AB2518</f>
        <v>Scaffolding Platform</v>
      </c>
      <c r="AC2539" t="str">
        <f t="shared" si="2640"/>
        <v>Ground Floor</v>
      </c>
      <c r="AD2539" t="b">
        <f t="shared" ca="1" si="2627"/>
        <v>1</v>
      </c>
      <c r="AE2539" s="1">
        <f t="shared" ca="1" si="2581"/>
        <v>173</v>
      </c>
      <c r="AF2539" t="str">
        <f t="shared" ca="1" si="2625"/>
        <v>Plot 173</v>
      </c>
    </row>
    <row r="2540" spans="28:32" x14ac:dyDescent="0.25">
      <c r="AB2540" t="str">
        <f t="shared" ref="AB2540:AC2540" si="2641">AB2519</f>
        <v>Scaffolding Platform</v>
      </c>
      <c r="AC2540" t="str">
        <f t="shared" si="2641"/>
        <v>First Floor</v>
      </c>
      <c r="AD2540" t="b">
        <f t="shared" ca="1" si="2627"/>
        <v>1</v>
      </c>
      <c r="AE2540" s="1">
        <f t="shared" ca="1" si="2581"/>
        <v>173</v>
      </c>
      <c r="AF2540" t="str">
        <f t="shared" ca="1" si="2625"/>
        <v>Plot 173</v>
      </c>
    </row>
    <row r="2541" spans="28:32" x14ac:dyDescent="0.25">
      <c r="AB2541" t="str">
        <f t="shared" ref="AB2541:AC2541" si="2642">AB2520</f>
        <v>Scaffolding Platform</v>
      </c>
      <c r="AC2541" t="str">
        <f t="shared" si="2642"/>
        <v>Second Floor</v>
      </c>
      <c r="AD2541" t="b">
        <f t="shared" ca="1" si="2627"/>
        <v>0</v>
      </c>
      <c r="AE2541" s="1">
        <f t="shared" ca="1" si="2581"/>
        <v>173</v>
      </c>
      <c r="AF2541" t="str">
        <f t="shared" ca="1" si="2625"/>
        <v>Plot 173</v>
      </c>
    </row>
    <row r="2542" spans="28:32" x14ac:dyDescent="0.25">
      <c r="AB2542" t="str">
        <f t="shared" ref="AB2542:AC2542" si="2643">AB2521</f>
        <v>Supporting Scaffold</v>
      </c>
      <c r="AC2542" t="str">
        <f t="shared" si="2643"/>
        <v>Ground Floor Prop.</v>
      </c>
      <c r="AD2542" t="str">
        <f t="shared" ca="1" si="2627"/>
        <v>TRUE</v>
      </c>
      <c r="AE2542" s="1">
        <f t="shared" ca="1" si="2581"/>
        <v>173</v>
      </c>
      <c r="AF2542" t="str">
        <f t="shared" ca="1" si="2625"/>
        <v>Plot 173</v>
      </c>
    </row>
    <row r="2543" spans="28:32" x14ac:dyDescent="0.25">
      <c r="AB2543" t="str">
        <f t="shared" ref="AB2543:AC2543" si="2644">AB2522</f>
        <v>Supporting Scaffold</v>
      </c>
      <c r="AC2543" t="str">
        <f t="shared" si="2644"/>
        <v>First Floor Prop.</v>
      </c>
      <c r="AD2543" t="str">
        <f t="shared" ca="1" si="2627"/>
        <v>FALSE</v>
      </c>
      <c r="AE2543" s="1">
        <f t="shared" ca="1" si="2581"/>
        <v>173</v>
      </c>
      <c r="AF2543" t="str">
        <f t="shared" ca="1" si="2625"/>
        <v>Plot 173</v>
      </c>
    </row>
    <row r="2544" spans="28:32" x14ac:dyDescent="0.25">
      <c r="AB2544" t="str">
        <f t="shared" ref="AB2544:AC2544" si="2645">AB2523</f>
        <v>Supporting Scaffold</v>
      </c>
      <c r="AC2544" t="str">
        <f t="shared" si="2645"/>
        <v>Second Floor Prop.</v>
      </c>
      <c r="AD2544" t="str">
        <f t="shared" ca="1" si="2627"/>
        <v>FALSE</v>
      </c>
      <c r="AE2544" s="1">
        <f t="shared" ca="1" si="2581"/>
        <v>173</v>
      </c>
      <c r="AF2544" t="str">
        <f t="shared" ca="1" si="2625"/>
        <v>Plot 173</v>
      </c>
    </row>
    <row r="2545" spans="28:32" x14ac:dyDescent="0.25">
      <c r="AB2545" t="str">
        <f t="shared" ref="AB2545:AC2545" si="2646">AB2524</f>
        <v>External Scaffolding</v>
      </c>
      <c r="AC2545" t="str">
        <f t="shared" si="2646"/>
        <v>Hop-ups</v>
      </c>
      <c r="AD2545" t="b">
        <f t="shared" ca="1" si="2627"/>
        <v>1</v>
      </c>
      <c r="AE2545" s="1">
        <f t="shared" ca="1" si="2581"/>
        <v>173</v>
      </c>
      <c r="AF2545" t="str">
        <f t="shared" ca="1" si="2625"/>
        <v>Plot 173</v>
      </c>
    </row>
    <row r="2546" spans="28:32" x14ac:dyDescent="0.25">
      <c r="AB2546" t="str">
        <f t="shared" ref="AB2546:AC2546" si="2647">AB2525</f>
        <v>External Scaffolding</v>
      </c>
      <c r="AC2546" t="str">
        <f t="shared" si="2647"/>
        <v>Adaptions</v>
      </c>
      <c r="AD2546" t="b">
        <f t="shared" ca="1" si="2627"/>
        <v>1</v>
      </c>
      <c r="AE2546" s="1">
        <f t="shared" ref="AE2546:AE2609" ca="1" si="2648">OFFSET($AD$1,0,FLOOR(ROW(B2518)/21,1))</f>
        <v>173</v>
      </c>
      <c r="AF2546" t="str">
        <f t="shared" ca="1" si="2625"/>
        <v>Plot 173</v>
      </c>
    </row>
    <row r="2547" spans="28:32" x14ac:dyDescent="0.25">
      <c r="AB2547" t="str">
        <f t="shared" ref="AB2547:AC2547" si="2649">AB2526</f>
        <v>External Scaffolding</v>
      </c>
      <c r="AC2547" t="str">
        <f t="shared" si="2649"/>
        <v>Adaption Tower</v>
      </c>
      <c r="AD2547" t="b">
        <f t="shared" ca="1" si="2627"/>
        <v>1</v>
      </c>
      <c r="AE2547" s="1">
        <f t="shared" ca="1" si="2648"/>
        <v>173</v>
      </c>
      <c r="AF2547" t="str">
        <f t="shared" ca="1" si="2625"/>
        <v>Plot 173</v>
      </c>
    </row>
    <row r="2548" spans="28:32" x14ac:dyDescent="0.25">
      <c r="AB2548" t="str">
        <f t="shared" ref="AB2548:AC2548" si="2650">AB2527</f>
        <v>External Scaffolding</v>
      </c>
      <c r="AC2548" t="str">
        <f t="shared" si="2650"/>
        <v>Lift 1</v>
      </c>
      <c r="AD2548" t="b">
        <f t="shared" ca="1" si="2627"/>
        <v>1</v>
      </c>
      <c r="AE2548" s="1" t="str">
        <f t="shared" ca="1" si="2648"/>
        <v>Garage 1</v>
      </c>
      <c r="AF2548" t="str">
        <f t="shared" ca="1" si="2625"/>
        <v>Garage 1</v>
      </c>
    </row>
    <row r="2549" spans="28:32" x14ac:dyDescent="0.25">
      <c r="AB2549" t="str">
        <f t="shared" ref="AB2549:AC2549" si="2651">AB2528</f>
        <v>External Scaffolding</v>
      </c>
      <c r="AC2549" t="str">
        <f t="shared" si="2651"/>
        <v>Lift 2</v>
      </c>
      <c r="AD2549" t="b">
        <f t="shared" ca="1" si="2627"/>
        <v>1</v>
      </c>
      <c r="AE2549" s="1" t="str">
        <f t="shared" ca="1" si="2648"/>
        <v>Garage 1</v>
      </c>
      <c r="AF2549" t="str">
        <f t="shared" ca="1" si="2625"/>
        <v>Garage 1</v>
      </c>
    </row>
    <row r="2550" spans="28:32" x14ac:dyDescent="0.25">
      <c r="AB2550" t="str">
        <f t="shared" ref="AB2550:AC2550" si="2652">AB2529</f>
        <v>External Scaffolding</v>
      </c>
      <c r="AC2550" t="str">
        <f t="shared" si="2652"/>
        <v>Lift 3</v>
      </c>
      <c r="AD2550" t="b">
        <f t="shared" ca="1" si="2627"/>
        <v>1</v>
      </c>
      <c r="AE2550" s="1" t="str">
        <f t="shared" ca="1" si="2648"/>
        <v>Garage 1</v>
      </c>
      <c r="AF2550" t="str">
        <f t="shared" ca="1" si="2625"/>
        <v>Garage 1</v>
      </c>
    </row>
    <row r="2551" spans="28:32" x14ac:dyDescent="0.25">
      <c r="AB2551" t="str">
        <f t="shared" ref="AB2551:AC2551" si="2653">AB2530</f>
        <v>External Scaffolding</v>
      </c>
      <c r="AC2551" t="str">
        <f t="shared" si="2653"/>
        <v>Lift 4</v>
      </c>
      <c r="AD2551" t="b">
        <f t="shared" ca="1" si="2627"/>
        <v>0</v>
      </c>
      <c r="AE2551" s="1" t="str">
        <f t="shared" ca="1" si="2648"/>
        <v>Garage 1</v>
      </c>
      <c r="AF2551" t="str">
        <f t="shared" ca="1" si="2625"/>
        <v>Garage 1</v>
      </c>
    </row>
    <row r="2552" spans="28:32" x14ac:dyDescent="0.25">
      <c r="AB2552" t="str">
        <f t="shared" ref="AB2552:AC2552" si="2654">AB2531</f>
        <v>External Scaffolding</v>
      </c>
      <c r="AC2552" t="str">
        <f t="shared" si="2654"/>
        <v>Lift 5</v>
      </c>
      <c r="AD2552" t="b">
        <f t="shared" ca="1" si="2627"/>
        <v>0</v>
      </c>
      <c r="AE2552" s="1" t="str">
        <f t="shared" ca="1" si="2648"/>
        <v>Garage 1</v>
      </c>
      <c r="AF2552" t="str">
        <f t="shared" ca="1" si="2625"/>
        <v>Garage 1</v>
      </c>
    </row>
    <row r="2553" spans="28:32" x14ac:dyDescent="0.25">
      <c r="AB2553" t="str">
        <f t="shared" ref="AB2553:AC2553" si="2655">AB2532</f>
        <v>External Scaffolding</v>
      </c>
      <c r="AC2553" t="str">
        <f t="shared" si="2655"/>
        <v>Lift 6</v>
      </c>
      <c r="AD2553" t="b">
        <f t="shared" ca="1" si="2627"/>
        <v>0</v>
      </c>
      <c r="AE2553" s="1" t="str">
        <f t="shared" ca="1" si="2648"/>
        <v>Garage 1</v>
      </c>
      <c r="AF2553" t="str">
        <f t="shared" ca="1" si="2625"/>
        <v>Garage 1</v>
      </c>
    </row>
    <row r="2554" spans="28:32" x14ac:dyDescent="0.25">
      <c r="AB2554" t="str">
        <f t="shared" ref="AB2554:AC2554" si="2656">AB2533</f>
        <v>Loading Bay</v>
      </c>
      <c r="AC2554" t="str">
        <f t="shared" si="2656"/>
        <v>Lift 1</v>
      </c>
      <c r="AD2554" t="b">
        <f t="shared" ca="1" si="2627"/>
        <v>1</v>
      </c>
      <c r="AE2554" s="1" t="str">
        <f t="shared" ca="1" si="2648"/>
        <v>Garage 1</v>
      </c>
      <c r="AF2554" t="str">
        <f t="shared" ca="1" si="2625"/>
        <v>Garage 1</v>
      </c>
    </row>
    <row r="2555" spans="28:32" x14ac:dyDescent="0.25">
      <c r="AB2555" t="str">
        <f t="shared" ref="AB2555:AC2555" si="2657">AB2534</f>
        <v>Loading Bay</v>
      </c>
      <c r="AC2555" t="str">
        <f t="shared" si="2657"/>
        <v>Lift 2</v>
      </c>
      <c r="AD2555" t="b">
        <f t="shared" ca="1" si="2627"/>
        <v>1</v>
      </c>
      <c r="AE2555" s="1" t="str">
        <f t="shared" ca="1" si="2648"/>
        <v>Garage 1</v>
      </c>
      <c r="AF2555" t="str">
        <f t="shared" ca="1" si="2625"/>
        <v>Garage 1</v>
      </c>
    </row>
    <row r="2556" spans="28:32" x14ac:dyDescent="0.25">
      <c r="AB2556" t="str">
        <f t="shared" ref="AB2556:AC2556" si="2658">AB2535</f>
        <v>Loading Bay</v>
      </c>
      <c r="AC2556" t="str">
        <f t="shared" si="2658"/>
        <v>Lift 3</v>
      </c>
      <c r="AD2556" t="b">
        <f t="shared" ca="1" si="2627"/>
        <v>1</v>
      </c>
      <c r="AE2556" s="1" t="str">
        <f t="shared" ca="1" si="2648"/>
        <v>Garage 1</v>
      </c>
      <c r="AF2556" t="str">
        <f t="shared" ca="1" si="2625"/>
        <v>Garage 1</v>
      </c>
    </row>
    <row r="2557" spans="28:32" x14ac:dyDescent="0.25">
      <c r="AB2557" t="str">
        <f t="shared" ref="AB2557:AC2557" si="2659">AB2536</f>
        <v>Loading Bay</v>
      </c>
      <c r="AC2557" t="str">
        <f t="shared" si="2659"/>
        <v>Lift 4</v>
      </c>
      <c r="AD2557" t="b">
        <f t="shared" ca="1" si="2627"/>
        <v>0</v>
      </c>
      <c r="AE2557" s="1" t="str">
        <f t="shared" ca="1" si="2648"/>
        <v>Garage 1</v>
      </c>
      <c r="AF2557" t="str">
        <f t="shared" ca="1" si="2625"/>
        <v>Garage 1</v>
      </c>
    </row>
    <row r="2558" spans="28:32" x14ac:dyDescent="0.25">
      <c r="AB2558" t="str">
        <f t="shared" ref="AB2558:AC2558" si="2660">AB2537</f>
        <v>Loading Bay</v>
      </c>
      <c r="AC2558" t="str">
        <f t="shared" si="2660"/>
        <v>Lift 5</v>
      </c>
      <c r="AD2558" t="b">
        <f t="shared" ca="1" si="2627"/>
        <v>0</v>
      </c>
      <c r="AE2558" s="1" t="str">
        <f t="shared" ca="1" si="2648"/>
        <v>Garage 1</v>
      </c>
      <c r="AF2558" t="str">
        <f t="shared" ca="1" si="2625"/>
        <v>Garage 1</v>
      </c>
    </row>
    <row r="2559" spans="28:32" x14ac:dyDescent="0.25">
      <c r="AB2559" t="str">
        <f t="shared" ref="AB2559:AC2559" si="2661">AB2538</f>
        <v>Loading Bay</v>
      </c>
      <c r="AC2559" t="str">
        <f t="shared" si="2661"/>
        <v>Lift 6</v>
      </c>
      <c r="AD2559" t="b">
        <f t="shared" ca="1" si="2627"/>
        <v>0</v>
      </c>
      <c r="AE2559" s="1" t="str">
        <f t="shared" ca="1" si="2648"/>
        <v>Garage 1</v>
      </c>
      <c r="AF2559" t="str">
        <f t="shared" ca="1" si="2625"/>
        <v>Garage 1</v>
      </c>
    </row>
    <row r="2560" spans="28:32" x14ac:dyDescent="0.25">
      <c r="AB2560" t="str">
        <f t="shared" ref="AB2560:AC2560" si="2662">AB2539</f>
        <v>Scaffolding Platform</v>
      </c>
      <c r="AC2560" t="str">
        <f t="shared" si="2662"/>
        <v>Ground Floor</v>
      </c>
      <c r="AD2560" t="b">
        <f t="shared" ca="1" si="2627"/>
        <v>1</v>
      </c>
      <c r="AE2560" s="1" t="str">
        <f t="shared" ca="1" si="2648"/>
        <v>Garage 1</v>
      </c>
      <c r="AF2560" t="str">
        <f t="shared" ca="1" si="2625"/>
        <v>Garage 1</v>
      </c>
    </row>
    <row r="2561" spans="28:32" x14ac:dyDescent="0.25">
      <c r="AB2561" t="str">
        <f t="shared" ref="AB2561:AC2561" si="2663">AB2540</f>
        <v>Scaffolding Platform</v>
      </c>
      <c r="AC2561" t="str">
        <f t="shared" si="2663"/>
        <v>First Floor</v>
      </c>
      <c r="AD2561" t="b">
        <f t="shared" ca="1" si="2627"/>
        <v>0</v>
      </c>
      <c r="AE2561" s="1" t="str">
        <f t="shared" ca="1" si="2648"/>
        <v>Garage 1</v>
      </c>
      <c r="AF2561" t="str">
        <f t="shared" ca="1" si="2625"/>
        <v>Garage 1</v>
      </c>
    </row>
    <row r="2562" spans="28:32" x14ac:dyDescent="0.25">
      <c r="AB2562" t="str">
        <f t="shared" ref="AB2562:AC2562" si="2664">AB2541</f>
        <v>Scaffolding Platform</v>
      </c>
      <c r="AC2562" t="str">
        <f t="shared" si="2664"/>
        <v>Second Floor</v>
      </c>
      <c r="AD2562" t="b">
        <f t="shared" ca="1" si="2627"/>
        <v>0</v>
      </c>
      <c r="AE2562" s="1" t="str">
        <f t="shared" ca="1" si="2648"/>
        <v>Garage 1</v>
      </c>
      <c r="AF2562" t="str">
        <f t="shared" ca="1" si="2625"/>
        <v>Garage 1</v>
      </c>
    </row>
    <row r="2563" spans="28:32" x14ac:dyDescent="0.25">
      <c r="AB2563" t="str">
        <f t="shared" ref="AB2563:AC2563" si="2665">AB2542</f>
        <v>Supporting Scaffold</v>
      </c>
      <c r="AC2563" t="str">
        <f t="shared" si="2665"/>
        <v>Ground Floor Prop.</v>
      </c>
      <c r="AD2563" t="str">
        <f t="shared" ca="1" si="2627"/>
        <v>FALSE</v>
      </c>
      <c r="AE2563" s="1" t="str">
        <f t="shared" ca="1" si="2648"/>
        <v>Garage 1</v>
      </c>
      <c r="AF2563" t="str">
        <f t="shared" ca="1" si="2625"/>
        <v>Garage 1</v>
      </c>
    </row>
    <row r="2564" spans="28:32" x14ac:dyDescent="0.25">
      <c r="AB2564" t="str">
        <f t="shared" ref="AB2564:AC2564" si="2666">AB2543</f>
        <v>Supporting Scaffold</v>
      </c>
      <c r="AC2564" t="str">
        <f t="shared" si="2666"/>
        <v>First Floor Prop.</v>
      </c>
      <c r="AD2564" t="str">
        <f t="shared" ca="1" si="2627"/>
        <v>FALSE</v>
      </c>
      <c r="AE2564" s="1" t="str">
        <f t="shared" ca="1" si="2648"/>
        <v>Garage 1</v>
      </c>
      <c r="AF2564" t="str">
        <f t="shared" ca="1" si="2625"/>
        <v>Garage 1</v>
      </c>
    </row>
    <row r="2565" spans="28:32" x14ac:dyDescent="0.25">
      <c r="AB2565" t="str">
        <f t="shared" ref="AB2565:AC2565" si="2667">AB2544</f>
        <v>Supporting Scaffold</v>
      </c>
      <c r="AC2565" t="str">
        <f t="shared" si="2667"/>
        <v>Second Floor Prop.</v>
      </c>
      <c r="AD2565" t="str">
        <f t="shared" ca="1" si="2627"/>
        <v>FALSE</v>
      </c>
      <c r="AE2565" s="1" t="str">
        <f t="shared" ca="1" si="2648"/>
        <v>Garage 1</v>
      </c>
      <c r="AF2565" t="str">
        <f t="shared" ca="1" si="2625"/>
        <v>Garage 1</v>
      </c>
    </row>
    <row r="2566" spans="28:32" x14ac:dyDescent="0.25">
      <c r="AB2566" t="str">
        <f t="shared" ref="AB2566:AC2566" si="2668">AB2545</f>
        <v>External Scaffolding</v>
      </c>
      <c r="AC2566" t="str">
        <f t="shared" si="2668"/>
        <v>Hop-ups</v>
      </c>
      <c r="AD2566" t="b">
        <f t="shared" ca="1" si="2627"/>
        <v>1</v>
      </c>
      <c r="AE2566" s="1" t="str">
        <f t="shared" ca="1" si="2648"/>
        <v>Garage 1</v>
      </c>
      <c r="AF2566" t="str">
        <f t="shared" ca="1" si="2625"/>
        <v>Garage 1</v>
      </c>
    </row>
    <row r="2567" spans="28:32" x14ac:dyDescent="0.25">
      <c r="AB2567" t="str">
        <f t="shared" ref="AB2567:AC2567" si="2669">AB2546</f>
        <v>External Scaffolding</v>
      </c>
      <c r="AC2567" t="str">
        <f t="shared" si="2669"/>
        <v>Adaptions</v>
      </c>
      <c r="AD2567" t="b">
        <f t="shared" ca="1" si="2627"/>
        <v>1</v>
      </c>
      <c r="AE2567" s="1" t="str">
        <f t="shared" ca="1" si="2648"/>
        <v>Garage 1</v>
      </c>
      <c r="AF2567" t="str">
        <f t="shared" ca="1" si="2625"/>
        <v>Garage 1</v>
      </c>
    </row>
    <row r="2568" spans="28:32" x14ac:dyDescent="0.25">
      <c r="AB2568" t="str">
        <f t="shared" ref="AB2568:AC2568" si="2670">AB2547</f>
        <v>External Scaffolding</v>
      </c>
      <c r="AC2568" t="str">
        <f t="shared" si="2670"/>
        <v>Adaption Tower</v>
      </c>
      <c r="AD2568" t="b">
        <f t="shared" ca="1" si="2627"/>
        <v>1</v>
      </c>
      <c r="AE2568" s="1" t="str">
        <f t="shared" ca="1" si="2648"/>
        <v>Garage 1</v>
      </c>
      <c r="AF2568" t="str">
        <f t="shared" ca="1" si="2625"/>
        <v>Garage 1</v>
      </c>
    </row>
    <row r="2569" spans="28:32" x14ac:dyDescent="0.25">
      <c r="AB2569" t="str">
        <f t="shared" ref="AB2569:AC2569" si="2671">AB2548</f>
        <v>External Scaffolding</v>
      </c>
      <c r="AC2569" t="str">
        <f t="shared" si="2671"/>
        <v>Lift 1</v>
      </c>
      <c r="AD2569" t="b">
        <f t="shared" ca="1" si="2627"/>
        <v>1</v>
      </c>
      <c r="AE2569" s="1" t="str">
        <f t="shared" ca="1" si="2648"/>
        <v>Garage 14-15</v>
      </c>
      <c r="AF2569" t="str">
        <f t="shared" ca="1" si="2625"/>
        <v>Garage 14-15</v>
      </c>
    </row>
    <row r="2570" spans="28:32" x14ac:dyDescent="0.25">
      <c r="AB2570" t="str">
        <f t="shared" ref="AB2570:AC2570" si="2672">AB2549</f>
        <v>External Scaffolding</v>
      </c>
      <c r="AC2570" t="str">
        <f t="shared" si="2672"/>
        <v>Lift 2</v>
      </c>
      <c r="AD2570" t="b">
        <f t="shared" ca="1" si="2627"/>
        <v>1</v>
      </c>
      <c r="AE2570" s="1" t="str">
        <f t="shared" ca="1" si="2648"/>
        <v>Garage 14-15</v>
      </c>
      <c r="AF2570" t="str">
        <f t="shared" ca="1" si="2625"/>
        <v>Garage 14-15</v>
      </c>
    </row>
    <row r="2571" spans="28:32" x14ac:dyDescent="0.25">
      <c r="AB2571" t="str">
        <f t="shared" ref="AB2571:AC2571" si="2673">AB2550</f>
        <v>External Scaffolding</v>
      </c>
      <c r="AC2571" t="str">
        <f t="shared" si="2673"/>
        <v>Lift 3</v>
      </c>
      <c r="AD2571" t="b">
        <f t="shared" ca="1" si="2627"/>
        <v>1</v>
      </c>
      <c r="AE2571" s="1" t="str">
        <f t="shared" ca="1" si="2648"/>
        <v>Garage 14-15</v>
      </c>
      <c r="AF2571" t="str">
        <f t="shared" ca="1" si="2625"/>
        <v>Garage 14-15</v>
      </c>
    </row>
    <row r="2572" spans="28:32" x14ac:dyDescent="0.25">
      <c r="AB2572" t="str">
        <f t="shared" ref="AB2572:AC2572" si="2674">AB2551</f>
        <v>External Scaffolding</v>
      </c>
      <c r="AC2572" t="str">
        <f t="shared" si="2674"/>
        <v>Lift 4</v>
      </c>
      <c r="AD2572" t="b">
        <f t="shared" ca="1" si="2627"/>
        <v>0</v>
      </c>
      <c r="AE2572" s="1" t="str">
        <f t="shared" ca="1" si="2648"/>
        <v>Garage 14-15</v>
      </c>
      <c r="AF2572" t="str">
        <f t="shared" ca="1" si="2625"/>
        <v>Garage 14-15</v>
      </c>
    </row>
    <row r="2573" spans="28:32" x14ac:dyDescent="0.25">
      <c r="AB2573" t="str">
        <f t="shared" ref="AB2573:AC2573" si="2675">AB2552</f>
        <v>External Scaffolding</v>
      </c>
      <c r="AC2573" t="str">
        <f t="shared" si="2675"/>
        <v>Lift 5</v>
      </c>
      <c r="AD2573" t="b">
        <f t="shared" ca="1" si="2627"/>
        <v>0</v>
      </c>
      <c r="AE2573" s="1" t="str">
        <f t="shared" ca="1" si="2648"/>
        <v>Garage 14-15</v>
      </c>
      <c r="AF2573" t="str">
        <f t="shared" ca="1" si="2625"/>
        <v>Garage 14-15</v>
      </c>
    </row>
    <row r="2574" spans="28:32" x14ac:dyDescent="0.25">
      <c r="AB2574" t="str">
        <f t="shared" ref="AB2574:AC2574" si="2676">AB2553</f>
        <v>External Scaffolding</v>
      </c>
      <c r="AC2574" t="str">
        <f t="shared" si="2676"/>
        <v>Lift 6</v>
      </c>
      <c r="AD2574" t="b">
        <f t="shared" ca="1" si="2627"/>
        <v>0</v>
      </c>
      <c r="AE2574" s="1" t="str">
        <f t="shared" ca="1" si="2648"/>
        <v>Garage 14-15</v>
      </c>
      <c r="AF2574" t="str">
        <f t="shared" ca="1" si="2625"/>
        <v>Garage 14-15</v>
      </c>
    </row>
    <row r="2575" spans="28:32" x14ac:dyDescent="0.25">
      <c r="AB2575" t="str">
        <f t="shared" ref="AB2575:AC2575" si="2677">AB2554</f>
        <v>Loading Bay</v>
      </c>
      <c r="AC2575" t="str">
        <f t="shared" si="2677"/>
        <v>Lift 1</v>
      </c>
      <c r="AD2575" t="b">
        <f t="shared" ca="1" si="2627"/>
        <v>1</v>
      </c>
      <c r="AE2575" s="1" t="str">
        <f t="shared" ca="1" si="2648"/>
        <v>Garage 14-15</v>
      </c>
      <c r="AF2575" t="str">
        <f t="shared" ca="1" si="2625"/>
        <v>Garage 14-15</v>
      </c>
    </row>
    <row r="2576" spans="28:32" x14ac:dyDescent="0.25">
      <c r="AB2576" t="str">
        <f t="shared" ref="AB2576:AC2576" si="2678">AB2555</f>
        <v>Loading Bay</v>
      </c>
      <c r="AC2576" t="str">
        <f t="shared" si="2678"/>
        <v>Lift 2</v>
      </c>
      <c r="AD2576" t="b">
        <f t="shared" ca="1" si="2627"/>
        <v>1</v>
      </c>
      <c r="AE2576" s="1" t="str">
        <f t="shared" ca="1" si="2648"/>
        <v>Garage 14-15</v>
      </c>
      <c r="AF2576" t="str">
        <f t="shared" ca="1" si="2625"/>
        <v>Garage 14-15</v>
      </c>
    </row>
    <row r="2577" spans="28:32" x14ac:dyDescent="0.25">
      <c r="AB2577" t="str">
        <f t="shared" ref="AB2577:AC2577" si="2679">AB2556</f>
        <v>Loading Bay</v>
      </c>
      <c r="AC2577" t="str">
        <f t="shared" si="2679"/>
        <v>Lift 3</v>
      </c>
      <c r="AD2577" t="b">
        <f t="shared" ca="1" si="2627"/>
        <v>1</v>
      </c>
      <c r="AE2577" s="1" t="str">
        <f t="shared" ca="1" si="2648"/>
        <v>Garage 14-15</v>
      </c>
      <c r="AF2577" t="str">
        <f t="shared" ca="1" si="2625"/>
        <v>Garage 14-15</v>
      </c>
    </row>
    <row r="2578" spans="28:32" x14ac:dyDescent="0.25">
      <c r="AB2578" t="str">
        <f t="shared" ref="AB2578:AC2578" si="2680">AB2557</f>
        <v>Loading Bay</v>
      </c>
      <c r="AC2578" t="str">
        <f t="shared" si="2680"/>
        <v>Lift 4</v>
      </c>
      <c r="AD2578" t="b">
        <f t="shared" ca="1" si="2627"/>
        <v>0</v>
      </c>
      <c r="AE2578" s="1" t="str">
        <f t="shared" ca="1" si="2648"/>
        <v>Garage 14-15</v>
      </c>
      <c r="AF2578" t="str">
        <f t="shared" ca="1" si="2625"/>
        <v>Garage 14-15</v>
      </c>
    </row>
    <row r="2579" spans="28:32" x14ac:dyDescent="0.25">
      <c r="AB2579" t="str">
        <f t="shared" ref="AB2579:AC2579" si="2681">AB2558</f>
        <v>Loading Bay</v>
      </c>
      <c r="AC2579" t="str">
        <f t="shared" si="2681"/>
        <v>Lift 5</v>
      </c>
      <c r="AD2579" t="b">
        <f t="shared" ca="1" si="2627"/>
        <v>0</v>
      </c>
      <c r="AE2579" s="1" t="str">
        <f t="shared" ca="1" si="2648"/>
        <v>Garage 14-15</v>
      </c>
      <c r="AF2579" t="str">
        <f t="shared" ca="1" si="2625"/>
        <v>Garage 14-15</v>
      </c>
    </row>
    <row r="2580" spans="28:32" x14ac:dyDescent="0.25">
      <c r="AB2580" t="str">
        <f t="shared" ref="AB2580:AC2580" si="2682">AB2559</f>
        <v>Loading Bay</v>
      </c>
      <c r="AC2580" t="str">
        <f t="shared" si="2682"/>
        <v>Lift 6</v>
      </c>
      <c r="AD2580" t="b">
        <f t="shared" ca="1" si="2627"/>
        <v>0</v>
      </c>
      <c r="AE2580" s="1" t="str">
        <f t="shared" ca="1" si="2648"/>
        <v>Garage 14-15</v>
      </c>
      <c r="AF2580" t="str">
        <f t="shared" ca="1" si="2625"/>
        <v>Garage 14-15</v>
      </c>
    </row>
    <row r="2581" spans="28:32" x14ac:dyDescent="0.25">
      <c r="AB2581" t="str">
        <f t="shared" ref="AB2581:AC2581" si="2683">AB2560</f>
        <v>Scaffolding Platform</v>
      </c>
      <c r="AC2581" t="str">
        <f t="shared" si="2683"/>
        <v>Ground Floor</v>
      </c>
      <c r="AD2581" t="b">
        <f t="shared" ca="1" si="2627"/>
        <v>1</v>
      </c>
      <c r="AE2581" s="1" t="str">
        <f t="shared" ca="1" si="2648"/>
        <v>Garage 14-15</v>
      </c>
      <c r="AF2581" t="str">
        <f t="shared" ca="1" si="2625"/>
        <v>Garage 14-15</v>
      </c>
    </row>
    <row r="2582" spans="28:32" x14ac:dyDescent="0.25">
      <c r="AB2582" t="str">
        <f t="shared" ref="AB2582:AC2582" si="2684">AB2561</f>
        <v>Scaffolding Platform</v>
      </c>
      <c r="AC2582" t="str">
        <f t="shared" si="2684"/>
        <v>First Floor</v>
      </c>
      <c r="AD2582" t="b">
        <f t="shared" ca="1" si="2627"/>
        <v>0</v>
      </c>
      <c r="AE2582" s="1" t="str">
        <f t="shared" ca="1" si="2648"/>
        <v>Garage 14-15</v>
      </c>
      <c r="AF2582" t="str">
        <f t="shared" ca="1" si="2625"/>
        <v>Garage 14-15</v>
      </c>
    </row>
    <row r="2583" spans="28:32" x14ac:dyDescent="0.25">
      <c r="AB2583" t="str">
        <f t="shared" ref="AB2583:AC2583" si="2685">AB2562</f>
        <v>Scaffolding Platform</v>
      </c>
      <c r="AC2583" t="str">
        <f t="shared" si="2685"/>
        <v>Second Floor</v>
      </c>
      <c r="AD2583" t="b">
        <f t="shared" ca="1" si="2627"/>
        <v>0</v>
      </c>
      <c r="AE2583" s="1" t="str">
        <f t="shared" ca="1" si="2648"/>
        <v>Garage 14-15</v>
      </c>
      <c r="AF2583" t="str">
        <f t="shared" ca="1" si="2625"/>
        <v>Garage 14-15</v>
      </c>
    </row>
    <row r="2584" spans="28:32" x14ac:dyDescent="0.25">
      <c r="AB2584" t="str">
        <f t="shared" ref="AB2584:AC2584" si="2686">AB2563</f>
        <v>Supporting Scaffold</v>
      </c>
      <c r="AC2584" t="str">
        <f t="shared" si="2686"/>
        <v>Ground Floor Prop.</v>
      </c>
      <c r="AD2584" t="str">
        <f t="shared" ca="1" si="2627"/>
        <v>FALSE</v>
      </c>
      <c r="AE2584" s="1" t="str">
        <f t="shared" ca="1" si="2648"/>
        <v>Garage 14-15</v>
      </c>
      <c r="AF2584" t="str">
        <f t="shared" ca="1" si="2625"/>
        <v>Garage 14-15</v>
      </c>
    </row>
    <row r="2585" spans="28:32" x14ac:dyDescent="0.25">
      <c r="AB2585" t="str">
        <f t="shared" ref="AB2585:AC2585" si="2687">AB2564</f>
        <v>Supporting Scaffold</v>
      </c>
      <c r="AC2585" t="str">
        <f t="shared" si="2687"/>
        <v>First Floor Prop.</v>
      </c>
      <c r="AD2585" t="str">
        <f t="shared" ca="1" si="2627"/>
        <v>FALSE</v>
      </c>
      <c r="AE2585" s="1" t="str">
        <f t="shared" ca="1" si="2648"/>
        <v>Garage 14-15</v>
      </c>
      <c r="AF2585" t="str">
        <f t="shared" ca="1" si="2625"/>
        <v>Garage 14-15</v>
      </c>
    </row>
    <row r="2586" spans="28:32" x14ac:dyDescent="0.25">
      <c r="AB2586" t="str">
        <f t="shared" ref="AB2586:AC2586" si="2688">AB2565</f>
        <v>Supporting Scaffold</v>
      </c>
      <c r="AC2586" t="str">
        <f t="shared" si="2688"/>
        <v>Second Floor Prop.</v>
      </c>
      <c r="AD2586" t="str">
        <f t="shared" ca="1" si="2627"/>
        <v>FALSE</v>
      </c>
      <c r="AE2586" s="1" t="str">
        <f t="shared" ca="1" si="2648"/>
        <v>Garage 14-15</v>
      </c>
      <c r="AF2586" t="str">
        <f t="shared" ca="1" si="2625"/>
        <v>Garage 14-15</v>
      </c>
    </row>
    <row r="2587" spans="28:32" x14ac:dyDescent="0.25">
      <c r="AB2587" t="str">
        <f t="shared" ref="AB2587:AC2587" si="2689">AB2566</f>
        <v>External Scaffolding</v>
      </c>
      <c r="AC2587" t="str">
        <f t="shared" si="2689"/>
        <v>Hop-ups</v>
      </c>
      <c r="AD2587" t="b">
        <f t="shared" ca="1" si="2627"/>
        <v>1</v>
      </c>
      <c r="AE2587" s="1" t="str">
        <f t="shared" ca="1" si="2648"/>
        <v>Garage 14-15</v>
      </c>
      <c r="AF2587" t="str">
        <f t="shared" ca="1" si="2625"/>
        <v>Garage 14-15</v>
      </c>
    </row>
    <row r="2588" spans="28:32" x14ac:dyDescent="0.25">
      <c r="AB2588" t="str">
        <f t="shared" ref="AB2588:AC2588" si="2690">AB2567</f>
        <v>External Scaffolding</v>
      </c>
      <c r="AC2588" t="str">
        <f t="shared" si="2690"/>
        <v>Adaptions</v>
      </c>
      <c r="AD2588" t="b">
        <f t="shared" ca="1" si="2627"/>
        <v>1</v>
      </c>
      <c r="AE2588" s="1" t="str">
        <f t="shared" ca="1" si="2648"/>
        <v>Garage 14-15</v>
      </c>
      <c r="AF2588" t="str">
        <f t="shared" ca="1" si="2625"/>
        <v>Garage 14-15</v>
      </c>
    </row>
    <row r="2589" spans="28:32" x14ac:dyDescent="0.25">
      <c r="AB2589" t="str">
        <f t="shared" ref="AB2589:AC2589" si="2691">AB2568</f>
        <v>External Scaffolding</v>
      </c>
      <c r="AC2589" t="str">
        <f t="shared" si="2691"/>
        <v>Adaption Tower</v>
      </c>
      <c r="AD2589" t="b">
        <f t="shared" ca="1" si="2627"/>
        <v>1</v>
      </c>
      <c r="AE2589" s="1" t="str">
        <f t="shared" ca="1" si="2648"/>
        <v>Garage 14-15</v>
      </c>
      <c r="AF2589" t="str">
        <f t="shared" ref="AF2589:AF2652" ca="1" si="2692">IF(LEFT(AE2589,1)="G",AE2589,"Plot "&amp;AE2589)</f>
        <v>Garage 14-15</v>
      </c>
    </row>
    <row r="2590" spans="28:32" x14ac:dyDescent="0.25">
      <c r="AB2590" t="str">
        <f t="shared" ref="AB2590:AC2590" si="2693">AB2569</f>
        <v>External Scaffolding</v>
      </c>
      <c r="AC2590" t="str">
        <f t="shared" si="2693"/>
        <v>Lift 1</v>
      </c>
      <c r="AD2590" t="b">
        <f t="shared" ref="AD2590:AD2653" ca="1" si="2694">INDEX($AC$1:$JH$22,MATCH(AC2590,$AC$1:$AC$22,0),MATCH(AE2590,$AC$1:$JH$1,0))</f>
        <v>1</v>
      </c>
      <c r="AE2590" s="1" t="str">
        <f t="shared" ca="1" si="2648"/>
        <v>Garage 16</v>
      </c>
      <c r="AF2590" t="str">
        <f t="shared" ca="1" si="2692"/>
        <v>Garage 16</v>
      </c>
    </row>
    <row r="2591" spans="28:32" x14ac:dyDescent="0.25">
      <c r="AB2591" t="str">
        <f t="shared" ref="AB2591:AC2591" si="2695">AB2570</f>
        <v>External Scaffolding</v>
      </c>
      <c r="AC2591" t="str">
        <f t="shared" si="2695"/>
        <v>Lift 2</v>
      </c>
      <c r="AD2591" t="b">
        <f t="shared" ca="1" si="2694"/>
        <v>1</v>
      </c>
      <c r="AE2591" s="1" t="str">
        <f t="shared" ca="1" si="2648"/>
        <v>Garage 16</v>
      </c>
      <c r="AF2591" t="str">
        <f t="shared" ca="1" si="2692"/>
        <v>Garage 16</v>
      </c>
    </row>
    <row r="2592" spans="28:32" x14ac:dyDescent="0.25">
      <c r="AB2592" t="str">
        <f t="shared" ref="AB2592:AC2592" si="2696">AB2571</f>
        <v>External Scaffolding</v>
      </c>
      <c r="AC2592" t="str">
        <f t="shared" si="2696"/>
        <v>Lift 3</v>
      </c>
      <c r="AD2592" t="b">
        <f t="shared" ca="1" si="2694"/>
        <v>1</v>
      </c>
      <c r="AE2592" s="1" t="str">
        <f t="shared" ca="1" si="2648"/>
        <v>Garage 16</v>
      </c>
      <c r="AF2592" t="str">
        <f t="shared" ca="1" si="2692"/>
        <v>Garage 16</v>
      </c>
    </row>
    <row r="2593" spans="28:32" x14ac:dyDescent="0.25">
      <c r="AB2593" t="str">
        <f t="shared" ref="AB2593:AC2593" si="2697">AB2572</f>
        <v>External Scaffolding</v>
      </c>
      <c r="AC2593" t="str">
        <f t="shared" si="2697"/>
        <v>Lift 4</v>
      </c>
      <c r="AD2593" t="b">
        <f t="shared" ca="1" si="2694"/>
        <v>0</v>
      </c>
      <c r="AE2593" s="1" t="str">
        <f t="shared" ca="1" si="2648"/>
        <v>Garage 16</v>
      </c>
      <c r="AF2593" t="str">
        <f t="shared" ca="1" si="2692"/>
        <v>Garage 16</v>
      </c>
    </row>
    <row r="2594" spans="28:32" x14ac:dyDescent="0.25">
      <c r="AB2594" t="str">
        <f t="shared" ref="AB2594:AC2594" si="2698">AB2573</f>
        <v>External Scaffolding</v>
      </c>
      <c r="AC2594" t="str">
        <f t="shared" si="2698"/>
        <v>Lift 5</v>
      </c>
      <c r="AD2594" t="b">
        <f t="shared" ca="1" si="2694"/>
        <v>0</v>
      </c>
      <c r="AE2594" s="1" t="str">
        <f t="shared" ca="1" si="2648"/>
        <v>Garage 16</v>
      </c>
      <c r="AF2594" t="str">
        <f t="shared" ca="1" si="2692"/>
        <v>Garage 16</v>
      </c>
    </row>
    <row r="2595" spans="28:32" x14ac:dyDescent="0.25">
      <c r="AB2595" t="str">
        <f t="shared" ref="AB2595:AC2595" si="2699">AB2574</f>
        <v>External Scaffolding</v>
      </c>
      <c r="AC2595" t="str">
        <f t="shared" si="2699"/>
        <v>Lift 6</v>
      </c>
      <c r="AD2595" t="b">
        <f t="shared" ca="1" si="2694"/>
        <v>0</v>
      </c>
      <c r="AE2595" s="1" t="str">
        <f t="shared" ca="1" si="2648"/>
        <v>Garage 16</v>
      </c>
      <c r="AF2595" t="str">
        <f t="shared" ca="1" si="2692"/>
        <v>Garage 16</v>
      </c>
    </row>
    <row r="2596" spans="28:32" x14ac:dyDescent="0.25">
      <c r="AB2596" t="str">
        <f t="shared" ref="AB2596:AC2596" si="2700">AB2575</f>
        <v>Loading Bay</v>
      </c>
      <c r="AC2596" t="str">
        <f t="shared" si="2700"/>
        <v>Lift 1</v>
      </c>
      <c r="AD2596" t="b">
        <f t="shared" ca="1" si="2694"/>
        <v>1</v>
      </c>
      <c r="AE2596" s="1" t="str">
        <f t="shared" ca="1" si="2648"/>
        <v>Garage 16</v>
      </c>
      <c r="AF2596" t="str">
        <f t="shared" ca="1" si="2692"/>
        <v>Garage 16</v>
      </c>
    </row>
    <row r="2597" spans="28:32" x14ac:dyDescent="0.25">
      <c r="AB2597" t="str">
        <f t="shared" ref="AB2597:AC2597" si="2701">AB2576</f>
        <v>Loading Bay</v>
      </c>
      <c r="AC2597" t="str">
        <f t="shared" si="2701"/>
        <v>Lift 2</v>
      </c>
      <c r="AD2597" t="b">
        <f t="shared" ca="1" si="2694"/>
        <v>1</v>
      </c>
      <c r="AE2597" s="1" t="str">
        <f t="shared" ca="1" si="2648"/>
        <v>Garage 16</v>
      </c>
      <c r="AF2597" t="str">
        <f t="shared" ca="1" si="2692"/>
        <v>Garage 16</v>
      </c>
    </row>
    <row r="2598" spans="28:32" x14ac:dyDescent="0.25">
      <c r="AB2598" t="str">
        <f t="shared" ref="AB2598:AC2598" si="2702">AB2577</f>
        <v>Loading Bay</v>
      </c>
      <c r="AC2598" t="str">
        <f t="shared" si="2702"/>
        <v>Lift 3</v>
      </c>
      <c r="AD2598" t="b">
        <f t="shared" ca="1" si="2694"/>
        <v>1</v>
      </c>
      <c r="AE2598" s="1" t="str">
        <f t="shared" ca="1" si="2648"/>
        <v>Garage 16</v>
      </c>
      <c r="AF2598" t="str">
        <f t="shared" ca="1" si="2692"/>
        <v>Garage 16</v>
      </c>
    </row>
    <row r="2599" spans="28:32" x14ac:dyDescent="0.25">
      <c r="AB2599" t="str">
        <f t="shared" ref="AB2599:AC2599" si="2703">AB2578</f>
        <v>Loading Bay</v>
      </c>
      <c r="AC2599" t="str">
        <f t="shared" si="2703"/>
        <v>Lift 4</v>
      </c>
      <c r="AD2599" t="b">
        <f t="shared" ca="1" si="2694"/>
        <v>0</v>
      </c>
      <c r="AE2599" s="1" t="str">
        <f t="shared" ca="1" si="2648"/>
        <v>Garage 16</v>
      </c>
      <c r="AF2599" t="str">
        <f t="shared" ca="1" si="2692"/>
        <v>Garage 16</v>
      </c>
    </row>
    <row r="2600" spans="28:32" x14ac:dyDescent="0.25">
      <c r="AB2600" t="str">
        <f t="shared" ref="AB2600:AC2600" si="2704">AB2579</f>
        <v>Loading Bay</v>
      </c>
      <c r="AC2600" t="str">
        <f t="shared" si="2704"/>
        <v>Lift 5</v>
      </c>
      <c r="AD2600" t="b">
        <f t="shared" ca="1" si="2694"/>
        <v>0</v>
      </c>
      <c r="AE2600" s="1" t="str">
        <f t="shared" ca="1" si="2648"/>
        <v>Garage 16</v>
      </c>
      <c r="AF2600" t="str">
        <f t="shared" ca="1" si="2692"/>
        <v>Garage 16</v>
      </c>
    </row>
    <row r="2601" spans="28:32" x14ac:dyDescent="0.25">
      <c r="AB2601" t="str">
        <f t="shared" ref="AB2601:AC2601" si="2705">AB2580</f>
        <v>Loading Bay</v>
      </c>
      <c r="AC2601" t="str">
        <f t="shared" si="2705"/>
        <v>Lift 6</v>
      </c>
      <c r="AD2601" t="b">
        <f t="shared" ca="1" si="2694"/>
        <v>0</v>
      </c>
      <c r="AE2601" s="1" t="str">
        <f t="shared" ca="1" si="2648"/>
        <v>Garage 16</v>
      </c>
      <c r="AF2601" t="str">
        <f t="shared" ca="1" si="2692"/>
        <v>Garage 16</v>
      </c>
    </row>
    <row r="2602" spans="28:32" x14ac:dyDescent="0.25">
      <c r="AB2602" t="str">
        <f t="shared" ref="AB2602:AC2602" si="2706">AB2581</f>
        <v>Scaffolding Platform</v>
      </c>
      <c r="AC2602" t="str">
        <f t="shared" si="2706"/>
        <v>Ground Floor</v>
      </c>
      <c r="AD2602" t="b">
        <f t="shared" ca="1" si="2694"/>
        <v>1</v>
      </c>
      <c r="AE2602" s="1" t="str">
        <f t="shared" ca="1" si="2648"/>
        <v>Garage 16</v>
      </c>
      <c r="AF2602" t="str">
        <f t="shared" ca="1" si="2692"/>
        <v>Garage 16</v>
      </c>
    </row>
    <row r="2603" spans="28:32" x14ac:dyDescent="0.25">
      <c r="AB2603" t="str">
        <f t="shared" ref="AB2603:AC2603" si="2707">AB2582</f>
        <v>Scaffolding Platform</v>
      </c>
      <c r="AC2603" t="str">
        <f t="shared" si="2707"/>
        <v>First Floor</v>
      </c>
      <c r="AD2603" t="b">
        <f t="shared" ca="1" si="2694"/>
        <v>0</v>
      </c>
      <c r="AE2603" s="1" t="str">
        <f t="shared" ca="1" si="2648"/>
        <v>Garage 16</v>
      </c>
      <c r="AF2603" t="str">
        <f t="shared" ca="1" si="2692"/>
        <v>Garage 16</v>
      </c>
    </row>
    <row r="2604" spans="28:32" x14ac:dyDescent="0.25">
      <c r="AB2604" t="str">
        <f t="shared" ref="AB2604:AC2604" si="2708">AB2583</f>
        <v>Scaffolding Platform</v>
      </c>
      <c r="AC2604" t="str">
        <f t="shared" si="2708"/>
        <v>Second Floor</v>
      </c>
      <c r="AD2604" t="b">
        <f t="shared" ca="1" si="2694"/>
        <v>0</v>
      </c>
      <c r="AE2604" s="1" t="str">
        <f t="shared" ca="1" si="2648"/>
        <v>Garage 16</v>
      </c>
      <c r="AF2604" t="str">
        <f t="shared" ca="1" si="2692"/>
        <v>Garage 16</v>
      </c>
    </row>
    <row r="2605" spans="28:32" x14ac:dyDescent="0.25">
      <c r="AB2605" t="str">
        <f t="shared" ref="AB2605:AC2605" si="2709">AB2584</f>
        <v>Supporting Scaffold</v>
      </c>
      <c r="AC2605" t="str">
        <f t="shared" si="2709"/>
        <v>Ground Floor Prop.</v>
      </c>
      <c r="AD2605" t="str">
        <f t="shared" ca="1" si="2694"/>
        <v>FALSE</v>
      </c>
      <c r="AE2605" s="1" t="str">
        <f t="shared" ca="1" si="2648"/>
        <v>Garage 16</v>
      </c>
      <c r="AF2605" t="str">
        <f t="shared" ca="1" si="2692"/>
        <v>Garage 16</v>
      </c>
    </row>
    <row r="2606" spans="28:32" x14ac:dyDescent="0.25">
      <c r="AB2606" t="str">
        <f t="shared" ref="AB2606:AC2606" si="2710">AB2585</f>
        <v>Supporting Scaffold</v>
      </c>
      <c r="AC2606" t="str">
        <f t="shared" si="2710"/>
        <v>First Floor Prop.</v>
      </c>
      <c r="AD2606" t="str">
        <f t="shared" ca="1" si="2694"/>
        <v>FALSE</v>
      </c>
      <c r="AE2606" s="1" t="str">
        <f t="shared" ca="1" si="2648"/>
        <v>Garage 16</v>
      </c>
      <c r="AF2606" t="str">
        <f t="shared" ca="1" si="2692"/>
        <v>Garage 16</v>
      </c>
    </row>
    <row r="2607" spans="28:32" x14ac:dyDescent="0.25">
      <c r="AB2607" t="str">
        <f t="shared" ref="AB2607:AC2607" si="2711">AB2586</f>
        <v>Supporting Scaffold</v>
      </c>
      <c r="AC2607" t="str">
        <f t="shared" si="2711"/>
        <v>Second Floor Prop.</v>
      </c>
      <c r="AD2607" t="str">
        <f t="shared" ca="1" si="2694"/>
        <v>FALSE</v>
      </c>
      <c r="AE2607" s="1" t="str">
        <f t="shared" ca="1" si="2648"/>
        <v>Garage 16</v>
      </c>
      <c r="AF2607" t="str">
        <f t="shared" ca="1" si="2692"/>
        <v>Garage 16</v>
      </c>
    </row>
    <row r="2608" spans="28:32" x14ac:dyDescent="0.25">
      <c r="AB2608" t="str">
        <f t="shared" ref="AB2608:AC2608" si="2712">AB2587</f>
        <v>External Scaffolding</v>
      </c>
      <c r="AC2608" t="str">
        <f t="shared" si="2712"/>
        <v>Hop-ups</v>
      </c>
      <c r="AD2608" t="b">
        <f t="shared" ca="1" si="2694"/>
        <v>1</v>
      </c>
      <c r="AE2608" s="1" t="str">
        <f t="shared" ca="1" si="2648"/>
        <v>Garage 16</v>
      </c>
      <c r="AF2608" t="str">
        <f t="shared" ca="1" si="2692"/>
        <v>Garage 16</v>
      </c>
    </row>
    <row r="2609" spans="28:32" x14ac:dyDescent="0.25">
      <c r="AB2609" t="str">
        <f t="shared" ref="AB2609:AC2609" si="2713">AB2588</f>
        <v>External Scaffolding</v>
      </c>
      <c r="AC2609" t="str">
        <f t="shared" si="2713"/>
        <v>Adaptions</v>
      </c>
      <c r="AD2609" t="b">
        <f t="shared" ca="1" si="2694"/>
        <v>1</v>
      </c>
      <c r="AE2609" s="1" t="str">
        <f t="shared" ca="1" si="2648"/>
        <v>Garage 16</v>
      </c>
      <c r="AF2609" t="str">
        <f t="shared" ca="1" si="2692"/>
        <v>Garage 16</v>
      </c>
    </row>
    <row r="2610" spans="28:32" x14ac:dyDescent="0.25">
      <c r="AB2610" t="str">
        <f t="shared" ref="AB2610:AC2610" si="2714">AB2589</f>
        <v>External Scaffolding</v>
      </c>
      <c r="AC2610" t="str">
        <f t="shared" si="2714"/>
        <v>Adaption Tower</v>
      </c>
      <c r="AD2610" t="b">
        <f t="shared" ca="1" si="2694"/>
        <v>1</v>
      </c>
      <c r="AE2610" s="1" t="str">
        <f t="shared" ref="AE2610:AE2673" ca="1" si="2715">OFFSET($AD$1,0,FLOOR(ROW(B2582)/21,1))</f>
        <v>Garage 16</v>
      </c>
      <c r="AF2610" t="str">
        <f t="shared" ca="1" si="2692"/>
        <v>Garage 16</v>
      </c>
    </row>
    <row r="2611" spans="28:32" x14ac:dyDescent="0.25">
      <c r="AB2611" t="str">
        <f t="shared" ref="AB2611:AC2611" si="2716">AB2590</f>
        <v>External Scaffolding</v>
      </c>
      <c r="AC2611" t="str">
        <f t="shared" si="2716"/>
        <v>Lift 1</v>
      </c>
      <c r="AD2611" t="b">
        <f t="shared" ca="1" si="2694"/>
        <v>1</v>
      </c>
      <c r="AE2611" s="1" t="str">
        <f t="shared" ca="1" si="2715"/>
        <v>Garage 19</v>
      </c>
      <c r="AF2611" t="str">
        <f t="shared" ca="1" si="2692"/>
        <v>Garage 19</v>
      </c>
    </row>
    <row r="2612" spans="28:32" x14ac:dyDescent="0.25">
      <c r="AB2612" t="str">
        <f t="shared" ref="AB2612:AC2612" si="2717">AB2591</f>
        <v>External Scaffolding</v>
      </c>
      <c r="AC2612" t="str">
        <f t="shared" si="2717"/>
        <v>Lift 2</v>
      </c>
      <c r="AD2612" t="b">
        <f t="shared" ca="1" si="2694"/>
        <v>1</v>
      </c>
      <c r="AE2612" s="1" t="str">
        <f t="shared" ca="1" si="2715"/>
        <v>Garage 19</v>
      </c>
      <c r="AF2612" t="str">
        <f t="shared" ca="1" si="2692"/>
        <v>Garage 19</v>
      </c>
    </row>
    <row r="2613" spans="28:32" x14ac:dyDescent="0.25">
      <c r="AB2613" t="str">
        <f t="shared" ref="AB2613:AC2613" si="2718">AB2592</f>
        <v>External Scaffolding</v>
      </c>
      <c r="AC2613" t="str">
        <f t="shared" si="2718"/>
        <v>Lift 3</v>
      </c>
      <c r="AD2613" t="b">
        <f t="shared" ca="1" si="2694"/>
        <v>1</v>
      </c>
      <c r="AE2613" s="1" t="str">
        <f t="shared" ca="1" si="2715"/>
        <v>Garage 19</v>
      </c>
      <c r="AF2613" t="str">
        <f t="shared" ca="1" si="2692"/>
        <v>Garage 19</v>
      </c>
    </row>
    <row r="2614" spans="28:32" x14ac:dyDescent="0.25">
      <c r="AB2614" t="str">
        <f t="shared" ref="AB2614:AC2614" si="2719">AB2593</f>
        <v>External Scaffolding</v>
      </c>
      <c r="AC2614" t="str">
        <f t="shared" si="2719"/>
        <v>Lift 4</v>
      </c>
      <c r="AD2614" t="b">
        <f t="shared" ca="1" si="2694"/>
        <v>0</v>
      </c>
      <c r="AE2614" s="1" t="str">
        <f t="shared" ca="1" si="2715"/>
        <v>Garage 19</v>
      </c>
      <c r="AF2614" t="str">
        <f t="shared" ca="1" si="2692"/>
        <v>Garage 19</v>
      </c>
    </row>
    <row r="2615" spans="28:32" x14ac:dyDescent="0.25">
      <c r="AB2615" t="str">
        <f t="shared" ref="AB2615:AC2615" si="2720">AB2594</f>
        <v>External Scaffolding</v>
      </c>
      <c r="AC2615" t="str">
        <f t="shared" si="2720"/>
        <v>Lift 5</v>
      </c>
      <c r="AD2615" t="b">
        <f t="shared" ca="1" si="2694"/>
        <v>0</v>
      </c>
      <c r="AE2615" s="1" t="str">
        <f t="shared" ca="1" si="2715"/>
        <v>Garage 19</v>
      </c>
      <c r="AF2615" t="str">
        <f t="shared" ca="1" si="2692"/>
        <v>Garage 19</v>
      </c>
    </row>
    <row r="2616" spans="28:32" x14ac:dyDescent="0.25">
      <c r="AB2616" t="str">
        <f t="shared" ref="AB2616:AC2616" si="2721">AB2595</f>
        <v>External Scaffolding</v>
      </c>
      <c r="AC2616" t="str">
        <f t="shared" si="2721"/>
        <v>Lift 6</v>
      </c>
      <c r="AD2616" t="b">
        <f t="shared" ca="1" si="2694"/>
        <v>0</v>
      </c>
      <c r="AE2616" s="1" t="str">
        <f t="shared" ca="1" si="2715"/>
        <v>Garage 19</v>
      </c>
      <c r="AF2616" t="str">
        <f t="shared" ca="1" si="2692"/>
        <v>Garage 19</v>
      </c>
    </row>
    <row r="2617" spans="28:32" x14ac:dyDescent="0.25">
      <c r="AB2617" t="str">
        <f t="shared" ref="AB2617:AC2617" si="2722">AB2596</f>
        <v>Loading Bay</v>
      </c>
      <c r="AC2617" t="str">
        <f t="shared" si="2722"/>
        <v>Lift 1</v>
      </c>
      <c r="AD2617" t="b">
        <f t="shared" ca="1" si="2694"/>
        <v>1</v>
      </c>
      <c r="AE2617" s="1" t="str">
        <f t="shared" ca="1" si="2715"/>
        <v>Garage 19</v>
      </c>
      <c r="AF2617" t="str">
        <f t="shared" ca="1" si="2692"/>
        <v>Garage 19</v>
      </c>
    </row>
    <row r="2618" spans="28:32" x14ac:dyDescent="0.25">
      <c r="AB2618" t="str">
        <f t="shared" ref="AB2618:AC2618" si="2723">AB2597</f>
        <v>Loading Bay</v>
      </c>
      <c r="AC2618" t="str">
        <f t="shared" si="2723"/>
        <v>Lift 2</v>
      </c>
      <c r="AD2618" t="b">
        <f t="shared" ca="1" si="2694"/>
        <v>1</v>
      </c>
      <c r="AE2618" s="1" t="str">
        <f t="shared" ca="1" si="2715"/>
        <v>Garage 19</v>
      </c>
      <c r="AF2618" t="str">
        <f t="shared" ca="1" si="2692"/>
        <v>Garage 19</v>
      </c>
    </row>
    <row r="2619" spans="28:32" x14ac:dyDescent="0.25">
      <c r="AB2619" t="str">
        <f t="shared" ref="AB2619:AC2619" si="2724">AB2598</f>
        <v>Loading Bay</v>
      </c>
      <c r="AC2619" t="str">
        <f t="shared" si="2724"/>
        <v>Lift 3</v>
      </c>
      <c r="AD2619" t="b">
        <f t="shared" ca="1" si="2694"/>
        <v>1</v>
      </c>
      <c r="AE2619" s="1" t="str">
        <f t="shared" ca="1" si="2715"/>
        <v>Garage 19</v>
      </c>
      <c r="AF2619" t="str">
        <f t="shared" ca="1" si="2692"/>
        <v>Garage 19</v>
      </c>
    </row>
    <row r="2620" spans="28:32" x14ac:dyDescent="0.25">
      <c r="AB2620" t="str">
        <f t="shared" ref="AB2620:AC2620" si="2725">AB2599</f>
        <v>Loading Bay</v>
      </c>
      <c r="AC2620" t="str">
        <f t="shared" si="2725"/>
        <v>Lift 4</v>
      </c>
      <c r="AD2620" t="b">
        <f t="shared" ca="1" si="2694"/>
        <v>0</v>
      </c>
      <c r="AE2620" s="1" t="str">
        <f t="shared" ca="1" si="2715"/>
        <v>Garage 19</v>
      </c>
      <c r="AF2620" t="str">
        <f t="shared" ca="1" si="2692"/>
        <v>Garage 19</v>
      </c>
    </row>
    <row r="2621" spans="28:32" x14ac:dyDescent="0.25">
      <c r="AB2621" t="str">
        <f t="shared" ref="AB2621:AC2621" si="2726">AB2600</f>
        <v>Loading Bay</v>
      </c>
      <c r="AC2621" t="str">
        <f t="shared" si="2726"/>
        <v>Lift 5</v>
      </c>
      <c r="AD2621" t="b">
        <f t="shared" ca="1" si="2694"/>
        <v>0</v>
      </c>
      <c r="AE2621" s="1" t="str">
        <f t="shared" ca="1" si="2715"/>
        <v>Garage 19</v>
      </c>
      <c r="AF2621" t="str">
        <f t="shared" ca="1" si="2692"/>
        <v>Garage 19</v>
      </c>
    </row>
    <row r="2622" spans="28:32" x14ac:dyDescent="0.25">
      <c r="AB2622" t="str">
        <f t="shared" ref="AB2622:AC2622" si="2727">AB2601</f>
        <v>Loading Bay</v>
      </c>
      <c r="AC2622" t="str">
        <f t="shared" si="2727"/>
        <v>Lift 6</v>
      </c>
      <c r="AD2622" t="b">
        <f t="shared" ca="1" si="2694"/>
        <v>0</v>
      </c>
      <c r="AE2622" s="1" t="str">
        <f t="shared" ca="1" si="2715"/>
        <v>Garage 19</v>
      </c>
      <c r="AF2622" t="str">
        <f t="shared" ca="1" si="2692"/>
        <v>Garage 19</v>
      </c>
    </row>
    <row r="2623" spans="28:32" x14ac:dyDescent="0.25">
      <c r="AB2623" t="str">
        <f t="shared" ref="AB2623:AC2623" si="2728">AB2602</f>
        <v>Scaffolding Platform</v>
      </c>
      <c r="AC2623" t="str">
        <f t="shared" si="2728"/>
        <v>Ground Floor</v>
      </c>
      <c r="AD2623" t="b">
        <f t="shared" ca="1" si="2694"/>
        <v>1</v>
      </c>
      <c r="AE2623" s="1" t="str">
        <f t="shared" ca="1" si="2715"/>
        <v>Garage 19</v>
      </c>
      <c r="AF2623" t="str">
        <f t="shared" ca="1" si="2692"/>
        <v>Garage 19</v>
      </c>
    </row>
    <row r="2624" spans="28:32" x14ac:dyDescent="0.25">
      <c r="AB2624" t="str">
        <f t="shared" ref="AB2624:AC2624" si="2729">AB2603</f>
        <v>Scaffolding Platform</v>
      </c>
      <c r="AC2624" t="str">
        <f t="shared" si="2729"/>
        <v>First Floor</v>
      </c>
      <c r="AD2624" t="b">
        <f t="shared" ca="1" si="2694"/>
        <v>0</v>
      </c>
      <c r="AE2624" s="1" t="str">
        <f t="shared" ca="1" si="2715"/>
        <v>Garage 19</v>
      </c>
      <c r="AF2624" t="str">
        <f t="shared" ca="1" si="2692"/>
        <v>Garage 19</v>
      </c>
    </row>
    <row r="2625" spans="28:32" x14ac:dyDescent="0.25">
      <c r="AB2625" t="str">
        <f t="shared" ref="AB2625:AC2625" si="2730">AB2604</f>
        <v>Scaffolding Platform</v>
      </c>
      <c r="AC2625" t="str">
        <f t="shared" si="2730"/>
        <v>Second Floor</v>
      </c>
      <c r="AD2625" t="b">
        <f t="shared" ca="1" si="2694"/>
        <v>0</v>
      </c>
      <c r="AE2625" s="1" t="str">
        <f t="shared" ca="1" si="2715"/>
        <v>Garage 19</v>
      </c>
      <c r="AF2625" t="str">
        <f t="shared" ca="1" si="2692"/>
        <v>Garage 19</v>
      </c>
    </row>
    <row r="2626" spans="28:32" x14ac:dyDescent="0.25">
      <c r="AB2626" t="str">
        <f t="shared" ref="AB2626:AC2626" si="2731">AB2605</f>
        <v>Supporting Scaffold</v>
      </c>
      <c r="AC2626" t="str">
        <f t="shared" si="2731"/>
        <v>Ground Floor Prop.</v>
      </c>
      <c r="AD2626" t="str">
        <f t="shared" ca="1" si="2694"/>
        <v>FALSE</v>
      </c>
      <c r="AE2626" s="1" t="str">
        <f t="shared" ca="1" si="2715"/>
        <v>Garage 19</v>
      </c>
      <c r="AF2626" t="str">
        <f t="shared" ca="1" si="2692"/>
        <v>Garage 19</v>
      </c>
    </row>
    <row r="2627" spans="28:32" x14ac:dyDescent="0.25">
      <c r="AB2627" t="str">
        <f t="shared" ref="AB2627:AC2627" si="2732">AB2606</f>
        <v>Supporting Scaffold</v>
      </c>
      <c r="AC2627" t="str">
        <f t="shared" si="2732"/>
        <v>First Floor Prop.</v>
      </c>
      <c r="AD2627" t="str">
        <f t="shared" ca="1" si="2694"/>
        <v>FALSE</v>
      </c>
      <c r="AE2627" s="1" t="str">
        <f t="shared" ca="1" si="2715"/>
        <v>Garage 19</v>
      </c>
      <c r="AF2627" t="str">
        <f t="shared" ca="1" si="2692"/>
        <v>Garage 19</v>
      </c>
    </row>
    <row r="2628" spans="28:32" x14ac:dyDescent="0.25">
      <c r="AB2628" t="str">
        <f t="shared" ref="AB2628:AC2628" si="2733">AB2607</f>
        <v>Supporting Scaffold</v>
      </c>
      <c r="AC2628" t="str">
        <f t="shared" si="2733"/>
        <v>Second Floor Prop.</v>
      </c>
      <c r="AD2628" t="str">
        <f t="shared" ca="1" si="2694"/>
        <v>FALSE</v>
      </c>
      <c r="AE2628" s="1" t="str">
        <f t="shared" ca="1" si="2715"/>
        <v>Garage 19</v>
      </c>
      <c r="AF2628" t="str">
        <f t="shared" ca="1" si="2692"/>
        <v>Garage 19</v>
      </c>
    </row>
    <row r="2629" spans="28:32" x14ac:dyDescent="0.25">
      <c r="AB2629" t="str">
        <f t="shared" ref="AB2629:AC2629" si="2734">AB2608</f>
        <v>External Scaffolding</v>
      </c>
      <c r="AC2629" t="str">
        <f t="shared" si="2734"/>
        <v>Hop-ups</v>
      </c>
      <c r="AD2629" t="b">
        <f t="shared" ca="1" si="2694"/>
        <v>1</v>
      </c>
      <c r="AE2629" s="1" t="str">
        <f t="shared" ca="1" si="2715"/>
        <v>Garage 19</v>
      </c>
      <c r="AF2629" t="str">
        <f t="shared" ca="1" si="2692"/>
        <v>Garage 19</v>
      </c>
    </row>
    <row r="2630" spans="28:32" x14ac:dyDescent="0.25">
      <c r="AB2630" t="str">
        <f t="shared" ref="AB2630:AC2630" si="2735">AB2609</f>
        <v>External Scaffolding</v>
      </c>
      <c r="AC2630" t="str">
        <f t="shared" si="2735"/>
        <v>Adaptions</v>
      </c>
      <c r="AD2630" t="b">
        <f t="shared" ca="1" si="2694"/>
        <v>1</v>
      </c>
      <c r="AE2630" s="1" t="str">
        <f t="shared" ca="1" si="2715"/>
        <v>Garage 19</v>
      </c>
      <c r="AF2630" t="str">
        <f t="shared" ca="1" si="2692"/>
        <v>Garage 19</v>
      </c>
    </row>
    <row r="2631" spans="28:32" x14ac:dyDescent="0.25">
      <c r="AB2631" t="str">
        <f t="shared" ref="AB2631:AC2631" si="2736">AB2610</f>
        <v>External Scaffolding</v>
      </c>
      <c r="AC2631" t="str">
        <f t="shared" si="2736"/>
        <v>Adaption Tower</v>
      </c>
      <c r="AD2631" t="b">
        <f t="shared" ca="1" si="2694"/>
        <v>1</v>
      </c>
      <c r="AE2631" s="1" t="str">
        <f t="shared" ca="1" si="2715"/>
        <v>Garage 19</v>
      </c>
      <c r="AF2631" t="str">
        <f t="shared" ca="1" si="2692"/>
        <v>Garage 19</v>
      </c>
    </row>
    <row r="2632" spans="28:32" x14ac:dyDescent="0.25">
      <c r="AB2632" t="str">
        <f t="shared" ref="AB2632:AC2632" si="2737">AB2611</f>
        <v>External Scaffolding</v>
      </c>
      <c r="AC2632" t="str">
        <f t="shared" si="2737"/>
        <v>Lift 1</v>
      </c>
      <c r="AD2632" t="b">
        <f t="shared" ca="1" si="2694"/>
        <v>1</v>
      </c>
      <c r="AE2632" s="1" t="str">
        <f t="shared" ca="1" si="2715"/>
        <v>Garage 22</v>
      </c>
      <c r="AF2632" t="str">
        <f t="shared" ca="1" si="2692"/>
        <v>Garage 22</v>
      </c>
    </row>
    <row r="2633" spans="28:32" x14ac:dyDescent="0.25">
      <c r="AB2633" t="str">
        <f t="shared" ref="AB2633:AC2633" si="2738">AB2612</f>
        <v>External Scaffolding</v>
      </c>
      <c r="AC2633" t="str">
        <f t="shared" si="2738"/>
        <v>Lift 2</v>
      </c>
      <c r="AD2633" t="b">
        <f t="shared" ca="1" si="2694"/>
        <v>1</v>
      </c>
      <c r="AE2633" s="1" t="str">
        <f t="shared" ca="1" si="2715"/>
        <v>Garage 22</v>
      </c>
      <c r="AF2633" t="str">
        <f t="shared" ca="1" si="2692"/>
        <v>Garage 22</v>
      </c>
    </row>
    <row r="2634" spans="28:32" x14ac:dyDescent="0.25">
      <c r="AB2634" t="str">
        <f t="shared" ref="AB2634:AC2634" si="2739">AB2613</f>
        <v>External Scaffolding</v>
      </c>
      <c r="AC2634" t="str">
        <f t="shared" si="2739"/>
        <v>Lift 3</v>
      </c>
      <c r="AD2634" t="b">
        <f t="shared" ca="1" si="2694"/>
        <v>1</v>
      </c>
      <c r="AE2634" s="1" t="str">
        <f t="shared" ca="1" si="2715"/>
        <v>Garage 22</v>
      </c>
      <c r="AF2634" t="str">
        <f t="shared" ca="1" si="2692"/>
        <v>Garage 22</v>
      </c>
    </row>
    <row r="2635" spans="28:32" x14ac:dyDescent="0.25">
      <c r="AB2635" t="str">
        <f t="shared" ref="AB2635:AC2635" si="2740">AB2614</f>
        <v>External Scaffolding</v>
      </c>
      <c r="AC2635" t="str">
        <f t="shared" si="2740"/>
        <v>Lift 4</v>
      </c>
      <c r="AD2635" t="b">
        <f t="shared" ca="1" si="2694"/>
        <v>0</v>
      </c>
      <c r="AE2635" s="1" t="str">
        <f t="shared" ca="1" si="2715"/>
        <v>Garage 22</v>
      </c>
      <c r="AF2635" t="str">
        <f t="shared" ca="1" si="2692"/>
        <v>Garage 22</v>
      </c>
    </row>
    <row r="2636" spans="28:32" x14ac:dyDescent="0.25">
      <c r="AB2636" t="str">
        <f t="shared" ref="AB2636:AC2636" si="2741">AB2615</f>
        <v>External Scaffolding</v>
      </c>
      <c r="AC2636" t="str">
        <f t="shared" si="2741"/>
        <v>Lift 5</v>
      </c>
      <c r="AD2636" t="b">
        <f t="shared" ca="1" si="2694"/>
        <v>0</v>
      </c>
      <c r="AE2636" s="1" t="str">
        <f t="shared" ca="1" si="2715"/>
        <v>Garage 22</v>
      </c>
      <c r="AF2636" t="str">
        <f t="shared" ca="1" si="2692"/>
        <v>Garage 22</v>
      </c>
    </row>
    <row r="2637" spans="28:32" x14ac:dyDescent="0.25">
      <c r="AB2637" t="str">
        <f t="shared" ref="AB2637:AC2637" si="2742">AB2616</f>
        <v>External Scaffolding</v>
      </c>
      <c r="AC2637" t="str">
        <f t="shared" si="2742"/>
        <v>Lift 6</v>
      </c>
      <c r="AD2637" t="b">
        <f t="shared" ca="1" si="2694"/>
        <v>0</v>
      </c>
      <c r="AE2637" s="1" t="str">
        <f t="shared" ca="1" si="2715"/>
        <v>Garage 22</v>
      </c>
      <c r="AF2637" t="str">
        <f t="shared" ca="1" si="2692"/>
        <v>Garage 22</v>
      </c>
    </row>
    <row r="2638" spans="28:32" x14ac:dyDescent="0.25">
      <c r="AB2638" t="str">
        <f t="shared" ref="AB2638:AC2638" si="2743">AB2617</f>
        <v>Loading Bay</v>
      </c>
      <c r="AC2638" t="str">
        <f t="shared" si="2743"/>
        <v>Lift 1</v>
      </c>
      <c r="AD2638" t="b">
        <f t="shared" ca="1" si="2694"/>
        <v>1</v>
      </c>
      <c r="AE2638" s="1" t="str">
        <f t="shared" ca="1" si="2715"/>
        <v>Garage 22</v>
      </c>
      <c r="AF2638" t="str">
        <f t="shared" ca="1" si="2692"/>
        <v>Garage 22</v>
      </c>
    </row>
    <row r="2639" spans="28:32" x14ac:dyDescent="0.25">
      <c r="AB2639" t="str">
        <f t="shared" ref="AB2639:AC2639" si="2744">AB2618</f>
        <v>Loading Bay</v>
      </c>
      <c r="AC2639" t="str">
        <f t="shared" si="2744"/>
        <v>Lift 2</v>
      </c>
      <c r="AD2639" t="b">
        <f t="shared" ca="1" si="2694"/>
        <v>1</v>
      </c>
      <c r="AE2639" s="1" t="str">
        <f t="shared" ca="1" si="2715"/>
        <v>Garage 22</v>
      </c>
      <c r="AF2639" t="str">
        <f t="shared" ca="1" si="2692"/>
        <v>Garage 22</v>
      </c>
    </row>
    <row r="2640" spans="28:32" x14ac:dyDescent="0.25">
      <c r="AB2640" t="str">
        <f t="shared" ref="AB2640:AC2640" si="2745">AB2619</f>
        <v>Loading Bay</v>
      </c>
      <c r="AC2640" t="str">
        <f t="shared" si="2745"/>
        <v>Lift 3</v>
      </c>
      <c r="AD2640" t="b">
        <f t="shared" ca="1" si="2694"/>
        <v>1</v>
      </c>
      <c r="AE2640" s="1" t="str">
        <f t="shared" ca="1" si="2715"/>
        <v>Garage 22</v>
      </c>
      <c r="AF2640" t="str">
        <f t="shared" ca="1" si="2692"/>
        <v>Garage 22</v>
      </c>
    </row>
    <row r="2641" spans="28:32" x14ac:dyDescent="0.25">
      <c r="AB2641" t="str">
        <f t="shared" ref="AB2641:AC2641" si="2746">AB2620</f>
        <v>Loading Bay</v>
      </c>
      <c r="AC2641" t="str">
        <f t="shared" si="2746"/>
        <v>Lift 4</v>
      </c>
      <c r="AD2641" t="b">
        <f t="shared" ca="1" si="2694"/>
        <v>0</v>
      </c>
      <c r="AE2641" s="1" t="str">
        <f t="shared" ca="1" si="2715"/>
        <v>Garage 22</v>
      </c>
      <c r="AF2641" t="str">
        <f t="shared" ca="1" si="2692"/>
        <v>Garage 22</v>
      </c>
    </row>
    <row r="2642" spans="28:32" x14ac:dyDescent="0.25">
      <c r="AB2642" t="str">
        <f t="shared" ref="AB2642:AC2642" si="2747">AB2621</f>
        <v>Loading Bay</v>
      </c>
      <c r="AC2642" t="str">
        <f t="shared" si="2747"/>
        <v>Lift 5</v>
      </c>
      <c r="AD2642" t="b">
        <f t="shared" ca="1" si="2694"/>
        <v>0</v>
      </c>
      <c r="AE2642" s="1" t="str">
        <f t="shared" ca="1" si="2715"/>
        <v>Garage 22</v>
      </c>
      <c r="AF2642" t="str">
        <f t="shared" ca="1" si="2692"/>
        <v>Garage 22</v>
      </c>
    </row>
    <row r="2643" spans="28:32" x14ac:dyDescent="0.25">
      <c r="AB2643" t="str">
        <f t="shared" ref="AB2643:AC2643" si="2748">AB2622</f>
        <v>Loading Bay</v>
      </c>
      <c r="AC2643" t="str">
        <f t="shared" si="2748"/>
        <v>Lift 6</v>
      </c>
      <c r="AD2643" t="b">
        <f t="shared" ca="1" si="2694"/>
        <v>0</v>
      </c>
      <c r="AE2643" s="1" t="str">
        <f t="shared" ca="1" si="2715"/>
        <v>Garage 22</v>
      </c>
      <c r="AF2643" t="str">
        <f t="shared" ca="1" si="2692"/>
        <v>Garage 22</v>
      </c>
    </row>
    <row r="2644" spans="28:32" x14ac:dyDescent="0.25">
      <c r="AB2644" t="str">
        <f t="shared" ref="AB2644:AC2644" si="2749">AB2623</f>
        <v>Scaffolding Platform</v>
      </c>
      <c r="AC2644" t="str">
        <f t="shared" si="2749"/>
        <v>Ground Floor</v>
      </c>
      <c r="AD2644" t="b">
        <f t="shared" ca="1" si="2694"/>
        <v>1</v>
      </c>
      <c r="AE2644" s="1" t="str">
        <f t="shared" ca="1" si="2715"/>
        <v>Garage 22</v>
      </c>
      <c r="AF2644" t="str">
        <f t="shared" ca="1" si="2692"/>
        <v>Garage 22</v>
      </c>
    </row>
    <row r="2645" spans="28:32" x14ac:dyDescent="0.25">
      <c r="AB2645" t="str">
        <f t="shared" ref="AB2645:AC2645" si="2750">AB2624</f>
        <v>Scaffolding Platform</v>
      </c>
      <c r="AC2645" t="str">
        <f t="shared" si="2750"/>
        <v>First Floor</v>
      </c>
      <c r="AD2645" t="b">
        <f t="shared" ca="1" si="2694"/>
        <v>0</v>
      </c>
      <c r="AE2645" s="1" t="str">
        <f t="shared" ca="1" si="2715"/>
        <v>Garage 22</v>
      </c>
      <c r="AF2645" t="str">
        <f t="shared" ca="1" si="2692"/>
        <v>Garage 22</v>
      </c>
    </row>
    <row r="2646" spans="28:32" x14ac:dyDescent="0.25">
      <c r="AB2646" t="str">
        <f t="shared" ref="AB2646:AC2646" si="2751">AB2625</f>
        <v>Scaffolding Platform</v>
      </c>
      <c r="AC2646" t="str">
        <f t="shared" si="2751"/>
        <v>Second Floor</v>
      </c>
      <c r="AD2646" t="b">
        <f t="shared" ca="1" si="2694"/>
        <v>0</v>
      </c>
      <c r="AE2646" s="1" t="str">
        <f t="shared" ca="1" si="2715"/>
        <v>Garage 22</v>
      </c>
      <c r="AF2646" t="str">
        <f t="shared" ca="1" si="2692"/>
        <v>Garage 22</v>
      </c>
    </row>
    <row r="2647" spans="28:32" x14ac:dyDescent="0.25">
      <c r="AB2647" t="str">
        <f t="shared" ref="AB2647:AC2647" si="2752">AB2626</f>
        <v>Supporting Scaffold</v>
      </c>
      <c r="AC2647" t="str">
        <f t="shared" si="2752"/>
        <v>Ground Floor Prop.</v>
      </c>
      <c r="AD2647" t="str">
        <f t="shared" ca="1" si="2694"/>
        <v>FALSE</v>
      </c>
      <c r="AE2647" s="1" t="str">
        <f t="shared" ca="1" si="2715"/>
        <v>Garage 22</v>
      </c>
      <c r="AF2647" t="str">
        <f t="shared" ca="1" si="2692"/>
        <v>Garage 22</v>
      </c>
    </row>
    <row r="2648" spans="28:32" x14ac:dyDescent="0.25">
      <c r="AB2648" t="str">
        <f t="shared" ref="AB2648:AC2648" si="2753">AB2627</f>
        <v>Supporting Scaffold</v>
      </c>
      <c r="AC2648" t="str">
        <f t="shared" si="2753"/>
        <v>First Floor Prop.</v>
      </c>
      <c r="AD2648" t="str">
        <f t="shared" ca="1" si="2694"/>
        <v>FALSE</v>
      </c>
      <c r="AE2648" s="1" t="str">
        <f t="shared" ca="1" si="2715"/>
        <v>Garage 22</v>
      </c>
      <c r="AF2648" t="str">
        <f t="shared" ca="1" si="2692"/>
        <v>Garage 22</v>
      </c>
    </row>
    <row r="2649" spans="28:32" x14ac:dyDescent="0.25">
      <c r="AB2649" t="str">
        <f t="shared" ref="AB2649:AC2649" si="2754">AB2628</f>
        <v>Supporting Scaffold</v>
      </c>
      <c r="AC2649" t="str">
        <f t="shared" si="2754"/>
        <v>Second Floor Prop.</v>
      </c>
      <c r="AD2649" t="str">
        <f t="shared" ca="1" si="2694"/>
        <v>FALSE</v>
      </c>
      <c r="AE2649" s="1" t="str">
        <f t="shared" ca="1" si="2715"/>
        <v>Garage 22</v>
      </c>
      <c r="AF2649" t="str">
        <f t="shared" ca="1" si="2692"/>
        <v>Garage 22</v>
      </c>
    </row>
    <row r="2650" spans="28:32" x14ac:dyDescent="0.25">
      <c r="AB2650" t="str">
        <f t="shared" ref="AB2650:AC2650" si="2755">AB2629</f>
        <v>External Scaffolding</v>
      </c>
      <c r="AC2650" t="str">
        <f t="shared" si="2755"/>
        <v>Hop-ups</v>
      </c>
      <c r="AD2650" t="b">
        <f t="shared" ca="1" si="2694"/>
        <v>1</v>
      </c>
      <c r="AE2650" s="1" t="str">
        <f t="shared" ca="1" si="2715"/>
        <v>Garage 22</v>
      </c>
      <c r="AF2650" t="str">
        <f t="shared" ca="1" si="2692"/>
        <v>Garage 22</v>
      </c>
    </row>
    <row r="2651" spans="28:32" x14ac:dyDescent="0.25">
      <c r="AB2651" t="str">
        <f t="shared" ref="AB2651:AC2651" si="2756">AB2630</f>
        <v>External Scaffolding</v>
      </c>
      <c r="AC2651" t="str">
        <f t="shared" si="2756"/>
        <v>Adaptions</v>
      </c>
      <c r="AD2651" t="b">
        <f t="shared" ca="1" si="2694"/>
        <v>1</v>
      </c>
      <c r="AE2651" s="1" t="str">
        <f t="shared" ca="1" si="2715"/>
        <v>Garage 22</v>
      </c>
      <c r="AF2651" t="str">
        <f t="shared" ca="1" si="2692"/>
        <v>Garage 22</v>
      </c>
    </row>
    <row r="2652" spans="28:32" x14ac:dyDescent="0.25">
      <c r="AB2652" t="str">
        <f t="shared" ref="AB2652:AC2652" si="2757">AB2631</f>
        <v>External Scaffolding</v>
      </c>
      <c r="AC2652" t="str">
        <f t="shared" si="2757"/>
        <v>Adaption Tower</v>
      </c>
      <c r="AD2652" t="b">
        <f t="shared" ca="1" si="2694"/>
        <v>1</v>
      </c>
      <c r="AE2652" s="1" t="str">
        <f t="shared" ca="1" si="2715"/>
        <v>Garage 22</v>
      </c>
      <c r="AF2652" t="str">
        <f t="shared" ca="1" si="2692"/>
        <v>Garage 22</v>
      </c>
    </row>
    <row r="2653" spans="28:32" x14ac:dyDescent="0.25">
      <c r="AB2653" t="str">
        <f t="shared" ref="AB2653:AC2653" si="2758">AB2632</f>
        <v>External Scaffolding</v>
      </c>
      <c r="AC2653" t="str">
        <f t="shared" si="2758"/>
        <v>Lift 1</v>
      </c>
      <c r="AD2653" t="b">
        <f t="shared" ca="1" si="2694"/>
        <v>1</v>
      </c>
      <c r="AE2653" s="1" t="str">
        <f t="shared" ca="1" si="2715"/>
        <v>Garage 23</v>
      </c>
      <c r="AF2653" t="str">
        <f t="shared" ref="AF2653:AF2716" ca="1" si="2759">IF(LEFT(AE2653,1)="G",AE2653,"Plot "&amp;AE2653)</f>
        <v>Garage 23</v>
      </c>
    </row>
    <row r="2654" spans="28:32" x14ac:dyDescent="0.25">
      <c r="AB2654" t="str">
        <f t="shared" ref="AB2654:AC2654" si="2760">AB2633</f>
        <v>External Scaffolding</v>
      </c>
      <c r="AC2654" t="str">
        <f t="shared" si="2760"/>
        <v>Lift 2</v>
      </c>
      <c r="AD2654" t="b">
        <f t="shared" ref="AD2654:AD2717" ca="1" si="2761">INDEX($AC$1:$JH$22,MATCH(AC2654,$AC$1:$AC$22,0),MATCH(AE2654,$AC$1:$JH$1,0))</f>
        <v>1</v>
      </c>
      <c r="AE2654" s="1" t="str">
        <f t="shared" ca="1" si="2715"/>
        <v>Garage 23</v>
      </c>
      <c r="AF2654" t="str">
        <f t="shared" ca="1" si="2759"/>
        <v>Garage 23</v>
      </c>
    </row>
    <row r="2655" spans="28:32" x14ac:dyDescent="0.25">
      <c r="AB2655" t="str">
        <f t="shared" ref="AB2655:AC2655" si="2762">AB2634</f>
        <v>External Scaffolding</v>
      </c>
      <c r="AC2655" t="str">
        <f t="shared" si="2762"/>
        <v>Lift 3</v>
      </c>
      <c r="AD2655" t="b">
        <f t="shared" ca="1" si="2761"/>
        <v>1</v>
      </c>
      <c r="AE2655" s="1" t="str">
        <f t="shared" ca="1" si="2715"/>
        <v>Garage 23</v>
      </c>
      <c r="AF2655" t="str">
        <f t="shared" ca="1" si="2759"/>
        <v>Garage 23</v>
      </c>
    </row>
    <row r="2656" spans="28:32" x14ac:dyDescent="0.25">
      <c r="AB2656" t="str">
        <f t="shared" ref="AB2656:AC2656" si="2763">AB2635</f>
        <v>External Scaffolding</v>
      </c>
      <c r="AC2656" t="str">
        <f t="shared" si="2763"/>
        <v>Lift 4</v>
      </c>
      <c r="AD2656" t="b">
        <f t="shared" ca="1" si="2761"/>
        <v>0</v>
      </c>
      <c r="AE2656" s="1" t="str">
        <f t="shared" ca="1" si="2715"/>
        <v>Garage 23</v>
      </c>
      <c r="AF2656" t="str">
        <f t="shared" ca="1" si="2759"/>
        <v>Garage 23</v>
      </c>
    </row>
    <row r="2657" spans="28:32" x14ac:dyDescent="0.25">
      <c r="AB2657" t="str">
        <f t="shared" ref="AB2657:AC2657" si="2764">AB2636</f>
        <v>External Scaffolding</v>
      </c>
      <c r="AC2657" t="str">
        <f t="shared" si="2764"/>
        <v>Lift 5</v>
      </c>
      <c r="AD2657" t="b">
        <f t="shared" ca="1" si="2761"/>
        <v>0</v>
      </c>
      <c r="AE2657" s="1" t="str">
        <f t="shared" ca="1" si="2715"/>
        <v>Garage 23</v>
      </c>
      <c r="AF2657" t="str">
        <f t="shared" ca="1" si="2759"/>
        <v>Garage 23</v>
      </c>
    </row>
    <row r="2658" spans="28:32" x14ac:dyDescent="0.25">
      <c r="AB2658" t="str">
        <f t="shared" ref="AB2658:AC2658" si="2765">AB2637</f>
        <v>External Scaffolding</v>
      </c>
      <c r="AC2658" t="str">
        <f t="shared" si="2765"/>
        <v>Lift 6</v>
      </c>
      <c r="AD2658" t="b">
        <f t="shared" ca="1" si="2761"/>
        <v>0</v>
      </c>
      <c r="AE2658" s="1" t="str">
        <f t="shared" ca="1" si="2715"/>
        <v>Garage 23</v>
      </c>
      <c r="AF2658" t="str">
        <f t="shared" ca="1" si="2759"/>
        <v>Garage 23</v>
      </c>
    </row>
    <row r="2659" spans="28:32" x14ac:dyDescent="0.25">
      <c r="AB2659" t="str">
        <f t="shared" ref="AB2659:AC2659" si="2766">AB2638</f>
        <v>Loading Bay</v>
      </c>
      <c r="AC2659" t="str">
        <f t="shared" si="2766"/>
        <v>Lift 1</v>
      </c>
      <c r="AD2659" t="b">
        <f t="shared" ca="1" si="2761"/>
        <v>1</v>
      </c>
      <c r="AE2659" s="1" t="str">
        <f t="shared" ca="1" si="2715"/>
        <v>Garage 23</v>
      </c>
      <c r="AF2659" t="str">
        <f t="shared" ca="1" si="2759"/>
        <v>Garage 23</v>
      </c>
    </row>
    <row r="2660" spans="28:32" x14ac:dyDescent="0.25">
      <c r="AB2660" t="str">
        <f t="shared" ref="AB2660:AC2660" si="2767">AB2639</f>
        <v>Loading Bay</v>
      </c>
      <c r="AC2660" t="str">
        <f t="shared" si="2767"/>
        <v>Lift 2</v>
      </c>
      <c r="AD2660" t="b">
        <f t="shared" ca="1" si="2761"/>
        <v>1</v>
      </c>
      <c r="AE2660" s="1" t="str">
        <f t="shared" ca="1" si="2715"/>
        <v>Garage 23</v>
      </c>
      <c r="AF2660" t="str">
        <f t="shared" ca="1" si="2759"/>
        <v>Garage 23</v>
      </c>
    </row>
    <row r="2661" spans="28:32" x14ac:dyDescent="0.25">
      <c r="AB2661" t="str">
        <f t="shared" ref="AB2661:AC2661" si="2768">AB2640</f>
        <v>Loading Bay</v>
      </c>
      <c r="AC2661" t="str">
        <f t="shared" si="2768"/>
        <v>Lift 3</v>
      </c>
      <c r="AD2661" t="b">
        <f t="shared" ca="1" si="2761"/>
        <v>1</v>
      </c>
      <c r="AE2661" s="1" t="str">
        <f t="shared" ca="1" si="2715"/>
        <v>Garage 23</v>
      </c>
      <c r="AF2661" t="str">
        <f t="shared" ca="1" si="2759"/>
        <v>Garage 23</v>
      </c>
    </row>
    <row r="2662" spans="28:32" x14ac:dyDescent="0.25">
      <c r="AB2662" t="str">
        <f t="shared" ref="AB2662:AC2662" si="2769">AB2641</f>
        <v>Loading Bay</v>
      </c>
      <c r="AC2662" t="str">
        <f t="shared" si="2769"/>
        <v>Lift 4</v>
      </c>
      <c r="AD2662" t="b">
        <f t="shared" ca="1" si="2761"/>
        <v>0</v>
      </c>
      <c r="AE2662" s="1" t="str">
        <f t="shared" ca="1" si="2715"/>
        <v>Garage 23</v>
      </c>
      <c r="AF2662" t="str">
        <f t="shared" ca="1" si="2759"/>
        <v>Garage 23</v>
      </c>
    </row>
    <row r="2663" spans="28:32" x14ac:dyDescent="0.25">
      <c r="AB2663" t="str">
        <f t="shared" ref="AB2663:AC2663" si="2770">AB2642</f>
        <v>Loading Bay</v>
      </c>
      <c r="AC2663" t="str">
        <f t="shared" si="2770"/>
        <v>Lift 5</v>
      </c>
      <c r="AD2663" t="b">
        <f t="shared" ca="1" si="2761"/>
        <v>0</v>
      </c>
      <c r="AE2663" s="1" t="str">
        <f t="shared" ca="1" si="2715"/>
        <v>Garage 23</v>
      </c>
      <c r="AF2663" t="str">
        <f t="shared" ca="1" si="2759"/>
        <v>Garage 23</v>
      </c>
    </row>
    <row r="2664" spans="28:32" x14ac:dyDescent="0.25">
      <c r="AB2664" t="str">
        <f t="shared" ref="AB2664:AC2664" si="2771">AB2643</f>
        <v>Loading Bay</v>
      </c>
      <c r="AC2664" t="str">
        <f t="shared" si="2771"/>
        <v>Lift 6</v>
      </c>
      <c r="AD2664" t="b">
        <f t="shared" ca="1" si="2761"/>
        <v>0</v>
      </c>
      <c r="AE2664" s="1" t="str">
        <f t="shared" ca="1" si="2715"/>
        <v>Garage 23</v>
      </c>
      <c r="AF2664" t="str">
        <f t="shared" ca="1" si="2759"/>
        <v>Garage 23</v>
      </c>
    </row>
    <row r="2665" spans="28:32" x14ac:dyDescent="0.25">
      <c r="AB2665" t="str">
        <f t="shared" ref="AB2665:AC2665" si="2772">AB2644</f>
        <v>Scaffolding Platform</v>
      </c>
      <c r="AC2665" t="str">
        <f t="shared" si="2772"/>
        <v>Ground Floor</v>
      </c>
      <c r="AD2665" t="b">
        <f t="shared" ca="1" si="2761"/>
        <v>1</v>
      </c>
      <c r="AE2665" s="1" t="str">
        <f t="shared" ca="1" si="2715"/>
        <v>Garage 23</v>
      </c>
      <c r="AF2665" t="str">
        <f t="shared" ca="1" si="2759"/>
        <v>Garage 23</v>
      </c>
    </row>
    <row r="2666" spans="28:32" x14ac:dyDescent="0.25">
      <c r="AB2666" t="str">
        <f t="shared" ref="AB2666:AC2666" si="2773">AB2645</f>
        <v>Scaffolding Platform</v>
      </c>
      <c r="AC2666" t="str">
        <f t="shared" si="2773"/>
        <v>First Floor</v>
      </c>
      <c r="AD2666" t="b">
        <f t="shared" ca="1" si="2761"/>
        <v>0</v>
      </c>
      <c r="AE2666" s="1" t="str">
        <f t="shared" ca="1" si="2715"/>
        <v>Garage 23</v>
      </c>
      <c r="AF2666" t="str">
        <f t="shared" ca="1" si="2759"/>
        <v>Garage 23</v>
      </c>
    </row>
    <row r="2667" spans="28:32" x14ac:dyDescent="0.25">
      <c r="AB2667" t="str">
        <f t="shared" ref="AB2667:AC2667" si="2774">AB2646</f>
        <v>Scaffolding Platform</v>
      </c>
      <c r="AC2667" t="str">
        <f t="shared" si="2774"/>
        <v>Second Floor</v>
      </c>
      <c r="AD2667" t="b">
        <f t="shared" ca="1" si="2761"/>
        <v>0</v>
      </c>
      <c r="AE2667" s="1" t="str">
        <f t="shared" ca="1" si="2715"/>
        <v>Garage 23</v>
      </c>
      <c r="AF2667" t="str">
        <f t="shared" ca="1" si="2759"/>
        <v>Garage 23</v>
      </c>
    </row>
    <row r="2668" spans="28:32" x14ac:dyDescent="0.25">
      <c r="AB2668" t="str">
        <f t="shared" ref="AB2668:AC2668" si="2775">AB2647</f>
        <v>Supporting Scaffold</v>
      </c>
      <c r="AC2668" t="str">
        <f t="shared" si="2775"/>
        <v>Ground Floor Prop.</v>
      </c>
      <c r="AD2668" t="str">
        <f t="shared" ca="1" si="2761"/>
        <v>FALSE</v>
      </c>
      <c r="AE2668" s="1" t="str">
        <f t="shared" ca="1" si="2715"/>
        <v>Garage 23</v>
      </c>
      <c r="AF2668" t="str">
        <f t="shared" ca="1" si="2759"/>
        <v>Garage 23</v>
      </c>
    </row>
    <row r="2669" spans="28:32" x14ac:dyDescent="0.25">
      <c r="AB2669" t="str">
        <f t="shared" ref="AB2669:AC2669" si="2776">AB2648</f>
        <v>Supporting Scaffold</v>
      </c>
      <c r="AC2669" t="str">
        <f t="shared" si="2776"/>
        <v>First Floor Prop.</v>
      </c>
      <c r="AD2669" t="str">
        <f t="shared" ca="1" si="2761"/>
        <v>FALSE</v>
      </c>
      <c r="AE2669" s="1" t="str">
        <f t="shared" ca="1" si="2715"/>
        <v>Garage 23</v>
      </c>
      <c r="AF2669" t="str">
        <f t="shared" ca="1" si="2759"/>
        <v>Garage 23</v>
      </c>
    </row>
    <row r="2670" spans="28:32" x14ac:dyDescent="0.25">
      <c r="AB2670" t="str">
        <f t="shared" ref="AB2670:AC2670" si="2777">AB2649</f>
        <v>Supporting Scaffold</v>
      </c>
      <c r="AC2670" t="str">
        <f t="shared" si="2777"/>
        <v>Second Floor Prop.</v>
      </c>
      <c r="AD2670" t="str">
        <f t="shared" ca="1" si="2761"/>
        <v>FALSE</v>
      </c>
      <c r="AE2670" s="1" t="str">
        <f t="shared" ca="1" si="2715"/>
        <v>Garage 23</v>
      </c>
      <c r="AF2670" t="str">
        <f t="shared" ca="1" si="2759"/>
        <v>Garage 23</v>
      </c>
    </row>
    <row r="2671" spans="28:32" x14ac:dyDescent="0.25">
      <c r="AB2671" t="str">
        <f t="shared" ref="AB2671:AC2671" si="2778">AB2650</f>
        <v>External Scaffolding</v>
      </c>
      <c r="AC2671" t="str">
        <f t="shared" si="2778"/>
        <v>Hop-ups</v>
      </c>
      <c r="AD2671" t="b">
        <f t="shared" ca="1" si="2761"/>
        <v>1</v>
      </c>
      <c r="AE2671" s="1" t="str">
        <f t="shared" ca="1" si="2715"/>
        <v>Garage 23</v>
      </c>
      <c r="AF2671" t="str">
        <f t="shared" ca="1" si="2759"/>
        <v>Garage 23</v>
      </c>
    </row>
    <row r="2672" spans="28:32" x14ac:dyDescent="0.25">
      <c r="AB2672" t="str">
        <f t="shared" ref="AB2672:AC2672" si="2779">AB2651</f>
        <v>External Scaffolding</v>
      </c>
      <c r="AC2672" t="str">
        <f t="shared" si="2779"/>
        <v>Adaptions</v>
      </c>
      <c r="AD2672" t="b">
        <f t="shared" ca="1" si="2761"/>
        <v>1</v>
      </c>
      <c r="AE2672" s="1" t="str">
        <f t="shared" ca="1" si="2715"/>
        <v>Garage 23</v>
      </c>
      <c r="AF2672" t="str">
        <f t="shared" ca="1" si="2759"/>
        <v>Garage 23</v>
      </c>
    </row>
    <row r="2673" spans="28:32" x14ac:dyDescent="0.25">
      <c r="AB2673" t="str">
        <f t="shared" ref="AB2673:AC2673" si="2780">AB2652</f>
        <v>External Scaffolding</v>
      </c>
      <c r="AC2673" t="str">
        <f t="shared" si="2780"/>
        <v>Adaption Tower</v>
      </c>
      <c r="AD2673" t="b">
        <f t="shared" ca="1" si="2761"/>
        <v>1</v>
      </c>
      <c r="AE2673" s="1" t="str">
        <f t="shared" ca="1" si="2715"/>
        <v>Garage 23</v>
      </c>
      <c r="AF2673" t="str">
        <f t="shared" ca="1" si="2759"/>
        <v>Garage 23</v>
      </c>
    </row>
    <row r="2674" spans="28:32" x14ac:dyDescent="0.25">
      <c r="AB2674" t="str">
        <f t="shared" ref="AB2674:AC2674" si="2781">AB2653</f>
        <v>External Scaffolding</v>
      </c>
      <c r="AC2674" t="str">
        <f t="shared" si="2781"/>
        <v>Lift 1</v>
      </c>
      <c r="AD2674" t="b">
        <f t="shared" ca="1" si="2761"/>
        <v>1</v>
      </c>
      <c r="AE2674" s="1" t="str">
        <f t="shared" ref="AE2674:AE2737" ca="1" si="2782">OFFSET($AD$1,0,FLOOR(ROW(B2646)/21,1))</f>
        <v>Garage 24</v>
      </c>
      <c r="AF2674" t="str">
        <f t="shared" ca="1" si="2759"/>
        <v>Garage 24</v>
      </c>
    </row>
    <row r="2675" spans="28:32" x14ac:dyDescent="0.25">
      <c r="AB2675" t="str">
        <f t="shared" ref="AB2675:AC2675" si="2783">AB2654</f>
        <v>External Scaffolding</v>
      </c>
      <c r="AC2675" t="str">
        <f t="shared" si="2783"/>
        <v>Lift 2</v>
      </c>
      <c r="AD2675" t="b">
        <f t="shared" ca="1" si="2761"/>
        <v>1</v>
      </c>
      <c r="AE2675" s="1" t="str">
        <f t="shared" ca="1" si="2782"/>
        <v>Garage 24</v>
      </c>
      <c r="AF2675" t="str">
        <f t="shared" ca="1" si="2759"/>
        <v>Garage 24</v>
      </c>
    </row>
    <row r="2676" spans="28:32" x14ac:dyDescent="0.25">
      <c r="AB2676" t="str">
        <f t="shared" ref="AB2676:AC2676" si="2784">AB2655</f>
        <v>External Scaffolding</v>
      </c>
      <c r="AC2676" t="str">
        <f t="shared" si="2784"/>
        <v>Lift 3</v>
      </c>
      <c r="AD2676" t="b">
        <f t="shared" ca="1" si="2761"/>
        <v>1</v>
      </c>
      <c r="AE2676" s="1" t="str">
        <f t="shared" ca="1" si="2782"/>
        <v>Garage 24</v>
      </c>
      <c r="AF2676" t="str">
        <f t="shared" ca="1" si="2759"/>
        <v>Garage 24</v>
      </c>
    </row>
    <row r="2677" spans="28:32" x14ac:dyDescent="0.25">
      <c r="AB2677" t="str">
        <f t="shared" ref="AB2677:AC2677" si="2785">AB2656</f>
        <v>External Scaffolding</v>
      </c>
      <c r="AC2677" t="str">
        <f t="shared" si="2785"/>
        <v>Lift 4</v>
      </c>
      <c r="AD2677" t="b">
        <f t="shared" ca="1" si="2761"/>
        <v>0</v>
      </c>
      <c r="AE2677" s="1" t="str">
        <f t="shared" ca="1" si="2782"/>
        <v>Garage 24</v>
      </c>
      <c r="AF2677" t="str">
        <f t="shared" ca="1" si="2759"/>
        <v>Garage 24</v>
      </c>
    </row>
    <row r="2678" spans="28:32" x14ac:dyDescent="0.25">
      <c r="AB2678" t="str">
        <f t="shared" ref="AB2678:AC2678" si="2786">AB2657</f>
        <v>External Scaffolding</v>
      </c>
      <c r="AC2678" t="str">
        <f t="shared" si="2786"/>
        <v>Lift 5</v>
      </c>
      <c r="AD2678" t="b">
        <f t="shared" ca="1" si="2761"/>
        <v>0</v>
      </c>
      <c r="AE2678" s="1" t="str">
        <f t="shared" ca="1" si="2782"/>
        <v>Garage 24</v>
      </c>
      <c r="AF2678" t="str">
        <f t="shared" ca="1" si="2759"/>
        <v>Garage 24</v>
      </c>
    </row>
    <row r="2679" spans="28:32" x14ac:dyDescent="0.25">
      <c r="AB2679" t="str">
        <f t="shared" ref="AB2679:AC2679" si="2787">AB2658</f>
        <v>External Scaffolding</v>
      </c>
      <c r="AC2679" t="str">
        <f t="shared" si="2787"/>
        <v>Lift 6</v>
      </c>
      <c r="AD2679" t="b">
        <f t="shared" ca="1" si="2761"/>
        <v>0</v>
      </c>
      <c r="AE2679" s="1" t="str">
        <f t="shared" ca="1" si="2782"/>
        <v>Garage 24</v>
      </c>
      <c r="AF2679" t="str">
        <f t="shared" ca="1" si="2759"/>
        <v>Garage 24</v>
      </c>
    </row>
    <row r="2680" spans="28:32" x14ac:dyDescent="0.25">
      <c r="AB2680" t="str">
        <f t="shared" ref="AB2680:AC2680" si="2788">AB2659</f>
        <v>Loading Bay</v>
      </c>
      <c r="AC2680" t="str">
        <f t="shared" si="2788"/>
        <v>Lift 1</v>
      </c>
      <c r="AD2680" t="b">
        <f t="shared" ca="1" si="2761"/>
        <v>1</v>
      </c>
      <c r="AE2680" s="1" t="str">
        <f t="shared" ca="1" si="2782"/>
        <v>Garage 24</v>
      </c>
      <c r="AF2680" t="str">
        <f t="shared" ca="1" si="2759"/>
        <v>Garage 24</v>
      </c>
    </row>
    <row r="2681" spans="28:32" x14ac:dyDescent="0.25">
      <c r="AB2681" t="str">
        <f t="shared" ref="AB2681:AC2681" si="2789">AB2660</f>
        <v>Loading Bay</v>
      </c>
      <c r="AC2681" t="str">
        <f t="shared" si="2789"/>
        <v>Lift 2</v>
      </c>
      <c r="AD2681" t="b">
        <f t="shared" ca="1" si="2761"/>
        <v>1</v>
      </c>
      <c r="AE2681" s="1" t="str">
        <f t="shared" ca="1" si="2782"/>
        <v>Garage 24</v>
      </c>
      <c r="AF2681" t="str">
        <f t="shared" ca="1" si="2759"/>
        <v>Garage 24</v>
      </c>
    </row>
    <row r="2682" spans="28:32" x14ac:dyDescent="0.25">
      <c r="AB2682" t="str">
        <f t="shared" ref="AB2682:AC2682" si="2790">AB2661</f>
        <v>Loading Bay</v>
      </c>
      <c r="AC2682" t="str">
        <f t="shared" si="2790"/>
        <v>Lift 3</v>
      </c>
      <c r="AD2682" t="b">
        <f t="shared" ca="1" si="2761"/>
        <v>1</v>
      </c>
      <c r="AE2682" s="1" t="str">
        <f t="shared" ca="1" si="2782"/>
        <v>Garage 24</v>
      </c>
      <c r="AF2682" t="str">
        <f t="shared" ca="1" si="2759"/>
        <v>Garage 24</v>
      </c>
    </row>
    <row r="2683" spans="28:32" x14ac:dyDescent="0.25">
      <c r="AB2683" t="str">
        <f t="shared" ref="AB2683:AC2683" si="2791">AB2662</f>
        <v>Loading Bay</v>
      </c>
      <c r="AC2683" t="str">
        <f t="shared" si="2791"/>
        <v>Lift 4</v>
      </c>
      <c r="AD2683" t="b">
        <f t="shared" ca="1" si="2761"/>
        <v>0</v>
      </c>
      <c r="AE2683" s="1" t="str">
        <f t="shared" ca="1" si="2782"/>
        <v>Garage 24</v>
      </c>
      <c r="AF2683" t="str">
        <f t="shared" ca="1" si="2759"/>
        <v>Garage 24</v>
      </c>
    </row>
    <row r="2684" spans="28:32" x14ac:dyDescent="0.25">
      <c r="AB2684" t="str">
        <f t="shared" ref="AB2684:AC2684" si="2792">AB2663</f>
        <v>Loading Bay</v>
      </c>
      <c r="AC2684" t="str">
        <f t="shared" si="2792"/>
        <v>Lift 5</v>
      </c>
      <c r="AD2684" t="b">
        <f t="shared" ca="1" si="2761"/>
        <v>0</v>
      </c>
      <c r="AE2684" s="1" t="str">
        <f t="shared" ca="1" si="2782"/>
        <v>Garage 24</v>
      </c>
      <c r="AF2684" t="str">
        <f t="shared" ca="1" si="2759"/>
        <v>Garage 24</v>
      </c>
    </row>
    <row r="2685" spans="28:32" x14ac:dyDescent="0.25">
      <c r="AB2685" t="str">
        <f t="shared" ref="AB2685:AC2685" si="2793">AB2664</f>
        <v>Loading Bay</v>
      </c>
      <c r="AC2685" t="str">
        <f t="shared" si="2793"/>
        <v>Lift 6</v>
      </c>
      <c r="AD2685" t="b">
        <f t="shared" ca="1" si="2761"/>
        <v>0</v>
      </c>
      <c r="AE2685" s="1" t="str">
        <f t="shared" ca="1" si="2782"/>
        <v>Garage 24</v>
      </c>
      <c r="AF2685" t="str">
        <f t="shared" ca="1" si="2759"/>
        <v>Garage 24</v>
      </c>
    </row>
    <row r="2686" spans="28:32" x14ac:dyDescent="0.25">
      <c r="AB2686" t="str">
        <f t="shared" ref="AB2686:AC2686" si="2794">AB2665</f>
        <v>Scaffolding Platform</v>
      </c>
      <c r="AC2686" t="str">
        <f t="shared" si="2794"/>
        <v>Ground Floor</v>
      </c>
      <c r="AD2686" t="b">
        <f t="shared" ca="1" si="2761"/>
        <v>1</v>
      </c>
      <c r="AE2686" s="1" t="str">
        <f t="shared" ca="1" si="2782"/>
        <v>Garage 24</v>
      </c>
      <c r="AF2686" t="str">
        <f t="shared" ca="1" si="2759"/>
        <v>Garage 24</v>
      </c>
    </row>
    <row r="2687" spans="28:32" x14ac:dyDescent="0.25">
      <c r="AB2687" t="str">
        <f t="shared" ref="AB2687:AC2687" si="2795">AB2666</f>
        <v>Scaffolding Platform</v>
      </c>
      <c r="AC2687" t="str">
        <f t="shared" si="2795"/>
        <v>First Floor</v>
      </c>
      <c r="AD2687" t="b">
        <f t="shared" ca="1" si="2761"/>
        <v>0</v>
      </c>
      <c r="AE2687" s="1" t="str">
        <f t="shared" ca="1" si="2782"/>
        <v>Garage 24</v>
      </c>
      <c r="AF2687" t="str">
        <f t="shared" ca="1" si="2759"/>
        <v>Garage 24</v>
      </c>
    </row>
    <row r="2688" spans="28:32" x14ac:dyDescent="0.25">
      <c r="AB2688" t="str">
        <f t="shared" ref="AB2688:AC2688" si="2796">AB2667</f>
        <v>Scaffolding Platform</v>
      </c>
      <c r="AC2688" t="str">
        <f t="shared" si="2796"/>
        <v>Second Floor</v>
      </c>
      <c r="AD2688" t="b">
        <f t="shared" ca="1" si="2761"/>
        <v>0</v>
      </c>
      <c r="AE2688" s="1" t="str">
        <f t="shared" ca="1" si="2782"/>
        <v>Garage 24</v>
      </c>
      <c r="AF2688" t="str">
        <f t="shared" ca="1" si="2759"/>
        <v>Garage 24</v>
      </c>
    </row>
    <row r="2689" spans="28:32" x14ac:dyDescent="0.25">
      <c r="AB2689" t="str">
        <f t="shared" ref="AB2689:AC2689" si="2797">AB2668</f>
        <v>Supporting Scaffold</v>
      </c>
      <c r="AC2689" t="str">
        <f t="shared" si="2797"/>
        <v>Ground Floor Prop.</v>
      </c>
      <c r="AD2689" t="str">
        <f t="shared" ca="1" si="2761"/>
        <v>FALSE</v>
      </c>
      <c r="AE2689" s="1" t="str">
        <f t="shared" ca="1" si="2782"/>
        <v>Garage 24</v>
      </c>
      <c r="AF2689" t="str">
        <f t="shared" ca="1" si="2759"/>
        <v>Garage 24</v>
      </c>
    </row>
    <row r="2690" spans="28:32" x14ac:dyDescent="0.25">
      <c r="AB2690" t="str">
        <f t="shared" ref="AB2690:AC2690" si="2798">AB2669</f>
        <v>Supporting Scaffold</v>
      </c>
      <c r="AC2690" t="str">
        <f t="shared" si="2798"/>
        <v>First Floor Prop.</v>
      </c>
      <c r="AD2690" t="str">
        <f t="shared" ca="1" si="2761"/>
        <v>FALSE</v>
      </c>
      <c r="AE2690" s="1" t="str">
        <f t="shared" ca="1" si="2782"/>
        <v>Garage 24</v>
      </c>
      <c r="AF2690" t="str">
        <f t="shared" ca="1" si="2759"/>
        <v>Garage 24</v>
      </c>
    </row>
    <row r="2691" spans="28:32" x14ac:dyDescent="0.25">
      <c r="AB2691" t="str">
        <f t="shared" ref="AB2691:AC2691" si="2799">AB2670</f>
        <v>Supporting Scaffold</v>
      </c>
      <c r="AC2691" t="str">
        <f t="shared" si="2799"/>
        <v>Second Floor Prop.</v>
      </c>
      <c r="AD2691" t="str">
        <f t="shared" ca="1" si="2761"/>
        <v>FALSE</v>
      </c>
      <c r="AE2691" s="1" t="str">
        <f t="shared" ca="1" si="2782"/>
        <v>Garage 24</v>
      </c>
      <c r="AF2691" t="str">
        <f t="shared" ca="1" si="2759"/>
        <v>Garage 24</v>
      </c>
    </row>
    <row r="2692" spans="28:32" x14ac:dyDescent="0.25">
      <c r="AB2692" t="str">
        <f t="shared" ref="AB2692:AC2692" si="2800">AB2671</f>
        <v>External Scaffolding</v>
      </c>
      <c r="AC2692" t="str">
        <f t="shared" si="2800"/>
        <v>Hop-ups</v>
      </c>
      <c r="AD2692" t="b">
        <f t="shared" ca="1" si="2761"/>
        <v>1</v>
      </c>
      <c r="AE2692" s="1" t="str">
        <f t="shared" ca="1" si="2782"/>
        <v>Garage 24</v>
      </c>
      <c r="AF2692" t="str">
        <f t="shared" ca="1" si="2759"/>
        <v>Garage 24</v>
      </c>
    </row>
    <row r="2693" spans="28:32" x14ac:dyDescent="0.25">
      <c r="AB2693" t="str">
        <f t="shared" ref="AB2693:AC2693" si="2801">AB2672</f>
        <v>External Scaffolding</v>
      </c>
      <c r="AC2693" t="str">
        <f t="shared" si="2801"/>
        <v>Adaptions</v>
      </c>
      <c r="AD2693" t="b">
        <f t="shared" ca="1" si="2761"/>
        <v>1</v>
      </c>
      <c r="AE2693" s="1" t="str">
        <f t="shared" ca="1" si="2782"/>
        <v>Garage 24</v>
      </c>
      <c r="AF2693" t="str">
        <f t="shared" ca="1" si="2759"/>
        <v>Garage 24</v>
      </c>
    </row>
    <row r="2694" spans="28:32" x14ac:dyDescent="0.25">
      <c r="AB2694" t="str">
        <f t="shared" ref="AB2694:AC2694" si="2802">AB2673</f>
        <v>External Scaffolding</v>
      </c>
      <c r="AC2694" t="str">
        <f t="shared" si="2802"/>
        <v>Adaption Tower</v>
      </c>
      <c r="AD2694" t="b">
        <f t="shared" ca="1" si="2761"/>
        <v>1</v>
      </c>
      <c r="AE2694" s="1" t="str">
        <f t="shared" ca="1" si="2782"/>
        <v>Garage 24</v>
      </c>
      <c r="AF2694" t="str">
        <f t="shared" ca="1" si="2759"/>
        <v>Garage 24</v>
      </c>
    </row>
    <row r="2695" spans="28:32" x14ac:dyDescent="0.25">
      <c r="AB2695" t="str">
        <f t="shared" ref="AB2695:AC2695" si="2803">AB2674</f>
        <v>External Scaffolding</v>
      </c>
      <c r="AC2695" t="str">
        <f t="shared" si="2803"/>
        <v>Lift 1</v>
      </c>
      <c r="AD2695" t="b">
        <f t="shared" ca="1" si="2761"/>
        <v>1</v>
      </c>
      <c r="AE2695" s="1" t="str">
        <f t="shared" ca="1" si="2782"/>
        <v>Garage 25</v>
      </c>
      <c r="AF2695" t="str">
        <f t="shared" ca="1" si="2759"/>
        <v>Garage 25</v>
      </c>
    </row>
    <row r="2696" spans="28:32" x14ac:dyDescent="0.25">
      <c r="AB2696" t="str">
        <f t="shared" ref="AB2696:AC2696" si="2804">AB2675</f>
        <v>External Scaffolding</v>
      </c>
      <c r="AC2696" t="str">
        <f t="shared" si="2804"/>
        <v>Lift 2</v>
      </c>
      <c r="AD2696" t="b">
        <f t="shared" ca="1" si="2761"/>
        <v>1</v>
      </c>
      <c r="AE2696" s="1" t="str">
        <f t="shared" ca="1" si="2782"/>
        <v>Garage 25</v>
      </c>
      <c r="AF2696" t="str">
        <f t="shared" ca="1" si="2759"/>
        <v>Garage 25</v>
      </c>
    </row>
    <row r="2697" spans="28:32" x14ac:dyDescent="0.25">
      <c r="AB2697" t="str">
        <f t="shared" ref="AB2697:AC2697" si="2805">AB2676</f>
        <v>External Scaffolding</v>
      </c>
      <c r="AC2697" t="str">
        <f t="shared" si="2805"/>
        <v>Lift 3</v>
      </c>
      <c r="AD2697" t="b">
        <f t="shared" ca="1" si="2761"/>
        <v>1</v>
      </c>
      <c r="AE2697" s="1" t="str">
        <f t="shared" ca="1" si="2782"/>
        <v>Garage 25</v>
      </c>
      <c r="AF2697" t="str">
        <f t="shared" ca="1" si="2759"/>
        <v>Garage 25</v>
      </c>
    </row>
    <row r="2698" spans="28:32" x14ac:dyDescent="0.25">
      <c r="AB2698" t="str">
        <f t="shared" ref="AB2698:AC2698" si="2806">AB2677</f>
        <v>External Scaffolding</v>
      </c>
      <c r="AC2698" t="str">
        <f t="shared" si="2806"/>
        <v>Lift 4</v>
      </c>
      <c r="AD2698" t="b">
        <f t="shared" ca="1" si="2761"/>
        <v>0</v>
      </c>
      <c r="AE2698" s="1" t="str">
        <f t="shared" ca="1" si="2782"/>
        <v>Garage 25</v>
      </c>
      <c r="AF2698" t="str">
        <f t="shared" ca="1" si="2759"/>
        <v>Garage 25</v>
      </c>
    </row>
    <row r="2699" spans="28:32" x14ac:dyDescent="0.25">
      <c r="AB2699" t="str">
        <f t="shared" ref="AB2699:AC2699" si="2807">AB2678</f>
        <v>External Scaffolding</v>
      </c>
      <c r="AC2699" t="str">
        <f t="shared" si="2807"/>
        <v>Lift 5</v>
      </c>
      <c r="AD2699" t="b">
        <f t="shared" ca="1" si="2761"/>
        <v>0</v>
      </c>
      <c r="AE2699" s="1" t="str">
        <f t="shared" ca="1" si="2782"/>
        <v>Garage 25</v>
      </c>
      <c r="AF2699" t="str">
        <f t="shared" ca="1" si="2759"/>
        <v>Garage 25</v>
      </c>
    </row>
    <row r="2700" spans="28:32" x14ac:dyDescent="0.25">
      <c r="AB2700" t="str">
        <f t="shared" ref="AB2700:AC2700" si="2808">AB2679</f>
        <v>External Scaffolding</v>
      </c>
      <c r="AC2700" t="str">
        <f t="shared" si="2808"/>
        <v>Lift 6</v>
      </c>
      <c r="AD2700" t="b">
        <f t="shared" ca="1" si="2761"/>
        <v>0</v>
      </c>
      <c r="AE2700" s="1" t="str">
        <f t="shared" ca="1" si="2782"/>
        <v>Garage 25</v>
      </c>
      <c r="AF2700" t="str">
        <f t="shared" ca="1" si="2759"/>
        <v>Garage 25</v>
      </c>
    </row>
    <row r="2701" spans="28:32" x14ac:dyDescent="0.25">
      <c r="AB2701" t="str">
        <f t="shared" ref="AB2701:AC2701" si="2809">AB2680</f>
        <v>Loading Bay</v>
      </c>
      <c r="AC2701" t="str">
        <f t="shared" si="2809"/>
        <v>Lift 1</v>
      </c>
      <c r="AD2701" t="b">
        <f t="shared" ca="1" si="2761"/>
        <v>1</v>
      </c>
      <c r="AE2701" s="1" t="str">
        <f t="shared" ca="1" si="2782"/>
        <v>Garage 25</v>
      </c>
      <c r="AF2701" t="str">
        <f t="shared" ca="1" si="2759"/>
        <v>Garage 25</v>
      </c>
    </row>
    <row r="2702" spans="28:32" x14ac:dyDescent="0.25">
      <c r="AB2702" t="str">
        <f t="shared" ref="AB2702:AC2702" si="2810">AB2681</f>
        <v>Loading Bay</v>
      </c>
      <c r="AC2702" t="str">
        <f t="shared" si="2810"/>
        <v>Lift 2</v>
      </c>
      <c r="AD2702" t="b">
        <f t="shared" ca="1" si="2761"/>
        <v>1</v>
      </c>
      <c r="AE2702" s="1" t="str">
        <f t="shared" ca="1" si="2782"/>
        <v>Garage 25</v>
      </c>
      <c r="AF2702" t="str">
        <f t="shared" ca="1" si="2759"/>
        <v>Garage 25</v>
      </c>
    </row>
    <row r="2703" spans="28:32" x14ac:dyDescent="0.25">
      <c r="AB2703" t="str">
        <f t="shared" ref="AB2703:AC2703" si="2811">AB2682</f>
        <v>Loading Bay</v>
      </c>
      <c r="AC2703" t="str">
        <f t="shared" si="2811"/>
        <v>Lift 3</v>
      </c>
      <c r="AD2703" t="b">
        <f t="shared" ca="1" si="2761"/>
        <v>1</v>
      </c>
      <c r="AE2703" s="1" t="str">
        <f t="shared" ca="1" si="2782"/>
        <v>Garage 25</v>
      </c>
      <c r="AF2703" t="str">
        <f t="shared" ca="1" si="2759"/>
        <v>Garage 25</v>
      </c>
    </row>
    <row r="2704" spans="28:32" x14ac:dyDescent="0.25">
      <c r="AB2704" t="str">
        <f t="shared" ref="AB2704:AC2704" si="2812">AB2683</f>
        <v>Loading Bay</v>
      </c>
      <c r="AC2704" t="str">
        <f t="shared" si="2812"/>
        <v>Lift 4</v>
      </c>
      <c r="AD2704" t="b">
        <f t="shared" ca="1" si="2761"/>
        <v>0</v>
      </c>
      <c r="AE2704" s="1" t="str">
        <f t="shared" ca="1" si="2782"/>
        <v>Garage 25</v>
      </c>
      <c r="AF2704" t="str">
        <f t="shared" ca="1" si="2759"/>
        <v>Garage 25</v>
      </c>
    </row>
    <row r="2705" spans="28:32" x14ac:dyDescent="0.25">
      <c r="AB2705" t="str">
        <f t="shared" ref="AB2705:AC2705" si="2813">AB2684</f>
        <v>Loading Bay</v>
      </c>
      <c r="AC2705" t="str">
        <f t="shared" si="2813"/>
        <v>Lift 5</v>
      </c>
      <c r="AD2705" t="b">
        <f t="shared" ca="1" si="2761"/>
        <v>0</v>
      </c>
      <c r="AE2705" s="1" t="str">
        <f t="shared" ca="1" si="2782"/>
        <v>Garage 25</v>
      </c>
      <c r="AF2705" t="str">
        <f t="shared" ca="1" si="2759"/>
        <v>Garage 25</v>
      </c>
    </row>
    <row r="2706" spans="28:32" x14ac:dyDescent="0.25">
      <c r="AB2706" t="str">
        <f t="shared" ref="AB2706:AC2706" si="2814">AB2685</f>
        <v>Loading Bay</v>
      </c>
      <c r="AC2706" t="str">
        <f t="shared" si="2814"/>
        <v>Lift 6</v>
      </c>
      <c r="AD2706" t="b">
        <f t="shared" ca="1" si="2761"/>
        <v>0</v>
      </c>
      <c r="AE2706" s="1" t="str">
        <f t="shared" ca="1" si="2782"/>
        <v>Garage 25</v>
      </c>
      <c r="AF2706" t="str">
        <f t="shared" ca="1" si="2759"/>
        <v>Garage 25</v>
      </c>
    </row>
    <row r="2707" spans="28:32" x14ac:dyDescent="0.25">
      <c r="AB2707" t="str">
        <f t="shared" ref="AB2707:AC2707" si="2815">AB2686</f>
        <v>Scaffolding Platform</v>
      </c>
      <c r="AC2707" t="str">
        <f t="shared" si="2815"/>
        <v>Ground Floor</v>
      </c>
      <c r="AD2707" t="b">
        <f t="shared" ca="1" si="2761"/>
        <v>1</v>
      </c>
      <c r="AE2707" s="1" t="str">
        <f t="shared" ca="1" si="2782"/>
        <v>Garage 25</v>
      </c>
      <c r="AF2707" t="str">
        <f t="shared" ca="1" si="2759"/>
        <v>Garage 25</v>
      </c>
    </row>
    <row r="2708" spans="28:32" x14ac:dyDescent="0.25">
      <c r="AB2708" t="str">
        <f t="shared" ref="AB2708:AC2708" si="2816">AB2687</f>
        <v>Scaffolding Platform</v>
      </c>
      <c r="AC2708" t="str">
        <f t="shared" si="2816"/>
        <v>First Floor</v>
      </c>
      <c r="AD2708" t="b">
        <f t="shared" ca="1" si="2761"/>
        <v>0</v>
      </c>
      <c r="AE2708" s="1" t="str">
        <f t="shared" ca="1" si="2782"/>
        <v>Garage 25</v>
      </c>
      <c r="AF2708" t="str">
        <f t="shared" ca="1" si="2759"/>
        <v>Garage 25</v>
      </c>
    </row>
    <row r="2709" spans="28:32" x14ac:dyDescent="0.25">
      <c r="AB2709" t="str">
        <f t="shared" ref="AB2709:AC2709" si="2817">AB2688</f>
        <v>Scaffolding Platform</v>
      </c>
      <c r="AC2709" t="str">
        <f t="shared" si="2817"/>
        <v>Second Floor</v>
      </c>
      <c r="AD2709" t="b">
        <f t="shared" ca="1" si="2761"/>
        <v>0</v>
      </c>
      <c r="AE2709" s="1" t="str">
        <f t="shared" ca="1" si="2782"/>
        <v>Garage 25</v>
      </c>
      <c r="AF2709" t="str">
        <f t="shared" ca="1" si="2759"/>
        <v>Garage 25</v>
      </c>
    </row>
    <row r="2710" spans="28:32" x14ac:dyDescent="0.25">
      <c r="AB2710" t="str">
        <f t="shared" ref="AB2710:AC2710" si="2818">AB2689</f>
        <v>Supporting Scaffold</v>
      </c>
      <c r="AC2710" t="str">
        <f t="shared" si="2818"/>
        <v>Ground Floor Prop.</v>
      </c>
      <c r="AD2710" t="str">
        <f t="shared" ca="1" si="2761"/>
        <v>FALSE</v>
      </c>
      <c r="AE2710" s="1" t="str">
        <f t="shared" ca="1" si="2782"/>
        <v>Garage 25</v>
      </c>
      <c r="AF2710" t="str">
        <f t="shared" ca="1" si="2759"/>
        <v>Garage 25</v>
      </c>
    </row>
    <row r="2711" spans="28:32" x14ac:dyDescent="0.25">
      <c r="AB2711" t="str">
        <f t="shared" ref="AB2711:AC2711" si="2819">AB2690</f>
        <v>Supporting Scaffold</v>
      </c>
      <c r="AC2711" t="str">
        <f t="shared" si="2819"/>
        <v>First Floor Prop.</v>
      </c>
      <c r="AD2711" t="str">
        <f t="shared" ca="1" si="2761"/>
        <v>FALSE</v>
      </c>
      <c r="AE2711" s="1" t="str">
        <f t="shared" ca="1" si="2782"/>
        <v>Garage 25</v>
      </c>
      <c r="AF2711" t="str">
        <f t="shared" ca="1" si="2759"/>
        <v>Garage 25</v>
      </c>
    </row>
    <row r="2712" spans="28:32" x14ac:dyDescent="0.25">
      <c r="AB2712" t="str">
        <f t="shared" ref="AB2712:AC2712" si="2820">AB2691</f>
        <v>Supporting Scaffold</v>
      </c>
      <c r="AC2712" t="str">
        <f t="shared" si="2820"/>
        <v>Second Floor Prop.</v>
      </c>
      <c r="AD2712" t="str">
        <f t="shared" ca="1" si="2761"/>
        <v>FALSE</v>
      </c>
      <c r="AE2712" s="1" t="str">
        <f t="shared" ca="1" si="2782"/>
        <v>Garage 25</v>
      </c>
      <c r="AF2712" t="str">
        <f t="shared" ca="1" si="2759"/>
        <v>Garage 25</v>
      </c>
    </row>
    <row r="2713" spans="28:32" x14ac:dyDescent="0.25">
      <c r="AB2713" t="str">
        <f t="shared" ref="AB2713:AC2713" si="2821">AB2692</f>
        <v>External Scaffolding</v>
      </c>
      <c r="AC2713" t="str">
        <f t="shared" si="2821"/>
        <v>Hop-ups</v>
      </c>
      <c r="AD2713" t="b">
        <f t="shared" ca="1" si="2761"/>
        <v>1</v>
      </c>
      <c r="AE2713" s="1" t="str">
        <f t="shared" ca="1" si="2782"/>
        <v>Garage 25</v>
      </c>
      <c r="AF2713" t="str">
        <f t="shared" ca="1" si="2759"/>
        <v>Garage 25</v>
      </c>
    </row>
    <row r="2714" spans="28:32" x14ac:dyDescent="0.25">
      <c r="AB2714" t="str">
        <f t="shared" ref="AB2714:AC2714" si="2822">AB2693</f>
        <v>External Scaffolding</v>
      </c>
      <c r="AC2714" t="str">
        <f t="shared" si="2822"/>
        <v>Adaptions</v>
      </c>
      <c r="AD2714" t="b">
        <f t="shared" ca="1" si="2761"/>
        <v>1</v>
      </c>
      <c r="AE2714" s="1" t="str">
        <f t="shared" ca="1" si="2782"/>
        <v>Garage 25</v>
      </c>
      <c r="AF2714" t="str">
        <f t="shared" ca="1" si="2759"/>
        <v>Garage 25</v>
      </c>
    </row>
    <row r="2715" spans="28:32" x14ac:dyDescent="0.25">
      <c r="AB2715" t="str">
        <f t="shared" ref="AB2715:AC2715" si="2823">AB2694</f>
        <v>External Scaffolding</v>
      </c>
      <c r="AC2715" t="str">
        <f t="shared" si="2823"/>
        <v>Adaption Tower</v>
      </c>
      <c r="AD2715" t="b">
        <f t="shared" ca="1" si="2761"/>
        <v>1</v>
      </c>
      <c r="AE2715" s="1" t="str">
        <f t="shared" ca="1" si="2782"/>
        <v>Garage 25</v>
      </c>
      <c r="AF2715" t="str">
        <f t="shared" ca="1" si="2759"/>
        <v>Garage 25</v>
      </c>
    </row>
    <row r="2716" spans="28:32" x14ac:dyDescent="0.25">
      <c r="AB2716" t="str">
        <f t="shared" ref="AB2716:AC2716" si="2824">AB2695</f>
        <v>External Scaffolding</v>
      </c>
      <c r="AC2716" t="str">
        <f t="shared" si="2824"/>
        <v>Lift 1</v>
      </c>
      <c r="AD2716" t="b">
        <f t="shared" ca="1" si="2761"/>
        <v>1</v>
      </c>
      <c r="AE2716" s="1" t="str">
        <f t="shared" ca="1" si="2782"/>
        <v>Garage 26-27</v>
      </c>
      <c r="AF2716" t="str">
        <f t="shared" ca="1" si="2759"/>
        <v>Garage 26-27</v>
      </c>
    </row>
    <row r="2717" spans="28:32" x14ac:dyDescent="0.25">
      <c r="AB2717" t="str">
        <f t="shared" ref="AB2717:AC2717" si="2825">AB2696</f>
        <v>External Scaffolding</v>
      </c>
      <c r="AC2717" t="str">
        <f t="shared" si="2825"/>
        <v>Lift 2</v>
      </c>
      <c r="AD2717" t="b">
        <f t="shared" ca="1" si="2761"/>
        <v>1</v>
      </c>
      <c r="AE2717" s="1" t="str">
        <f t="shared" ca="1" si="2782"/>
        <v>Garage 26-27</v>
      </c>
      <c r="AF2717" t="str">
        <f t="shared" ref="AF2717:AF2780" ca="1" si="2826">IF(LEFT(AE2717,1)="G",AE2717,"Plot "&amp;AE2717)</f>
        <v>Garage 26-27</v>
      </c>
    </row>
    <row r="2718" spans="28:32" x14ac:dyDescent="0.25">
      <c r="AB2718" t="str">
        <f t="shared" ref="AB2718:AC2718" si="2827">AB2697</f>
        <v>External Scaffolding</v>
      </c>
      <c r="AC2718" t="str">
        <f t="shared" si="2827"/>
        <v>Lift 3</v>
      </c>
      <c r="AD2718" t="b">
        <f t="shared" ref="AD2718:AD2781" ca="1" si="2828">INDEX($AC$1:$JH$22,MATCH(AC2718,$AC$1:$AC$22,0),MATCH(AE2718,$AC$1:$JH$1,0))</f>
        <v>1</v>
      </c>
      <c r="AE2718" s="1" t="str">
        <f t="shared" ca="1" si="2782"/>
        <v>Garage 26-27</v>
      </c>
      <c r="AF2718" t="str">
        <f t="shared" ca="1" si="2826"/>
        <v>Garage 26-27</v>
      </c>
    </row>
    <row r="2719" spans="28:32" x14ac:dyDescent="0.25">
      <c r="AB2719" t="str">
        <f t="shared" ref="AB2719:AC2719" si="2829">AB2698</f>
        <v>External Scaffolding</v>
      </c>
      <c r="AC2719" t="str">
        <f t="shared" si="2829"/>
        <v>Lift 4</v>
      </c>
      <c r="AD2719" t="b">
        <f t="shared" ca="1" si="2828"/>
        <v>0</v>
      </c>
      <c r="AE2719" s="1" t="str">
        <f t="shared" ca="1" si="2782"/>
        <v>Garage 26-27</v>
      </c>
      <c r="AF2719" t="str">
        <f t="shared" ca="1" si="2826"/>
        <v>Garage 26-27</v>
      </c>
    </row>
    <row r="2720" spans="28:32" x14ac:dyDescent="0.25">
      <c r="AB2720" t="str">
        <f t="shared" ref="AB2720:AC2720" si="2830">AB2699</f>
        <v>External Scaffolding</v>
      </c>
      <c r="AC2720" t="str">
        <f t="shared" si="2830"/>
        <v>Lift 5</v>
      </c>
      <c r="AD2720" t="b">
        <f t="shared" ca="1" si="2828"/>
        <v>0</v>
      </c>
      <c r="AE2720" s="1" t="str">
        <f t="shared" ca="1" si="2782"/>
        <v>Garage 26-27</v>
      </c>
      <c r="AF2720" t="str">
        <f t="shared" ca="1" si="2826"/>
        <v>Garage 26-27</v>
      </c>
    </row>
    <row r="2721" spans="28:32" x14ac:dyDescent="0.25">
      <c r="AB2721" t="str">
        <f t="shared" ref="AB2721:AC2721" si="2831">AB2700</f>
        <v>External Scaffolding</v>
      </c>
      <c r="AC2721" t="str">
        <f t="shared" si="2831"/>
        <v>Lift 6</v>
      </c>
      <c r="AD2721" t="b">
        <f t="shared" ca="1" si="2828"/>
        <v>0</v>
      </c>
      <c r="AE2721" s="1" t="str">
        <f t="shared" ca="1" si="2782"/>
        <v>Garage 26-27</v>
      </c>
      <c r="AF2721" t="str">
        <f t="shared" ca="1" si="2826"/>
        <v>Garage 26-27</v>
      </c>
    </row>
    <row r="2722" spans="28:32" x14ac:dyDescent="0.25">
      <c r="AB2722" t="str">
        <f t="shared" ref="AB2722:AC2722" si="2832">AB2701</f>
        <v>Loading Bay</v>
      </c>
      <c r="AC2722" t="str">
        <f t="shared" si="2832"/>
        <v>Lift 1</v>
      </c>
      <c r="AD2722" t="b">
        <f t="shared" ca="1" si="2828"/>
        <v>1</v>
      </c>
      <c r="AE2722" s="1" t="str">
        <f t="shared" ca="1" si="2782"/>
        <v>Garage 26-27</v>
      </c>
      <c r="AF2722" t="str">
        <f t="shared" ca="1" si="2826"/>
        <v>Garage 26-27</v>
      </c>
    </row>
    <row r="2723" spans="28:32" x14ac:dyDescent="0.25">
      <c r="AB2723" t="str">
        <f t="shared" ref="AB2723:AC2723" si="2833">AB2702</f>
        <v>Loading Bay</v>
      </c>
      <c r="AC2723" t="str">
        <f t="shared" si="2833"/>
        <v>Lift 2</v>
      </c>
      <c r="AD2723" t="b">
        <f t="shared" ca="1" si="2828"/>
        <v>1</v>
      </c>
      <c r="AE2723" s="1" t="str">
        <f t="shared" ca="1" si="2782"/>
        <v>Garage 26-27</v>
      </c>
      <c r="AF2723" t="str">
        <f t="shared" ca="1" si="2826"/>
        <v>Garage 26-27</v>
      </c>
    </row>
    <row r="2724" spans="28:32" x14ac:dyDescent="0.25">
      <c r="AB2724" t="str">
        <f t="shared" ref="AB2724:AC2724" si="2834">AB2703</f>
        <v>Loading Bay</v>
      </c>
      <c r="AC2724" t="str">
        <f t="shared" si="2834"/>
        <v>Lift 3</v>
      </c>
      <c r="AD2724" t="b">
        <f t="shared" ca="1" si="2828"/>
        <v>1</v>
      </c>
      <c r="AE2724" s="1" t="str">
        <f t="shared" ca="1" si="2782"/>
        <v>Garage 26-27</v>
      </c>
      <c r="AF2724" t="str">
        <f t="shared" ca="1" si="2826"/>
        <v>Garage 26-27</v>
      </c>
    </row>
    <row r="2725" spans="28:32" x14ac:dyDescent="0.25">
      <c r="AB2725" t="str">
        <f t="shared" ref="AB2725:AC2725" si="2835">AB2704</f>
        <v>Loading Bay</v>
      </c>
      <c r="AC2725" t="str">
        <f t="shared" si="2835"/>
        <v>Lift 4</v>
      </c>
      <c r="AD2725" t="b">
        <f t="shared" ca="1" si="2828"/>
        <v>0</v>
      </c>
      <c r="AE2725" s="1" t="str">
        <f t="shared" ca="1" si="2782"/>
        <v>Garage 26-27</v>
      </c>
      <c r="AF2725" t="str">
        <f t="shared" ca="1" si="2826"/>
        <v>Garage 26-27</v>
      </c>
    </row>
    <row r="2726" spans="28:32" x14ac:dyDescent="0.25">
      <c r="AB2726" t="str">
        <f t="shared" ref="AB2726:AC2726" si="2836">AB2705</f>
        <v>Loading Bay</v>
      </c>
      <c r="AC2726" t="str">
        <f t="shared" si="2836"/>
        <v>Lift 5</v>
      </c>
      <c r="AD2726" t="b">
        <f t="shared" ca="1" si="2828"/>
        <v>0</v>
      </c>
      <c r="AE2726" s="1" t="str">
        <f t="shared" ca="1" si="2782"/>
        <v>Garage 26-27</v>
      </c>
      <c r="AF2726" t="str">
        <f t="shared" ca="1" si="2826"/>
        <v>Garage 26-27</v>
      </c>
    </row>
    <row r="2727" spans="28:32" x14ac:dyDescent="0.25">
      <c r="AB2727" t="str">
        <f t="shared" ref="AB2727:AC2727" si="2837">AB2706</f>
        <v>Loading Bay</v>
      </c>
      <c r="AC2727" t="str">
        <f t="shared" si="2837"/>
        <v>Lift 6</v>
      </c>
      <c r="AD2727" t="b">
        <f t="shared" ca="1" si="2828"/>
        <v>0</v>
      </c>
      <c r="AE2727" s="1" t="str">
        <f t="shared" ca="1" si="2782"/>
        <v>Garage 26-27</v>
      </c>
      <c r="AF2727" t="str">
        <f t="shared" ca="1" si="2826"/>
        <v>Garage 26-27</v>
      </c>
    </row>
    <row r="2728" spans="28:32" x14ac:dyDescent="0.25">
      <c r="AB2728" t="str">
        <f t="shared" ref="AB2728:AC2728" si="2838">AB2707</f>
        <v>Scaffolding Platform</v>
      </c>
      <c r="AC2728" t="str">
        <f t="shared" si="2838"/>
        <v>Ground Floor</v>
      </c>
      <c r="AD2728" t="b">
        <f t="shared" ca="1" si="2828"/>
        <v>1</v>
      </c>
      <c r="AE2728" s="1" t="str">
        <f t="shared" ca="1" si="2782"/>
        <v>Garage 26-27</v>
      </c>
      <c r="AF2728" t="str">
        <f t="shared" ca="1" si="2826"/>
        <v>Garage 26-27</v>
      </c>
    </row>
    <row r="2729" spans="28:32" x14ac:dyDescent="0.25">
      <c r="AB2729" t="str">
        <f t="shared" ref="AB2729:AC2729" si="2839">AB2708</f>
        <v>Scaffolding Platform</v>
      </c>
      <c r="AC2729" t="str">
        <f t="shared" si="2839"/>
        <v>First Floor</v>
      </c>
      <c r="AD2729" t="b">
        <f t="shared" ca="1" si="2828"/>
        <v>0</v>
      </c>
      <c r="AE2729" s="1" t="str">
        <f t="shared" ca="1" si="2782"/>
        <v>Garage 26-27</v>
      </c>
      <c r="AF2729" t="str">
        <f t="shared" ca="1" si="2826"/>
        <v>Garage 26-27</v>
      </c>
    </row>
    <row r="2730" spans="28:32" x14ac:dyDescent="0.25">
      <c r="AB2730" t="str">
        <f t="shared" ref="AB2730:AC2730" si="2840">AB2709</f>
        <v>Scaffolding Platform</v>
      </c>
      <c r="AC2730" t="str">
        <f t="shared" si="2840"/>
        <v>Second Floor</v>
      </c>
      <c r="AD2730" t="b">
        <f t="shared" ca="1" si="2828"/>
        <v>0</v>
      </c>
      <c r="AE2730" s="1" t="str">
        <f t="shared" ca="1" si="2782"/>
        <v>Garage 26-27</v>
      </c>
      <c r="AF2730" t="str">
        <f t="shared" ca="1" si="2826"/>
        <v>Garage 26-27</v>
      </c>
    </row>
    <row r="2731" spans="28:32" x14ac:dyDescent="0.25">
      <c r="AB2731" t="str">
        <f t="shared" ref="AB2731:AC2731" si="2841">AB2710</f>
        <v>Supporting Scaffold</v>
      </c>
      <c r="AC2731" t="str">
        <f t="shared" si="2841"/>
        <v>Ground Floor Prop.</v>
      </c>
      <c r="AD2731" t="str">
        <f t="shared" ca="1" si="2828"/>
        <v>FALSE</v>
      </c>
      <c r="AE2731" s="1" t="str">
        <f t="shared" ca="1" si="2782"/>
        <v>Garage 26-27</v>
      </c>
      <c r="AF2731" t="str">
        <f t="shared" ca="1" si="2826"/>
        <v>Garage 26-27</v>
      </c>
    </row>
    <row r="2732" spans="28:32" x14ac:dyDescent="0.25">
      <c r="AB2732" t="str">
        <f t="shared" ref="AB2732:AC2732" si="2842">AB2711</f>
        <v>Supporting Scaffold</v>
      </c>
      <c r="AC2732" t="str">
        <f t="shared" si="2842"/>
        <v>First Floor Prop.</v>
      </c>
      <c r="AD2732" t="str">
        <f t="shared" ca="1" si="2828"/>
        <v>FALSE</v>
      </c>
      <c r="AE2732" s="1" t="str">
        <f t="shared" ca="1" si="2782"/>
        <v>Garage 26-27</v>
      </c>
      <c r="AF2732" t="str">
        <f t="shared" ca="1" si="2826"/>
        <v>Garage 26-27</v>
      </c>
    </row>
    <row r="2733" spans="28:32" x14ac:dyDescent="0.25">
      <c r="AB2733" t="str">
        <f t="shared" ref="AB2733:AC2733" si="2843">AB2712</f>
        <v>Supporting Scaffold</v>
      </c>
      <c r="AC2733" t="str">
        <f t="shared" si="2843"/>
        <v>Second Floor Prop.</v>
      </c>
      <c r="AD2733" t="str">
        <f t="shared" ca="1" si="2828"/>
        <v>FALSE</v>
      </c>
      <c r="AE2733" s="1" t="str">
        <f t="shared" ca="1" si="2782"/>
        <v>Garage 26-27</v>
      </c>
      <c r="AF2733" t="str">
        <f t="shared" ca="1" si="2826"/>
        <v>Garage 26-27</v>
      </c>
    </row>
    <row r="2734" spans="28:32" x14ac:dyDescent="0.25">
      <c r="AB2734" t="str">
        <f t="shared" ref="AB2734:AC2734" si="2844">AB2713</f>
        <v>External Scaffolding</v>
      </c>
      <c r="AC2734" t="str">
        <f t="shared" si="2844"/>
        <v>Hop-ups</v>
      </c>
      <c r="AD2734" t="b">
        <f t="shared" ca="1" si="2828"/>
        <v>1</v>
      </c>
      <c r="AE2734" s="1" t="str">
        <f t="shared" ca="1" si="2782"/>
        <v>Garage 26-27</v>
      </c>
      <c r="AF2734" t="str">
        <f t="shared" ca="1" si="2826"/>
        <v>Garage 26-27</v>
      </c>
    </row>
    <row r="2735" spans="28:32" x14ac:dyDescent="0.25">
      <c r="AB2735" t="str">
        <f t="shared" ref="AB2735:AC2735" si="2845">AB2714</f>
        <v>External Scaffolding</v>
      </c>
      <c r="AC2735" t="str">
        <f t="shared" si="2845"/>
        <v>Adaptions</v>
      </c>
      <c r="AD2735" t="b">
        <f t="shared" ca="1" si="2828"/>
        <v>1</v>
      </c>
      <c r="AE2735" s="1" t="str">
        <f t="shared" ca="1" si="2782"/>
        <v>Garage 26-27</v>
      </c>
      <c r="AF2735" t="str">
        <f t="shared" ca="1" si="2826"/>
        <v>Garage 26-27</v>
      </c>
    </row>
    <row r="2736" spans="28:32" x14ac:dyDescent="0.25">
      <c r="AB2736" t="str">
        <f t="shared" ref="AB2736:AC2736" si="2846">AB2715</f>
        <v>External Scaffolding</v>
      </c>
      <c r="AC2736" t="str">
        <f t="shared" si="2846"/>
        <v>Adaption Tower</v>
      </c>
      <c r="AD2736" t="b">
        <f t="shared" ca="1" si="2828"/>
        <v>1</v>
      </c>
      <c r="AE2736" s="1" t="str">
        <f t="shared" ca="1" si="2782"/>
        <v>Garage 26-27</v>
      </c>
      <c r="AF2736" t="str">
        <f t="shared" ca="1" si="2826"/>
        <v>Garage 26-27</v>
      </c>
    </row>
    <row r="2737" spans="28:32" x14ac:dyDescent="0.25">
      <c r="AB2737" t="str">
        <f t="shared" ref="AB2737:AC2737" si="2847">AB2716</f>
        <v>External Scaffolding</v>
      </c>
      <c r="AC2737" t="str">
        <f t="shared" si="2847"/>
        <v>Lift 1</v>
      </c>
      <c r="AD2737" t="b">
        <f t="shared" ca="1" si="2828"/>
        <v>1</v>
      </c>
      <c r="AE2737" s="1" t="str">
        <f t="shared" ca="1" si="2782"/>
        <v>Garage 28</v>
      </c>
      <c r="AF2737" t="str">
        <f t="shared" ca="1" si="2826"/>
        <v>Garage 28</v>
      </c>
    </row>
    <row r="2738" spans="28:32" x14ac:dyDescent="0.25">
      <c r="AB2738" t="str">
        <f t="shared" ref="AB2738:AC2738" si="2848">AB2717</f>
        <v>External Scaffolding</v>
      </c>
      <c r="AC2738" t="str">
        <f t="shared" si="2848"/>
        <v>Lift 2</v>
      </c>
      <c r="AD2738" t="b">
        <f t="shared" ca="1" si="2828"/>
        <v>1</v>
      </c>
      <c r="AE2738" s="1" t="str">
        <f t="shared" ref="AE2738:AE2801" ca="1" si="2849">OFFSET($AD$1,0,FLOOR(ROW(B2710)/21,1))</f>
        <v>Garage 28</v>
      </c>
      <c r="AF2738" t="str">
        <f t="shared" ca="1" si="2826"/>
        <v>Garage 28</v>
      </c>
    </row>
    <row r="2739" spans="28:32" x14ac:dyDescent="0.25">
      <c r="AB2739" t="str">
        <f t="shared" ref="AB2739:AC2739" si="2850">AB2718</f>
        <v>External Scaffolding</v>
      </c>
      <c r="AC2739" t="str">
        <f t="shared" si="2850"/>
        <v>Lift 3</v>
      </c>
      <c r="AD2739" t="b">
        <f t="shared" ca="1" si="2828"/>
        <v>1</v>
      </c>
      <c r="AE2739" s="1" t="str">
        <f t="shared" ca="1" si="2849"/>
        <v>Garage 28</v>
      </c>
      <c r="AF2739" t="str">
        <f t="shared" ca="1" si="2826"/>
        <v>Garage 28</v>
      </c>
    </row>
    <row r="2740" spans="28:32" x14ac:dyDescent="0.25">
      <c r="AB2740" t="str">
        <f t="shared" ref="AB2740:AC2740" si="2851">AB2719</f>
        <v>External Scaffolding</v>
      </c>
      <c r="AC2740" t="str">
        <f t="shared" si="2851"/>
        <v>Lift 4</v>
      </c>
      <c r="AD2740" t="b">
        <f t="shared" ca="1" si="2828"/>
        <v>0</v>
      </c>
      <c r="AE2740" s="1" t="str">
        <f t="shared" ca="1" si="2849"/>
        <v>Garage 28</v>
      </c>
      <c r="AF2740" t="str">
        <f t="shared" ca="1" si="2826"/>
        <v>Garage 28</v>
      </c>
    </row>
    <row r="2741" spans="28:32" x14ac:dyDescent="0.25">
      <c r="AB2741" t="str">
        <f t="shared" ref="AB2741:AC2741" si="2852">AB2720</f>
        <v>External Scaffolding</v>
      </c>
      <c r="AC2741" t="str">
        <f t="shared" si="2852"/>
        <v>Lift 5</v>
      </c>
      <c r="AD2741" t="b">
        <f t="shared" ca="1" si="2828"/>
        <v>0</v>
      </c>
      <c r="AE2741" s="1" t="str">
        <f t="shared" ca="1" si="2849"/>
        <v>Garage 28</v>
      </c>
      <c r="AF2741" t="str">
        <f t="shared" ca="1" si="2826"/>
        <v>Garage 28</v>
      </c>
    </row>
    <row r="2742" spans="28:32" x14ac:dyDescent="0.25">
      <c r="AB2742" t="str">
        <f t="shared" ref="AB2742:AC2742" si="2853">AB2721</f>
        <v>External Scaffolding</v>
      </c>
      <c r="AC2742" t="str">
        <f t="shared" si="2853"/>
        <v>Lift 6</v>
      </c>
      <c r="AD2742" t="b">
        <f t="shared" ca="1" si="2828"/>
        <v>0</v>
      </c>
      <c r="AE2742" s="1" t="str">
        <f t="shared" ca="1" si="2849"/>
        <v>Garage 28</v>
      </c>
      <c r="AF2742" t="str">
        <f t="shared" ca="1" si="2826"/>
        <v>Garage 28</v>
      </c>
    </row>
    <row r="2743" spans="28:32" x14ac:dyDescent="0.25">
      <c r="AB2743" t="str">
        <f t="shared" ref="AB2743:AC2743" si="2854">AB2722</f>
        <v>Loading Bay</v>
      </c>
      <c r="AC2743" t="str">
        <f t="shared" si="2854"/>
        <v>Lift 1</v>
      </c>
      <c r="AD2743" t="b">
        <f t="shared" ca="1" si="2828"/>
        <v>1</v>
      </c>
      <c r="AE2743" s="1" t="str">
        <f t="shared" ca="1" si="2849"/>
        <v>Garage 28</v>
      </c>
      <c r="AF2743" t="str">
        <f t="shared" ca="1" si="2826"/>
        <v>Garage 28</v>
      </c>
    </row>
    <row r="2744" spans="28:32" x14ac:dyDescent="0.25">
      <c r="AB2744" t="str">
        <f t="shared" ref="AB2744:AC2744" si="2855">AB2723</f>
        <v>Loading Bay</v>
      </c>
      <c r="AC2744" t="str">
        <f t="shared" si="2855"/>
        <v>Lift 2</v>
      </c>
      <c r="AD2744" t="b">
        <f t="shared" ca="1" si="2828"/>
        <v>1</v>
      </c>
      <c r="AE2744" s="1" t="str">
        <f t="shared" ca="1" si="2849"/>
        <v>Garage 28</v>
      </c>
      <c r="AF2744" t="str">
        <f t="shared" ca="1" si="2826"/>
        <v>Garage 28</v>
      </c>
    </row>
    <row r="2745" spans="28:32" x14ac:dyDescent="0.25">
      <c r="AB2745" t="str">
        <f t="shared" ref="AB2745:AC2745" si="2856">AB2724</f>
        <v>Loading Bay</v>
      </c>
      <c r="AC2745" t="str">
        <f t="shared" si="2856"/>
        <v>Lift 3</v>
      </c>
      <c r="AD2745" t="b">
        <f t="shared" ca="1" si="2828"/>
        <v>1</v>
      </c>
      <c r="AE2745" s="1" t="str">
        <f t="shared" ca="1" si="2849"/>
        <v>Garage 28</v>
      </c>
      <c r="AF2745" t="str">
        <f t="shared" ca="1" si="2826"/>
        <v>Garage 28</v>
      </c>
    </row>
    <row r="2746" spans="28:32" x14ac:dyDescent="0.25">
      <c r="AB2746" t="str">
        <f t="shared" ref="AB2746:AC2746" si="2857">AB2725</f>
        <v>Loading Bay</v>
      </c>
      <c r="AC2746" t="str">
        <f t="shared" si="2857"/>
        <v>Lift 4</v>
      </c>
      <c r="AD2746" t="b">
        <f t="shared" ca="1" si="2828"/>
        <v>0</v>
      </c>
      <c r="AE2746" s="1" t="str">
        <f t="shared" ca="1" si="2849"/>
        <v>Garage 28</v>
      </c>
      <c r="AF2746" t="str">
        <f t="shared" ca="1" si="2826"/>
        <v>Garage 28</v>
      </c>
    </row>
    <row r="2747" spans="28:32" x14ac:dyDescent="0.25">
      <c r="AB2747" t="str">
        <f t="shared" ref="AB2747:AC2747" si="2858">AB2726</f>
        <v>Loading Bay</v>
      </c>
      <c r="AC2747" t="str">
        <f t="shared" si="2858"/>
        <v>Lift 5</v>
      </c>
      <c r="AD2747" t="b">
        <f t="shared" ca="1" si="2828"/>
        <v>0</v>
      </c>
      <c r="AE2747" s="1" t="str">
        <f t="shared" ca="1" si="2849"/>
        <v>Garage 28</v>
      </c>
      <c r="AF2747" t="str">
        <f t="shared" ca="1" si="2826"/>
        <v>Garage 28</v>
      </c>
    </row>
    <row r="2748" spans="28:32" x14ac:dyDescent="0.25">
      <c r="AB2748" t="str">
        <f t="shared" ref="AB2748:AC2748" si="2859">AB2727</f>
        <v>Loading Bay</v>
      </c>
      <c r="AC2748" t="str">
        <f t="shared" si="2859"/>
        <v>Lift 6</v>
      </c>
      <c r="AD2748" t="b">
        <f t="shared" ca="1" si="2828"/>
        <v>0</v>
      </c>
      <c r="AE2748" s="1" t="str">
        <f t="shared" ca="1" si="2849"/>
        <v>Garage 28</v>
      </c>
      <c r="AF2748" t="str">
        <f t="shared" ca="1" si="2826"/>
        <v>Garage 28</v>
      </c>
    </row>
    <row r="2749" spans="28:32" x14ac:dyDescent="0.25">
      <c r="AB2749" t="str">
        <f t="shared" ref="AB2749:AC2749" si="2860">AB2728</f>
        <v>Scaffolding Platform</v>
      </c>
      <c r="AC2749" t="str">
        <f t="shared" si="2860"/>
        <v>Ground Floor</v>
      </c>
      <c r="AD2749" t="b">
        <f t="shared" ca="1" si="2828"/>
        <v>1</v>
      </c>
      <c r="AE2749" s="1" t="str">
        <f t="shared" ca="1" si="2849"/>
        <v>Garage 28</v>
      </c>
      <c r="AF2749" t="str">
        <f t="shared" ca="1" si="2826"/>
        <v>Garage 28</v>
      </c>
    </row>
    <row r="2750" spans="28:32" x14ac:dyDescent="0.25">
      <c r="AB2750" t="str">
        <f t="shared" ref="AB2750:AC2750" si="2861">AB2729</f>
        <v>Scaffolding Platform</v>
      </c>
      <c r="AC2750" t="str">
        <f t="shared" si="2861"/>
        <v>First Floor</v>
      </c>
      <c r="AD2750" t="b">
        <f t="shared" ca="1" si="2828"/>
        <v>0</v>
      </c>
      <c r="AE2750" s="1" t="str">
        <f t="shared" ca="1" si="2849"/>
        <v>Garage 28</v>
      </c>
      <c r="AF2750" t="str">
        <f t="shared" ca="1" si="2826"/>
        <v>Garage 28</v>
      </c>
    </row>
    <row r="2751" spans="28:32" x14ac:dyDescent="0.25">
      <c r="AB2751" t="str">
        <f t="shared" ref="AB2751:AC2751" si="2862">AB2730</f>
        <v>Scaffolding Platform</v>
      </c>
      <c r="AC2751" t="str">
        <f t="shared" si="2862"/>
        <v>Second Floor</v>
      </c>
      <c r="AD2751" t="b">
        <f t="shared" ca="1" si="2828"/>
        <v>0</v>
      </c>
      <c r="AE2751" s="1" t="str">
        <f t="shared" ca="1" si="2849"/>
        <v>Garage 28</v>
      </c>
      <c r="AF2751" t="str">
        <f t="shared" ca="1" si="2826"/>
        <v>Garage 28</v>
      </c>
    </row>
    <row r="2752" spans="28:32" x14ac:dyDescent="0.25">
      <c r="AB2752" t="str">
        <f t="shared" ref="AB2752:AC2752" si="2863">AB2731</f>
        <v>Supporting Scaffold</v>
      </c>
      <c r="AC2752" t="str">
        <f t="shared" si="2863"/>
        <v>Ground Floor Prop.</v>
      </c>
      <c r="AD2752" t="str">
        <f t="shared" ca="1" si="2828"/>
        <v>FALSE</v>
      </c>
      <c r="AE2752" s="1" t="str">
        <f t="shared" ca="1" si="2849"/>
        <v>Garage 28</v>
      </c>
      <c r="AF2752" t="str">
        <f t="shared" ca="1" si="2826"/>
        <v>Garage 28</v>
      </c>
    </row>
    <row r="2753" spans="28:32" x14ac:dyDescent="0.25">
      <c r="AB2753" t="str">
        <f t="shared" ref="AB2753:AC2753" si="2864">AB2732</f>
        <v>Supporting Scaffold</v>
      </c>
      <c r="AC2753" t="str">
        <f t="shared" si="2864"/>
        <v>First Floor Prop.</v>
      </c>
      <c r="AD2753" t="str">
        <f t="shared" ca="1" si="2828"/>
        <v>FALSE</v>
      </c>
      <c r="AE2753" s="1" t="str">
        <f t="shared" ca="1" si="2849"/>
        <v>Garage 28</v>
      </c>
      <c r="AF2753" t="str">
        <f t="shared" ca="1" si="2826"/>
        <v>Garage 28</v>
      </c>
    </row>
    <row r="2754" spans="28:32" x14ac:dyDescent="0.25">
      <c r="AB2754" t="str">
        <f t="shared" ref="AB2754:AC2754" si="2865">AB2733</f>
        <v>Supporting Scaffold</v>
      </c>
      <c r="AC2754" t="str">
        <f t="shared" si="2865"/>
        <v>Second Floor Prop.</v>
      </c>
      <c r="AD2754" t="str">
        <f t="shared" ca="1" si="2828"/>
        <v>FALSE</v>
      </c>
      <c r="AE2754" s="1" t="str">
        <f t="shared" ca="1" si="2849"/>
        <v>Garage 28</v>
      </c>
      <c r="AF2754" t="str">
        <f t="shared" ca="1" si="2826"/>
        <v>Garage 28</v>
      </c>
    </row>
    <row r="2755" spans="28:32" x14ac:dyDescent="0.25">
      <c r="AB2755" t="str">
        <f t="shared" ref="AB2755:AC2755" si="2866">AB2734</f>
        <v>External Scaffolding</v>
      </c>
      <c r="AC2755" t="str">
        <f t="shared" si="2866"/>
        <v>Hop-ups</v>
      </c>
      <c r="AD2755" t="b">
        <f t="shared" ca="1" si="2828"/>
        <v>1</v>
      </c>
      <c r="AE2755" s="1" t="str">
        <f t="shared" ca="1" si="2849"/>
        <v>Garage 28</v>
      </c>
      <c r="AF2755" t="str">
        <f t="shared" ca="1" si="2826"/>
        <v>Garage 28</v>
      </c>
    </row>
    <row r="2756" spans="28:32" x14ac:dyDescent="0.25">
      <c r="AB2756" t="str">
        <f t="shared" ref="AB2756:AC2756" si="2867">AB2735</f>
        <v>External Scaffolding</v>
      </c>
      <c r="AC2756" t="str">
        <f t="shared" si="2867"/>
        <v>Adaptions</v>
      </c>
      <c r="AD2756" t="b">
        <f t="shared" ca="1" si="2828"/>
        <v>1</v>
      </c>
      <c r="AE2756" s="1" t="str">
        <f t="shared" ca="1" si="2849"/>
        <v>Garage 28</v>
      </c>
      <c r="AF2756" t="str">
        <f t="shared" ca="1" si="2826"/>
        <v>Garage 28</v>
      </c>
    </row>
    <row r="2757" spans="28:32" x14ac:dyDescent="0.25">
      <c r="AB2757" t="str">
        <f t="shared" ref="AB2757:AC2757" si="2868">AB2736</f>
        <v>External Scaffolding</v>
      </c>
      <c r="AC2757" t="str">
        <f t="shared" si="2868"/>
        <v>Adaption Tower</v>
      </c>
      <c r="AD2757" t="b">
        <f t="shared" ca="1" si="2828"/>
        <v>1</v>
      </c>
      <c r="AE2757" s="1" t="str">
        <f t="shared" ca="1" si="2849"/>
        <v>Garage 28</v>
      </c>
      <c r="AF2757" t="str">
        <f t="shared" ca="1" si="2826"/>
        <v>Garage 28</v>
      </c>
    </row>
    <row r="2758" spans="28:32" x14ac:dyDescent="0.25">
      <c r="AB2758" t="str">
        <f t="shared" ref="AB2758:AC2758" si="2869">AB2737</f>
        <v>External Scaffolding</v>
      </c>
      <c r="AC2758" t="str">
        <f t="shared" si="2869"/>
        <v>Lift 1</v>
      </c>
      <c r="AD2758" t="b">
        <f t="shared" ca="1" si="2828"/>
        <v>1</v>
      </c>
      <c r="AE2758" s="1" t="str">
        <f t="shared" ca="1" si="2849"/>
        <v>Garage 29</v>
      </c>
      <c r="AF2758" t="str">
        <f t="shared" ca="1" si="2826"/>
        <v>Garage 29</v>
      </c>
    </row>
    <row r="2759" spans="28:32" x14ac:dyDescent="0.25">
      <c r="AB2759" t="str">
        <f t="shared" ref="AB2759:AC2759" si="2870">AB2738</f>
        <v>External Scaffolding</v>
      </c>
      <c r="AC2759" t="str">
        <f t="shared" si="2870"/>
        <v>Lift 2</v>
      </c>
      <c r="AD2759" t="b">
        <f t="shared" ca="1" si="2828"/>
        <v>1</v>
      </c>
      <c r="AE2759" s="1" t="str">
        <f t="shared" ca="1" si="2849"/>
        <v>Garage 29</v>
      </c>
      <c r="AF2759" t="str">
        <f t="shared" ca="1" si="2826"/>
        <v>Garage 29</v>
      </c>
    </row>
    <row r="2760" spans="28:32" x14ac:dyDescent="0.25">
      <c r="AB2760" t="str">
        <f t="shared" ref="AB2760:AC2760" si="2871">AB2739</f>
        <v>External Scaffolding</v>
      </c>
      <c r="AC2760" t="str">
        <f t="shared" si="2871"/>
        <v>Lift 3</v>
      </c>
      <c r="AD2760" t="b">
        <f t="shared" ca="1" si="2828"/>
        <v>1</v>
      </c>
      <c r="AE2760" s="1" t="str">
        <f t="shared" ca="1" si="2849"/>
        <v>Garage 29</v>
      </c>
      <c r="AF2760" t="str">
        <f t="shared" ca="1" si="2826"/>
        <v>Garage 29</v>
      </c>
    </row>
    <row r="2761" spans="28:32" x14ac:dyDescent="0.25">
      <c r="AB2761" t="str">
        <f t="shared" ref="AB2761:AC2761" si="2872">AB2740</f>
        <v>External Scaffolding</v>
      </c>
      <c r="AC2761" t="str">
        <f t="shared" si="2872"/>
        <v>Lift 4</v>
      </c>
      <c r="AD2761" t="b">
        <f t="shared" ca="1" si="2828"/>
        <v>0</v>
      </c>
      <c r="AE2761" s="1" t="str">
        <f t="shared" ca="1" si="2849"/>
        <v>Garage 29</v>
      </c>
      <c r="AF2761" t="str">
        <f t="shared" ca="1" si="2826"/>
        <v>Garage 29</v>
      </c>
    </row>
    <row r="2762" spans="28:32" x14ac:dyDescent="0.25">
      <c r="AB2762" t="str">
        <f t="shared" ref="AB2762:AC2762" si="2873">AB2741</f>
        <v>External Scaffolding</v>
      </c>
      <c r="AC2762" t="str">
        <f t="shared" si="2873"/>
        <v>Lift 5</v>
      </c>
      <c r="AD2762" t="b">
        <f t="shared" ca="1" si="2828"/>
        <v>0</v>
      </c>
      <c r="AE2762" s="1" t="str">
        <f t="shared" ca="1" si="2849"/>
        <v>Garage 29</v>
      </c>
      <c r="AF2762" t="str">
        <f t="shared" ca="1" si="2826"/>
        <v>Garage 29</v>
      </c>
    </row>
    <row r="2763" spans="28:32" x14ac:dyDescent="0.25">
      <c r="AB2763" t="str">
        <f t="shared" ref="AB2763:AC2763" si="2874">AB2742</f>
        <v>External Scaffolding</v>
      </c>
      <c r="AC2763" t="str">
        <f t="shared" si="2874"/>
        <v>Lift 6</v>
      </c>
      <c r="AD2763" t="b">
        <f t="shared" ca="1" si="2828"/>
        <v>0</v>
      </c>
      <c r="AE2763" s="1" t="str">
        <f t="shared" ca="1" si="2849"/>
        <v>Garage 29</v>
      </c>
      <c r="AF2763" t="str">
        <f t="shared" ca="1" si="2826"/>
        <v>Garage 29</v>
      </c>
    </row>
    <row r="2764" spans="28:32" x14ac:dyDescent="0.25">
      <c r="AB2764" t="str">
        <f t="shared" ref="AB2764:AC2764" si="2875">AB2743</f>
        <v>Loading Bay</v>
      </c>
      <c r="AC2764" t="str">
        <f t="shared" si="2875"/>
        <v>Lift 1</v>
      </c>
      <c r="AD2764" t="b">
        <f t="shared" ca="1" si="2828"/>
        <v>1</v>
      </c>
      <c r="AE2764" s="1" t="str">
        <f t="shared" ca="1" si="2849"/>
        <v>Garage 29</v>
      </c>
      <c r="AF2764" t="str">
        <f t="shared" ca="1" si="2826"/>
        <v>Garage 29</v>
      </c>
    </row>
    <row r="2765" spans="28:32" x14ac:dyDescent="0.25">
      <c r="AB2765" t="str">
        <f t="shared" ref="AB2765:AC2765" si="2876">AB2744</f>
        <v>Loading Bay</v>
      </c>
      <c r="AC2765" t="str">
        <f t="shared" si="2876"/>
        <v>Lift 2</v>
      </c>
      <c r="AD2765" t="b">
        <f t="shared" ca="1" si="2828"/>
        <v>1</v>
      </c>
      <c r="AE2765" s="1" t="str">
        <f t="shared" ca="1" si="2849"/>
        <v>Garage 29</v>
      </c>
      <c r="AF2765" t="str">
        <f t="shared" ca="1" si="2826"/>
        <v>Garage 29</v>
      </c>
    </row>
    <row r="2766" spans="28:32" x14ac:dyDescent="0.25">
      <c r="AB2766" t="str">
        <f t="shared" ref="AB2766:AC2766" si="2877">AB2745</f>
        <v>Loading Bay</v>
      </c>
      <c r="AC2766" t="str">
        <f t="shared" si="2877"/>
        <v>Lift 3</v>
      </c>
      <c r="AD2766" t="b">
        <f t="shared" ca="1" si="2828"/>
        <v>1</v>
      </c>
      <c r="AE2766" s="1" t="str">
        <f t="shared" ca="1" si="2849"/>
        <v>Garage 29</v>
      </c>
      <c r="AF2766" t="str">
        <f t="shared" ca="1" si="2826"/>
        <v>Garage 29</v>
      </c>
    </row>
    <row r="2767" spans="28:32" x14ac:dyDescent="0.25">
      <c r="AB2767" t="str">
        <f t="shared" ref="AB2767:AC2767" si="2878">AB2746</f>
        <v>Loading Bay</v>
      </c>
      <c r="AC2767" t="str">
        <f t="shared" si="2878"/>
        <v>Lift 4</v>
      </c>
      <c r="AD2767" t="b">
        <f t="shared" ca="1" si="2828"/>
        <v>0</v>
      </c>
      <c r="AE2767" s="1" t="str">
        <f t="shared" ca="1" si="2849"/>
        <v>Garage 29</v>
      </c>
      <c r="AF2767" t="str">
        <f t="shared" ca="1" si="2826"/>
        <v>Garage 29</v>
      </c>
    </row>
    <row r="2768" spans="28:32" x14ac:dyDescent="0.25">
      <c r="AB2768" t="str">
        <f t="shared" ref="AB2768:AC2768" si="2879">AB2747</f>
        <v>Loading Bay</v>
      </c>
      <c r="AC2768" t="str">
        <f t="shared" si="2879"/>
        <v>Lift 5</v>
      </c>
      <c r="AD2768" t="b">
        <f t="shared" ca="1" si="2828"/>
        <v>0</v>
      </c>
      <c r="AE2768" s="1" t="str">
        <f t="shared" ca="1" si="2849"/>
        <v>Garage 29</v>
      </c>
      <c r="AF2768" t="str">
        <f t="shared" ca="1" si="2826"/>
        <v>Garage 29</v>
      </c>
    </row>
    <row r="2769" spans="28:32" x14ac:dyDescent="0.25">
      <c r="AB2769" t="str">
        <f t="shared" ref="AB2769:AC2769" si="2880">AB2748</f>
        <v>Loading Bay</v>
      </c>
      <c r="AC2769" t="str">
        <f t="shared" si="2880"/>
        <v>Lift 6</v>
      </c>
      <c r="AD2769" t="b">
        <f t="shared" ca="1" si="2828"/>
        <v>0</v>
      </c>
      <c r="AE2769" s="1" t="str">
        <f t="shared" ca="1" si="2849"/>
        <v>Garage 29</v>
      </c>
      <c r="AF2769" t="str">
        <f t="shared" ca="1" si="2826"/>
        <v>Garage 29</v>
      </c>
    </row>
    <row r="2770" spans="28:32" x14ac:dyDescent="0.25">
      <c r="AB2770" t="str">
        <f t="shared" ref="AB2770:AC2770" si="2881">AB2749</f>
        <v>Scaffolding Platform</v>
      </c>
      <c r="AC2770" t="str">
        <f t="shared" si="2881"/>
        <v>Ground Floor</v>
      </c>
      <c r="AD2770" t="b">
        <f t="shared" ca="1" si="2828"/>
        <v>1</v>
      </c>
      <c r="AE2770" s="1" t="str">
        <f t="shared" ca="1" si="2849"/>
        <v>Garage 29</v>
      </c>
      <c r="AF2770" t="str">
        <f t="shared" ca="1" si="2826"/>
        <v>Garage 29</v>
      </c>
    </row>
    <row r="2771" spans="28:32" x14ac:dyDescent="0.25">
      <c r="AB2771" t="str">
        <f t="shared" ref="AB2771:AC2771" si="2882">AB2750</f>
        <v>Scaffolding Platform</v>
      </c>
      <c r="AC2771" t="str">
        <f t="shared" si="2882"/>
        <v>First Floor</v>
      </c>
      <c r="AD2771" t="b">
        <f t="shared" ca="1" si="2828"/>
        <v>0</v>
      </c>
      <c r="AE2771" s="1" t="str">
        <f t="shared" ca="1" si="2849"/>
        <v>Garage 29</v>
      </c>
      <c r="AF2771" t="str">
        <f t="shared" ca="1" si="2826"/>
        <v>Garage 29</v>
      </c>
    </row>
    <row r="2772" spans="28:32" x14ac:dyDescent="0.25">
      <c r="AB2772" t="str">
        <f t="shared" ref="AB2772:AC2772" si="2883">AB2751</f>
        <v>Scaffolding Platform</v>
      </c>
      <c r="AC2772" t="str">
        <f t="shared" si="2883"/>
        <v>Second Floor</v>
      </c>
      <c r="AD2772" t="b">
        <f t="shared" ca="1" si="2828"/>
        <v>0</v>
      </c>
      <c r="AE2772" s="1" t="str">
        <f t="shared" ca="1" si="2849"/>
        <v>Garage 29</v>
      </c>
      <c r="AF2772" t="str">
        <f t="shared" ca="1" si="2826"/>
        <v>Garage 29</v>
      </c>
    </row>
    <row r="2773" spans="28:32" x14ac:dyDescent="0.25">
      <c r="AB2773" t="str">
        <f t="shared" ref="AB2773:AC2773" si="2884">AB2752</f>
        <v>Supporting Scaffold</v>
      </c>
      <c r="AC2773" t="str">
        <f t="shared" si="2884"/>
        <v>Ground Floor Prop.</v>
      </c>
      <c r="AD2773" t="str">
        <f t="shared" ca="1" si="2828"/>
        <v>FALSE</v>
      </c>
      <c r="AE2773" s="1" t="str">
        <f t="shared" ca="1" si="2849"/>
        <v>Garage 29</v>
      </c>
      <c r="AF2773" t="str">
        <f t="shared" ca="1" si="2826"/>
        <v>Garage 29</v>
      </c>
    </row>
    <row r="2774" spans="28:32" x14ac:dyDescent="0.25">
      <c r="AB2774" t="str">
        <f t="shared" ref="AB2774:AC2774" si="2885">AB2753</f>
        <v>Supporting Scaffold</v>
      </c>
      <c r="AC2774" t="str">
        <f t="shared" si="2885"/>
        <v>First Floor Prop.</v>
      </c>
      <c r="AD2774" t="str">
        <f t="shared" ca="1" si="2828"/>
        <v>FALSE</v>
      </c>
      <c r="AE2774" s="1" t="str">
        <f t="shared" ca="1" si="2849"/>
        <v>Garage 29</v>
      </c>
      <c r="AF2774" t="str">
        <f t="shared" ca="1" si="2826"/>
        <v>Garage 29</v>
      </c>
    </row>
    <row r="2775" spans="28:32" x14ac:dyDescent="0.25">
      <c r="AB2775" t="str">
        <f t="shared" ref="AB2775:AC2775" si="2886">AB2754</f>
        <v>Supporting Scaffold</v>
      </c>
      <c r="AC2775" t="str">
        <f t="shared" si="2886"/>
        <v>Second Floor Prop.</v>
      </c>
      <c r="AD2775" t="str">
        <f t="shared" ca="1" si="2828"/>
        <v>FALSE</v>
      </c>
      <c r="AE2775" s="1" t="str">
        <f t="shared" ca="1" si="2849"/>
        <v>Garage 29</v>
      </c>
      <c r="AF2775" t="str">
        <f t="shared" ca="1" si="2826"/>
        <v>Garage 29</v>
      </c>
    </row>
    <row r="2776" spans="28:32" x14ac:dyDescent="0.25">
      <c r="AB2776" t="str">
        <f t="shared" ref="AB2776:AC2776" si="2887">AB2755</f>
        <v>External Scaffolding</v>
      </c>
      <c r="AC2776" t="str">
        <f t="shared" si="2887"/>
        <v>Hop-ups</v>
      </c>
      <c r="AD2776" t="b">
        <f t="shared" ca="1" si="2828"/>
        <v>1</v>
      </c>
      <c r="AE2776" s="1" t="str">
        <f t="shared" ca="1" si="2849"/>
        <v>Garage 29</v>
      </c>
      <c r="AF2776" t="str">
        <f t="shared" ca="1" si="2826"/>
        <v>Garage 29</v>
      </c>
    </row>
    <row r="2777" spans="28:32" x14ac:dyDescent="0.25">
      <c r="AB2777" t="str">
        <f t="shared" ref="AB2777:AC2777" si="2888">AB2756</f>
        <v>External Scaffolding</v>
      </c>
      <c r="AC2777" t="str">
        <f t="shared" si="2888"/>
        <v>Adaptions</v>
      </c>
      <c r="AD2777" t="b">
        <f t="shared" ca="1" si="2828"/>
        <v>1</v>
      </c>
      <c r="AE2777" s="1" t="str">
        <f t="shared" ca="1" si="2849"/>
        <v>Garage 29</v>
      </c>
      <c r="AF2777" t="str">
        <f t="shared" ca="1" si="2826"/>
        <v>Garage 29</v>
      </c>
    </row>
    <row r="2778" spans="28:32" x14ac:dyDescent="0.25">
      <c r="AB2778" t="str">
        <f t="shared" ref="AB2778:AC2778" si="2889">AB2757</f>
        <v>External Scaffolding</v>
      </c>
      <c r="AC2778" t="str">
        <f t="shared" si="2889"/>
        <v>Adaption Tower</v>
      </c>
      <c r="AD2778" t="b">
        <f t="shared" ca="1" si="2828"/>
        <v>1</v>
      </c>
      <c r="AE2778" s="1" t="str">
        <f t="shared" ca="1" si="2849"/>
        <v>Garage 29</v>
      </c>
      <c r="AF2778" t="str">
        <f t="shared" ca="1" si="2826"/>
        <v>Garage 29</v>
      </c>
    </row>
    <row r="2779" spans="28:32" x14ac:dyDescent="0.25">
      <c r="AB2779" t="str">
        <f t="shared" ref="AB2779:AC2779" si="2890">AB2758</f>
        <v>External Scaffolding</v>
      </c>
      <c r="AC2779" t="str">
        <f t="shared" si="2890"/>
        <v>Lift 1</v>
      </c>
      <c r="AD2779" t="b">
        <f t="shared" ca="1" si="2828"/>
        <v>1</v>
      </c>
      <c r="AE2779" s="1" t="str">
        <f t="shared" ca="1" si="2849"/>
        <v>Garage 45</v>
      </c>
      <c r="AF2779" t="str">
        <f t="shared" ca="1" si="2826"/>
        <v>Garage 45</v>
      </c>
    </row>
    <row r="2780" spans="28:32" x14ac:dyDescent="0.25">
      <c r="AB2780" t="str">
        <f t="shared" ref="AB2780:AC2780" si="2891">AB2759</f>
        <v>External Scaffolding</v>
      </c>
      <c r="AC2780" t="str">
        <f t="shared" si="2891"/>
        <v>Lift 2</v>
      </c>
      <c r="AD2780" t="b">
        <f t="shared" ca="1" si="2828"/>
        <v>1</v>
      </c>
      <c r="AE2780" s="1" t="str">
        <f t="shared" ca="1" si="2849"/>
        <v>Garage 45</v>
      </c>
      <c r="AF2780" t="str">
        <f t="shared" ca="1" si="2826"/>
        <v>Garage 45</v>
      </c>
    </row>
    <row r="2781" spans="28:32" x14ac:dyDescent="0.25">
      <c r="AB2781" t="str">
        <f t="shared" ref="AB2781:AC2781" si="2892">AB2760</f>
        <v>External Scaffolding</v>
      </c>
      <c r="AC2781" t="str">
        <f t="shared" si="2892"/>
        <v>Lift 3</v>
      </c>
      <c r="AD2781" t="b">
        <f t="shared" ca="1" si="2828"/>
        <v>1</v>
      </c>
      <c r="AE2781" s="1" t="str">
        <f t="shared" ca="1" si="2849"/>
        <v>Garage 45</v>
      </c>
      <c r="AF2781" t="str">
        <f t="shared" ref="AF2781:AF2844" ca="1" si="2893">IF(LEFT(AE2781,1)="G",AE2781,"Plot "&amp;AE2781)</f>
        <v>Garage 45</v>
      </c>
    </row>
    <row r="2782" spans="28:32" x14ac:dyDescent="0.25">
      <c r="AB2782" t="str">
        <f t="shared" ref="AB2782:AC2782" si="2894">AB2761</f>
        <v>External Scaffolding</v>
      </c>
      <c r="AC2782" t="str">
        <f t="shared" si="2894"/>
        <v>Lift 4</v>
      </c>
      <c r="AD2782" t="b">
        <f t="shared" ref="AD2782:AD2845" ca="1" si="2895">INDEX($AC$1:$JH$22,MATCH(AC2782,$AC$1:$AC$22,0),MATCH(AE2782,$AC$1:$JH$1,0))</f>
        <v>0</v>
      </c>
      <c r="AE2782" s="1" t="str">
        <f t="shared" ca="1" si="2849"/>
        <v>Garage 45</v>
      </c>
      <c r="AF2782" t="str">
        <f t="shared" ca="1" si="2893"/>
        <v>Garage 45</v>
      </c>
    </row>
    <row r="2783" spans="28:32" x14ac:dyDescent="0.25">
      <c r="AB2783" t="str">
        <f t="shared" ref="AB2783:AC2783" si="2896">AB2762</f>
        <v>External Scaffolding</v>
      </c>
      <c r="AC2783" t="str">
        <f t="shared" si="2896"/>
        <v>Lift 5</v>
      </c>
      <c r="AD2783" t="b">
        <f t="shared" ca="1" si="2895"/>
        <v>0</v>
      </c>
      <c r="AE2783" s="1" t="str">
        <f t="shared" ca="1" si="2849"/>
        <v>Garage 45</v>
      </c>
      <c r="AF2783" t="str">
        <f t="shared" ca="1" si="2893"/>
        <v>Garage 45</v>
      </c>
    </row>
    <row r="2784" spans="28:32" x14ac:dyDescent="0.25">
      <c r="AB2784" t="str">
        <f t="shared" ref="AB2784:AC2784" si="2897">AB2763</f>
        <v>External Scaffolding</v>
      </c>
      <c r="AC2784" t="str">
        <f t="shared" si="2897"/>
        <v>Lift 6</v>
      </c>
      <c r="AD2784" t="b">
        <f t="shared" ca="1" si="2895"/>
        <v>0</v>
      </c>
      <c r="AE2784" s="1" t="str">
        <f t="shared" ca="1" si="2849"/>
        <v>Garage 45</v>
      </c>
      <c r="AF2784" t="str">
        <f t="shared" ca="1" si="2893"/>
        <v>Garage 45</v>
      </c>
    </row>
    <row r="2785" spans="28:32" x14ac:dyDescent="0.25">
      <c r="AB2785" t="str">
        <f t="shared" ref="AB2785:AC2785" si="2898">AB2764</f>
        <v>Loading Bay</v>
      </c>
      <c r="AC2785" t="str">
        <f t="shared" si="2898"/>
        <v>Lift 1</v>
      </c>
      <c r="AD2785" t="b">
        <f t="shared" ca="1" si="2895"/>
        <v>1</v>
      </c>
      <c r="AE2785" s="1" t="str">
        <f t="shared" ca="1" si="2849"/>
        <v>Garage 45</v>
      </c>
      <c r="AF2785" t="str">
        <f t="shared" ca="1" si="2893"/>
        <v>Garage 45</v>
      </c>
    </row>
    <row r="2786" spans="28:32" x14ac:dyDescent="0.25">
      <c r="AB2786" t="str">
        <f t="shared" ref="AB2786:AC2786" si="2899">AB2765</f>
        <v>Loading Bay</v>
      </c>
      <c r="AC2786" t="str">
        <f t="shared" si="2899"/>
        <v>Lift 2</v>
      </c>
      <c r="AD2786" t="b">
        <f t="shared" ca="1" si="2895"/>
        <v>1</v>
      </c>
      <c r="AE2786" s="1" t="str">
        <f t="shared" ca="1" si="2849"/>
        <v>Garage 45</v>
      </c>
      <c r="AF2786" t="str">
        <f t="shared" ca="1" si="2893"/>
        <v>Garage 45</v>
      </c>
    </row>
    <row r="2787" spans="28:32" x14ac:dyDescent="0.25">
      <c r="AB2787" t="str">
        <f t="shared" ref="AB2787:AC2787" si="2900">AB2766</f>
        <v>Loading Bay</v>
      </c>
      <c r="AC2787" t="str">
        <f t="shared" si="2900"/>
        <v>Lift 3</v>
      </c>
      <c r="AD2787" t="b">
        <f t="shared" ca="1" si="2895"/>
        <v>1</v>
      </c>
      <c r="AE2787" s="1" t="str">
        <f t="shared" ca="1" si="2849"/>
        <v>Garage 45</v>
      </c>
      <c r="AF2787" t="str">
        <f t="shared" ca="1" si="2893"/>
        <v>Garage 45</v>
      </c>
    </row>
    <row r="2788" spans="28:32" x14ac:dyDescent="0.25">
      <c r="AB2788" t="str">
        <f t="shared" ref="AB2788:AC2788" si="2901">AB2767</f>
        <v>Loading Bay</v>
      </c>
      <c r="AC2788" t="str">
        <f t="shared" si="2901"/>
        <v>Lift 4</v>
      </c>
      <c r="AD2788" t="b">
        <f t="shared" ca="1" si="2895"/>
        <v>0</v>
      </c>
      <c r="AE2788" s="1" t="str">
        <f t="shared" ca="1" si="2849"/>
        <v>Garage 45</v>
      </c>
      <c r="AF2788" t="str">
        <f t="shared" ca="1" si="2893"/>
        <v>Garage 45</v>
      </c>
    </row>
    <row r="2789" spans="28:32" x14ac:dyDescent="0.25">
      <c r="AB2789" t="str">
        <f t="shared" ref="AB2789:AC2789" si="2902">AB2768</f>
        <v>Loading Bay</v>
      </c>
      <c r="AC2789" t="str">
        <f t="shared" si="2902"/>
        <v>Lift 5</v>
      </c>
      <c r="AD2789" t="b">
        <f t="shared" ca="1" si="2895"/>
        <v>0</v>
      </c>
      <c r="AE2789" s="1" t="str">
        <f t="shared" ca="1" si="2849"/>
        <v>Garage 45</v>
      </c>
      <c r="AF2789" t="str">
        <f t="shared" ca="1" si="2893"/>
        <v>Garage 45</v>
      </c>
    </row>
    <row r="2790" spans="28:32" x14ac:dyDescent="0.25">
      <c r="AB2790" t="str">
        <f t="shared" ref="AB2790:AC2790" si="2903">AB2769</f>
        <v>Loading Bay</v>
      </c>
      <c r="AC2790" t="str">
        <f t="shared" si="2903"/>
        <v>Lift 6</v>
      </c>
      <c r="AD2790" t="b">
        <f t="shared" ca="1" si="2895"/>
        <v>0</v>
      </c>
      <c r="AE2790" s="1" t="str">
        <f t="shared" ca="1" si="2849"/>
        <v>Garage 45</v>
      </c>
      <c r="AF2790" t="str">
        <f t="shared" ca="1" si="2893"/>
        <v>Garage 45</v>
      </c>
    </row>
    <row r="2791" spans="28:32" x14ac:dyDescent="0.25">
      <c r="AB2791" t="str">
        <f t="shared" ref="AB2791:AC2791" si="2904">AB2770</f>
        <v>Scaffolding Platform</v>
      </c>
      <c r="AC2791" t="str">
        <f t="shared" si="2904"/>
        <v>Ground Floor</v>
      </c>
      <c r="AD2791" t="b">
        <f t="shared" ca="1" si="2895"/>
        <v>1</v>
      </c>
      <c r="AE2791" s="1" t="str">
        <f t="shared" ca="1" si="2849"/>
        <v>Garage 45</v>
      </c>
      <c r="AF2791" t="str">
        <f t="shared" ca="1" si="2893"/>
        <v>Garage 45</v>
      </c>
    </row>
    <row r="2792" spans="28:32" x14ac:dyDescent="0.25">
      <c r="AB2792" t="str">
        <f t="shared" ref="AB2792:AC2792" si="2905">AB2771</f>
        <v>Scaffolding Platform</v>
      </c>
      <c r="AC2792" t="str">
        <f t="shared" si="2905"/>
        <v>First Floor</v>
      </c>
      <c r="AD2792" t="b">
        <f t="shared" ca="1" si="2895"/>
        <v>0</v>
      </c>
      <c r="AE2792" s="1" t="str">
        <f t="shared" ca="1" si="2849"/>
        <v>Garage 45</v>
      </c>
      <c r="AF2792" t="str">
        <f t="shared" ca="1" si="2893"/>
        <v>Garage 45</v>
      </c>
    </row>
    <row r="2793" spans="28:32" x14ac:dyDescent="0.25">
      <c r="AB2793" t="str">
        <f t="shared" ref="AB2793:AC2793" si="2906">AB2772</f>
        <v>Scaffolding Platform</v>
      </c>
      <c r="AC2793" t="str">
        <f t="shared" si="2906"/>
        <v>Second Floor</v>
      </c>
      <c r="AD2793" t="b">
        <f t="shared" ca="1" si="2895"/>
        <v>0</v>
      </c>
      <c r="AE2793" s="1" t="str">
        <f t="shared" ca="1" si="2849"/>
        <v>Garage 45</v>
      </c>
      <c r="AF2793" t="str">
        <f t="shared" ca="1" si="2893"/>
        <v>Garage 45</v>
      </c>
    </row>
    <row r="2794" spans="28:32" x14ac:dyDescent="0.25">
      <c r="AB2794" t="str">
        <f t="shared" ref="AB2794:AC2794" si="2907">AB2773</f>
        <v>Supporting Scaffold</v>
      </c>
      <c r="AC2794" t="str">
        <f t="shared" si="2907"/>
        <v>Ground Floor Prop.</v>
      </c>
      <c r="AD2794" t="str">
        <f t="shared" ca="1" si="2895"/>
        <v>FALSE</v>
      </c>
      <c r="AE2794" s="1" t="str">
        <f t="shared" ca="1" si="2849"/>
        <v>Garage 45</v>
      </c>
      <c r="AF2794" t="str">
        <f t="shared" ca="1" si="2893"/>
        <v>Garage 45</v>
      </c>
    </row>
    <row r="2795" spans="28:32" x14ac:dyDescent="0.25">
      <c r="AB2795" t="str">
        <f t="shared" ref="AB2795:AC2795" si="2908">AB2774</f>
        <v>Supporting Scaffold</v>
      </c>
      <c r="AC2795" t="str">
        <f t="shared" si="2908"/>
        <v>First Floor Prop.</v>
      </c>
      <c r="AD2795" t="str">
        <f t="shared" ca="1" si="2895"/>
        <v>FALSE</v>
      </c>
      <c r="AE2795" s="1" t="str">
        <f t="shared" ca="1" si="2849"/>
        <v>Garage 45</v>
      </c>
      <c r="AF2795" t="str">
        <f t="shared" ca="1" si="2893"/>
        <v>Garage 45</v>
      </c>
    </row>
    <row r="2796" spans="28:32" x14ac:dyDescent="0.25">
      <c r="AB2796" t="str">
        <f t="shared" ref="AB2796:AC2796" si="2909">AB2775</f>
        <v>Supporting Scaffold</v>
      </c>
      <c r="AC2796" t="str">
        <f t="shared" si="2909"/>
        <v>Second Floor Prop.</v>
      </c>
      <c r="AD2796" t="str">
        <f t="shared" ca="1" si="2895"/>
        <v>FALSE</v>
      </c>
      <c r="AE2796" s="1" t="str">
        <f t="shared" ca="1" si="2849"/>
        <v>Garage 45</v>
      </c>
      <c r="AF2796" t="str">
        <f t="shared" ca="1" si="2893"/>
        <v>Garage 45</v>
      </c>
    </row>
    <row r="2797" spans="28:32" x14ac:dyDescent="0.25">
      <c r="AB2797" t="str">
        <f t="shared" ref="AB2797:AC2797" si="2910">AB2776</f>
        <v>External Scaffolding</v>
      </c>
      <c r="AC2797" t="str">
        <f t="shared" si="2910"/>
        <v>Hop-ups</v>
      </c>
      <c r="AD2797" t="b">
        <f t="shared" ca="1" si="2895"/>
        <v>1</v>
      </c>
      <c r="AE2797" s="1" t="str">
        <f t="shared" ca="1" si="2849"/>
        <v>Garage 45</v>
      </c>
      <c r="AF2797" t="str">
        <f t="shared" ca="1" si="2893"/>
        <v>Garage 45</v>
      </c>
    </row>
    <row r="2798" spans="28:32" x14ac:dyDescent="0.25">
      <c r="AB2798" t="str">
        <f t="shared" ref="AB2798:AC2798" si="2911">AB2777</f>
        <v>External Scaffolding</v>
      </c>
      <c r="AC2798" t="str">
        <f t="shared" si="2911"/>
        <v>Adaptions</v>
      </c>
      <c r="AD2798" t="b">
        <f t="shared" ca="1" si="2895"/>
        <v>1</v>
      </c>
      <c r="AE2798" s="1" t="str">
        <f t="shared" ca="1" si="2849"/>
        <v>Garage 45</v>
      </c>
      <c r="AF2798" t="str">
        <f t="shared" ca="1" si="2893"/>
        <v>Garage 45</v>
      </c>
    </row>
    <row r="2799" spans="28:32" x14ac:dyDescent="0.25">
      <c r="AB2799" t="str">
        <f t="shared" ref="AB2799:AC2799" si="2912">AB2778</f>
        <v>External Scaffolding</v>
      </c>
      <c r="AC2799" t="str">
        <f t="shared" si="2912"/>
        <v>Adaption Tower</v>
      </c>
      <c r="AD2799" t="b">
        <f t="shared" ca="1" si="2895"/>
        <v>1</v>
      </c>
      <c r="AE2799" s="1" t="str">
        <f t="shared" ca="1" si="2849"/>
        <v>Garage 45</v>
      </c>
      <c r="AF2799" t="str">
        <f t="shared" ca="1" si="2893"/>
        <v>Garage 45</v>
      </c>
    </row>
    <row r="2800" spans="28:32" x14ac:dyDescent="0.25">
      <c r="AB2800" t="str">
        <f t="shared" ref="AB2800:AC2800" si="2913">AB2779</f>
        <v>External Scaffolding</v>
      </c>
      <c r="AC2800" t="str">
        <f t="shared" si="2913"/>
        <v>Lift 1</v>
      </c>
      <c r="AD2800" t="b">
        <f t="shared" ca="1" si="2895"/>
        <v>1</v>
      </c>
      <c r="AE2800" s="1" t="str">
        <f t="shared" ca="1" si="2849"/>
        <v>Garage 46</v>
      </c>
      <c r="AF2800" t="str">
        <f t="shared" ca="1" si="2893"/>
        <v>Garage 46</v>
      </c>
    </row>
    <row r="2801" spans="28:32" x14ac:dyDescent="0.25">
      <c r="AB2801" t="str">
        <f t="shared" ref="AB2801:AC2801" si="2914">AB2780</f>
        <v>External Scaffolding</v>
      </c>
      <c r="AC2801" t="str">
        <f t="shared" si="2914"/>
        <v>Lift 2</v>
      </c>
      <c r="AD2801" t="b">
        <f t="shared" ca="1" si="2895"/>
        <v>1</v>
      </c>
      <c r="AE2801" s="1" t="str">
        <f t="shared" ca="1" si="2849"/>
        <v>Garage 46</v>
      </c>
      <c r="AF2801" t="str">
        <f t="shared" ca="1" si="2893"/>
        <v>Garage 46</v>
      </c>
    </row>
    <row r="2802" spans="28:32" x14ac:dyDescent="0.25">
      <c r="AB2802" t="str">
        <f t="shared" ref="AB2802:AC2802" si="2915">AB2781</f>
        <v>External Scaffolding</v>
      </c>
      <c r="AC2802" t="str">
        <f t="shared" si="2915"/>
        <v>Lift 3</v>
      </c>
      <c r="AD2802" t="b">
        <f t="shared" ca="1" si="2895"/>
        <v>1</v>
      </c>
      <c r="AE2802" s="1" t="str">
        <f t="shared" ref="AE2802:AE2865" ca="1" si="2916">OFFSET($AD$1,0,FLOOR(ROW(B2774)/21,1))</f>
        <v>Garage 46</v>
      </c>
      <c r="AF2802" t="str">
        <f t="shared" ca="1" si="2893"/>
        <v>Garage 46</v>
      </c>
    </row>
    <row r="2803" spans="28:32" x14ac:dyDescent="0.25">
      <c r="AB2803" t="str">
        <f t="shared" ref="AB2803:AC2803" si="2917">AB2782</f>
        <v>External Scaffolding</v>
      </c>
      <c r="AC2803" t="str">
        <f t="shared" si="2917"/>
        <v>Lift 4</v>
      </c>
      <c r="AD2803" t="b">
        <f t="shared" ca="1" si="2895"/>
        <v>0</v>
      </c>
      <c r="AE2803" s="1" t="str">
        <f t="shared" ca="1" si="2916"/>
        <v>Garage 46</v>
      </c>
      <c r="AF2803" t="str">
        <f t="shared" ca="1" si="2893"/>
        <v>Garage 46</v>
      </c>
    </row>
    <row r="2804" spans="28:32" x14ac:dyDescent="0.25">
      <c r="AB2804" t="str">
        <f t="shared" ref="AB2804:AC2804" si="2918">AB2783</f>
        <v>External Scaffolding</v>
      </c>
      <c r="AC2804" t="str">
        <f t="shared" si="2918"/>
        <v>Lift 5</v>
      </c>
      <c r="AD2804" t="b">
        <f t="shared" ca="1" si="2895"/>
        <v>0</v>
      </c>
      <c r="AE2804" s="1" t="str">
        <f t="shared" ca="1" si="2916"/>
        <v>Garage 46</v>
      </c>
      <c r="AF2804" t="str">
        <f t="shared" ca="1" si="2893"/>
        <v>Garage 46</v>
      </c>
    </row>
    <row r="2805" spans="28:32" x14ac:dyDescent="0.25">
      <c r="AB2805" t="str">
        <f t="shared" ref="AB2805:AC2805" si="2919">AB2784</f>
        <v>External Scaffolding</v>
      </c>
      <c r="AC2805" t="str">
        <f t="shared" si="2919"/>
        <v>Lift 6</v>
      </c>
      <c r="AD2805" t="b">
        <f t="shared" ca="1" si="2895"/>
        <v>0</v>
      </c>
      <c r="AE2805" s="1" t="str">
        <f t="shared" ca="1" si="2916"/>
        <v>Garage 46</v>
      </c>
      <c r="AF2805" t="str">
        <f t="shared" ca="1" si="2893"/>
        <v>Garage 46</v>
      </c>
    </row>
    <row r="2806" spans="28:32" x14ac:dyDescent="0.25">
      <c r="AB2806" t="str">
        <f t="shared" ref="AB2806:AC2806" si="2920">AB2785</f>
        <v>Loading Bay</v>
      </c>
      <c r="AC2806" t="str">
        <f t="shared" si="2920"/>
        <v>Lift 1</v>
      </c>
      <c r="AD2806" t="b">
        <f t="shared" ca="1" si="2895"/>
        <v>1</v>
      </c>
      <c r="AE2806" s="1" t="str">
        <f t="shared" ca="1" si="2916"/>
        <v>Garage 46</v>
      </c>
      <c r="AF2806" t="str">
        <f t="shared" ca="1" si="2893"/>
        <v>Garage 46</v>
      </c>
    </row>
    <row r="2807" spans="28:32" x14ac:dyDescent="0.25">
      <c r="AB2807" t="str">
        <f t="shared" ref="AB2807:AC2807" si="2921">AB2786</f>
        <v>Loading Bay</v>
      </c>
      <c r="AC2807" t="str">
        <f t="shared" si="2921"/>
        <v>Lift 2</v>
      </c>
      <c r="AD2807" t="b">
        <f t="shared" ca="1" si="2895"/>
        <v>1</v>
      </c>
      <c r="AE2807" s="1" t="str">
        <f t="shared" ca="1" si="2916"/>
        <v>Garage 46</v>
      </c>
      <c r="AF2807" t="str">
        <f t="shared" ca="1" si="2893"/>
        <v>Garage 46</v>
      </c>
    </row>
    <row r="2808" spans="28:32" x14ac:dyDescent="0.25">
      <c r="AB2808" t="str">
        <f t="shared" ref="AB2808:AC2808" si="2922">AB2787</f>
        <v>Loading Bay</v>
      </c>
      <c r="AC2808" t="str">
        <f t="shared" si="2922"/>
        <v>Lift 3</v>
      </c>
      <c r="AD2808" t="b">
        <f t="shared" ca="1" si="2895"/>
        <v>1</v>
      </c>
      <c r="AE2808" s="1" t="str">
        <f t="shared" ca="1" si="2916"/>
        <v>Garage 46</v>
      </c>
      <c r="AF2808" t="str">
        <f t="shared" ca="1" si="2893"/>
        <v>Garage 46</v>
      </c>
    </row>
    <row r="2809" spans="28:32" x14ac:dyDescent="0.25">
      <c r="AB2809" t="str">
        <f t="shared" ref="AB2809:AC2809" si="2923">AB2788</f>
        <v>Loading Bay</v>
      </c>
      <c r="AC2809" t="str">
        <f t="shared" si="2923"/>
        <v>Lift 4</v>
      </c>
      <c r="AD2809" t="b">
        <f t="shared" ca="1" si="2895"/>
        <v>0</v>
      </c>
      <c r="AE2809" s="1" t="str">
        <f t="shared" ca="1" si="2916"/>
        <v>Garage 46</v>
      </c>
      <c r="AF2809" t="str">
        <f t="shared" ca="1" si="2893"/>
        <v>Garage 46</v>
      </c>
    </row>
    <row r="2810" spans="28:32" x14ac:dyDescent="0.25">
      <c r="AB2810" t="str">
        <f t="shared" ref="AB2810:AC2810" si="2924">AB2789</f>
        <v>Loading Bay</v>
      </c>
      <c r="AC2810" t="str">
        <f t="shared" si="2924"/>
        <v>Lift 5</v>
      </c>
      <c r="AD2810" t="b">
        <f t="shared" ca="1" si="2895"/>
        <v>0</v>
      </c>
      <c r="AE2810" s="1" t="str">
        <f t="shared" ca="1" si="2916"/>
        <v>Garage 46</v>
      </c>
      <c r="AF2810" t="str">
        <f t="shared" ca="1" si="2893"/>
        <v>Garage 46</v>
      </c>
    </row>
    <row r="2811" spans="28:32" x14ac:dyDescent="0.25">
      <c r="AB2811" t="str">
        <f t="shared" ref="AB2811:AC2811" si="2925">AB2790</f>
        <v>Loading Bay</v>
      </c>
      <c r="AC2811" t="str">
        <f t="shared" si="2925"/>
        <v>Lift 6</v>
      </c>
      <c r="AD2811" t="b">
        <f t="shared" ca="1" si="2895"/>
        <v>0</v>
      </c>
      <c r="AE2811" s="1" t="str">
        <f t="shared" ca="1" si="2916"/>
        <v>Garage 46</v>
      </c>
      <c r="AF2811" t="str">
        <f t="shared" ca="1" si="2893"/>
        <v>Garage 46</v>
      </c>
    </row>
    <row r="2812" spans="28:32" x14ac:dyDescent="0.25">
      <c r="AB2812" t="str">
        <f t="shared" ref="AB2812:AC2812" si="2926">AB2791</f>
        <v>Scaffolding Platform</v>
      </c>
      <c r="AC2812" t="str">
        <f t="shared" si="2926"/>
        <v>Ground Floor</v>
      </c>
      <c r="AD2812" t="b">
        <f t="shared" ca="1" si="2895"/>
        <v>1</v>
      </c>
      <c r="AE2812" s="1" t="str">
        <f t="shared" ca="1" si="2916"/>
        <v>Garage 46</v>
      </c>
      <c r="AF2812" t="str">
        <f t="shared" ca="1" si="2893"/>
        <v>Garage 46</v>
      </c>
    </row>
    <row r="2813" spans="28:32" x14ac:dyDescent="0.25">
      <c r="AB2813" t="str">
        <f t="shared" ref="AB2813:AC2813" si="2927">AB2792</f>
        <v>Scaffolding Platform</v>
      </c>
      <c r="AC2813" t="str">
        <f t="shared" si="2927"/>
        <v>First Floor</v>
      </c>
      <c r="AD2813" t="b">
        <f t="shared" ca="1" si="2895"/>
        <v>0</v>
      </c>
      <c r="AE2813" s="1" t="str">
        <f t="shared" ca="1" si="2916"/>
        <v>Garage 46</v>
      </c>
      <c r="AF2813" t="str">
        <f t="shared" ca="1" si="2893"/>
        <v>Garage 46</v>
      </c>
    </row>
    <row r="2814" spans="28:32" x14ac:dyDescent="0.25">
      <c r="AB2814" t="str">
        <f t="shared" ref="AB2814:AC2814" si="2928">AB2793</f>
        <v>Scaffolding Platform</v>
      </c>
      <c r="AC2814" t="str">
        <f t="shared" si="2928"/>
        <v>Second Floor</v>
      </c>
      <c r="AD2814" t="b">
        <f t="shared" ca="1" si="2895"/>
        <v>0</v>
      </c>
      <c r="AE2814" s="1" t="str">
        <f t="shared" ca="1" si="2916"/>
        <v>Garage 46</v>
      </c>
      <c r="AF2814" t="str">
        <f t="shared" ca="1" si="2893"/>
        <v>Garage 46</v>
      </c>
    </row>
    <row r="2815" spans="28:32" x14ac:dyDescent="0.25">
      <c r="AB2815" t="str">
        <f t="shared" ref="AB2815:AC2815" si="2929">AB2794</f>
        <v>Supporting Scaffold</v>
      </c>
      <c r="AC2815" t="str">
        <f t="shared" si="2929"/>
        <v>Ground Floor Prop.</v>
      </c>
      <c r="AD2815" t="str">
        <f t="shared" ca="1" si="2895"/>
        <v>FALSE</v>
      </c>
      <c r="AE2815" s="1" t="str">
        <f t="shared" ca="1" si="2916"/>
        <v>Garage 46</v>
      </c>
      <c r="AF2815" t="str">
        <f t="shared" ca="1" si="2893"/>
        <v>Garage 46</v>
      </c>
    </row>
    <row r="2816" spans="28:32" x14ac:dyDescent="0.25">
      <c r="AB2816" t="str">
        <f t="shared" ref="AB2816:AC2816" si="2930">AB2795</f>
        <v>Supporting Scaffold</v>
      </c>
      <c r="AC2816" t="str">
        <f t="shared" si="2930"/>
        <v>First Floor Prop.</v>
      </c>
      <c r="AD2816" t="str">
        <f t="shared" ca="1" si="2895"/>
        <v>FALSE</v>
      </c>
      <c r="AE2816" s="1" t="str">
        <f t="shared" ca="1" si="2916"/>
        <v>Garage 46</v>
      </c>
      <c r="AF2816" t="str">
        <f t="shared" ca="1" si="2893"/>
        <v>Garage 46</v>
      </c>
    </row>
    <row r="2817" spans="28:32" x14ac:dyDescent="0.25">
      <c r="AB2817" t="str">
        <f t="shared" ref="AB2817:AC2817" si="2931">AB2796</f>
        <v>Supporting Scaffold</v>
      </c>
      <c r="AC2817" t="str">
        <f t="shared" si="2931"/>
        <v>Second Floor Prop.</v>
      </c>
      <c r="AD2817" t="str">
        <f t="shared" ca="1" si="2895"/>
        <v>FALSE</v>
      </c>
      <c r="AE2817" s="1" t="str">
        <f t="shared" ca="1" si="2916"/>
        <v>Garage 46</v>
      </c>
      <c r="AF2817" t="str">
        <f t="shared" ca="1" si="2893"/>
        <v>Garage 46</v>
      </c>
    </row>
    <row r="2818" spans="28:32" x14ac:dyDescent="0.25">
      <c r="AB2818" t="str">
        <f t="shared" ref="AB2818:AC2818" si="2932">AB2797</f>
        <v>External Scaffolding</v>
      </c>
      <c r="AC2818" t="str">
        <f t="shared" si="2932"/>
        <v>Hop-ups</v>
      </c>
      <c r="AD2818" t="b">
        <f t="shared" ca="1" si="2895"/>
        <v>1</v>
      </c>
      <c r="AE2818" s="1" t="str">
        <f t="shared" ca="1" si="2916"/>
        <v>Garage 46</v>
      </c>
      <c r="AF2818" t="str">
        <f t="shared" ca="1" si="2893"/>
        <v>Garage 46</v>
      </c>
    </row>
    <row r="2819" spans="28:32" x14ac:dyDescent="0.25">
      <c r="AB2819" t="str">
        <f t="shared" ref="AB2819:AC2819" si="2933">AB2798</f>
        <v>External Scaffolding</v>
      </c>
      <c r="AC2819" t="str">
        <f t="shared" si="2933"/>
        <v>Adaptions</v>
      </c>
      <c r="AD2819" t="b">
        <f t="shared" ca="1" si="2895"/>
        <v>1</v>
      </c>
      <c r="AE2819" s="1" t="str">
        <f t="shared" ca="1" si="2916"/>
        <v>Garage 46</v>
      </c>
      <c r="AF2819" t="str">
        <f t="shared" ca="1" si="2893"/>
        <v>Garage 46</v>
      </c>
    </row>
    <row r="2820" spans="28:32" x14ac:dyDescent="0.25">
      <c r="AB2820" t="str">
        <f t="shared" ref="AB2820:AC2820" si="2934">AB2799</f>
        <v>External Scaffolding</v>
      </c>
      <c r="AC2820" t="str">
        <f t="shared" si="2934"/>
        <v>Adaption Tower</v>
      </c>
      <c r="AD2820" t="b">
        <f t="shared" ca="1" si="2895"/>
        <v>1</v>
      </c>
      <c r="AE2820" s="1" t="str">
        <f t="shared" ca="1" si="2916"/>
        <v>Garage 46</v>
      </c>
      <c r="AF2820" t="str">
        <f t="shared" ca="1" si="2893"/>
        <v>Garage 46</v>
      </c>
    </row>
    <row r="2821" spans="28:32" x14ac:dyDescent="0.25">
      <c r="AB2821" t="str">
        <f t="shared" ref="AB2821:AC2821" si="2935">AB2800</f>
        <v>External Scaffolding</v>
      </c>
      <c r="AC2821" t="str">
        <f t="shared" si="2935"/>
        <v>Lift 1</v>
      </c>
      <c r="AD2821" t="b">
        <f t="shared" ca="1" si="2895"/>
        <v>1</v>
      </c>
      <c r="AE2821" s="1" t="str">
        <f t="shared" ca="1" si="2916"/>
        <v>Garage 47</v>
      </c>
      <c r="AF2821" t="str">
        <f t="shared" ca="1" si="2893"/>
        <v>Garage 47</v>
      </c>
    </row>
    <row r="2822" spans="28:32" x14ac:dyDescent="0.25">
      <c r="AB2822" t="str">
        <f t="shared" ref="AB2822:AC2822" si="2936">AB2801</f>
        <v>External Scaffolding</v>
      </c>
      <c r="AC2822" t="str">
        <f t="shared" si="2936"/>
        <v>Lift 2</v>
      </c>
      <c r="AD2822" t="b">
        <f t="shared" ca="1" si="2895"/>
        <v>1</v>
      </c>
      <c r="AE2822" s="1" t="str">
        <f t="shared" ca="1" si="2916"/>
        <v>Garage 47</v>
      </c>
      <c r="AF2822" t="str">
        <f t="shared" ca="1" si="2893"/>
        <v>Garage 47</v>
      </c>
    </row>
    <row r="2823" spans="28:32" x14ac:dyDescent="0.25">
      <c r="AB2823" t="str">
        <f t="shared" ref="AB2823:AC2823" si="2937">AB2802</f>
        <v>External Scaffolding</v>
      </c>
      <c r="AC2823" t="str">
        <f t="shared" si="2937"/>
        <v>Lift 3</v>
      </c>
      <c r="AD2823" t="b">
        <f t="shared" ca="1" si="2895"/>
        <v>1</v>
      </c>
      <c r="AE2823" s="1" t="str">
        <f t="shared" ca="1" si="2916"/>
        <v>Garage 47</v>
      </c>
      <c r="AF2823" t="str">
        <f t="shared" ca="1" si="2893"/>
        <v>Garage 47</v>
      </c>
    </row>
    <row r="2824" spans="28:32" x14ac:dyDescent="0.25">
      <c r="AB2824" t="str">
        <f t="shared" ref="AB2824:AC2824" si="2938">AB2803</f>
        <v>External Scaffolding</v>
      </c>
      <c r="AC2824" t="str">
        <f t="shared" si="2938"/>
        <v>Lift 4</v>
      </c>
      <c r="AD2824" t="b">
        <f t="shared" ca="1" si="2895"/>
        <v>0</v>
      </c>
      <c r="AE2824" s="1" t="str">
        <f t="shared" ca="1" si="2916"/>
        <v>Garage 47</v>
      </c>
      <c r="AF2824" t="str">
        <f t="shared" ca="1" si="2893"/>
        <v>Garage 47</v>
      </c>
    </row>
    <row r="2825" spans="28:32" x14ac:dyDescent="0.25">
      <c r="AB2825" t="str">
        <f t="shared" ref="AB2825:AC2825" si="2939">AB2804</f>
        <v>External Scaffolding</v>
      </c>
      <c r="AC2825" t="str">
        <f t="shared" si="2939"/>
        <v>Lift 5</v>
      </c>
      <c r="AD2825" t="b">
        <f t="shared" ca="1" si="2895"/>
        <v>0</v>
      </c>
      <c r="AE2825" s="1" t="str">
        <f t="shared" ca="1" si="2916"/>
        <v>Garage 47</v>
      </c>
      <c r="AF2825" t="str">
        <f t="shared" ca="1" si="2893"/>
        <v>Garage 47</v>
      </c>
    </row>
    <row r="2826" spans="28:32" x14ac:dyDescent="0.25">
      <c r="AB2826" t="str">
        <f t="shared" ref="AB2826:AC2826" si="2940">AB2805</f>
        <v>External Scaffolding</v>
      </c>
      <c r="AC2826" t="str">
        <f t="shared" si="2940"/>
        <v>Lift 6</v>
      </c>
      <c r="AD2826" t="b">
        <f t="shared" ca="1" si="2895"/>
        <v>0</v>
      </c>
      <c r="AE2826" s="1" t="str">
        <f t="shared" ca="1" si="2916"/>
        <v>Garage 47</v>
      </c>
      <c r="AF2826" t="str">
        <f t="shared" ca="1" si="2893"/>
        <v>Garage 47</v>
      </c>
    </row>
    <row r="2827" spans="28:32" x14ac:dyDescent="0.25">
      <c r="AB2827" t="str">
        <f t="shared" ref="AB2827:AC2827" si="2941">AB2806</f>
        <v>Loading Bay</v>
      </c>
      <c r="AC2827" t="str">
        <f t="shared" si="2941"/>
        <v>Lift 1</v>
      </c>
      <c r="AD2827" t="b">
        <f t="shared" ca="1" si="2895"/>
        <v>1</v>
      </c>
      <c r="AE2827" s="1" t="str">
        <f t="shared" ca="1" si="2916"/>
        <v>Garage 47</v>
      </c>
      <c r="AF2827" t="str">
        <f t="shared" ca="1" si="2893"/>
        <v>Garage 47</v>
      </c>
    </row>
    <row r="2828" spans="28:32" x14ac:dyDescent="0.25">
      <c r="AB2828" t="str">
        <f t="shared" ref="AB2828:AC2828" si="2942">AB2807</f>
        <v>Loading Bay</v>
      </c>
      <c r="AC2828" t="str">
        <f t="shared" si="2942"/>
        <v>Lift 2</v>
      </c>
      <c r="AD2828" t="b">
        <f t="shared" ca="1" si="2895"/>
        <v>1</v>
      </c>
      <c r="AE2828" s="1" t="str">
        <f t="shared" ca="1" si="2916"/>
        <v>Garage 47</v>
      </c>
      <c r="AF2828" t="str">
        <f t="shared" ca="1" si="2893"/>
        <v>Garage 47</v>
      </c>
    </row>
    <row r="2829" spans="28:32" x14ac:dyDescent="0.25">
      <c r="AB2829" t="str">
        <f t="shared" ref="AB2829:AC2829" si="2943">AB2808</f>
        <v>Loading Bay</v>
      </c>
      <c r="AC2829" t="str">
        <f t="shared" si="2943"/>
        <v>Lift 3</v>
      </c>
      <c r="AD2829" t="b">
        <f t="shared" ca="1" si="2895"/>
        <v>1</v>
      </c>
      <c r="AE2829" s="1" t="str">
        <f t="shared" ca="1" si="2916"/>
        <v>Garage 47</v>
      </c>
      <c r="AF2829" t="str">
        <f t="shared" ca="1" si="2893"/>
        <v>Garage 47</v>
      </c>
    </row>
    <row r="2830" spans="28:32" x14ac:dyDescent="0.25">
      <c r="AB2830" t="str">
        <f t="shared" ref="AB2830:AC2830" si="2944">AB2809</f>
        <v>Loading Bay</v>
      </c>
      <c r="AC2830" t="str">
        <f t="shared" si="2944"/>
        <v>Lift 4</v>
      </c>
      <c r="AD2830" t="b">
        <f t="shared" ca="1" si="2895"/>
        <v>0</v>
      </c>
      <c r="AE2830" s="1" t="str">
        <f t="shared" ca="1" si="2916"/>
        <v>Garage 47</v>
      </c>
      <c r="AF2830" t="str">
        <f t="shared" ca="1" si="2893"/>
        <v>Garage 47</v>
      </c>
    </row>
    <row r="2831" spans="28:32" x14ac:dyDescent="0.25">
      <c r="AB2831" t="str">
        <f t="shared" ref="AB2831:AC2831" si="2945">AB2810</f>
        <v>Loading Bay</v>
      </c>
      <c r="AC2831" t="str">
        <f t="shared" si="2945"/>
        <v>Lift 5</v>
      </c>
      <c r="AD2831" t="b">
        <f t="shared" ca="1" si="2895"/>
        <v>0</v>
      </c>
      <c r="AE2831" s="1" t="str">
        <f t="shared" ca="1" si="2916"/>
        <v>Garage 47</v>
      </c>
      <c r="AF2831" t="str">
        <f t="shared" ca="1" si="2893"/>
        <v>Garage 47</v>
      </c>
    </row>
    <row r="2832" spans="28:32" x14ac:dyDescent="0.25">
      <c r="AB2832" t="str">
        <f t="shared" ref="AB2832:AC2832" si="2946">AB2811</f>
        <v>Loading Bay</v>
      </c>
      <c r="AC2832" t="str">
        <f t="shared" si="2946"/>
        <v>Lift 6</v>
      </c>
      <c r="AD2832" t="b">
        <f t="shared" ca="1" si="2895"/>
        <v>0</v>
      </c>
      <c r="AE2832" s="1" t="str">
        <f t="shared" ca="1" si="2916"/>
        <v>Garage 47</v>
      </c>
      <c r="AF2832" t="str">
        <f t="shared" ca="1" si="2893"/>
        <v>Garage 47</v>
      </c>
    </row>
    <row r="2833" spans="28:32" x14ac:dyDescent="0.25">
      <c r="AB2833" t="str">
        <f t="shared" ref="AB2833:AC2833" si="2947">AB2812</f>
        <v>Scaffolding Platform</v>
      </c>
      <c r="AC2833" t="str">
        <f t="shared" si="2947"/>
        <v>Ground Floor</v>
      </c>
      <c r="AD2833" t="b">
        <f t="shared" ca="1" si="2895"/>
        <v>1</v>
      </c>
      <c r="AE2833" s="1" t="str">
        <f t="shared" ca="1" si="2916"/>
        <v>Garage 47</v>
      </c>
      <c r="AF2833" t="str">
        <f t="shared" ca="1" si="2893"/>
        <v>Garage 47</v>
      </c>
    </row>
    <row r="2834" spans="28:32" x14ac:dyDescent="0.25">
      <c r="AB2834" t="str">
        <f t="shared" ref="AB2834:AC2834" si="2948">AB2813</f>
        <v>Scaffolding Platform</v>
      </c>
      <c r="AC2834" t="str">
        <f t="shared" si="2948"/>
        <v>First Floor</v>
      </c>
      <c r="AD2834" t="b">
        <f t="shared" ca="1" si="2895"/>
        <v>0</v>
      </c>
      <c r="AE2834" s="1" t="str">
        <f t="shared" ca="1" si="2916"/>
        <v>Garage 47</v>
      </c>
      <c r="AF2834" t="str">
        <f t="shared" ca="1" si="2893"/>
        <v>Garage 47</v>
      </c>
    </row>
    <row r="2835" spans="28:32" x14ac:dyDescent="0.25">
      <c r="AB2835" t="str">
        <f t="shared" ref="AB2835:AC2835" si="2949">AB2814</f>
        <v>Scaffolding Platform</v>
      </c>
      <c r="AC2835" t="str">
        <f t="shared" si="2949"/>
        <v>Second Floor</v>
      </c>
      <c r="AD2835" t="b">
        <f t="shared" ca="1" si="2895"/>
        <v>0</v>
      </c>
      <c r="AE2835" s="1" t="str">
        <f t="shared" ca="1" si="2916"/>
        <v>Garage 47</v>
      </c>
      <c r="AF2835" t="str">
        <f t="shared" ca="1" si="2893"/>
        <v>Garage 47</v>
      </c>
    </row>
    <row r="2836" spans="28:32" x14ac:dyDescent="0.25">
      <c r="AB2836" t="str">
        <f t="shared" ref="AB2836:AC2836" si="2950">AB2815</f>
        <v>Supporting Scaffold</v>
      </c>
      <c r="AC2836" t="str">
        <f t="shared" si="2950"/>
        <v>Ground Floor Prop.</v>
      </c>
      <c r="AD2836" t="str">
        <f t="shared" ca="1" si="2895"/>
        <v>FALSE</v>
      </c>
      <c r="AE2836" s="1" t="str">
        <f t="shared" ca="1" si="2916"/>
        <v>Garage 47</v>
      </c>
      <c r="AF2836" t="str">
        <f t="shared" ca="1" si="2893"/>
        <v>Garage 47</v>
      </c>
    </row>
    <row r="2837" spans="28:32" x14ac:dyDescent="0.25">
      <c r="AB2837" t="str">
        <f t="shared" ref="AB2837:AC2837" si="2951">AB2816</f>
        <v>Supporting Scaffold</v>
      </c>
      <c r="AC2837" t="str">
        <f t="shared" si="2951"/>
        <v>First Floor Prop.</v>
      </c>
      <c r="AD2837" t="str">
        <f t="shared" ca="1" si="2895"/>
        <v>FALSE</v>
      </c>
      <c r="AE2837" s="1" t="str">
        <f t="shared" ca="1" si="2916"/>
        <v>Garage 47</v>
      </c>
      <c r="AF2837" t="str">
        <f t="shared" ca="1" si="2893"/>
        <v>Garage 47</v>
      </c>
    </row>
    <row r="2838" spans="28:32" x14ac:dyDescent="0.25">
      <c r="AB2838" t="str">
        <f t="shared" ref="AB2838:AC2838" si="2952">AB2817</f>
        <v>Supporting Scaffold</v>
      </c>
      <c r="AC2838" t="str">
        <f t="shared" si="2952"/>
        <v>Second Floor Prop.</v>
      </c>
      <c r="AD2838" t="str">
        <f t="shared" ca="1" si="2895"/>
        <v>FALSE</v>
      </c>
      <c r="AE2838" s="1" t="str">
        <f t="shared" ca="1" si="2916"/>
        <v>Garage 47</v>
      </c>
      <c r="AF2838" t="str">
        <f t="shared" ca="1" si="2893"/>
        <v>Garage 47</v>
      </c>
    </row>
    <row r="2839" spans="28:32" x14ac:dyDescent="0.25">
      <c r="AB2839" t="str">
        <f t="shared" ref="AB2839:AC2839" si="2953">AB2818</f>
        <v>External Scaffolding</v>
      </c>
      <c r="AC2839" t="str">
        <f t="shared" si="2953"/>
        <v>Hop-ups</v>
      </c>
      <c r="AD2839" t="b">
        <f t="shared" ca="1" si="2895"/>
        <v>1</v>
      </c>
      <c r="AE2839" s="1" t="str">
        <f t="shared" ca="1" si="2916"/>
        <v>Garage 47</v>
      </c>
      <c r="AF2839" t="str">
        <f t="shared" ca="1" si="2893"/>
        <v>Garage 47</v>
      </c>
    </row>
    <row r="2840" spans="28:32" x14ac:dyDescent="0.25">
      <c r="AB2840" t="str">
        <f t="shared" ref="AB2840:AC2840" si="2954">AB2819</f>
        <v>External Scaffolding</v>
      </c>
      <c r="AC2840" t="str">
        <f t="shared" si="2954"/>
        <v>Adaptions</v>
      </c>
      <c r="AD2840" t="b">
        <f t="shared" ca="1" si="2895"/>
        <v>1</v>
      </c>
      <c r="AE2840" s="1" t="str">
        <f t="shared" ca="1" si="2916"/>
        <v>Garage 47</v>
      </c>
      <c r="AF2840" t="str">
        <f t="shared" ca="1" si="2893"/>
        <v>Garage 47</v>
      </c>
    </row>
    <row r="2841" spans="28:32" x14ac:dyDescent="0.25">
      <c r="AB2841" t="str">
        <f t="shared" ref="AB2841:AC2841" si="2955">AB2820</f>
        <v>External Scaffolding</v>
      </c>
      <c r="AC2841" t="str">
        <f t="shared" si="2955"/>
        <v>Adaption Tower</v>
      </c>
      <c r="AD2841" t="b">
        <f t="shared" ca="1" si="2895"/>
        <v>1</v>
      </c>
      <c r="AE2841" s="1" t="str">
        <f t="shared" ca="1" si="2916"/>
        <v>Garage 47</v>
      </c>
      <c r="AF2841" t="str">
        <f t="shared" ca="1" si="2893"/>
        <v>Garage 47</v>
      </c>
    </row>
    <row r="2842" spans="28:32" x14ac:dyDescent="0.25">
      <c r="AB2842" t="str">
        <f t="shared" ref="AB2842:AC2842" si="2956">AB2821</f>
        <v>External Scaffolding</v>
      </c>
      <c r="AC2842" t="str">
        <f t="shared" si="2956"/>
        <v>Lift 1</v>
      </c>
      <c r="AD2842" t="b">
        <f t="shared" ca="1" si="2895"/>
        <v>1</v>
      </c>
      <c r="AE2842" s="1" t="str">
        <f t="shared" ca="1" si="2916"/>
        <v>Garage 48</v>
      </c>
      <c r="AF2842" t="str">
        <f t="shared" ca="1" si="2893"/>
        <v>Garage 48</v>
      </c>
    </row>
    <row r="2843" spans="28:32" x14ac:dyDescent="0.25">
      <c r="AB2843" t="str">
        <f t="shared" ref="AB2843:AC2843" si="2957">AB2822</f>
        <v>External Scaffolding</v>
      </c>
      <c r="AC2843" t="str">
        <f t="shared" si="2957"/>
        <v>Lift 2</v>
      </c>
      <c r="AD2843" t="b">
        <f t="shared" ca="1" si="2895"/>
        <v>1</v>
      </c>
      <c r="AE2843" s="1" t="str">
        <f t="shared" ca="1" si="2916"/>
        <v>Garage 48</v>
      </c>
      <c r="AF2843" t="str">
        <f t="shared" ca="1" si="2893"/>
        <v>Garage 48</v>
      </c>
    </row>
    <row r="2844" spans="28:32" x14ac:dyDescent="0.25">
      <c r="AB2844" t="str">
        <f t="shared" ref="AB2844:AC2844" si="2958">AB2823</f>
        <v>External Scaffolding</v>
      </c>
      <c r="AC2844" t="str">
        <f t="shared" si="2958"/>
        <v>Lift 3</v>
      </c>
      <c r="AD2844" t="b">
        <f t="shared" ca="1" si="2895"/>
        <v>1</v>
      </c>
      <c r="AE2844" s="1" t="str">
        <f t="shared" ca="1" si="2916"/>
        <v>Garage 48</v>
      </c>
      <c r="AF2844" t="str">
        <f t="shared" ca="1" si="2893"/>
        <v>Garage 48</v>
      </c>
    </row>
    <row r="2845" spans="28:32" x14ac:dyDescent="0.25">
      <c r="AB2845" t="str">
        <f t="shared" ref="AB2845:AC2845" si="2959">AB2824</f>
        <v>External Scaffolding</v>
      </c>
      <c r="AC2845" t="str">
        <f t="shared" si="2959"/>
        <v>Lift 4</v>
      </c>
      <c r="AD2845" t="b">
        <f t="shared" ca="1" si="2895"/>
        <v>0</v>
      </c>
      <c r="AE2845" s="1" t="str">
        <f t="shared" ca="1" si="2916"/>
        <v>Garage 48</v>
      </c>
      <c r="AF2845" t="str">
        <f t="shared" ref="AF2845:AF2908" ca="1" si="2960">IF(LEFT(AE2845,1)="G",AE2845,"Plot "&amp;AE2845)</f>
        <v>Garage 48</v>
      </c>
    </row>
    <row r="2846" spans="28:32" x14ac:dyDescent="0.25">
      <c r="AB2846" t="str">
        <f t="shared" ref="AB2846:AC2846" si="2961">AB2825</f>
        <v>External Scaffolding</v>
      </c>
      <c r="AC2846" t="str">
        <f t="shared" si="2961"/>
        <v>Lift 5</v>
      </c>
      <c r="AD2846" t="b">
        <f t="shared" ref="AD2846:AD2909" ca="1" si="2962">INDEX($AC$1:$JH$22,MATCH(AC2846,$AC$1:$AC$22,0),MATCH(AE2846,$AC$1:$JH$1,0))</f>
        <v>0</v>
      </c>
      <c r="AE2846" s="1" t="str">
        <f t="shared" ca="1" si="2916"/>
        <v>Garage 48</v>
      </c>
      <c r="AF2846" t="str">
        <f t="shared" ca="1" si="2960"/>
        <v>Garage 48</v>
      </c>
    </row>
    <row r="2847" spans="28:32" x14ac:dyDescent="0.25">
      <c r="AB2847" t="str">
        <f t="shared" ref="AB2847:AC2847" si="2963">AB2826</f>
        <v>External Scaffolding</v>
      </c>
      <c r="AC2847" t="str">
        <f t="shared" si="2963"/>
        <v>Lift 6</v>
      </c>
      <c r="AD2847" t="b">
        <f t="shared" ca="1" si="2962"/>
        <v>0</v>
      </c>
      <c r="AE2847" s="1" t="str">
        <f t="shared" ca="1" si="2916"/>
        <v>Garage 48</v>
      </c>
      <c r="AF2847" t="str">
        <f t="shared" ca="1" si="2960"/>
        <v>Garage 48</v>
      </c>
    </row>
    <row r="2848" spans="28:32" x14ac:dyDescent="0.25">
      <c r="AB2848" t="str">
        <f t="shared" ref="AB2848:AC2848" si="2964">AB2827</f>
        <v>Loading Bay</v>
      </c>
      <c r="AC2848" t="str">
        <f t="shared" si="2964"/>
        <v>Lift 1</v>
      </c>
      <c r="AD2848" t="b">
        <f t="shared" ca="1" si="2962"/>
        <v>1</v>
      </c>
      <c r="AE2848" s="1" t="str">
        <f t="shared" ca="1" si="2916"/>
        <v>Garage 48</v>
      </c>
      <c r="AF2848" t="str">
        <f t="shared" ca="1" si="2960"/>
        <v>Garage 48</v>
      </c>
    </row>
    <row r="2849" spans="28:32" x14ac:dyDescent="0.25">
      <c r="AB2849" t="str">
        <f t="shared" ref="AB2849:AC2849" si="2965">AB2828</f>
        <v>Loading Bay</v>
      </c>
      <c r="AC2849" t="str">
        <f t="shared" si="2965"/>
        <v>Lift 2</v>
      </c>
      <c r="AD2849" t="b">
        <f t="shared" ca="1" si="2962"/>
        <v>1</v>
      </c>
      <c r="AE2849" s="1" t="str">
        <f t="shared" ca="1" si="2916"/>
        <v>Garage 48</v>
      </c>
      <c r="AF2849" t="str">
        <f t="shared" ca="1" si="2960"/>
        <v>Garage 48</v>
      </c>
    </row>
    <row r="2850" spans="28:32" x14ac:dyDescent="0.25">
      <c r="AB2850" t="str">
        <f t="shared" ref="AB2850:AC2850" si="2966">AB2829</f>
        <v>Loading Bay</v>
      </c>
      <c r="AC2850" t="str">
        <f t="shared" si="2966"/>
        <v>Lift 3</v>
      </c>
      <c r="AD2850" t="b">
        <f t="shared" ca="1" si="2962"/>
        <v>1</v>
      </c>
      <c r="AE2850" s="1" t="str">
        <f t="shared" ca="1" si="2916"/>
        <v>Garage 48</v>
      </c>
      <c r="AF2850" t="str">
        <f t="shared" ca="1" si="2960"/>
        <v>Garage 48</v>
      </c>
    </row>
    <row r="2851" spans="28:32" x14ac:dyDescent="0.25">
      <c r="AB2851" t="str">
        <f t="shared" ref="AB2851:AC2851" si="2967">AB2830</f>
        <v>Loading Bay</v>
      </c>
      <c r="AC2851" t="str">
        <f t="shared" si="2967"/>
        <v>Lift 4</v>
      </c>
      <c r="AD2851" t="b">
        <f t="shared" ca="1" si="2962"/>
        <v>0</v>
      </c>
      <c r="AE2851" s="1" t="str">
        <f t="shared" ca="1" si="2916"/>
        <v>Garage 48</v>
      </c>
      <c r="AF2851" t="str">
        <f t="shared" ca="1" si="2960"/>
        <v>Garage 48</v>
      </c>
    </row>
    <row r="2852" spans="28:32" x14ac:dyDescent="0.25">
      <c r="AB2852" t="str">
        <f t="shared" ref="AB2852:AC2852" si="2968">AB2831</f>
        <v>Loading Bay</v>
      </c>
      <c r="AC2852" t="str">
        <f t="shared" si="2968"/>
        <v>Lift 5</v>
      </c>
      <c r="AD2852" t="b">
        <f t="shared" ca="1" si="2962"/>
        <v>0</v>
      </c>
      <c r="AE2852" s="1" t="str">
        <f t="shared" ca="1" si="2916"/>
        <v>Garage 48</v>
      </c>
      <c r="AF2852" t="str">
        <f t="shared" ca="1" si="2960"/>
        <v>Garage 48</v>
      </c>
    </row>
    <row r="2853" spans="28:32" x14ac:dyDescent="0.25">
      <c r="AB2853" t="str">
        <f t="shared" ref="AB2853:AC2853" si="2969">AB2832</f>
        <v>Loading Bay</v>
      </c>
      <c r="AC2853" t="str">
        <f t="shared" si="2969"/>
        <v>Lift 6</v>
      </c>
      <c r="AD2853" t="b">
        <f t="shared" ca="1" si="2962"/>
        <v>0</v>
      </c>
      <c r="AE2853" s="1" t="str">
        <f t="shared" ca="1" si="2916"/>
        <v>Garage 48</v>
      </c>
      <c r="AF2853" t="str">
        <f t="shared" ca="1" si="2960"/>
        <v>Garage 48</v>
      </c>
    </row>
    <row r="2854" spans="28:32" x14ac:dyDescent="0.25">
      <c r="AB2854" t="str">
        <f t="shared" ref="AB2854:AC2854" si="2970">AB2833</f>
        <v>Scaffolding Platform</v>
      </c>
      <c r="AC2854" t="str">
        <f t="shared" si="2970"/>
        <v>Ground Floor</v>
      </c>
      <c r="AD2854" t="b">
        <f t="shared" ca="1" si="2962"/>
        <v>1</v>
      </c>
      <c r="AE2854" s="1" t="str">
        <f t="shared" ca="1" si="2916"/>
        <v>Garage 48</v>
      </c>
      <c r="AF2854" t="str">
        <f t="shared" ca="1" si="2960"/>
        <v>Garage 48</v>
      </c>
    </row>
    <row r="2855" spans="28:32" x14ac:dyDescent="0.25">
      <c r="AB2855" t="str">
        <f t="shared" ref="AB2855:AC2855" si="2971">AB2834</f>
        <v>Scaffolding Platform</v>
      </c>
      <c r="AC2855" t="str">
        <f t="shared" si="2971"/>
        <v>First Floor</v>
      </c>
      <c r="AD2855" t="b">
        <f t="shared" ca="1" si="2962"/>
        <v>0</v>
      </c>
      <c r="AE2855" s="1" t="str">
        <f t="shared" ca="1" si="2916"/>
        <v>Garage 48</v>
      </c>
      <c r="AF2855" t="str">
        <f t="shared" ca="1" si="2960"/>
        <v>Garage 48</v>
      </c>
    </row>
    <row r="2856" spans="28:32" x14ac:dyDescent="0.25">
      <c r="AB2856" t="str">
        <f t="shared" ref="AB2856:AC2856" si="2972">AB2835</f>
        <v>Scaffolding Platform</v>
      </c>
      <c r="AC2856" t="str">
        <f t="shared" si="2972"/>
        <v>Second Floor</v>
      </c>
      <c r="AD2856" t="b">
        <f t="shared" ca="1" si="2962"/>
        <v>0</v>
      </c>
      <c r="AE2856" s="1" t="str">
        <f t="shared" ca="1" si="2916"/>
        <v>Garage 48</v>
      </c>
      <c r="AF2856" t="str">
        <f t="shared" ca="1" si="2960"/>
        <v>Garage 48</v>
      </c>
    </row>
    <row r="2857" spans="28:32" x14ac:dyDescent="0.25">
      <c r="AB2857" t="str">
        <f t="shared" ref="AB2857:AC2857" si="2973">AB2836</f>
        <v>Supporting Scaffold</v>
      </c>
      <c r="AC2857" t="str">
        <f t="shared" si="2973"/>
        <v>Ground Floor Prop.</v>
      </c>
      <c r="AD2857" t="str">
        <f t="shared" ca="1" si="2962"/>
        <v>FALSE</v>
      </c>
      <c r="AE2857" s="1" t="str">
        <f t="shared" ca="1" si="2916"/>
        <v>Garage 48</v>
      </c>
      <c r="AF2857" t="str">
        <f t="shared" ca="1" si="2960"/>
        <v>Garage 48</v>
      </c>
    </row>
    <row r="2858" spans="28:32" x14ac:dyDescent="0.25">
      <c r="AB2858" t="str">
        <f t="shared" ref="AB2858:AC2858" si="2974">AB2837</f>
        <v>Supporting Scaffold</v>
      </c>
      <c r="AC2858" t="str">
        <f t="shared" si="2974"/>
        <v>First Floor Prop.</v>
      </c>
      <c r="AD2858" t="str">
        <f t="shared" ca="1" si="2962"/>
        <v>FALSE</v>
      </c>
      <c r="AE2858" s="1" t="str">
        <f t="shared" ca="1" si="2916"/>
        <v>Garage 48</v>
      </c>
      <c r="AF2858" t="str">
        <f t="shared" ca="1" si="2960"/>
        <v>Garage 48</v>
      </c>
    </row>
    <row r="2859" spans="28:32" x14ac:dyDescent="0.25">
      <c r="AB2859" t="str">
        <f t="shared" ref="AB2859:AC2859" si="2975">AB2838</f>
        <v>Supporting Scaffold</v>
      </c>
      <c r="AC2859" t="str">
        <f t="shared" si="2975"/>
        <v>Second Floor Prop.</v>
      </c>
      <c r="AD2859" t="str">
        <f t="shared" ca="1" si="2962"/>
        <v>FALSE</v>
      </c>
      <c r="AE2859" s="1" t="str">
        <f t="shared" ca="1" si="2916"/>
        <v>Garage 48</v>
      </c>
      <c r="AF2859" t="str">
        <f t="shared" ca="1" si="2960"/>
        <v>Garage 48</v>
      </c>
    </row>
    <row r="2860" spans="28:32" x14ac:dyDescent="0.25">
      <c r="AB2860" t="str">
        <f t="shared" ref="AB2860:AC2860" si="2976">AB2839</f>
        <v>External Scaffolding</v>
      </c>
      <c r="AC2860" t="str">
        <f t="shared" si="2976"/>
        <v>Hop-ups</v>
      </c>
      <c r="AD2860" t="b">
        <f t="shared" ca="1" si="2962"/>
        <v>1</v>
      </c>
      <c r="AE2860" s="1" t="str">
        <f t="shared" ca="1" si="2916"/>
        <v>Garage 48</v>
      </c>
      <c r="AF2860" t="str">
        <f t="shared" ca="1" si="2960"/>
        <v>Garage 48</v>
      </c>
    </row>
    <row r="2861" spans="28:32" x14ac:dyDescent="0.25">
      <c r="AB2861" t="str">
        <f t="shared" ref="AB2861:AC2861" si="2977">AB2840</f>
        <v>External Scaffolding</v>
      </c>
      <c r="AC2861" t="str">
        <f t="shared" si="2977"/>
        <v>Adaptions</v>
      </c>
      <c r="AD2861" t="b">
        <f t="shared" ca="1" si="2962"/>
        <v>1</v>
      </c>
      <c r="AE2861" s="1" t="str">
        <f t="shared" ca="1" si="2916"/>
        <v>Garage 48</v>
      </c>
      <c r="AF2861" t="str">
        <f t="shared" ca="1" si="2960"/>
        <v>Garage 48</v>
      </c>
    </row>
    <row r="2862" spans="28:32" x14ac:dyDescent="0.25">
      <c r="AB2862" t="str">
        <f t="shared" ref="AB2862:AC2862" si="2978">AB2841</f>
        <v>External Scaffolding</v>
      </c>
      <c r="AC2862" t="str">
        <f t="shared" si="2978"/>
        <v>Adaption Tower</v>
      </c>
      <c r="AD2862" t="b">
        <f t="shared" ca="1" si="2962"/>
        <v>1</v>
      </c>
      <c r="AE2862" s="1" t="str">
        <f t="shared" ca="1" si="2916"/>
        <v>Garage 48</v>
      </c>
      <c r="AF2862" t="str">
        <f t="shared" ca="1" si="2960"/>
        <v>Garage 48</v>
      </c>
    </row>
    <row r="2863" spans="28:32" x14ac:dyDescent="0.25">
      <c r="AB2863" t="str">
        <f t="shared" ref="AB2863:AC2863" si="2979">AB2842</f>
        <v>External Scaffolding</v>
      </c>
      <c r="AC2863" t="str">
        <f t="shared" si="2979"/>
        <v>Lift 1</v>
      </c>
      <c r="AD2863" t="b">
        <f t="shared" ca="1" si="2962"/>
        <v>1</v>
      </c>
      <c r="AE2863" s="1" t="str">
        <f t="shared" ca="1" si="2916"/>
        <v>Garage 49</v>
      </c>
      <c r="AF2863" t="str">
        <f t="shared" ca="1" si="2960"/>
        <v>Garage 49</v>
      </c>
    </row>
    <row r="2864" spans="28:32" x14ac:dyDescent="0.25">
      <c r="AB2864" t="str">
        <f t="shared" ref="AB2864:AC2864" si="2980">AB2843</f>
        <v>External Scaffolding</v>
      </c>
      <c r="AC2864" t="str">
        <f t="shared" si="2980"/>
        <v>Lift 2</v>
      </c>
      <c r="AD2864" t="b">
        <f t="shared" ca="1" si="2962"/>
        <v>1</v>
      </c>
      <c r="AE2864" s="1" t="str">
        <f t="shared" ca="1" si="2916"/>
        <v>Garage 49</v>
      </c>
      <c r="AF2864" t="str">
        <f t="shared" ca="1" si="2960"/>
        <v>Garage 49</v>
      </c>
    </row>
    <row r="2865" spans="28:32" x14ac:dyDescent="0.25">
      <c r="AB2865" t="str">
        <f t="shared" ref="AB2865:AC2865" si="2981">AB2844</f>
        <v>External Scaffolding</v>
      </c>
      <c r="AC2865" t="str">
        <f t="shared" si="2981"/>
        <v>Lift 3</v>
      </c>
      <c r="AD2865" t="b">
        <f t="shared" ca="1" si="2962"/>
        <v>1</v>
      </c>
      <c r="AE2865" s="1" t="str">
        <f t="shared" ca="1" si="2916"/>
        <v>Garage 49</v>
      </c>
      <c r="AF2865" t="str">
        <f t="shared" ca="1" si="2960"/>
        <v>Garage 49</v>
      </c>
    </row>
    <row r="2866" spans="28:32" x14ac:dyDescent="0.25">
      <c r="AB2866" t="str">
        <f t="shared" ref="AB2866:AC2866" si="2982">AB2845</f>
        <v>External Scaffolding</v>
      </c>
      <c r="AC2866" t="str">
        <f t="shared" si="2982"/>
        <v>Lift 4</v>
      </c>
      <c r="AD2866" t="b">
        <f t="shared" ca="1" si="2962"/>
        <v>0</v>
      </c>
      <c r="AE2866" s="1" t="str">
        <f t="shared" ref="AE2866:AE2929" ca="1" si="2983">OFFSET($AD$1,0,FLOOR(ROW(B2838)/21,1))</f>
        <v>Garage 49</v>
      </c>
      <c r="AF2866" t="str">
        <f t="shared" ca="1" si="2960"/>
        <v>Garage 49</v>
      </c>
    </row>
    <row r="2867" spans="28:32" x14ac:dyDescent="0.25">
      <c r="AB2867" t="str">
        <f t="shared" ref="AB2867:AC2867" si="2984">AB2846</f>
        <v>External Scaffolding</v>
      </c>
      <c r="AC2867" t="str">
        <f t="shared" si="2984"/>
        <v>Lift 5</v>
      </c>
      <c r="AD2867" t="b">
        <f t="shared" ca="1" si="2962"/>
        <v>0</v>
      </c>
      <c r="AE2867" s="1" t="str">
        <f t="shared" ca="1" si="2983"/>
        <v>Garage 49</v>
      </c>
      <c r="AF2867" t="str">
        <f t="shared" ca="1" si="2960"/>
        <v>Garage 49</v>
      </c>
    </row>
    <row r="2868" spans="28:32" x14ac:dyDescent="0.25">
      <c r="AB2868" t="str">
        <f t="shared" ref="AB2868:AC2868" si="2985">AB2847</f>
        <v>External Scaffolding</v>
      </c>
      <c r="AC2868" t="str">
        <f t="shared" si="2985"/>
        <v>Lift 6</v>
      </c>
      <c r="AD2868" t="b">
        <f t="shared" ca="1" si="2962"/>
        <v>0</v>
      </c>
      <c r="AE2868" s="1" t="str">
        <f t="shared" ca="1" si="2983"/>
        <v>Garage 49</v>
      </c>
      <c r="AF2868" t="str">
        <f t="shared" ca="1" si="2960"/>
        <v>Garage 49</v>
      </c>
    </row>
    <row r="2869" spans="28:32" x14ac:dyDescent="0.25">
      <c r="AB2869" t="str">
        <f t="shared" ref="AB2869:AC2869" si="2986">AB2848</f>
        <v>Loading Bay</v>
      </c>
      <c r="AC2869" t="str">
        <f t="shared" si="2986"/>
        <v>Lift 1</v>
      </c>
      <c r="AD2869" t="b">
        <f t="shared" ca="1" si="2962"/>
        <v>1</v>
      </c>
      <c r="AE2869" s="1" t="str">
        <f t="shared" ca="1" si="2983"/>
        <v>Garage 49</v>
      </c>
      <c r="AF2869" t="str">
        <f t="shared" ca="1" si="2960"/>
        <v>Garage 49</v>
      </c>
    </row>
    <row r="2870" spans="28:32" x14ac:dyDescent="0.25">
      <c r="AB2870" t="str">
        <f t="shared" ref="AB2870:AC2870" si="2987">AB2849</f>
        <v>Loading Bay</v>
      </c>
      <c r="AC2870" t="str">
        <f t="shared" si="2987"/>
        <v>Lift 2</v>
      </c>
      <c r="AD2870" t="b">
        <f t="shared" ca="1" si="2962"/>
        <v>1</v>
      </c>
      <c r="AE2870" s="1" t="str">
        <f t="shared" ca="1" si="2983"/>
        <v>Garage 49</v>
      </c>
      <c r="AF2870" t="str">
        <f t="shared" ca="1" si="2960"/>
        <v>Garage 49</v>
      </c>
    </row>
    <row r="2871" spans="28:32" x14ac:dyDescent="0.25">
      <c r="AB2871" t="str">
        <f t="shared" ref="AB2871:AC2871" si="2988">AB2850</f>
        <v>Loading Bay</v>
      </c>
      <c r="AC2871" t="str">
        <f t="shared" si="2988"/>
        <v>Lift 3</v>
      </c>
      <c r="AD2871" t="b">
        <f t="shared" ca="1" si="2962"/>
        <v>1</v>
      </c>
      <c r="AE2871" s="1" t="str">
        <f t="shared" ca="1" si="2983"/>
        <v>Garage 49</v>
      </c>
      <c r="AF2871" t="str">
        <f t="shared" ca="1" si="2960"/>
        <v>Garage 49</v>
      </c>
    </row>
    <row r="2872" spans="28:32" x14ac:dyDescent="0.25">
      <c r="AB2872" t="str">
        <f t="shared" ref="AB2872:AC2872" si="2989">AB2851</f>
        <v>Loading Bay</v>
      </c>
      <c r="AC2872" t="str">
        <f t="shared" si="2989"/>
        <v>Lift 4</v>
      </c>
      <c r="AD2872" t="b">
        <f t="shared" ca="1" si="2962"/>
        <v>0</v>
      </c>
      <c r="AE2872" s="1" t="str">
        <f t="shared" ca="1" si="2983"/>
        <v>Garage 49</v>
      </c>
      <c r="AF2872" t="str">
        <f t="shared" ca="1" si="2960"/>
        <v>Garage 49</v>
      </c>
    </row>
    <row r="2873" spans="28:32" x14ac:dyDescent="0.25">
      <c r="AB2873" t="str">
        <f t="shared" ref="AB2873:AC2873" si="2990">AB2852</f>
        <v>Loading Bay</v>
      </c>
      <c r="AC2873" t="str">
        <f t="shared" si="2990"/>
        <v>Lift 5</v>
      </c>
      <c r="AD2873" t="b">
        <f t="shared" ca="1" si="2962"/>
        <v>0</v>
      </c>
      <c r="AE2873" s="1" t="str">
        <f t="shared" ca="1" si="2983"/>
        <v>Garage 49</v>
      </c>
      <c r="AF2873" t="str">
        <f t="shared" ca="1" si="2960"/>
        <v>Garage 49</v>
      </c>
    </row>
    <row r="2874" spans="28:32" x14ac:dyDescent="0.25">
      <c r="AB2874" t="str">
        <f t="shared" ref="AB2874:AC2874" si="2991">AB2853</f>
        <v>Loading Bay</v>
      </c>
      <c r="AC2874" t="str">
        <f t="shared" si="2991"/>
        <v>Lift 6</v>
      </c>
      <c r="AD2874" t="b">
        <f t="shared" ca="1" si="2962"/>
        <v>0</v>
      </c>
      <c r="AE2874" s="1" t="str">
        <f t="shared" ca="1" si="2983"/>
        <v>Garage 49</v>
      </c>
      <c r="AF2874" t="str">
        <f t="shared" ca="1" si="2960"/>
        <v>Garage 49</v>
      </c>
    </row>
    <row r="2875" spans="28:32" x14ac:dyDescent="0.25">
      <c r="AB2875" t="str">
        <f t="shared" ref="AB2875:AC2875" si="2992">AB2854</f>
        <v>Scaffolding Platform</v>
      </c>
      <c r="AC2875" t="str">
        <f t="shared" si="2992"/>
        <v>Ground Floor</v>
      </c>
      <c r="AD2875" t="b">
        <f t="shared" ca="1" si="2962"/>
        <v>1</v>
      </c>
      <c r="AE2875" s="1" t="str">
        <f t="shared" ca="1" si="2983"/>
        <v>Garage 49</v>
      </c>
      <c r="AF2875" t="str">
        <f t="shared" ca="1" si="2960"/>
        <v>Garage 49</v>
      </c>
    </row>
    <row r="2876" spans="28:32" x14ac:dyDescent="0.25">
      <c r="AB2876" t="str">
        <f t="shared" ref="AB2876:AC2876" si="2993">AB2855</f>
        <v>Scaffolding Platform</v>
      </c>
      <c r="AC2876" t="str">
        <f t="shared" si="2993"/>
        <v>First Floor</v>
      </c>
      <c r="AD2876" t="b">
        <f t="shared" ca="1" si="2962"/>
        <v>0</v>
      </c>
      <c r="AE2876" s="1" t="str">
        <f t="shared" ca="1" si="2983"/>
        <v>Garage 49</v>
      </c>
      <c r="AF2876" t="str">
        <f t="shared" ca="1" si="2960"/>
        <v>Garage 49</v>
      </c>
    </row>
    <row r="2877" spans="28:32" x14ac:dyDescent="0.25">
      <c r="AB2877" t="str">
        <f t="shared" ref="AB2877:AC2877" si="2994">AB2856</f>
        <v>Scaffolding Platform</v>
      </c>
      <c r="AC2877" t="str">
        <f t="shared" si="2994"/>
        <v>Second Floor</v>
      </c>
      <c r="AD2877" t="b">
        <f t="shared" ca="1" si="2962"/>
        <v>0</v>
      </c>
      <c r="AE2877" s="1" t="str">
        <f t="shared" ca="1" si="2983"/>
        <v>Garage 49</v>
      </c>
      <c r="AF2877" t="str">
        <f t="shared" ca="1" si="2960"/>
        <v>Garage 49</v>
      </c>
    </row>
    <row r="2878" spans="28:32" x14ac:dyDescent="0.25">
      <c r="AB2878" t="str">
        <f t="shared" ref="AB2878:AC2878" si="2995">AB2857</f>
        <v>Supporting Scaffold</v>
      </c>
      <c r="AC2878" t="str">
        <f t="shared" si="2995"/>
        <v>Ground Floor Prop.</v>
      </c>
      <c r="AD2878" t="str">
        <f t="shared" ca="1" si="2962"/>
        <v>FALSE</v>
      </c>
      <c r="AE2878" s="1" t="str">
        <f t="shared" ca="1" si="2983"/>
        <v>Garage 49</v>
      </c>
      <c r="AF2878" t="str">
        <f t="shared" ca="1" si="2960"/>
        <v>Garage 49</v>
      </c>
    </row>
    <row r="2879" spans="28:32" x14ac:dyDescent="0.25">
      <c r="AB2879" t="str">
        <f t="shared" ref="AB2879:AC2879" si="2996">AB2858</f>
        <v>Supporting Scaffold</v>
      </c>
      <c r="AC2879" t="str">
        <f t="shared" si="2996"/>
        <v>First Floor Prop.</v>
      </c>
      <c r="AD2879" t="str">
        <f t="shared" ca="1" si="2962"/>
        <v>FALSE</v>
      </c>
      <c r="AE2879" s="1" t="str">
        <f t="shared" ca="1" si="2983"/>
        <v>Garage 49</v>
      </c>
      <c r="AF2879" t="str">
        <f t="shared" ca="1" si="2960"/>
        <v>Garage 49</v>
      </c>
    </row>
    <row r="2880" spans="28:32" x14ac:dyDescent="0.25">
      <c r="AB2880" t="str">
        <f t="shared" ref="AB2880:AC2880" si="2997">AB2859</f>
        <v>Supporting Scaffold</v>
      </c>
      <c r="AC2880" t="str">
        <f t="shared" si="2997"/>
        <v>Second Floor Prop.</v>
      </c>
      <c r="AD2880" t="str">
        <f t="shared" ca="1" si="2962"/>
        <v>FALSE</v>
      </c>
      <c r="AE2880" s="1" t="str">
        <f t="shared" ca="1" si="2983"/>
        <v>Garage 49</v>
      </c>
      <c r="AF2880" t="str">
        <f t="shared" ca="1" si="2960"/>
        <v>Garage 49</v>
      </c>
    </row>
    <row r="2881" spans="28:32" x14ac:dyDescent="0.25">
      <c r="AB2881" t="str">
        <f t="shared" ref="AB2881:AC2881" si="2998">AB2860</f>
        <v>External Scaffolding</v>
      </c>
      <c r="AC2881" t="str">
        <f t="shared" si="2998"/>
        <v>Hop-ups</v>
      </c>
      <c r="AD2881" t="b">
        <f t="shared" ca="1" si="2962"/>
        <v>1</v>
      </c>
      <c r="AE2881" s="1" t="str">
        <f t="shared" ca="1" si="2983"/>
        <v>Garage 49</v>
      </c>
      <c r="AF2881" t="str">
        <f t="shared" ca="1" si="2960"/>
        <v>Garage 49</v>
      </c>
    </row>
    <row r="2882" spans="28:32" x14ac:dyDescent="0.25">
      <c r="AB2882" t="str">
        <f t="shared" ref="AB2882:AC2882" si="2999">AB2861</f>
        <v>External Scaffolding</v>
      </c>
      <c r="AC2882" t="str">
        <f t="shared" si="2999"/>
        <v>Adaptions</v>
      </c>
      <c r="AD2882" t="b">
        <f t="shared" ca="1" si="2962"/>
        <v>1</v>
      </c>
      <c r="AE2882" s="1" t="str">
        <f t="shared" ca="1" si="2983"/>
        <v>Garage 49</v>
      </c>
      <c r="AF2882" t="str">
        <f t="shared" ca="1" si="2960"/>
        <v>Garage 49</v>
      </c>
    </row>
    <row r="2883" spans="28:32" x14ac:dyDescent="0.25">
      <c r="AB2883" t="str">
        <f t="shared" ref="AB2883:AC2883" si="3000">AB2862</f>
        <v>External Scaffolding</v>
      </c>
      <c r="AC2883" t="str">
        <f t="shared" si="3000"/>
        <v>Adaption Tower</v>
      </c>
      <c r="AD2883" t="b">
        <f t="shared" ca="1" si="2962"/>
        <v>1</v>
      </c>
      <c r="AE2883" s="1" t="str">
        <f t="shared" ca="1" si="2983"/>
        <v>Garage 49</v>
      </c>
      <c r="AF2883" t="str">
        <f t="shared" ca="1" si="2960"/>
        <v>Garage 49</v>
      </c>
    </row>
    <row r="2884" spans="28:32" x14ac:dyDescent="0.25">
      <c r="AB2884" t="str">
        <f t="shared" ref="AB2884:AC2884" si="3001">AB2863</f>
        <v>External Scaffolding</v>
      </c>
      <c r="AC2884" t="str">
        <f t="shared" si="3001"/>
        <v>Lift 1</v>
      </c>
      <c r="AD2884" t="b">
        <f t="shared" ca="1" si="2962"/>
        <v>1</v>
      </c>
      <c r="AE2884" s="1" t="str">
        <f t="shared" ca="1" si="2983"/>
        <v>Garage 50</v>
      </c>
      <c r="AF2884" t="str">
        <f t="shared" ca="1" si="2960"/>
        <v>Garage 50</v>
      </c>
    </row>
    <row r="2885" spans="28:32" x14ac:dyDescent="0.25">
      <c r="AB2885" t="str">
        <f t="shared" ref="AB2885:AC2885" si="3002">AB2864</f>
        <v>External Scaffolding</v>
      </c>
      <c r="AC2885" t="str">
        <f t="shared" si="3002"/>
        <v>Lift 2</v>
      </c>
      <c r="AD2885" t="b">
        <f t="shared" ca="1" si="2962"/>
        <v>1</v>
      </c>
      <c r="AE2885" s="1" t="str">
        <f t="shared" ca="1" si="2983"/>
        <v>Garage 50</v>
      </c>
      <c r="AF2885" t="str">
        <f t="shared" ca="1" si="2960"/>
        <v>Garage 50</v>
      </c>
    </row>
    <row r="2886" spans="28:32" x14ac:dyDescent="0.25">
      <c r="AB2886" t="str">
        <f t="shared" ref="AB2886:AC2886" si="3003">AB2865</f>
        <v>External Scaffolding</v>
      </c>
      <c r="AC2886" t="str">
        <f t="shared" si="3003"/>
        <v>Lift 3</v>
      </c>
      <c r="AD2886" t="b">
        <f t="shared" ca="1" si="2962"/>
        <v>1</v>
      </c>
      <c r="AE2886" s="1" t="str">
        <f t="shared" ca="1" si="2983"/>
        <v>Garage 50</v>
      </c>
      <c r="AF2886" t="str">
        <f t="shared" ca="1" si="2960"/>
        <v>Garage 50</v>
      </c>
    </row>
    <row r="2887" spans="28:32" x14ac:dyDescent="0.25">
      <c r="AB2887" t="str">
        <f t="shared" ref="AB2887:AC2887" si="3004">AB2866</f>
        <v>External Scaffolding</v>
      </c>
      <c r="AC2887" t="str">
        <f t="shared" si="3004"/>
        <v>Lift 4</v>
      </c>
      <c r="AD2887" t="b">
        <f t="shared" ca="1" si="2962"/>
        <v>0</v>
      </c>
      <c r="AE2887" s="1" t="str">
        <f t="shared" ca="1" si="2983"/>
        <v>Garage 50</v>
      </c>
      <c r="AF2887" t="str">
        <f t="shared" ca="1" si="2960"/>
        <v>Garage 50</v>
      </c>
    </row>
    <row r="2888" spans="28:32" x14ac:dyDescent="0.25">
      <c r="AB2888" t="str">
        <f t="shared" ref="AB2888:AC2888" si="3005">AB2867</f>
        <v>External Scaffolding</v>
      </c>
      <c r="AC2888" t="str">
        <f t="shared" si="3005"/>
        <v>Lift 5</v>
      </c>
      <c r="AD2888" t="b">
        <f t="shared" ca="1" si="2962"/>
        <v>0</v>
      </c>
      <c r="AE2888" s="1" t="str">
        <f t="shared" ca="1" si="2983"/>
        <v>Garage 50</v>
      </c>
      <c r="AF2888" t="str">
        <f t="shared" ca="1" si="2960"/>
        <v>Garage 50</v>
      </c>
    </row>
    <row r="2889" spans="28:32" x14ac:dyDescent="0.25">
      <c r="AB2889" t="str">
        <f t="shared" ref="AB2889:AC2889" si="3006">AB2868</f>
        <v>External Scaffolding</v>
      </c>
      <c r="AC2889" t="str">
        <f t="shared" si="3006"/>
        <v>Lift 6</v>
      </c>
      <c r="AD2889" t="b">
        <f t="shared" ca="1" si="2962"/>
        <v>0</v>
      </c>
      <c r="AE2889" s="1" t="str">
        <f t="shared" ca="1" si="2983"/>
        <v>Garage 50</v>
      </c>
      <c r="AF2889" t="str">
        <f t="shared" ca="1" si="2960"/>
        <v>Garage 50</v>
      </c>
    </row>
    <row r="2890" spans="28:32" x14ac:dyDescent="0.25">
      <c r="AB2890" t="str">
        <f t="shared" ref="AB2890:AC2890" si="3007">AB2869</f>
        <v>Loading Bay</v>
      </c>
      <c r="AC2890" t="str">
        <f t="shared" si="3007"/>
        <v>Lift 1</v>
      </c>
      <c r="AD2890" t="b">
        <f t="shared" ca="1" si="2962"/>
        <v>1</v>
      </c>
      <c r="AE2890" s="1" t="str">
        <f t="shared" ca="1" si="2983"/>
        <v>Garage 50</v>
      </c>
      <c r="AF2890" t="str">
        <f t="shared" ca="1" si="2960"/>
        <v>Garage 50</v>
      </c>
    </row>
    <row r="2891" spans="28:32" x14ac:dyDescent="0.25">
      <c r="AB2891" t="str">
        <f t="shared" ref="AB2891:AC2891" si="3008">AB2870</f>
        <v>Loading Bay</v>
      </c>
      <c r="AC2891" t="str">
        <f t="shared" si="3008"/>
        <v>Lift 2</v>
      </c>
      <c r="AD2891" t="b">
        <f t="shared" ca="1" si="2962"/>
        <v>1</v>
      </c>
      <c r="AE2891" s="1" t="str">
        <f t="shared" ca="1" si="2983"/>
        <v>Garage 50</v>
      </c>
      <c r="AF2891" t="str">
        <f t="shared" ca="1" si="2960"/>
        <v>Garage 50</v>
      </c>
    </row>
    <row r="2892" spans="28:32" x14ac:dyDescent="0.25">
      <c r="AB2892" t="str">
        <f t="shared" ref="AB2892:AC2892" si="3009">AB2871</f>
        <v>Loading Bay</v>
      </c>
      <c r="AC2892" t="str">
        <f t="shared" si="3009"/>
        <v>Lift 3</v>
      </c>
      <c r="AD2892" t="b">
        <f t="shared" ca="1" si="2962"/>
        <v>1</v>
      </c>
      <c r="AE2892" s="1" t="str">
        <f t="shared" ca="1" si="2983"/>
        <v>Garage 50</v>
      </c>
      <c r="AF2892" t="str">
        <f t="shared" ca="1" si="2960"/>
        <v>Garage 50</v>
      </c>
    </row>
    <row r="2893" spans="28:32" x14ac:dyDescent="0.25">
      <c r="AB2893" t="str">
        <f t="shared" ref="AB2893:AC2893" si="3010">AB2872</f>
        <v>Loading Bay</v>
      </c>
      <c r="AC2893" t="str">
        <f t="shared" si="3010"/>
        <v>Lift 4</v>
      </c>
      <c r="AD2893" t="b">
        <f t="shared" ca="1" si="2962"/>
        <v>0</v>
      </c>
      <c r="AE2893" s="1" t="str">
        <f t="shared" ca="1" si="2983"/>
        <v>Garage 50</v>
      </c>
      <c r="AF2893" t="str">
        <f t="shared" ca="1" si="2960"/>
        <v>Garage 50</v>
      </c>
    </row>
    <row r="2894" spans="28:32" x14ac:dyDescent="0.25">
      <c r="AB2894" t="str">
        <f t="shared" ref="AB2894:AC2894" si="3011">AB2873</f>
        <v>Loading Bay</v>
      </c>
      <c r="AC2894" t="str">
        <f t="shared" si="3011"/>
        <v>Lift 5</v>
      </c>
      <c r="AD2894" t="b">
        <f t="shared" ca="1" si="2962"/>
        <v>0</v>
      </c>
      <c r="AE2894" s="1" t="str">
        <f t="shared" ca="1" si="2983"/>
        <v>Garage 50</v>
      </c>
      <c r="AF2894" t="str">
        <f t="shared" ca="1" si="2960"/>
        <v>Garage 50</v>
      </c>
    </row>
    <row r="2895" spans="28:32" x14ac:dyDescent="0.25">
      <c r="AB2895" t="str">
        <f t="shared" ref="AB2895:AC2895" si="3012">AB2874</f>
        <v>Loading Bay</v>
      </c>
      <c r="AC2895" t="str">
        <f t="shared" si="3012"/>
        <v>Lift 6</v>
      </c>
      <c r="AD2895" t="b">
        <f t="shared" ca="1" si="2962"/>
        <v>0</v>
      </c>
      <c r="AE2895" s="1" t="str">
        <f t="shared" ca="1" si="2983"/>
        <v>Garage 50</v>
      </c>
      <c r="AF2895" t="str">
        <f t="shared" ca="1" si="2960"/>
        <v>Garage 50</v>
      </c>
    </row>
    <row r="2896" spans="28:32" x14ac:dyDescent="0.25">
      <c r="AB2896" t="str">
        <f t="shared" ref="AB2896:AC2896" si="3013">AB2875</f>
        <v>Scaffolding Platform</v>
      </c>
      <c r="AC2896" t="str">
        <f t="shared" si="3013"/>
        <v>Ground Floor</v>
      </c>
      <c r="AD2896" t="b">
        <f t="shared" ca="1" si="2962"/>
        <v>1</v>
      </c>
      <c r="AE2896" s="1" t="str">
        <f t="shared" ca="1" si="2983"/>
        <v>Garage 50</v>
      </c>
      <c r="AF2896" t="str">
        <f t="shared" ca="1" si="2960"/>
        <v>Garage 50</v>
      </c>
    </row>
    <row r="2897" spans="28:32" x14ac:dyDescent="0.25">
      <c r="AB2897" t="str">
        <f t="shared" ref="AB2897:AC2897" si="3014">AB2876</f>
        <v>Scaffolding Platform</v>
      </c>
      <c r="AC2897" t="str">
        <f t="shared" si="3014"/>
        <v>First Floor</v>
      </c>
      <c r="AD2897" t="b">
        <f t="shared" ca="1" si="2962"/>
        <v>0</v>
      </c>
      <c r="AE2897" s="1" t="str">
        <f t="shared" ca="1" si="2983"/>
        <v>Garage 50</v>
      </c>
      <c r="AF2897" t="str">
        <f t="shared" ca="1" si="2960"/>
        <v>Garage 50</v>
      </c>
    </row>
    <row r="2898" spans="28:32" x14ac:dyDescent="0.25">
      <c r="AB2898" t="str">
        <f t="shared" ref="AB2898:AC2898" si="3015">AB2877</f>
        <v>Scaffolding Platform</v>
      </c>
      <c r="AC2898" t="str">
        <f t="shared" si="3015"/>
        <v>Second Floor</v>
      </c>
      <c r="AD2898" t="b">
        <f t="shared" ca="1" si="2962"/>
        <v>0</v>
      </c>
      <c r="AE2898" s="1" t="str">
        <f t="shared" ca="1" si="2983"/>
        <v>Garage 50</v>
      </c>
      <c r="AF2898" t="str">
        <f t="shared" ca="1" si="2960"/>
        <v>Garage 50</v>
      </c>
    </row>
    <row r="2899" spans="28:32" x14ac:dyDescent="0.25">
      <c r="AB2899" t="str">
        <f t="shared" ref="AB2899:AC2899" si="3016">AB2878</f>
        <v>Supporting Scaffold</v>
      </c>
      <c r="AC2899" t="str">
        <f t="shared" si="3016"/>
        <v>Ground Floor Prop.</v>
      </c>
      <c r="AD2899" t="str">
        <f t="shared" ca="1" si="2962"/>
        <v>FALSE</v>
      </c>
      <c r="AE2899" s="1" t="str">
        <f t="shared" ca="1" si="2983"/>
        <v>Garage 50</v>
      </c>
      <c r="AF2899" t="str">
        <f t="shared" ca="1" si="2960"/>
        <v>Garage 50</v>
      </c>
    </row>
    <row r="2900" spans="28:32" x14ac:dyDescent="0.25">
      <c r="AB2900" t="str">
        <f t="shared" ref="AB2900:AC2900" si="3017">AB2879</f>
        <v>Supporting Scaffold</v>
      </c>
      <c r="AC2900" t="str">
        <f t="shared" si="3017"/>
        <v>First Floor Prop.</v>
      </c>
      <c r="AD2900" t="str">
        <f t="shared" ca="1" si="2962"/>
        <v>FALSE</v>
      </c>
      <c r="AE2900" s="1" t="str">
        <f t="shared" ca="1" si="2983"/>
        <v>Garage 50</v>
      </c>
      <c r="AF2900" t="str">
        <f t="shared" ca="1" si="2960"/>
        <v>Garage 50</v>
      </c>
    </row>
    <row r="2901" spans="28:32" x14ac:dyDescent="0.25">
      <c r="AB2901" t="str">
        <f t="shared" ref="AB2901:AC2901" si="3018">AB2880</f>
        <v>Supporting Scaffold</v>
      </c>
      <c r="AC2901" t="str">
        <f t="shared" si="3018"/>
        <v>Second Floor Prop.</v>
      </c>
      <c r="AD2901" t="str">
        <f t="shared" ca="1" si="2962"/>
        <v>FALSE</v>
      </c>
      <c r="AE2901" s="1" t="str">
        <f t="shared" ca="1" si="2983"/>
        <v>Garage 50</v>
      </c>
      <c r="AF2901" t="str">
        <f t="shared" ca="1" si="2960"/>
        <v>Garage 50</v>
      </c>
    </row>
    <row r="2902" spans="28:32" x14ac:dyDescent="0.25">
      <c r="AB2902" t="str">
        <f t="shared" ref="AB2902:AC2902" si="3019">AB2881</f>
        <v>External Scaffolding</v>
      </c>
      <c r="AC2902" t="str">
        <f t="shared" si="3019"/>
        <v>Hop-ups</v>
      </c>
      <c r="AD2902" t="b">
        <f t="shared" ca="1" si="2962"/>
        <v>1</v>
      </c>
      <c r="AE2902" s="1" t="str">
        <f t="shared" ca="1" si="2983"/>
        <v>Garage 50</v>
      </c>
      <c r="AF2902" t="str">
        <f t="shared" ca="1" si="2960"/>
        <v>Garage 50</v>
      </c>
    </row>
    <row r="2903" spans="28:32" x14ac:dyDescent="0.25">
      <c r="AB2903" t="str">
        <f t="shared" ref="AB2903:AC2903" si="3020">AB2882</f>
        <v>External Scaffolding</v>
      </c>
      <c r="AC2903" t="str">
        <f t="shared" si="3020"/>
        <v>Adaptions</v>
      </c>
      <c r="AD2903" t="b">
        <f t="shared" ca="1" si="2962"/>
        <v>1</v>
      </c>
      <c r="AE2903" s="1" t="str">
        <f t="shared" ca="1" si="2983"/>
        <v>Garage 50</v>
      </c>
      <c r="AF2903" t="str">
        <f t="shared" ca="1" si="2960"/>
        <v>Garage 50</v>
      </c>
    </row>
    <row r="2904" spans="28:32" x14ac:dyDescent="0.25">
      <c r="AB2904" t="str">
        <f t="shared" ref="AB2904:AC2904" si="3021">AB2883</f>
        <v>External Scaffolding</v>
      </c>
      <c r="AC2904" t="str">
        <f t="shared" si="3021"/>
        <v>Adaption Tower</v>
      </c>
      <c r="AD2904" t="b">
        <f t="shared" ca="1" si="2962"/>
        <v>1</v>
      </c>
      <c r="AE2904" s="1" t="str">
        <f t="shared" ca="1" si="2983"/>
        <v>Garage 50</v>
      </c>
      <c r="AF2904" t="str">
        <f t="shared" ca="1" si="2960"/>
        <v>Garage 50</v>
      </c>
    </row>
    <row r="2905" spans="28:32" x14ac:dyDescent="0.25">
      <c r="AB2905" t="str">
        <f t="shared" ref="AB2905:AC2905" si="3022">AB2884</f>
        <v>External Scaffolding</v>
      </c>
      <c r="AC2905" t="str">
        <f t="shared" si="3022"/>
        <v>Lift 1</v>
      </c>
      <c r="AD2905" t="b">
        <f t="shared" ca="1" si="2962"/>
        <v>1</v>
      </c>
      <c r="AE2905" s="1" t="str">
        <f t="shared" ca="1" si="2983"/>
        <v>Garage 51</v>
      </c>
      <c r="AF2905" t="str">
        <f t="shared" ca="1" si="2960"/>
        <v>Garage 51</v>
      </c>
    </row>
    <row r="2906" spans="28:32" x14ac:dyDescent="0.25">
      <c r="AB2906" t="str">
        <f t="shared" ref="AB2906:AC2906" si="3023">AB2885</f>
        <v>External Scaffolding</v>
      </c>
      <c r="AC2906" t="str">
        <f t="shared" si="3023"/>
        <v>Lift 2</v>
      </c>
      <c r="AD2906" t="b">
        <f t="shared" ca="1" si="2962"/>
        <v>1</v>
      </c>
      <c r="AE2906" s="1" t="str">
        <f t="shared" ca="1" si="2983"/>
        <v>Garage 51</v>
      </c>
      <c r="AF2906" t="str">
        <f t="shared" ca="1" si="2960"/>
        <v>Garage 51</v>
      </c>
    </row>
    <row r="2907" spans="28:32" x14ac:dyDescent="0.25">
      <c r="AB2907" t="str">
        <f t="shared" ref="AB2907:AC2907" si="3024">AB2886</f>
        <v>External Scaffolding</v>
      </c>
      <c r="AC2907" t="str">
        <f t="shared" si="3024"/>
        <v>Lift 3</v>
      </c>
      <c r="AD2907" t="b">
        <f t="shared" ca="1" si="2962"/>
        <v>1</v>
      </c>
      <c r="AE2907" s="1" t="str">
        <f t="shared" ca="1" si="2983"/>
        <v>Garage 51</v>
      </c>
      <c r="AF2907" t="str">
        <f t="shared" ca="1" si="2960"/>
        <v>Garage 51</v>
      </c>
    </row>
    <row r="2908" spans="28:32" x14ac:dyDescent="0.25">
      <c r="AB2908" t="str">
        <f t="shared" ref="AB2908:AC2908" si="3025">AB2887</f>
        <v>External Scaffolding</v>
      </c>
      <c r="AC2908" t="str">
        <f t="shared" si="3025"/>
        <v>Lift 4</v>
      </c>
      <c r="AD2908" t="b">
        <f t="shared" ca="1" si="2962"/>
        <v>0</v>
      </c>
      <c r="AE2908" s="1" t="str">
        <f t="shared" ca="1" si="2983"/>
        <v>Garage 51</v>
      </c>
      <c r="AF2908" t="str">
        <f t="shared" ca="1" si="2960"/>
        <v>Garage 51</v>
      </c>
    </row>
    <row r="2909" spans="28:32" x14ac:dyDescent="0.25">
      <c r="AB2909" t="str">
        <f t="shared" ref="AB2909:AC2909" si="3026">AB2888</f>
        <v>External Scaffolding</v>
      </c>
      <c r="AC2909" t="str">
        <f t="shared" si="3026"/>
        <v>Lift 5</v>
      </c>
      <c r="AD2909" t="b">
        <f t="shared" ca="1" si="2962"/>
        <v>0</v>
      </c>
      <c r="AE2909" s="1" t="str">
        <f t="shared" ca="1" si="2983"/>
        <v>Garage 51</v>
      </c>
      <c r="AF2909" t="str">
        <f t="shared" ref="AF2909:AF2972" ca="1" si="3027">IF(LEFT(AE2909,1)="G",AE2909,"Plot "&amp;AE2909)</f>
        <v>Garage 51</v>
      </c>
    </row>
    <row r="2910" spans="28:32" x14ac:dyDescent="0.25">
      <c r="AB2910" t="str">
        <f t="shared" ref="AB2910:AC2910" si="3028">AB2889</f>
        <v>External Scaffolding</v>
      </c>
      <c r="AC2910" t="str">
        <f t="shared" si="3028"/>
        <v>Lift 6</v>
      </c>
      <c r="AD2910" t="b">
        <f t="shared" ref="AD2910:AD2973" ca="1" si="3029">INDEX($AC$1:$JH$22,MATCH(AC2910,$AC$1:$AC$22,0),MATCH(AE2910,$AC$1:$JH$1,0))</f>
        <v>0</v>
      </c>
      <c r="AE2910" s="1" t="str">
        <f t="shared" ca="1" si="2983"/>
        <v>Garage 51</v>
      </c>
      <c r="AF2910" t="str">
        <f t="shared" ca="1" si="3027"/>
        <v>Garage 51</v>
      </c>
    </row>
    <row r="2911" spans="28:32" x14ac:dyDescent="0.25">
      <c r="AB2911" t="str">
        <f t="shared" ref="AB2911:AC2911" si="3030">AB2890</f>
        <v>Loading Bay</v>
      </c>
      <c r="AC2911" t="str">
        <f t="shared" si="3030"/>
        <v>Lift 1</v>
      </c>
      <c r="AD2911" t="b">
        <f t="shared" ca="1" si="3029"/>
        <v>1</v>
      </c>
      <c r="AE2911" s="1" t="str">
        <f t="shared" ca="1" si="2983"/>
        <v>Garage 51</v>
      </c>
      <c r="AF2911" t="str">
        <f t="shared" ca="1" si="3027"/>
        <v>Garage 51</v>
      </c>
    </row>
    <row r="2912" spans="28:32" x14ac:dyDescent="0.25">
      <c r="AB2912" t="str">
        <f t="shared" ref="AB2912:AC2912" si="3031">AB2891</f>
        <v>Loading Bay</v>
      </c>
      <c r="AC2912" t="str">
        <f t="shared" si="3031"/>
        <v>Lift 2</v>
      </c>
      <c r="AD2912" t="b">
        <f t="shared" ca="1" si="3029"/>
        <v>1</v>
      </c>
      <c r="AE2912" s="1" t="str">
        <f t="shared" ca="1" si="2983"/>
        <v>Garage 51</v>
      </c>
      <c r="AF2912" t="str">
        <f t="shared" ca="1" si="3027"/>
        <v>Garage 51</v>
      </c>
    </row>
    <row r="2913" spans="28:32" x14ac:dyDescent="0.25">
      <c r="AB2913" t="str">
        <f t="shared" ref="AB2913:AC2913" si="3032">AB2892</f>
        <v>Loading Bay</v>
      </c>
      <c r="AC2913" t="str">
        <f t="shared" si="3032"/>
        <v>Lift 3</v>
      </c>
      <c r="AD2913" t="b">
        <f t="shared" ca="1" si="3029"/>
        <v>1</v>
      </c>
      <c r="AE2913" s="1" t="str">
        <f t="shared" ca="1" si="2983"/>
        <v>Garage 51</v>
      </c>
      <c r="AF2913" t="str">
        <f t="shared" ca="1" si="3027"/>
        <v>Garage 51</v>
      </c>
    </row>
    <row r="2914" spans="28:32" x14ac:dyDescent="0.25">
      <c r="AB2914" t="str">
        <f t="shared" ref="AB2914:AC2914" si="3033">AB2893</f>
        <v>Loading Bay</v>
      </c>
      <c r="AC2914" t="str">
        <f t="shared" si="3033"/>
        <v>Lift 4</v>
      </c>
      <c r="AD2914" t="b">
        <f t="shared" ca="1" si="3029"/>
        <v>0</v>
      </c>
      <c r="AE2914" s="1" t="str">
        <f t="shared" ca="1" si="2983"/>
        <v>Garage 51</v>
      </c>
      <c r="AF2914" t="str">
        <f t="shared" ca="1" si="3027"/>
        <v>Garage 51</v>
      </c>
    </row>
    <row r="2915" spans="28:32" x14ac:dyDescent="0.25">
      <c r="AB2915" t="str">
        <f t="shared" ref="AB2915:AC2915" si="3034">AB2894</f>
        <v>Loading Bay</v>
      </c>
      <c r="AC2915" t="str">
        <f t="shared" si="3034"/>
        <v>Lift 5</v>
      </c>
      <c r="AD2915" t="b">
        <f t="shared" ca="1" si="3029"/>
        <v>0</v>
      </c>
      <c r="AE2915" s="1" t="str">
        <f t="shared" ca="1" si="2983"/>
        <v>Garage 51</v>
      </c>
      <c r="AF2915" t="str">
        <f t="shared" ca="1" si="3027"/>
        <v>Garage 51</v>
      </c>
    </row>
    <row r="2916" spans="28:32" x14ac:dyDescent="0.25">
      <c r="AB2916" t="str">
        <f t="shared" ref="AB2916:AC2916" si="3035">AB2895</f>
        <v>Loading Bay</v>
      </c>
      <c r="AC2916" t="str">
        <f t="shared" si="3035"/>
        <v>Lift 6</v>
      </c>
      <c r="AD2916" t="b">
        <f t="shared" ca="1" si="3029"/>
        <v>0</v>
      </c>
      <c r="AE2916" s="1" t="str">
        <f t="shared" ca="1" si="2983"/>
        <v>Garage 51</v>
      </c>
      <c r="AF2916" t="str">
        <f t="shared" ca="1" si="3027"/>
        <v>Garage 51</v>
      </c>
    </row>
    <row r="2917" spans="28:32" x14ac:dyDescent="0.25">
      <c r="AB2917" t="str">
        <f t="shared" ref="AB2917:AC2917" si="3036">AB2896</f>
        <v>Scaffolding Platform</v>
      </c>
      <c r="AC2917" t="str">
        <f t="shared" si="3036"/>
        <v>Ground Floor</v>
      </c>
      <c r="AD2917" t="b">
        <f t="shared" ca="1" si="3029"/>
        <v>1</v>
      </c>
      <c r="AE2917" s="1" t="str">
        <f t="shared" ca="1" si="2983"/>
        <v>Garage 51</v>
      </c>
      <c r="AF2917" t="str">
        <f t="shared" ca="1" si="3027"/>
        <v>Garage 51</v>
      </c>
    </row>
    <row r="2918" spans="28:32" x14ac:dyDescent="0.25">
      <c r="AB2918" t="str">
        <f t="shared" ref="AB2918:AC2918" si="3037">AB2897</f>
        <v>Scaffolding Platform</v>
      </c>
      <c r="AC2918" t="str">
        <f t="shared" si="3037"/>
        <v>First Floor</v>
      </c>
      <c r="AD2918" t="b">
        <f t="shared" ca="1" si="3029"/>
        <v>0</v>
      </c>
      <c r="AE2918" s="1" t="str">
        <f t="shared" ca="1" si="2983"/>
        <v>Garage 51</v>
      </c>
      <c r="AF2918" t="str">
        <f t="shared" ca="1" si="3027"/>
        <v>Garage 51</v>
      </c>
    </row>
    <row r="2919" spans="28:32" x14ac:dyDescent="0.25">
      <c r="AB2919" t="str">
        <f t="shared" ref="AB2919:AC2919" si="3038">AB2898</f>
        <v>Scaffolding Platform</v>
      </c>
      <c r="AC2919" t="str">
        <f t="shared" si="3038"/>
        <v>Second Floor</v>
      </c>
      <c r="AD2919" t="b">
        <f t="shared" ca="1" si="3029"/>
        <v>0</v>
      </c>
      <c r="AE2919" s="1" t="str">
        <f t="shared" ca="1" si="2983"/>
        <v>Garage 51</v>
      </c>
      <c r="AF2919" t="str">
        <f t="shared" ca="1" si="3027"/>
        <v>Garage 51</v>
      </c>
    </row>
    <row r="2920" spans="28:32" x14ac:dyDescent="0.25">
      <c r="AB2920" t="str">
        <f t="shared" ref="AB2920:AC2920" si="3039">AB2899</f>
        <v>Supporting Scaffold</v>
      </c>
      <c r="AC2920" t="str">
        <f t="shared" si="3039"/>
        <v>Ground Floor Prop.</v>
      </c>
      <c r="AD2920" t="str">
        <f t="shared" ca="1" si="3029"/>
        <v>FALSE</v>
      </c>
      <c r="AE2920" s="1" t="str">
        <f t="shared" ca="1" si="2983"/>
        <v>Garage 51</v>
      </c>
      <c r="AF2920" t="str">
        <f t="shared" ca="1" si="3027"/>
        <v>Garage 51</v>
      </c>
    </row>
    <row r="2921" spans="28:32" x14ac:dyDescent="0.25">
      <c r="AB2921" t="str">
        <f t="shared" ref="AB2921:AC2921" si="3040">AB2900</f>
        <v>Supporting Scaffold</v>
      </c>
      <c r="AC2921" t="str">
        <f t="shared" si="3040"/>
        <v>First Floor Prop.</v>
      </c>
      <c r="AD2921" t="str">
        <f t="shared" ca="1" si="3029"/>
        <v>FALSE</v>
      </c>
      <c r="AE2921" s="1" t="str">
        <f t="shared" ca="1" si="2983"/>
        <v>Garage 51</v>
      </c>
      <c r="AF2921" t="str">
        <f t="shared" ca="1" si="3027"/>
        <v>Garage 51</v>
      </c>
    </row>
    <row r="2922" spans="28:32" x14ac:dyDescent="0.25">
      <c r="AB2922" t="str">
        <f t="shared" ref="AB2922:AC2922" si="3041">AB2901</f>
        <v>Supporting Scaffold</v>
      </c>
      <c r="AC2922" t="str">
        <f t="shared" si="3041"/>
        <v>Second Floor Prop.</v>
      </c>
      <c r="AD2922" t="str">
        <f t="shared" ca="1" si="3029"/>
        <v>FALSE</v>
      </c>
      <c r="AE2922" s="1" t="str">
        <f t="shared" ca="1" si="2983"/>
        <v>Garage 51</v>
      </c>
      <c r="AF2922" t="str">
        <f t="shared" ca="1" si="3027"/>
        <v>Garage 51</v>
      </c>
    </row>
    <row r="2923" spans="28:32" x14ac:dyDescent="0.25">
      <c r="AB2923" t="str">
        <f t="shared" ref="AB2923:AC2923" si="3042">AB2902</f>
        <v>External Scaffolding</v>
      </c>
      <c r="AC2923" t="str">
        <f t="shared" si="3042"/>
        <v>Hop-ups</v>
      </c>
      <c r="AD2923" t="b">
        <f t="shared" ca="1" si="3029"/>
        <v>1</v>
      </c>
      <c r="AE2923" s="1" t="str">
        <f t="shared" ca="1" si="2983"/>
        <v>Garage 51</v>
      </c>
      <c r="AF2923" t="str">
        <f t="shared" ca="1" si="3027"/>
        <v>Garage 51</v>
      </c>
    </row>
    <row r="2924" spans="28:32" x14ac:dyDescent="0.25">
      <c r="AB2924" t="str">
        <f t="shared" ref="AB2924:AC2924" si="3043">AB2903</f>
        <v>External Scaffolding</v>
      </c>
      <c r="AC2924" t="str">
        <f t="shared" si="3043"/>
        <v>Adaptions</v>
      </c>
      <c r="AD2924" t="b">
        <f t="shared" ca="1" si="3029"/>
        <v>1</v>
      </c>
      <c r="AE2924" s="1" t="str">
        <f t="shared" ca="1" si="2983"/>
        <v>Garage 51</v>
      </c>
      <c r="AF2924" t="str">
        <f t="shared" ca="1" si="3027"/>
        <v>Garage 51</v>
      </c>
    </row>
    <row r="2925" spans="28:32" x14ac:dyDescent="0.25">
      <c r="AB2925" t="str">
        <f t="shared" ref="AB2925:AC2925" si="3044">AB2904</f>
        <v>External Scaffolding</v>
      </c>
      <c r="AC2925" t="str">
        <f t="shared" si="3044"/>
        <v>Adaption Tower</v>
      </c>
      <c r="AD2925" t="b">
        <f t="shared" ca="1" si="3029"/>
        <v>1</v>
      </c>
      <c r="AE2925" s="1" t="str">
        <f t="shared" ca="1" si="2983"/>
        <v>Garage 51</v>
      </c>
      <c r="AF2925" t="str">
        <f t="shared" ca="1" si="3027"/>
        <v>Garage 51</v>
      </c>
    </row>
    <row r="2926" spans="28:32" x14ac:dyDescent="0.25">
      <c r="AB2926" t="str">
        <f t="shared" ref="AB2926:AC2926" si="3045">AB2905</f>
        <v>External Scaffolding</v>
      </c>
      <c r="AC2926" t="str">
        <f t="shared" si="3045"/>
        <v>Lift 1</v>
      </c>
      <c r="AD2926" t="b">
        <f t="shared" ca="1" si="3029"/>
        <v>1</v>
      </c>
      <c r="AE2926" s="1" t="str">
        <f t="shared" ca="1" si="2983"/>
        <v>Garage 52</v>
      </c>
      <c r="AF2926" t="str">
        <f t="shared" ca="1" si="3027"/>
        <v>Garage 52</v>
      </c>
    </row>
    <row r="2927" spans="28:32" x14ac:dyDescent="0.25">
      <c r="AB2927" t="str">
        <f t="shared" ref="AB2927:AC2927" si="3046">AB2906</f>
        <v>External Scaffolding</v>
      </c>
      <c r="AC2927" t="str">
        <f t="shared" si="3046"/>
        <v>Lift 2</v>
      </c>
      <c r="AD2927" t="b">
        <f t="shared" ca="1" si="3029"/>
        <v>1</v>
      </c>
      <c r="AE2927" s="1" t="str">
        <f t="shared" ca="1" si="2983"/>
        <v>Garage 52</v>
      </c>
      <c r="AF2927" t="str">
        <f t="shared" ca="1" si="3027"/>
        <v>Garage 52</v>
      </c>
    </row>
    <row r="2928" spans="28:32" x14ac:dyDescent="0.25">
      <c r="AB2928" t="str">
        <f t="shared" ref="AB2928:AC2928" si="3047">AB2907</f>
        <v>External Scaffolding</v>
      </c>
      <c r="AC2928" t="str">
        <f t="shared" si="3047"/>
        <v>Lift 3</v>
      </c>
      <c r="AD2928" t="b">
        <f t="shared" ca="1" si="3029"/>
        <v>1</v>
      </c>
      <c r="AE2928" s="1" t="str">
        <f t="shared" ca="1" si="2983"/>
        <v>Garage 52</v>
      </c>
      <c r="AF2928" t="str">
        <f t="shared" ca="1" si="3027"/>
        <v>Garage 52</v>
      </c>
    </row>
    <row r="2929" spans="28:32" x14ac:dyDescent="0.25">
      <c r="AB2929" t="str">
        <f t="shared" ref="AB2929:AC2929" si="3048">AB2908</f>
        <v>External Scaffolding</v>
      </c>
      <c r="AC2929" t="str">
        <f t="shared" si="3048"/>
        <v>Lift 4</v>
      </c>
      <c r="AD2929" t="b">
        <f t="shared" ca="1" si="3029"/>
        <v>0</v>
      </c>
      <c r="AE2929" s="1" t="str">
        <f t="shared" ca="1" si="2983"/>
        <v>Garage 52</v>
      </c>
      <c r="AF2929" t="str">
        <f t="shared" ca="1" si="3027"/>
        <v>Garage 52</v>
      </c>
    </row>
    <row r="2930" spans="28:32" x14ac:dyDescent="0.25">
      <c r="AB2930" t="str">
        <f t="shared" ref="AB2930:AC2930" si="3049">AB2909</f>
        <v>External Scaffolding</v>
      </c>
      <c r="AC2930" t="str">
        <f t="shared" si="3049"/>
        <v>Lift 5</v>
      </c>
      <c r="AD2930" t="b">
        <f t="shared" ca="1" si="3029"/>
        <v>0</v>
      </c>
      <c r="AE2930" s="1" t="str">
        <f t="shared" ref="AE2930:AE2993" ca="1" si="3050">OFFSET($AD$1,0,FLOOR(ROW(B2902)/21,1))</f>
        <v>Garage 52</v>
      </c>
      <c r="AF2930" t="str">
        <f t="shared" ca="1" si="3027"/>
        <v>Garage 52</v>
      </c>
    </row>
    <row r="2931" spans="28:32" x14ac:dyDescent="0.25">
      <c r="AB2931" t="str">
        <f t="shared" ref="AB2931:AC2931" si="3051">AB2910</f>
        <v>External Scaffolding</v>
      </c>
      <c r="AC2931" t="str">
        <f t="shared" si="3051"/>
        <v>Lift 6</v>
      </c>
      <c r="AD2931" t="b">
        <f t="shared" ca="1" si="3029"/>
        <v>0</v>
      </c>
      <c r="AE2931" s="1" t="str">
        <f t="shared" ca="1" si="3050"/>
        <v>Garage 52</v>
      </c>
      <c r="AF2931" t="str">
        <f t="shared" ca="1" si="3027"/>
        <v>Garage 52</v>
      </c>
    </row>
    <row r="2932" spans="28:32" x14ac:dyDescent="0.25">
      <c r="AB2932" t="str">
        <f t="shared" ref="AB2932:AC2932" si="3052">AB2911</f>
        <v>Loading Bay</v>
      </c>
      <c r="AC2932" t="str">
        <f t="shared" si="3052"/>
        <v>Lift 1</v>
      </c>
      <c r="AD2932" t="b">
        <f t="shared" ca="1" si="3029"/>
        <v>1</v>
      </c>
      <c r="AE2932" s="1" t="str">
        <f t="shared" ca="1" si="3050"/>
        <v>Garage 52</v>
      </c>
      <c r="AF2932" t="str">
        <f t="shared" ca="1" si="3027"/>
        <v>Garage 52</v>
      </c>
    </row>
    <row r="2933" spans="28:32" x14ac:dyDescent="0.25">
      <c r="AB2933" t="str">
        <f t="shared" ref="AB2933:AC2933" si="3053">AB2912</f>
        <v>Loading Bay</v>
      </c>
      <c r="AC2933" t="str">
        <f t="shared" si="3053"/>
        <v>Lift 2</v>
      </c>
      <c r="AD2933" t="b">
        <f t="shared" ca="1" si="3029"/>
        <v>1</v>
      </c>
      <c r="AE2933" s="1" t="str">
        <f t="shared" ca="1" si="3050"/>
        <v>Garage 52</v>
      </c>
      <c r="AF2933" t="str">
        <f t="shared" ca="1" si="3027"/>
        <v>Garage 52</v>
      </c>
    </row>
    <row r="2934" spans="28:32" x14ac:dyDescent="0.25">
      <c r="AB2934" t="str">
        <f t="shared" ref="AB2934:AC2934" si="3054">AB2913</f>
        <v>Loading Bay</v>
      </c>
      <c r="AC2934" t="str">
        <f t="shared" si="3054"/>
        <v>Lift 3</v>
      </c>
      <c r="AD2934" t="b">
        <f t="shared" ca="1" si="3029"/>
        <v>1</v>
      </c>
      <c r="AE2934" s="1" t="str">
        <f t="shared" ca="1" si="3050"/>
        <v>Garage 52</v>
      </c>
      <c r="AF2934" t="str">
        <f t="shared" ca="1" si="3027"/>
        <v>Garage 52</v>
      </c>
    </row>
    <row r="2935" spans="28:32" x14ac:dyDescent="0.25">
      <c r="AB2935" t="str">
        <f t="shared" ref="AB2935:AC2935" si="3055">AB2914</f>
        <v>Loading Bay</v>
      </c>
      <c r="AC2935" t="str">
        <f t="shared" si="3055"/>
        <v>Lift 4</v>
      </c>
      <c r="AD2935" t="b">
        <f t="shared" ca="1" si="3029"/>
        <v>0</v>
      </c>
      <c r="AE2935" s="1" t="str">
        <f t="shared" ca="1" si="3050"/>
        <v>Garage 52</v>
      </c>
      <c r="AF2935" t="str">
        <f t="shared" ca="1" si="3027"/>
        <v>Garage 52</v>
      </c>
    </row>
    <row r="2936" spans="28:32" x14ac:dyDescent="0.25">
      <c r="AB2936" t="str">
        <f t="shared" ref="AB2936:AC2936" si="3056">AB2915</f>
        <v>Loading Bay</v>
      </c>
      <c r="AC2936" t="str">
        <f t="shared" si="3056"/>
        <v>Lift 5</v>
      </c>
      <c r="AD2936" t="b">
        <f t="shared" ca="1" si="3029"/>
        <v>0</v>
      </c>
      <c r="AE2936" s="1" t="str">
        <f t="shared" ca="1" si="3050"/>
        <v>Garage 52</v>
      </c>
      <c r="AF2936" t="str">
        <f t="shared" ca="1" si="3027"/>
        <v>Garage 52</v>
      </c>
    </row>
    <row r="2937" spans="28:32" x14ac:dyDescent="0.25">
      <c r="AB2937" t="str">
        <f t="shared" ref="AB2937:AC2937" si="3057">AB2916</f>
        <v>Loading Bay</v>
      </c>
      <c r="AC2937" t="str">
        <f t="shared" si="3057"/>
        <v>Lift 6</v>
      </c>
      <c r="AD2937" t="b">
        <f t="shared" ca="1" si="3029"/>
        <v>0</v>
      </c>
      <c r="AE2937" s="1" t="str">
        <f t="shared" ca="1" si="3050"/>
        <v>Garage 52</v>
      </c>
      <c r="AF2937" t="str">
        <f t="shared" ca="1" si="3027"/>
        <v>Garage 52</v>
      </c>
    </row>
    <row r="2938" spans="28:32" x14ac:dyDescent="0.25">
      <c r="AB2938" t="str">
        <f t="shared" ref="AB2938:AC2938" si="3058">AB2917</f>
        <v>Scaffolding Platform</v>
      </c>
      <c r="AC2938" t="str">
        <f t="shared" si="3058"/>
        <v>Ground Floor</v>
      </c>
      <c r="AD2938" t="b">
        <f t="shared" ca="1" si="3029"/>
        <v>1</v>
      </c>
      <c r="AE2938" s="1" t="str">
        <f t="shared" ca="1" si="3050"/>
        <v>Garage 52</v>
      </c>
      <c r="AF2938" t="str">
        <f t="shared" ca="1" si="3027"/>
        <v>Garage 52</v>
      </c>
    </row>
    <row r="2939" spans="28:32" x14ac:dyDescent="0.25">
      <c r="AB2939" t="str">
        <f t="shared" ref="AB2939:AC2939" si="3059">AB2918</f>
        <v>Scaffolding Platform</v>
      </c>
      <c r="AC2939" t="str">
        <f t="shared" si="3059"/>
        <v>First Floor</v>
      </c>
      <c r="AD2939" t="b">
        <f t="shared" ca="1" si="3029"/>
        <v>0</v>
      </c>
      <c r="AE2939" s="1" t="str">
        <f t="shared" ca="1" si="3050"/>
        <v>Garage 52</v>
      </c>
      <c r="AF2939" t="str">
        <f t="shared" ca="1" si="3027"/>
        <v>Garage 52</v>
      </c>
    </row>
    <row r="2940" spans="28:32" x14ac:dyDescent="0.25">
      <c r="AB2940" t="str">
        <f t="shared" ref="AB2940:AC2940" si="3060">AB2919</f>
        <v>Scaffolding Platform</v>
      </c>
      <c r="AC2940" t="str">
        <f t="shared" si="3060"/>
        <v>Second Floor</v>
      </c>
      <c r="AD2940" t="b">
        <f t="shared" ca="1" si="3029"/>
        <v>0</v>
      </c>
      <c r="AE2940" s="1" t="str">
        <f t="shared" ca="1" si="3050"/>
        <v>Garage 52</v>
      </c>
      <c r="AF2940" t="str">
        <f t="shared" ca="1" si="3027"/>
        <v>Garage 52</v>
      </c>
    </row>
    <row r="2941" spans="28:32" x14ac:dyDescent="0.25">
      <c r="AB2941" t="str">
        <f t="shared" ref="AB2941:AC2941" si="3061">AB2920</f>
        <v>Supporting Scaffold</v>
      </c>
      <c r="AC2941" t="str">
        <f t="shared" si="3061"/>
        <v>Ground Floor Prop.</v>
      </c>
      <c r="AD2941" t="str">
        <f t="shared" ca="1" si="3029"/>
        <v>FALSE</v>
      </c>
      <c r="AE2941" s="1" t="str">
        <f t="shared" ca="1" si="3050"/>
        <v>Garage 52</v>
      </c>
      <c r="AF2941" t="str">
        <f t="shared" ca="1" si="3027"/>
        <v>Garage 52</v>
      </c>
    </row>
    <row r="2942" spans="28:32" x14ac:dyDescent="0.25">
      <c r="AB2942" t="str">
        <f t="shared" ref="AB2942:AC2942" si="3062">AB2921</f>
        <v>Supporting Scaffold</v>
      </c>
      <c r="AC2942" t="str">
        <f t="shared" si="3062"/>
        <v>First Floor Prop.</v>
      </c>
      <c r="AD2942" t="str">
        <f t="shared" ca="1" si="3029"/>
        <v>FALSE</v>
      </c>
      <c r="AE2942" s="1" t="str">
        <f t="shared" ca="1" si="3050"/>
        <v>Garage 52</v>
      </c>
      <c r="AF2942" t="str">
        <f t="shared" ca="1" si="3027"/>
        <v>Garage 52</v>
      </c>
    </row>
    <row r="2943" spans="28:32" x14ac:dyDescent="0.25">
      <c r="AB2943" t="str">
        <f t="shared" ref="AB2943:AC2943" si="3063">AB2922</f>
        <v>Supporting Scaffold</v>
      </c>
      <c r="AC2943" t="str">
        <f t="shared" si="3063"/>
        <v>Second Floor Prop.</v>
      </c>
      <c r="AD2943" t="str">
        <f t="shared" ca="1" si="3029"/>
        <v>FALSE</v>
      </c>
      <c r="AE2943" s="1" t="str">
        <f t="shared" ca="1" si="3050"/>
        <v>Garage 52</v>
      </c>
      <c r="AF2943" t="str">
        <f t="shared" ca="1" si="3027"/>
        <v>Garage 52</v>
      </c>
    </row>
    <row r="2944" spans="28:32" x14ac:dyDescent="0.25">
      <c r="AB2944" t="str">
        <f t="shared" ref="AB2944:AC2944" si="3064">AB2923</f>
        <v>External Scaffolding</v>
      </c>
      <c r="AC2944" t="str">
        <f t="shared" si="3064"/>
        <v>Hop-ups</v>
      </c>
      <c r="AD2944" t="b">
        <f t="shared" ca="1" si="3029"/>
        <v>1</v>
      </c>
      <c r="AE2944" s="1" t="str">
        <f t="shared" ca="1" si="3050"/>
        <v>Garage 52</v>
      </c>
      <c r="AF2944" t="str">
        <f t="shared" ca="1" si="3027"/>
        <v>Garage 52</v>
      </c>
    </row>
    <row r="2945" spans="28:32" x14ac:dyDescent="0.25">
      <c r="AB2945" t="str">
        <f t="shared" ref="AB2945:AC2945" si="3065">AB2924</f>
        <v>External Scaffolding</v>
      </c>
      <c r="AC2945" t="str">
        <f t="shared" si="3065"/>
        <v>Adaptions</v>
      </c>
      <c r="AD2945" t="b">
        <f t="shared" ca="1" si="3029"/>
        <v>1</v>
      </c>
      <c r="AE2945" s="1" t="str">
        <f t="shared" ca="1" si="3050"/>
        <v>Garage 52</v>
      </c>
      <c r="AF2945" t="str">
        <f t="shared" ca="1" si="3027"/>
        <v>Garage 52</v>
      </c>
    </row>
    <row r="2946" spans="28:32" x14ac:dyDescent="0.25">
      <c r="AB2946" t="str">
        <f t="shared" ref="AB2946:AC2946" si="3066">AB2925</f>
        <v>External Scaffolding</v>
      </c>
      <c r="AC2946" t="str">
        <f t="shared" si="3066"/>
        <v>Adaption Tower</v>
      </c>
      <c r="AD2946" t="b">
        <f t="shared" ca="1" si="3029"/>
        <v>1</v>
      </c>
      <c r="AE2946" s="1" t="str">
        <f t="shared" ca="1" si="3050"/>
        <v>Garage 52</v>
      </c>
      <c r="AF2946" t="str">
        <f t="shared" ca="1" si="3027"/>
        <v>Garage 52</v>
      </c>
    </row>
    <row r="2947" spans="28:32" x14ac:dyDescent="0.25">
      <c r="AB2947" t="str">
        <f t="shared" ref="AB2947:AC2947" si="3067">AB2926</f>
        <v>External Scaffolding</v>
      </c>
      <c r="AC2947" t="str">
        <f t="shared" si="3067"/>
        <v>Lift 1</v>
      </c>
      <c r="AD2947" t="b">
        <f t="shared" ca="1" si="3029"/>
        <v>1</v>
      </c>
      <c r="AE2947" s="1" t="str">
        <f t="shared" ca="1" si="3050"/>
        <v>Garage 55-56</v>
      </c>
      <c r="AF2947" t="str">
        <f t="shared" ca="1" si="3027"/>
        <v>Garage 55-56</v>
      </c>
    </row>
    <row r="2948" spans="28:32" x14ac:dyDescent="0.25">
      <c r="AB2948" t="str">
        <f t="shared" ref="AB2948:AC2948" si="3068">AB2927</f>
        <v>External Scaffolding</v>
      </c>
      <c r="AC2948" t="str">
        <f t="shared" si="3068"/>
        <v>Lift 2</v>
      </c>
      <c r="AD2948" t="b">
        <f t="shared" ca="1" si="3029"/>
        <v>1</v>
      </c>
      <c r="AE2948" s="1" t="str">
        <f t="shared" ca="1" si="3050"/>
        <v>Garage 55-56</v>
      </c>
      <c r="AF2948" t="str">
        <f t="shared" ca="1" si="3027"/>
        <v>Garage 55-56</v>
      </c>
    </row>
    <row r="2949" spans="28:32" x14ac:dyDescent="0.25">
      <c r="AB2949" t="str">
        <f t="shared" ref="AB2949:AC2949" si="3069">AB2928</f>
        <v>External Scaffolding</v>
      </c>
      <c r="AC2949" t="str">
        <f t="shared" si="3069"/>
        <v>Lift 3</v>
      </c>
      <c r="AD2949" t="b">
        <f t="shared" ca="1" si="3029"/>
        <v>1</v>
      </c>
      <c r="AE2949" s="1" t="str">
        <f t="shared" ca="1" si="3050"/>
        <v>Garage 55-56</v>
      </c>
      <c r="AF2949" t="str">
        <f t="shared" ca="1" si="3027"/>
        <v>Garage 55-56</v>
      </c>
    </row>
    <row r="2950" spans="28:32" x14ac:dyDescent="0.25">
      <c r="AB2950" t="str">
        <f t="shared" ref="AB2950:AC2950" si="3070">AB2929</f>
        <v>External Scaffolding</v>
      </c>
      <c r="AC2950" t="str">
        <f t="shared" si="3070"/>
        <v>Lift 4</v>
      </c>
      <c r="AD2950" t="b">
        <f t="shared" ca="1" si="3029"/>
        <v>0</v>
      </c>
      <c r="AE2950" s="1" t="str">
        <f t="shared" ca="1" si="3050"/>
        <v>Garage 55-56</v>
      </c>
      <c r="AF2950" t="str">
        <f t="shared" ca="1" si="3027"/>
        <v>Garage 55-56</v>
      </c>
    </row>
    <row r="2951" spans="28:32" x14ac:dyDescent="0.25">
      <c r="AB2951" t="str">
        <f t="shared" ref="AB2951:AC2951" si="3071">AB2930</f>
        <v>External Scaffolding</v>
      </c>
      <c r="AC2951" t="str">
        <f t="shared" si="3071"/>
        <v>Lift 5</v>
      </c>
      <c r="AD2951" t="b">
        <f t="shared" ca="1" si="3029"/>
        <v>0</v>
      </c>
      <c r="AE2951" s="1" t="str">
        <f t="shared" ca="1" si="3050"/>
        <v>Garage 55-56</v>
      </c>
      <c r="AF2951" t="str">
        <f t="shared" ca="1" si="3027"/>
        <v>Garage 55-56</v>
      </c>
    </row>
    <row r="2952" spans="28:32" x14ac:dyDescent="0.25">
      <c r="AB2952" t="str">
        <f t="shared" ref="AB2952:AC2952" si="3072">AB2931</f>
        <v>External Scaffolding</v>
      </c>
      <c r="AC2952" t="str">
        <f t="shared" si="3072"/>
        <v>Lift 6</v>
      </c>
      <c r="AD2952" t="b">
        <f t="shared" ca="1" si="3029"/>
        <v>0</v>
      </c>
      <c r="AE2952" s="1" t="str">
        <f t="shared" ca="1" si="3050"/>
        <v>Garage 55-56</v>
      </c>
      <c r="AF2952" t="str">
        <f t="shared" ca="1" si="3027"/>
        <v>Garage 55-56</v>
      </c>
    </row>
    <row r="2953" spans="28:32" x14ac:dyDescent="0.25">
      <c r="AB2953" t="str">
        <f t="shared" ref="AB2953:AC2953" si="3073">AB2932</f>
        <v>Loading Bay</v>
      </c>
      <c r="AC2953" t="str">
        <f t="shared" si="3073"/>
        <v>Lift 1</v>
      </c>
      <c r="AD2953" t="b">
        <f t="shared" ca="1" si="3029"/>
        <v>1</v>
      </c>
      <c r="AE2953" s="1" t="str">
        <f t="shared" ca="1" si="3050"/>
        <v>Garage 55-56</v>
      </c>
      <c r="AF2953" t="str">
        <f t="shared" ca="1" si="3027"/>
        <v>Garage 55-56</v>
      </c>
    </row>
    <row r="2954" spans="28:32" x14ac:dyDescent="0.25">
      <c r="AB2954" t="str">
        <f t="shared" ref="AB2954:AC2954" si="3074">AB2933</f>
        <v>Loading Bay</v>
      </c>
      <c r="AC2954" t="str">
        <f t="shared" si="3074"/>
        <v>Lift 2</v>
      </c>
      <c r="AD2954" t="b">
        <f t="shared" ca="1" si="3029"/>
        <v>1</v>
      </c>
      <c r="AE2954" s="1" t="str">
        <f t="shared" ca="1" si="3050"/>
        <v>Garage 55-56</v>
      </c>
      <c r="AF2954" t="str">
        <f t="shared" ca="1" si="3027"/>
        <v>Garage 55-56</v>
      </c>
    </row>
    <row r="2955" spans="28:32" x14ac:dyDescent="0.25">
      <c r="AB2955" t="str">
        <f t="shared" ref="AB2955:AC2955" si="3075">AB2934</f>
        <v>Loading Bay</v>
      </c>
      <c r="AC2955" t="str">
        <f t="shared" si="3075"/>
        <v>Lift 3</v>
      </c>
      <c r="AD2955" t="b">
        <f t="shared" ca="1" si="3029"/>
        <v>1</v>
      </c>
      <c r="AE2955" s="1" t="str">
        <f t="shared" ca="1" si="3050"/>
        <v>Garage 55-56</v>
      </c>
      <c r="AF2955" t="str">
        <f t="shared" ca="1" si="3027"/>
        <v>Garage 55-56</v>
      </c>
    </row>
    <row r="2956" spans="28:32" x14ac:dyDescent="0.25">
      <c r="AB2956" t="str">
        <f t="shared" ref="AB2956:AC2956" si="3076">AB2935</f>
        <v>Loading Bay</v>
      </c>
      <c r="AC2956" t="str">
        <f t="shared" si="3076"/>
        <v>Lift 4</v>
      </c>
      <c r="AD2956" t="b">
        <f t="shared" ca="1" si="3029"/>
        <v>0</v>
      </c>
      <c r="AE2956" s="1" t="str">
        <f t="shared" ca="1" si="3050"/>
        <v>Garage 55-56</v>
      </c>
      <c r="AF2956" t="str">
        <f t="shared" ca="1" si="3027"/>
        <v>Garage 55-56</v>
      </c>
    </row>
    <row r="2957" spans="28:32" x14ac:dyDescent="0.25">
      <c r="AB2957" t="str">
        <f t="shared" ref="AB2957:AC2957" si="3077">AB2936</f>
        <v>Loading Bay</v>
      </c>
      <c r="AC2957" t="str">
        <f t="shared" si="3077"/>
        <v>Lift 5</v>
      </c>
      <c r="AD2957" t="b">
        <f t="shared" ca="1" si="3029"/>
        <v>0</v>
      </c>
      <c r="AE2957" s="1" t="str">
        <f t="shared" ca="1" si="3050"/>
        <v>Garage 55-56</v>
      </c>
      <c r="AF2957" t="str">
        <f t="shared" ca="1" si="3027"/>
        <v>Garage 55-56</v>
      </c>
    </row>
    <row r="2958" spans="28:32" x14ac:dyDescent="0.25">
      <c r="AB2958" t="str">
        <f t="shared" ref="AB2958:AC2958" si="3078">AB2937</f>
        <v>Loading Bay</v>
      </c>
      <c r="AC2958" t="str">
        <f t="shared" si="3078"/>
        <v>Lift 6</v>
      </c>
      <c r="AD2958" t="b">
        <f t="shared" ca="1" si="3029"/>
        <v>0</v>
      </c>
      <c r="AE2958" s="1" t="str">
        <f t="shared" ca="1" si="3050"/>
        <v>Garage 55-56</v>
      </c>
      <c r="AF2958" t="str">
        <f t="shared" ca="1" si="3027"/>
        <v>Garage 55-56</v>
      </c>
    </row>
    <row r="2959" spans="28:32" x14ac:dyDescent="0.25">
      <c r="AB2959" t="str">
        <f t="shared" ref="AB2959:AC2959" si="3079">AB2938</f>
        <v>Scaffolding Platform</v>
      </c>
      <c r="AC2959" t="str">
        <f t="shared" si="3079"/>
        <v>Ground Floor</v>
      </c>
      <c r="AD2959" t="b">
        <f t="shared" ca="1" si="3029"/>
        <v>1</v>
      </c>
      <c r="AE2959" s="1" t="str">
        <f t="shared" ca="1" si="3050"/>
        <v>Garage 55-56</v>
      </c>
      <c r="AF2959" t="str">
        <f t="shared" ca="1" si="3027"/>
        <v>Garage 55-56</v>
      </c>
    </row>
    <row r="2960" spans="28:32" x14ac:dyDescent="0.25">
      <c r="AB2960" t="str">
        <f t="shared" ref="AB2960:AC2960" si="3080">AB2939</f>
        <v>Scaffolding Platform</v>
      </c>
      <c r="AC2960" t="str">
        <f t="shared" si="3080"/>
        <v>First Floor</v>
      </c>
      <c r="AD2960" t="b">
        <f t="shared" ca="1" si="3029"/>
        <v>0</v>
      </c>
      <c r="AE2960" s="1" t="str">
        <f t="shared" ca="1" si="3050"/>
        <v>Garage 55-56</v>
      </c>
      <c r="AF2960" t="str">
        <f t="shared" ca="1" si="3027"/>
        <v>Garage 55-56</v>
      </c>
    </row>
    <row r="2961" spans="28:32" x14ac:dyDescent="0.25">
      <c r="AB2961" t="str">
        <f t="shared" ref="AB2961:AC2961" si="3081">AB2940</f>
        <v>Scaffolding Platform</v>
      </c>
      <c r="AC2961" t="str">
        <f t="shared" si="3081"/>
        <v>Second Floor</v>
      </c>
      <c r="AD2961" t="b">
        <f t="shared" ca="1" si="3029"/>
        <v>0</v>
      </c>
      <c r="AE2961" s="1" t="str">
        <f t="shared" ca="1" si="3050"/>
        <v>Garage 55-56</v>
      </c>
      <c r="AF2961" t="str">
        <f t="shared" ca="1" si="3027"/>
        <v>Garage 55-56</v>
      </c>
    </row>
    <row r="2962" spans="28:32" x14ac:dyDescent="0.25">
      <c r="AB2962" t="str">
        <f t="shared" ref="AB2962:AC2962" si="3082">AB2941</f>
        <v>Supporting Scaffold</v>
      </c>
      <c r="AC2962" t="str">
        <f t="shared" si="3082"/>
        <v>Ground Floor Prop.</v>
      </c>
      <c r="AD2962" t="str">
        <f t="shared" ca="1" si="3029"/>
        <v>FALSE</v>
      </c>
      <c r="AE2962" s="1" t="str">
        <f t="shared" ca="1" si="3050"/>
        <v>Garage 55-56</v>
      </c>
      <c r="AF2962" t="str">
        <f t="shared" ca="1" si="3027"/>
        <v>Garage 55-56</v>
      </c>
    </row>
    <row r="2963" spans="28:32" x14ac:dyDescent="0.25">
      <c r="AB2963" t="str">
        <f t="shared" ref="AB2963:AC2963" si="3083">AB2942</f>
        <v>Supporting Scaffold</v>
      </c>
      <c r="AC2963" t="str">
        <f t="shared" si="3083"/>
        <v>First Floor Prop.</v>
      </c>
      <c r="AD2963" t="str">
        <f t="shared" ca="1" si="3029"/>
        <v>FALSE</v>
      </c>
      <c r="AE2963" s="1" t="str">
        <f t="shared" ca="1" si="3050"/>
        <v>Garage 55-56</v>
      </c>
      <c r="AF2963" t="str">
        <f t="shared" ca="1" si="3027"/>
        <v>Garage 55-56</v>
      </c>
    </row>
    <row r="2964" spans="28:32" x14ac:dyDescent="0.25">
      <c r="AB2964" t="str">
        <f t="shared" ref="AB2964:AC2964" si="3084">AB2943</f>
        <v>Supporting Scaffold</v>
      </c>
      <c r="AC2964" t="str">
        <f t="shared" si="3084"/>
        <v>Second Floor Prop.</v>
      </c>
      <c r="AD2964" t="str">
        <f t="shared" ca="1" si="3029"/>
        <v>FALSE</v>
      </c>
      <c r="AE2964" s="1" t="str">
        <f t="shared" ca="1" si="3050"/>
        <v>Garage 55-56</v>
      </c>
      <c r="AF2964" t="str">
        <f t="shared" ca="1" si="3027"/>
        <v>Garage 55-56</v>
      </c>
    </row>
    <row r="2965" spans="28:32" x14ac:dyDescent="0.25">
      <c r="AB2965" t="str">
        <f t="shared" ref="AB2965:AC2965" si="3085">AB2944</f>
        <v>External Scaffolding</v>
      </c>
      <c r="AC2965" t="str">
        <f t="shared" si="3085"/>
        <v>Hop-ups</v>
      </c>
      <c r="AD2965" t="b">
        <f t="shared" ca="1" si="3029"/>
        <v>1</v>
      </c>
      <c r="AE2965" s="1" t="str">
        <f t="shared" ca="1" si="3050"/>
        <v>Garage 55-56</v>
      </c>
      <c r="AF2965" t="str">
        <f t="shared" ca="1" si="3027"/>
        <v>Garage 55-56</v>
      </c>
    </row>
    <row r="2966" spans="28:32" x14ac:dyDescent="0.25">
      <c r="AB2966" t="str">
        <f t="shared" ref="AB2966:AC2966" si="3086">AB2945</f>
        <v>External Scaffolding</v>
      </c>
      <c r="AC2966" t="str">
        <f t="shared" si="3086"/>
        <v>Adaptions</v>
      </c>
      <c r="AD2966" t="b">
        <f t="shared" ca="1" si="3029"/>
        <v>1</v>
      </c>
      <c r="AE2966" s="1" t="str">
        <f t="shared" ca="1" si="3050"/>
        <v>Garage 55-56</v>
      </c>
      <c r="AF2966" t="str">
        <f t="shared" ca="1" si="3027"/>
        <v>Garage 55-56</v>
      </c>
    </row>
    <row r="2967" spans="28:32" x14ac:dyDescent="0.25">
      <c r="AB2967" t="str">
        <f t="shared" ref="AB2967:AC2967" si="3087">AB2946</f>
        <v>External Scaffolding</v>
      </c>
      <c r="AC2967" t="str">
        <f t="shared" si="3087"/>
        <v>Adaption Tower</v>
      </c>
      <c r="AD2967" t="b">
        <f t="shared" ca="1" si="3029"/>
        <v>1</v>
      </c>
      <c r="AE2967" s="1" t="str">
        <f t="shared" ca="1" si="3050"/>
        <v>Garage 55-56</v>
      </c>
      <c r="AF2967" t="str">
        <f t="shared" ca="1" si="3027"/>
        <v>Garage 55-56</v>
      </c>
    </row>
    <row r="2968" spans="28:32" x14ac:dyDescent="0.25">
      <c r="AB2968" t="str">
        <f t="shared" ref="AB2968:AC2968" si="3088">AB2947</f>
        <v>External Scaffolding</v>
      </c>
      <c r="AC2968" t="str">
        <f t="shared" si="3088"/>
        <v>Lift 1</v>
      </c>
      <c r="AD2968" t="b">
        <f t="shared" ca="1" si="3029"/>
        <v>1</v>
      </c>
      <c r="AE2968" s="1" t="str">
        <f t="shared" ca="1" si="3050"/>
        <v>Garage 57</v>
      </c>
      <c r="AF2968" t="str">
        <f t="shared" ca="1" si="3027"/>
        <v>Garage 57</v>
      </c>
    </row>
    <row r="2969" spans="28:32" x14ac:dyDescent="0.25">
      <c r="AB2969" t="str">
        <f t="shared" ref="AB2969:AC2969" si="3089">AB2948</f>
        <v>External Scaffolding</v>
      </c>
      <c r="AC2969" t="str">
        <f t="shared" si="3089"/>
        <v>Lift 2</v>
      </c>
      <c r="AD2969" t="b">
        <f t="shared" ca="1" si="3029"/>
        <v>1</v>
      </c>
      <c r="AE2969" s="1" t="str">
        <f t="shared" ca="1" si="3050"/>
        <v>Garage 57</v>
      </c>
      <c r="AF2969" t="str">
        <f t="shared" ca="1" si="3027"/>
        <v>Garage 57</v>
      </c>
    </row>
    <row r="2970" spans="28:32" x14ac:dyDescent="0.25">
      <c r="AB2970" t="str">
        <f t="shared" ref="AB2970:AC2970" si="3090">AB2949</f>
        <v>External Scaffolding</v>
      </c>
      <c r="AC2970" t="str">
        <f t="shared" si="3090"/>
        <v>Lift 3</v>
      </c>
      <c r="AD2970" t="b">
        <f t="shared" ca="1" si="3029"/>
        <v>1</v>
      </c>
      <c r="AE2970" s="1" t="str">
        <f t="shared" ca="1" si="3050"/>
        <v>Garage 57</v>
      </c>
      <c r="AF2970" t="str">
        <f t="shared" ca="1" si="3027"/>
        <v>Garage 57</v>
      </c>
    </row>
    <row r="2971" spans="28:32" x14ac:dyDescent="0.25">
      <c r="AB2971" t="str">
        <f t="shared" ref="AB2971:AC2971" si="3091">AB2950</f>
        <v>External Scaffolding</v>
      </c>
      <c r="AC2971" t="str">
        <f t="shared" si="3091"/>
        <v>Lift 4</v>
      </c>
      <c r="AD2971" t="b">
        <f t="shared" ca="1" si="3029"/>
        <v>0</v>
      </c>
      <c r="AE2971" s="1" t="str">
        <f t="shared" ca="1" si="3050"/>
        <v>Garage 57</v>
      </c>
      <c r="AF2971" t="str">
        <f t="shared" ca="1" si="3027"/>
        <v>Garage 57</v>
      </c>
    </row>
    <row r="2972" spans="28:32" x14ac:dyDescent="0.25">
      <c r="AB2972" t="str">
        <f t="shared" ref="AB2972:AC2972" si="3092">AB2951</f>
        <v>External Scaffolding</v>
      </c>
      <c r="AC2972" t="str">
        <f t="shared" si="3092"/>
        <v>Lift 5</v>
      </c>
      <c r="AD2972" t="b">
        <f t="shared" ca="1" si="3029"/>
        <v>0</v>
      </c>
      <c r="AE2972" s="1" t="str">
        <f t="shared" ca="1" si="3050"/>
        <v>Garage 57</v>
      </c>
      <c r="AF2972" t="str">
        <f t="shared" ca="1" si="3027"/>
        <v>Garage 57</v>
      </c>
    </row>
    <row r="2973" spans="28:32" x14ac:dyDescent="0.25">
      <c r="AB2973" t="str">
        <f t="shared" ref="AB2973:AC2973" si="3093">AB2952</f>
        <v>External Scaffolding</v>
      </c>
      <c r="AC2973" t="str">
        <f t="shared" si="3093"/>
        <v>Lift 6</v>
      </c>
      <c r="AD2973" t="b">
        <f t="shared" ca="1" si="3029"/>
        <v>0</v>
      </c>
      <c r="AE2973" s="1" t="str">
        <f t="shared" ca="1" si="3050"/>
        <v>Garage 57</v>
      </c>
      <c r="AF2973" t="str">
        <f t="shared" ref="AF2973:AF3036" ca="1" si="3094">IF(LEFT(AE2973,1)="G",AE2973,"Plot "&amp;AE2973)</f>
        <v>Garage 57</v>
      </c>
    </row>
    <row r="2974" spans="28:32" x14ac:dyDescent="0.25">
      <c r="AB2974" t="str">
        <f t="shared" ref="AB2974:AC2974" si="3095">AB2953</f>
        <v>Loading Bay</v>
      </c>
      <c r="AC2974" t="str">
        <f t="shared" si="3095"/>
        <v>Lift 1</v>
      </c>
      <c r="AD2974" t="b">
        <f t="shared" ref="AD2974:AD3037" ca="1" si="3096">INDEX($AC$1:$JH$22,MATCH(AC2974,$AC$1:$AC$22,0),MATCH(AE2974,$AC$1:$JH$1,0))</f>
        <v>1</v>
      </c>
      <c r="AE2974" s="1" t="str">
        <f t="shared" ca="1" si="3050"/>
        <v>Garage 57</v>
      </c>
      <c r="AF2974" t="str">
        <f t="shared" ca="1" si="3094"/>
        <v>Garage 57</v>
      </c>
    </row>
    <row r="2975" spans="28:32" x14ac:dyDescent="0.25">
      <c r="AB2975" t="str">
        <f t="shared" ref="AB2975:AC2975" si="3097">AB2954</f>
        <v>Loading Bay</v>
      </c>
      <c r="AC2975" t="str">
        <f t="shared" si="3097"/>
        <v>Lift 2</v>
      </c>
      <c r="AD2975" t="b">
        <f t="shared" ca="1" si="3096"/>
        <v>1</v>
      </c>
      <c r="AE2975" s="1" t="str">
        <f t="shared" ca="1" si="3050"/>
        <v>Garage 57</v>
      </c>
      <c r="AF2975" t="str">
        <f t="shared" ca="1" si="3094"/>
        <v>Garage 57</v>
      </c>
    </row>
    <row r="2976" spans="28:32" x14ac:dyDescent="0.25">
      <c r="AB2976" t="str">
        <f t="shared" ref="AB2976:AC2976" si="3098">AB2955</f>
        <v>Loading Bay</v>
      </c>
      <c r="AC2976" t="str">
        <f t="shared" si="3098"/>
        <v>Lift 3</v>
      </c>
      <c r="AD2976" t="b">
        <f t="shared" ca="1" si="3096"/>
        <v>1</v>
      </c>
      <c r="AE2976" s="1" t="str">
        <f t="shared" ca="1" si="3050"/>
        <v>Garage 57</v>
      </c>
      <c r="AF2976" t="str">
        <f t="shared" ca="1" si="3094"/>
        <v>Garage 57</v>
      </c>
    </row>
    <row r="2977" spans="28:32" x14ac:dyDescent="0.25">
      <c r="AB2977" t="str">
        <f t="shared" ref="AB2977:AC2977" si="3099">AB2956</f>
        <v>Loading Bay</v>
      </c>
      <c r="AC2977" t="str">
        <f t="shared" si="3099"/>
        <v>Lift 4</v>
      </c>
      <c r="AD2977" t="b">
        <f t="shared" ca="1" si="3096"/>
        <v>0</v>
      </c>
      <c r="AE2977" s="1" t="str">
        <f t="shared" ca="1" si="3050"/>
        <v>Garage 57</v>
      </c>
      <c r="AF2977" t="str">
        <f t="shared" ca="1" si="3094"/>
        <v>Garage 57</v>
      </c>
    </row>
    <row r="2978" spans="28:32" x14ac:dyDescent="0.25">
      <c r="AB2978" t="str">
        <f t="shared" ref="AB2978:AC2978" si="3100">AB2957</f>
        <v>Loading Bay</v>
      </c>
      <c r="AC2978" t="str">
        <f t="shared" si="3100"/>
        <v>Lift 5</v>
      </c>
      <c r="AD2978" t="b">
        <f t="shared" ca="1" si="3096"/>
        <v>0</v>
      </c>
      <c r="AE2978" s="1" t="str">
        <f t="shared" ca="1" si="3050"/>
        <v>Garage 57</v>
      </c>
      <c r="AF2978" t="str">
        <f t="shared" ca="1" si="3094"/>
        <v>Garage 57</v>
      </c>
    </row>
    <row r="2979" spans="28:32" x14ac:dyDescent="0.25">
      <c r="AB2979" t="str">
        <f t="shared" ref="AB2979:AC2979" si="3101">AB2958</f>
        <v>Loading Bay</v>
      </c>
      <c r="AC2979" t="str">
        <f t="shared" si="3101"/>
        <v>Lift 6</v>
      </c>
      <c r="AD2979" t="b">
        <f t="shared" ca="1" si="3096"/>
        <v>0</v>
      </c>
      <c r="AE2979" s="1" t="str">
        <f t="shared" ca="1" si="3050"/>
        <v>Garage 57</v>
      </c>
      <c r="AF2979" t="str">
        <f t="shared" ca="1" si="3094"/>
        <v>Garage 57</v>
      </c>
    </row>
    <row r="2980" spans="28:32" x14ac:dyDescent="0.25">
      <c r="AB2980" t="str">
        <f t="shared" ref="AB2980:AC2980" si="3102">AB2959</f>
        <v>Scaffolding Platform</v>
      </c>
      <c r="AC2980" t="str">
        <f t="shared" si="3102"/>
        <v>Ground Floor</v>
      </c>
      <c r="AD2980" t="b">
        <f t="shared" ca="1" si="3096"/>
        <v>1</v>
      </c>
      <c r="AE2980" s="1" t="str">
        <f t="shared" ca="1" si="3050"/>
        <v>Garage 57</v>
      </c>
      <c r="AF2980" t="str">
        <f t="shared" ca="1" si="3094"/>
        <v>Garage 57</v>
      </c>
    </row>
    <row r="2981" spans="28:32" x14ac:dyDescent="0.25">
      <c r="AB2981" t="str">
        <f t="shared" ref="AB2981:AC2981" si="3103">AB2960</f>
        <v>Scaffolding Platform</v>
      </c>
      <c r="AC2981" t="str">
        <f t="shared" si="3103"/>
        <v>First Floor</v>
      </c>
      <c r="AD2981" t="b">
        <f t="shared" ca="1" si="3096"/>
        <v>0</v>
      </c>
      <c r="AE2981" s="1" t="str">
        <f t="shared" ca="1" si="3050"/>
        <v>Garage 57</v>
      </c>
      <c r="AF2981" t="str">
        <f t="shared" ca="1" si="3094"/>
        <v>Garage 57</v>
      </c>
    </row>
    <row r="2982" spans="28:32" x14ac:dyDescent="0.25">
      <c r="AB2982" t="str">
        <f t="shared" ref="AB2982:AC2982" si="3104">AB2961</f>
        <v>Scaffolding Platform</v>
      </c>
      <c r="AC2982" t="str">
        <f t="shared" si="3104"/>
        <v>Second Floor</v>
      </c>
      <c r="AD2982" t="b">
        <f t="shared" ca="1" si="3096"/>
        <v>0</v>
      </c>
      <c r="AE2982" s="1" t="str">
        <f t="shared" ca="1" si="3050"/>
        <v>Garage 57</v>
      </c>
      <c r="AF2982" t="str">
        <f t="shared" ca="1" si="3094"/>
        <v>Garage 57</v>
      </c>
    </row>
    <row r="2983" spans="28:32" x14ac:dyDescent="0.25">
      <c r="AB2983" t="str">
        <f t="shared" ref="AB2983:AC2983" si="3105">AB2962</f>
        <v>Supporting Scaffold</v>
      </c>
      <c r="AC2983" t="str">
        <f t="shared" si="3105"/>
        <v>Ground Floor Prop.</v>
      </c>
      <c r="AD2983" t="str">
        <f t="shared" ca="1" si="3096"/>
        <v>FALSE</v>
      </c>
      <c r="AE2983" s="1" t="str">
        <f t="shared" ca="1" si="3050"/>
        <v>Garage 57</v>
      </c>
      <c r="AF2983" t="str">
        <f t="shared" ca="1" si="3094"/>
        <v>Garage 57</v>
      </c>
    </row>
    <row r="2984" spans="28:32" x14ac:dyDescent="0.25">
      <c r="AB2984" t="str">
        <f t="shared" ref="AB2984:AC2984" si="3106">AB2963</f>
        <v>Supporting Scaffold</v>
      </c>
      <c r="AC2984" t="str">
        <f t="shared" si="3106"/>
        <v>First Floor Prop.</v>
      </c>
      <c r="AD2984" t="str">
        <f t="shared" ca="1" si="3096"/>
        <v>FALSE</v>
      </c>
      <c r="AE2984" s="1" t="str">
        <f t="shared" ca="1" si="3050"/>
        <v>Garage 57</v>
      </c>
      <c r="AF2984" t="str">
        <f t="shared" ca="1" si="3094"/>
        <v>Garage 57</v>
      </c>
    </row>
    <row r="2985" spans="28:32" x14ac:dyDescent="0.25">
      <c r="AB2985" t="str">
        <f t="shared" ref="AB2985:AC2985" si="3107">AB2964</f>
        <v>Supporting Scaffold</v>
      </c>
      <c r="AC2985" t="str">
        <f t="shared" si="3107"/>
        <v>Second Floor Prop.</v>
      </c>
      <c r="AD2985" t="str">
        <f t="shared" ca="1" si="3096"/>
        <v>FALSE</v>
      </c>
      <c r="AE2985" s="1" t="str">
        <f t="shared" ca="1" si="3050"/>
        <v>Garage 57</v>
      </c>
      <c r="AF2985" t="str">
        <f t="shared" ca="1" si="3094"/>
        <v>Garage 57</v>
      </c>
    </row>
    <row r="2986" spans="28:32" x14ac:dyDescent="0.25">
      <c r="AB2986" t="str">
        <f t="shared" ref="AB2986:AC2986" si="3108">AB2965</f>
        <v>External Scaffolding</v>
      </c>
      <c r="AC2986" t="str">
        <f t="shared" si="3108"/>
        <v>Hop-ups</v>
      </c>
      <c r="AD2986" t="b">
        <f t="shared" ca="1" si="3096"/>
        <v>1</v>
      </c>
      <c r="AE2986" s="1" t="str">
        <f t="shared" ca="1" si="3050"/>
        <v>Garage 57</v>
      </c>
      <c r="AF2986" t="str">
        <f t="shared" ca="1" si="3094"/>
        <v>Garage 57</v>
      </c>
    </row>
    <row r="2987" spans="28:32" x14ac:dyDescent="0.25">
      <c r="AB2987" t="str">
        <f t="shared" ref="AB2987:AC2987" si="3109">AB2966</f>
        <v>External Scaffolding</v>
      </c>
      <c r="AC2987" t="str">
        <f t="shared" si="3109"/>
        <v>Adaptions</v>
      </c>
      <c r="AD2987" t="b">
        <f t="shared" ca="1" si="3096"/>
        <v>1</v>
      </c>
      <c r="AE2987" s="1" t="str">
        <f t="shared" ca="1" si="3050"/>
        <v>Garage 57</v>
      </c>
      <c r="AF2987" t="str">
        <f t="shared" ca="1" si="3094"/>
        <v>Garage 57</v>
      </c>
    </row>
    <row r="2988" spans="28:32" x14ac:dyDescent="0.25">
      <c r="AB2988" t="str">
        <f t="shared" ref="AB2988:AC2988" si="3110">AB2967</f>
        <v>External Scaffolding</v>
      </c>
      <c r="AC2988" t="str">
        <f t="shared" si="3110"/>
        <v>Adaption Tower</v>
      </c>
      <c r="AD2988" t="b">
        <f t="shared" ca="1" si="3096"/>
        <v>1</v>
      </c>
      <c r="AE2988" s="1" t="str">
        <f t="shared" ca="1" si="3050"/>
        <v>Garage 57</v>
      </c>
      <c r="AF2988" t="str">
        <f t="shared" ca="1" si="3094"/>
        <v>Garage 57</v>
      </c>
    </row>
    <row r="2989" spans="28:32" x14ac:dyDescent="0.25">
      <c r="AB2989" t="str">
        <f t="shared" ref="AB2989:AC2989" si="3111">AB2968</f>
        <v>External Scaffolding</v>
      </c>
      <c r="AC2989" t="str">
        <f t="shared" si="3111"/>
        <v>Lift 1</v>
      </c>
      <c r="AD2989" t="b">
        <f t="shared" ca="1" si="3096"/>
        <v>1</v>
      </c>
      <c r="AE2989" s="1" t="str">
        <f t="shared" ca="1" si="3050"/>
        <v>Garage 58</v>
      </c>
      <c r="AF2989" t="str">
        <f t="shared" ca="1" si="3094"/>
        <v>Garage 58</v>
      </c>
    </row>
    <row r="2990" spans="28:32" x14ac:dyDescent="0.25">
      <c r="AB2990" t="str">
        <f t="shared" ref="AB2990:AC2990" si="3112">AB2969</f>
        <v>External Scaffolding</v>
      </c>
      <c r="AC2990" t="str">
        <f t="shared" si="3112"/>
        <v>Lift 2</v>
      </c>
      <c r="AD2990" t="b">
        <f t="shared" ca="1" si="3096"/>
        <v>1</v>
      </c>
      <c r="AE2990" s="1" t="str">
        <f t="shared" ca="1" si="3050"/>
        <v>Garage 58</v>
      </c>
      <c r="AF2990" t="str">
        <f t="shared" ca="1" si="3094"/>
        <v>Garage 58</v>
      </c>
    </row>
    <row r="2991" spans="28:32" x14ac:dyDescent="0.25">
      <c r="AB2991" t="str">
        <f t="shared" ref="AB2991:AC2991" si="3113">AB2970</f>
        <v>External Scaffolding</v>
      </c>
      <c r="AC2991" t="str">
        <f t="shared" si="3113"/>
        <v>Lift 3</v>
      </c>
      <c r="AD2991" t="b">
        <f t="shared" ca="1" si="3096"/>
        <v>1</v>
      </c>
      <c r="AE2991" s="1" t="str">
        <f t="shared" ca="1" si="3050"/>
        <v>Garage 58</v>
      </c>
      <c r="AF2991" t="str">
        <f t="shared" ca="1" si="3094"/>
        <v>Garage 58</v>
      </c>
    </row>
    <row r="2992" spans="28:32" x14ac:dyDescent="0.25">
      <c r="AB2992" t="str">
        <f t="shared" ref="AB2992:AC2992" si="3114">AB2971</f>
        <v>External Scaffolding</v>
      </c>
      <c r="AC2992" t="str">
        <f t="shared" si="3114"/>
        <v>Lift 4</v>
      </c>
      <c r="AD2992" t="b">
        <f t="shared" ca="1" si="3096"/>
        <v>0</v>
      </c>
      <c r="AE2992" s="1" t="str">
        <f t="shared" ca="1" si="3050"/>
        <v>Garage 58</v>
      </c>
      <c r="AF2992" t="str">
        <f t="shared" ca="1" si="3094"/>
        <v>Garage 58</v>
      </c>
    </row>
    <row r="2993" spans="28:32" x14ac:dyDescent="0.25">
      <c r="AB2993" t="str">
        <f t="shared" ref="AB2993:AC2993" si="3115">AB2972</f>
        <v>External Scaffolding</v>
      </c>
      <c r="AC2993" t="str">
        <f t="shared" si="3115"/>
        <v>Lift 5</v>
      </c>
      <c r="AD2993" t="b">
        <f t="shared" ca="1" si="3096"/>
        <v>0</v>
      </c>
      <c r="AE2993" s="1" t="str">
        <f t="shared" ca="1" si="3050"/>
        <v>Garage 58</v>
      </c>
      <c r="AF2993" t="str">
        <f t="shared" ca="1" si="3094"/>
        <v>Garage 58</v>
      </c>
    </row>
    <row r="2994" spans="28:32" x14ac:dyDescent="0.25">
      <c r="AB2994" t="str">
        <f t="shared" ref="AB2994:AC2994" si="3116">AB2973</f>
        <v>External Scaffolding</v>
      </c>
      <c r="AC2994" t="str">
        <f t="shared" si="3116"/>
        <v>Lift 6</v>
      </c>
      <c r="AD2994" t="b">
        <f t="shared" ca="1" si="3096"/>
        <v>0</v>
      </c>
      <c r="AE2994" s="1" t="str">
        <f t="shared" ref="AE2994:AE3057" ca="1" si="3117">OFFSET($AD$1,0,FLOOR(ROW(B2966)/21,1))</f>
        <v>Garage 58</v>
      </c>
      <c r="AF2994" t="str">
        <f t="shared" ca="1" si="3094"/>
        <v>Garage 58</v>
      </c>
    </row>
    <row r="2995" spans="28:32" x14ac:dyDescent="0.25">
      <c r="AB2995" t="str">
        <f t="shared" ref="AB2995:AC2995" si="3118">AB2974</f>
        <v>Loading Bay</v>
      </c>
      <c r="AC2995" t="str">
        <f t="shared" si="3118"/>
        <v>Lift 1</v>
      </c>
      <c r="AD2995" t="b">
        <f t="shared" ca="1" si="3096"/>
        <v>1</v>
      </c>
      <c r="AE2995" s="1" t="str">
        <f t="shared" ca="1" si="3117"/>
        <v>Garage 58</v>
      </c>
      <c r="AF2995" t="str">
        <f t="shared" ca="1" si="3094"/>
        <v>Garage 58</v>
      </c>
    </row>
    <row r="2996" spans="28:32" x14ac:dyDescent="0.25">
      <c r="AB2996" t="str">
        <f t="shared" ref="AB2996:AC2996" si="3119">AB2975</f>
        <v>Loading Bay</v>
      </c>
      <c r="AC2996" t="str">
        <f t="shared" si="3119"/>
        <v>Lift 2</v>
      </c>
      <c r="AD2996" t="b">
        <f t="shared" ca="1" si="3096"/>
        <v>1</v>
      </c>
      <c r="AE2996" s="1" t="str">
        <f t="shared" ca="1" si="3117"/>
        <v>Garage 58</v>
      </c>
      <c r="AF2996" t="str">
        <f t="shared" ca="1" si="3094"/>
        <v>Garage 58</v>
      </c>
    </row>
    <row r="2997" spans="28:32" x14ac:dyDescent="0.25">
      <c r="AB2997" t="str">
        <f t="shared" ref="AB2997:AC2997" si="3120">AB2976</f>
        <v>Loading Bay</v>
      </c>
      <c r="AC2997" t="str">
        <f t="shared" si="3120"/>
        <v>Lift 3</v>
      </c>
      <c r="AD2997" t="b">
        <f t="shared" ca="1" si="3096"/>
        <v>1</v>
      </c>
      <c r="AE2997" s="1" t="str">
        <f t="shared" ca="1" si="3117"/>
        <v>Garage 58</v>
      </c>
      <c r="AF2997" t="str">
        <f t="shared" ca="1" si="3094"/>
        <v>Garage 58</v>
      </c>
    </row>
    <row r="2998" spans="28:32" x14ac:dyDescent="0.25">
      <c r="AB2998" t="str">
        <f t="shared" ref="AB2998:AC2998" si="3121">AB2977</f>
        <v>Loading Bay</v>
      </c>
      <c r="AC2998" t="str">
        <f t="shared" si="3121"/>
        <v>Lift 4</v>
      </c>
      <c r="AD2998" t="b">
        <f t="shared" ca="1" si="3096"/>
        <v>0</v>
      </c>
      <c r="AE2998" s="1" t="str">
        <f t="shared" ca="1" si="3117"/>
        <v>Garage 58</v>
      </c>
      <c r="AF2998" t="str">
        <f t="shared" ca="1" si="3094"/>
        <v>Garage 58</v>
      </c>
    </row>
    <row r="2999" spans="28:32" x14ac:dyDescent="0.25">
      <c r="AB2999" t="str">
        <f t="shared" ref="AB2999:AC2999" si="3122">AB2978</f>
        <v>Loading Bay</v>
      </c>
      <c r="AC2999" t="str">
        <f t="shared" si="3122"/>
        <v>Lift 5</v>
      </c>
      <c r="AD2999" t="b">
        <f t="shared" ca="1" si="3096"/>
        <v>0</v>
      </c>
      <c r="AE2999" s="1" t="str">
        <f t="shared" ca="1" si="3117"/>
        <v>Garage 58</v>
      </c>
      <c r="AF2999" t="str">
        <f t="shared" ca="1" si="3094"/>
        <v>Garage 58</v>
      </c>
    </row>
    <row r="3000" spans="28:32" x14ac:dyDescent="0.25">
      <c r="AB3000" t="str">
        <f t="shared" ref="AB3000:AC3000" si="3123">AB2979</f>
        <v>Loading Bay</v>
      </c>
      <c r="AC3000" t="str">
        <f t="shared" si="3123"/>
        <v>Lift 6</v>
      </c>
      <c r="AD3000" t="b">
        <f t="shared" ca="1" si="3096"/>
        <v>0</v>
      </c>
      <c r="AE3000" s="1" t="str">
        <f t="shared" ca="1" si="3117"/>
        <v>Garage 58</v>
      </c>
      <c r="AF3000" t="str">
        <f t="shared" ca="1" si="3094"/>
        <v>Garage 58</v>
      </c>
    </row>
    <row r="3001" spans="28:32" x14ac:dyDescent="0.25">
      <c r="AB3001" t="str">
        <f t="shared" ref="AB3001:AC3001" si="3124">AB2980</f>
        <v>Scaffolding Platform</v>
      </c>
      <c r="AC3001" t="str">
        <f t="shared" si="3124"/>
        <v>Ground Floor</v>
      </c>
      <c r="AD3001" t="b">
        <f t="shared" ca="1" si="3096"/>
        <v>1</v>
      </c>
      <c r="AE3001" s="1" t="str">
        <f t="shared" ca="1" si="3117"/>
        <v>Garage 58</v>
      </c>
      <c r="AF3001" t="str">
        <f t="shared" ca="1" si="3094"/>
        <v>Garage 58</v>
      </c>
    </row>
    <row r="3002" spans="28:32" x14ac:dyDescent="0.25">
      <c r="AB3002" t="str">
        <f t="shared" ref="AB3002:AC3002" si="3125">AB2981</f>
        <v>Scaffolding Platform</v>
      </c>
      <c r="AC3002" t="str">
        <f t="shared" si="3125"/>
        <v>First Floor</v>
      </c>
      <c r="AD3002" t="b">
        <f t="shared" ca="1" si="3096"/>
        <v>0</v>
      </c>
      <c r="AE3002" s="1" t="str">
        <f t="shared" ca="1" si="3117"/>
        <v>Garage 58</v>
      </c>
      <c r="AF3002" t="str">
        <f t="shared" ca="1" si="3094"/>
        <v>Garage 58</v>
      </c>
    </row>
    <row r="3003" spans="28:32" x14ac:dyDescent="0.25">
      <c r="AB3003" t="str">
        <f t="shared" ref="AB3003:AC3003" si="3126">AB2982</f>
        <v>Scaffolding Platform</v>
      </c>
      <c r="AC3003" t="str">
        <f t="shared" si="3126"/>
        <v>Second Floor</v>
      </c>
      <c r="AD3003" t="b">
        <f t="shared" ca="1" si="3096"/>
        <v>0</v>
      </c>
      <c r="AE3003" s="1" t="str">
        <f t="shared" ca="1" si="3117"/>
        <v>Garage 58</v>
      </c>
      <c r="AF3003" t="str">
        <f t="shared" ca="1" si="3094"/>
        <v>Garage 58</v>
      </c>
    </row>
    <row r="3004" spans="28:32" x14ac:dyDescent="0.25">
      <c r="AB3004" t="str">
        <f t="shared" ref="AB3004:AC3004" si="3127">AB2983</f>
        <v>Supporting Scaffold</v>
      </c>
      <c r="AC3004" t="str">
        <f t="shared" si="3127"/>
        <v>Ground Floor Prop.</v>
      </c>
      <c r="AD3004" t="str">
        <f t="shared" ca="1" si="3096"/>
        <v>FALSE</v>
      </c>
      <c r="AE3004" s="1" t="str">
        <f t="shared" ca="1" si="3117"/>
        <v>Garage 58</v>
      </c>
      <c r="AF3004" t="str">
        <f t="shared" ca="1" si="3094"/>
        <v>Garage 58</v>
      </c>
    </row>
    <row r="3005" spans="28:32" x14ac:dyDescent="0.25">
      <c r="AB3005" t="str">
        <f t="shared" ref="AB3005:AC3005" si="3128">AB2984</f>
        <v>Supporting Scaffold</v>
      </c>
      <c r="AC3005" t="str">
        <f t="shared" si="3128"/>
        <v>First Floor Prop.</v>
      </c>
      <c r="AD3005" t="str">
        <f t="shared" ca="1" si="3096"/>
        <v>FALSE</v>
      </c>
      <c r="AE3005" s="1" t="str">
        <f t="shared" ca="1" si="3117"/>
        <v>Garage 58</v>
      </c>
      <c r="AF3005" t="str">
        <f t="shared" ca="1" si="3094"/>
        <v>Garage 58</v>
      </c>
    </row>
    <row r="3006" spans="28:32" x14ac:dyDescent="0.25">
      <c r="AB3006" t="str">
        <f t="shared" ref="AB3006:AC3006" si="3129">AB2985</f>
        <v>Supporting Scaffold</v>
      </c>
      <c r="AC3006" t="str">
        <f t="shared" si="3129"/>
        <v>Second Floor Prop.</v>
      </c>
      <c r="AD3006" t="str">
        <f t="shared" ca="1" si="3096"/>
        <v>FALSE</v>
      </c>
      <c r="AE3006" s="1" t="str">
        <f t="shared" ca="1" si="3117"/>
        <v>Garage 58</v>
      </c>
      <c r="AF3006" t="str">
        <f t="shared" ca="1" si="3094"/>
        <v>Garage 58</v>
      </c>
    </row>
    <row r="3007" spans="28:32" x14ac:dyDescent="0.25">
      <c r="AB3007" t="str">
        <f t="shared" ref="AB3007:AC3007" si="3130">AB2986</f>
        <v>External Scaffolding</v>
      </c>
      <c r="AC3007" t="str">
        <f t="shared" si="3130"/>
        <v>Hop-ups</v>
      </c>
      <c r="AD3007" t="b">
        <f t="shared" ca="1" si="3096"/>
        <v>1</v>
      </c>
      <c r="AE3007" s="1" t="str">
        <f t="shared" ca="1" si="3117"/>
        <v>Garage 58</v>
      </c>
      <c r="AF3007" t="str">
        <f t="shared" ca="1" si="3094"/>
        <v>Garage 58</v>
      </c>
    </row>
    <row r="3008" spans="28:32" x14ac:dyDescent="0.25">
      <c r="AB3008" t="str">
        <f t="shared" ref="AB3008:AC3008" si="3131">AB2987</f>
        <v>External Scaffolding</v>
      </c>
      <c r="AC3008" t="str">
        <f t="shared" si="3131"/>
        <v>Adaptions</v>
      </c>
      <c r="AD3008" t="b">
        <f t="shared" ca="1" si="3096"/>
        <v>1</v>
      </c>
      <c r="AE3008" s="1" t="str">
        <f t="shared" ca="1" si="3117"/>
        <v>Garage 58</v>
      </c>
      <c r="AF3008" t="str">
        <f t="shared" ca="1" si="3094"/>
        <v>Garage 58</v>
      </c>
    </row>
    <row r="3009" spans="28:32" x14ac:dyDescent="0.25">
      <c r="AB3009" t="str">
        <f t="shared" ref="AB3009:AC3009" si="3132">AB2988</f>
        <v>External Scaffolding</v>
      </c>
      <c r="AC3009" t="str">
        <f t="shared" si="3132"/>
        <v>Adaption Tower</v>
      </c>
      <c r="AD3009" t="b">
        <f t="shared" ca="1" si="3096"/>
        <v>1</v>
      </c>
      <c r="AE3009" s="1" t="str">
        <f t="shared" ca="1" si="3117"/>
        <v>Garage 58</v>
      </c>
      <c r="AF3009" t="str">
        <f t="shared" ca="1" si="3094"/>
        <v>Garage 58</v>
      </c>
    </row>
    <row r="3010" spans="28:32" x14ac:dyDescent="0.25">
      <c r="AB3010" t="str">
        <f t="shared" ref="AB3010:AC3010" si="3133">AB2989</f>
        <v>External Scaffolding</v>
      </c>
      <c r="AC3010" t="str">
        <f t="shared" si="3133"/>
        <v>Lift 1</v>
      </c>
      <c r="AD3010" t="b">
        <f t="shared" ca="1" si="3096"/>
        <v>1</v>
      </c>
      <c r="AE3010" s="1" t="str">
        <f t="shared" ca="1" si="3117"/>
        <v>Garage 59</v>
      </c>
      <c r="AF3010" t="str">
        <f t="shared" ca="1" si="3094"/>
        <v>Garage 59</v>
      </c>
    </row>
    <row r="3011" spans="28:32" x14ac:dyDescent="0.25">
      <c r="AB3011" t="str">
        <f t="shared" ref="AB3011:AC3011" si="3134">AB2990</f>
        <v>External Scaffolding</v>
      </c>
      <c r="AC3011" t="str">
        <f t="shared" si="3134"/>
        <v>Lift 2</v>
      </c>
      <c r="AD3011" t="b">
        <f t="shared" ca="1" si="3096"/>
        <v>1</v>
      </c>
      <c r="AE3011" s="1" t="str">
        <f t="shared" ca="1" si="3117"/>
        <v>Garage 59</v>
      </c>
      <c r="AF3011" t="str">
        <f t="shared" ca="1" si="3094"/>
        <v>Garage 59</v>
      </c>
    </row>
    <row r="3012" spans="28:32" x14ac:dyDescent="0.25">
      <c r="AB3012" t="str">
        <f t="shared" ref="AB3012:AC3012" si="3135">AB2991</f>
        <v>External Scaffolding</v>
      </c>
      <c r="AC3012" t="str">
        <f t="shared" si="3135"/>
        <v>Lift 3</v>
      </c>
      <c r="AD3012" t="b">
        <f t="shared" ca="1" si="3096"/>
        <v>1</v>
      </c>
      <c r="AE3012" s="1" t="str">
        <f t="shared" ca="1" si="3117"/>
        <v>Garage 59</v>
      </c>
      <c r="AF3012" t="str">
        <f t="shared" ca="1" si="3094"/>
        <v>Garage 59</v>
      </c>
    </row>
    <row r="3013" spans="28:32" x14ac:dyDescent="0.25">
      <c r="AB3013" t="str">
        <f t="shared" ref="AB3013:AC3013" si="3136">AB2992</f>
        <v>External Scaffolding</v>
      </c>
      <c r="AC3013" t="str">
        <f t="shared" si="3136"/>
        <v>Lift 4</v>
      </c>
      <c r="AD3013" t="b">
        <f t="shared" ca="1" si="3096"/>
        <v>0</v>
      </c>
      <c r="AE3013" s="1" t="str">
        <f t="shared" ca="1" si="3117"/>
        <v>Garage 59</v>
      </c>
      <c r="AF3013" t="str">
        <f t="shared" ca="1" si="3094"/>
        <v>Garage 59</v>
      </c>
    </row>
    <row r="3014" spans="28:32" x14ac:dyDescent="0.25">
      <c r="AB3014" t="str">
        <f t="shared" ref="AB3014:AC3014" si="3137">AB2993</f>
        <v>External Scaffolding</v>
      </c>
      <c r="AC3014" t="str">
        <f t="shared" si="3137"/>
        <v>Lift 5</v>
      </c>
      <c r="AD3014" t="b">
        <f t="shared" ca="1" si="3096"/>
        <v>0</v>
      </c>
      <c r="AE3014" s="1" t="str">
        <f t="shared" ca="1" si="3117"/>
        <v>Garage 59</v>
      </c>
      <c r="AF3014" t="str">
        <f t="shared" ca="1" si="3094"/>
        <v>Garage 59</v>
      </c>
    </row>
    <row r="3015" spans="28:32" x14ac:dyDescent="0.25">
      <c r="AB3015" t="str">
        <f t="shared" ref="AB3015:AC3015" si="3138">AB2994</f>
        <v>External Scaffolding</v>
      </c>
      <c r="AC3015" t="str">
        <f t="shared" si="3138"/>
        <v>Lift 6</v>
      </c>
      <c r="AD3015" t="b">
        <f t="shared" ca="1" si="3096"/>
        <v>0</v>
      </c>
      <c r="AE3015" s="1" t="str">
        <f t="shared" ca="1" si="3117"/>
        <v>Garage 59</v>
      </c>
      <c r="AF3015" t="str">
        <f t="shared" ca="1" si="3094"/>
        <v>Garage 59</v>
      </c>
    </row>
    <row r="3016" spans="28:32" x14ac:dyDescent="0.25">
      <c r="AB3016" t="str">
        <f t="shared" ref="AB3016:AC3016" si="3139">AB2995</f>
        <v>Loading Bay</v>
      </c>
      <c r="AC3016" t="str">
        <f t="shared" si="3139"/>
        <v>Lift 1</v>
      </c>
      <c r="AD3016" t="b">
        <f t="shared" ca="1" si="3096"/>
        <v>1</v>
      </c>
      <c r="AE3016" s="1" t="str">
        <f t="shared" ca="1" si="3117"/>
        <v>Garage 59</v>
      </c>
      <c r="AF3016" t="str">
        <f t="shared" ca="1" si="3094"/>
        <v>Garage 59</v>
      </c>
    </row>
    <row r="3017" spans="28:32" x14ac:dyDescent="0.25">
      <c r="AB3017" t="str">
        <f t="shared" ref="AB3017:AC3017" si="3140">AB2996</f>
        <v>Loading Bay</v>
      </c>
      <c r="AC3017" t="str">
        <f t="shared" si="3140"/>
        <v>Lift 2</v>
      </c>
      <c r="AD3017" t="b">
        <f t="shared" ca="1" si="3096"/>
        <v>1</v>
      </c>
      <c r="AE3017" s="1" t="str">
        <f t="shared" ca="1" si="3117"/>
        <v>Garage 59</v>
      </c>
      <c r="AF3017" t="str">
        <f t="shared" ca="1" si="3094"/>
        <v>Garage 59</v>
      </c>
    </row>
    <row r="3018" spans="28:32" x14ac:dyDescent="0.25">
      <c r="AB3018" t="str">
        <f t="shared" ref="AB3018:AC3018" si="3141">AB2997</f>
        <v>Loading Bay</v>
      </c>
      <c r="AC3018" t="str">
        <f t="shared" si="3141"/>
        <v>Lift 3</v>
      </c>
      <c r="AD3018" t="b">
        <f t="shared" ca="1" si="3096"/>
        <v>1</v>
      </c>
      <c r="AE3018" s="1" t="str">
        <f t="shared" ca="1" si="3117"/>
        <v>Garage 59</v>
      </c>
      <c r="AF3018" t="str">
        <f t="shared" ca="1" si="3094"/>
        <v>Garage 59</v>
      </c>
    </row>
    <row r="3019" spans="28:32" x14ac:dyDescent="0.25">
      <c r="AB3019" t="str">
        <f t="shared" ref="AB3019:AC3019" si="3142">AB2998</f>
        <v>Loading Bay</v>
      </c>
      <c r="AC3019" t="str">
        <f t="shared" si="3142"/>
        <v>Lift 4</v>
      </c>
      <c r="AD3019" t="b">
        <f t="shared" ca="1" si="3096"/>
        <v>0</v>
      </c>
      <c r="AE3019" s="1" t="str">
        <f t="shared" ca="1" si="3117"/>
        <v>Garage 59</v>
      </c>
      <c r="AF3019" t="str">
        <f t="shared" ca="1" si="3094"/>
        <v>Garage 59</v>
      </c>
    </row>
    <row r="3020" spans="28:32" x14ac:dyDescent="0.25">
      <c r="AB3020" t="str">
        <f t="shared" ref="AB3020:AC3020" si="3143">AB2999</f>
        <v>Loading Bay</v>
      </c>
      <c r="AC3020" t="str">
        <f t="shared" si="3143"/>
        <v>Lift 5</v>
      </c>
      <c r="AD3020" t="b">
        <f t="shared" ca="1" si="3096"/>
        <v>0</v>
      </c>
      <c r="AE3020" s="1" t="str">
        <f t="shared" ca="1" si="3117"/>
        <v>Garage 59</v>
      </c>
      <c r="AF3020" t="str">
        <f t="shared" ca="1" si="3094"/>
        <v>Garage 59</v>
      </c>
    </row>
    <row r="3021" spans="28:32" x14ac:dyDescent="0.25">
      <c r="AB3021" t="str">
        <f t="shared" ref="AB3021:AC3021" si="3144">AB3000</f>
        <v>Loading Bay</v>
      </c>
      <c r="AC3021" t="str">
        <f t="shared" si="3144"/>
        <v>Lift 6</v>
      </c>
      <c r="AD3021" t="b">
        <f t="shared" ca="1" si="3096"/>
        <v>0</v>
      </c>
      <c r="AE3021" s="1" t="str">
        <f t="shared" ca="1" si="3117"/>
        <v>Garage 59</v>
      </c>
      <c r="AF3021" t="str">
        <f t="shared" ca="1" si="3094"/>
        <v>Garage 59</v>
      </c>
    </row>
    <row r="3022" spans="28:32" x14ac:dyDescent="0.25">
      <c r="AB3022" t="str">
        <f t="shared" ref="AB3022:AC3022" si="3145">AB3001</f>
        <v>Scaffolding Platform</v>
      </c>
      <c r="AC3022" t="str">
        <f t="shared" si="3145"/>
        <v>Ground Floor</v>
      </c>
      <c r="AD3022" t="b">
        <f t="shared" ca="1" si="3096"/>
        <v>1</v>
      </c>
      <c r="AE3022" s="1" t="str">
        <f t="shared" ca="1" si="3117"/>
        <v>Garage 59</v>
      </c>
      <c r="AF3022" t="str">
        <f t="shared" ca="1" si="3094"/>
        <v>Garage 59</v>
      </c>
    </row>
    <row r="3023" spans="28:32" x14ac:dyDescent="0.25">
      <c r="AB3023" t="str">
        <f t="shared" ref="AB3023:AC3023" si="3146">AB3002</f>
        <v>Scaffolding Platform</v>
      </c>
      <c r="AC3023" t="str">
        <f t="shared" si="3146"/>
        <v>First Floor</v>
      </c>
      <c r="AD3023" t="b">
        <f t="shared" ca="1" si="3096"/>
        <v>0</v>
      </c>
      <c r="AE3023" s="1" t="str">
        <f t="shared" ca="1" si="3117"/>
        <v>Garage 59</v>
      </c>
      <c r="AF3023" t="str">
        <f t="shared" ca="1" si="3094"/>
        <v>Garage 59</v>
      </c>
    </row>
    <row r="3024" spans="28:32" x14ac:dyDescent="0.25">
      <c r="AB3024" t="str">
        <f t="shared" ref="AB3024:AC3024" si="3147">AB3003</f>
        <v>Scaffolding Platform</v>
      </c>
      <c r="AC3024" t="str">
        <f t="shared" si="3147"/>
        <v>Second Floor</v>
      </c>
      <c r="AD3024" t="b">
        <f t="shared" ca="1" si="3096"/>
        <v>0</v>
      </c>
      <c r="AE3024" s="1" t="str">
        <f t="shared" ca="1" si="3117"/>
        <v>Garage 59</v>
      </c>
      <c r="AF3024" t="str">
        <f t="shared" ca="1" si="3094"/>
        <v>Garage 59</v>
      </c>
    </row>
    <row r="3025" spans="28:32" x14ac:dyDescent="0.25">
      <c r="AB3025" t="str">
        <f t="shared" ref="AB3025:AC3025" si="3148">AB3004</f>
        <v>Supporting Scaffold</v>
      </c>
      <c r="AC3025" t="str">
        <f t="shared" si="3148"/>
        <v>Ground Floor Prop.</v>
      </c>
      <c r="AD3025" t="str">
        <f t="shared" ca="1" si="3096"/>
        <v>FALSE</v>
      </c>
      <c r="AE3025" s="1" t="str">
        <f t="shared" ca="1" si="3117"/>
        <v>Garage 59</v>
      </c>
      <c r="AF3025" t="str">
        <f t="shared" ca="1" si="3094"/>
        <v>Garage 59</v>
      </c>
    </row>
    <row r="3026" spans="28:32" x14ac:dyDescent="0.25">
      <c r="AB3026" t="str">
        <f t="shared" ref="AB3026:AC3026" si="3149">AB3005</f>
        <v>Supporting Scaffold</v>
      </c>
      <c r="AC3026" t="str">
        <f t="shared" si="3149"/>
        <v>First Floor Prop.</v>
      </c>
      <c r="AD3026" t="str">
        <f t="shared" ca="1" si="3096"/>
        <v>FALSE</v>
      </c>
      <c r="AE3026" s="1" t="str">
        <f t="shared" ca="1" si="3117"/>
        <v>Garage 59</v>
      </c>
      <c r="AF3026" t="str">
        <f t="shared" ca="1" si="3094"/>
        <v>Garage 59</v>
      </c>
    </row>
    <row r="3027" spans="28:32" x14ac:dyDescent="0.25">
      <c r="AB3027" t="str">
        <f t="shared" ref="AB3027:AC3027" si="3150">AB3006</f>
        <v>Supporting Scaffold</v>
      </c>
      <c r="AC3027" t="str">
        <f t="shared" si="3150"/>
        <v>Second Floor Prop.</v>
      </c>
      <c r="AD3027" t="str">
        <f t="shared" ca="1" si="3096"/>
        <v>FALSE</v>
      </c>
      <c r="AE3027" s="1" t="str">
        <f t="shared" ca="1" si="3117"/>
        <v>Garage 59</v>
      </c>
      <c r="AF3027" t="str">
        <f t="shared" ca="1" si="3094"/>
        <v>Garage 59</v>
      </c>
    </row>
    <row r="3028" spans="28:32" x14ac:dyDescent="0.25">
      <c r="AB3028" t="str">
        <f t="shared" ref="AB3028:AC3028" si="3151">AB3007</f>
        <v>External Scaffolding</v>
      </c>
      <c r="AC3028" t="str">
        <f t="shared" si="3151"/>
        <v>Hop-ups</v>
      </c>
      <c r="AD3028" t="b">
        <f t="shared" ca="1" si="3096"/>
        <v>1</v>
      </c>
      <c r="AE3028" s="1" t="str">
        <f t="shared" ca="1" si="3117"/>
        <v>Garage 59</v>
      </c>
      <c r="AF3028" t="str">
        <f t="shared" ca="1" si="3094"/>
        <v>Garage 59</v>
      </c>
    </row>
    <row r="3029" spans="28:32" x14ac:dyDescent="0.25">
      <c r="AB3029" t="str">
        <f t="shared" ref="AB3029:AC3029" si="3152">AB3008</f>
        <v>External Scaffolding</v>
      </c>
      <c r="AC3029" t="str">
        <f t="shared" si="3152"/>
        <v>Adaptions</v>
      </c>
      <c r="AD3029" t="b">
        <f t="shared" ca="1" si="3096"/>
        <v>1</v>
      </c>
      <c r="AE3029" s="1" t="str">
        <f t="shared" ca="1" si="3117"/>
        <v>Garage 59</v>
      </c>
      <c r="AF3029" t="str">
        <f t="shared" ca="1" si="3094"/>
        <v>Garage 59</v>
      </c>
    </row>
    <row r="3030" spans="28:32" x14ac:dyDescent="0.25">
      <c r="AB3030" t="str">
        <f t="shared" ref="AB3030:AC3030" si="3153">AB3009</f>
        <v>External Scaffolding</v>
      </c>
      <c r="AC3030" t="str">
        <f t="shared" si="3153"/>
        <v>Adaption Tower</v>
      </c>
      <c r="AD3030" t="b">
        <f t="shared" ca="1" si="3096"/>
        <v>1</v>
      </c>
      <c r="AE3030" s="1" t="str">
        <f t="shared" ca="1" si="3117"/>
        <v>Garage 59</v>
      </c>
      <c r="AF3030" t="str">
        <f t="shared" ca="1" si="3094"/>
        <v>Garage 59</v>
      </c>
    </row>
    <row r="3031" spans="28:32" x14ac:dyDescent="0.25">
      <c r="AB3031" t="str">
        <f t="shared" ref="AB3031:AC3031" si="3154">AB3010</f>
        <v>External Scaffolding</v>
      </c>
      <c r="AC3031" t="str">
        <f t="shared" si="3154"/>
        <v>Lift 1</v>
      </c>
      <c r="AD3031" t="b">
        <f t="shared" ca="1" si="3096"/>
        <v>1</v>
      </c>
      <c r="AE3031" s="1" t="str">
        <f t="shared" ca="1" si="3117"/>
        <v>Garage 60</v>
      </c>
      <c r="AF3031" t="str">
        <f t="shared" ca="1" si="3094"/>
        <v>Garage 60</v>
      </c>
    </row>
    <row r="3032" spans="28:32" x14ac:dyDescent="0.25">
      <c r="AB3032" t="str">
        <f t="shared" ref="AB3032:AC3032" si="3155">AB3011</f>
        <v>External Scaffolding</v>
      </c>
      <c r="AC3032" t="str">
        <f t="shared" si="3155"/>
        <v>Lift 2</v>
      </c>
      <c r="AD3032" t="b">
        <f t="shared" ca="1" si="3096"/>
        <v>1</v>
      </c>
      <c r="AE3032" s="1" t="str">
        <f t="shared" ca="1" si="3117"/>
        <v>Garage 60</v>
      </c>
      <c r="AF3032" t="str">
        <f t="shared" ca="1" si="3094"/>
        <v>Garage 60</v>
      </c>
    </row>
    <row r="3033" spans="28:32" x14ac:dyDescent="0.25">
      <c r="AB3033" t="str">
        <f t="shared" ref="AB3033:AC3033" si="3156">AB3012</f>
        <v>External Scaffolding</v>
      </c>
      <c r="AC3033" t="str">
        <f t="shared" si="3156"/>
        <v>Lift 3</v>
      </c>
      <c r="AD3033" t="b">
        <f t="shared" ca="1" si="3096"/>
        <v>1</v>
      </c>
      <c r="AE3033" s="1" t="str">
        <f t="shared" ca="1" si="3117"/>
        <v>Garage 60</v>
      </c>
      <c r="AF3033" t="str">
        <f t="shared" ca="1" si="3094"/>
        <v>Garage 60</v>
      </c>
    </row>
    <row r="3034" spans="28:32" x14ac:dyDescent="0.25">
      <c r="AB3034" t="str">
        <f t="shared" ref="AB3034:AC3034" si="3157">AB3013</f>
        <v>External Scaffolding</v>
      </c>
      <c r="AC3034" t="str">
        <f t="shared" si="3157"/>
        <v>Lift 4</v>
      </c>
      <c r="AD3034" t="b">
        <f t="shared" ca="1" si="3096"/>
        <v>0</v>
      </c>
      <c r="AE3034" s="1" t="str">
        <f t="shared" ca="1" si="3117"/>
        <v>Garage 60</v>
      </c>
      <c r="AF3034" t="str">
        <f t="shared" ca="1" si="3094"/>
        <v>Garage 60</v>
      </c>
    </row>
    <row r="3035" spans="28:32" x14ac:dyDescent="0.25">
      <c r="AB3035" t="str">
        <f t="shared" ref="AB3035:AC3035" si="3158">AB3014</f>
        <v>External Scaffolding</v>
      </c>
      <c r="AC3035" t="str">
        <f t="shared" si="3158"/>
        <v>Lift 5</v>
      </c>
      <c r="AD3035" t="b">
        <f t="shared" ca="1" si="3096"/>
        <v>0</v>
      </c>
      <c r="AE3035" s="1" t="str">
        <f t="shared" ca="1" si="3117"/>
        <v>Garage 60</v>
      </c>
      <c r="AF3035" t="str">
        <f t="shared" ca="1" si="3094"/>
        <v>Garage 60</v>
      </c>
    </row>
    <row r="3036" spans="28:32" x14ac:dyDescent="0.25">
      <c r="AB3036" t="str">
        <f t="shared" ref="AB3036:AC3036" si="3159">AB3015</f>
        <v>External Scaffolding</v>
      </c>
      <c r="AC3036" t="str">
        <f t="shared" si="3159"/>
        <v>Lift 6</v>
      </c>
      <c r="AD3036" t="b">
        <f t="shared" ca="1" si="3096"/>
        <v>0</v>
      </c>
      <c r="AE3036" s="1" t="str">
        <f t="shared" ca="1" si="3117"/>
        <v>Garage 60</v>
      </c>
      <c r="AF3036" t="str">
        <f t="shared" ca="1" si="3094"/>
        <v>Garage 60</v>
      </c>
    </row>
    <row r="3037" spans="28:32" x14ac:dyDescent="0.25">
      <c r="AB3037" t="str">
        <f t="shared" ref="AB3037:AC3037" si="3160">AB3016</f>
        <v>Loading Bay</v>
      </c>
      <c r="AC3037" t="str">
        <f t="shared" si="3160"/>
        <v>Lift 1</v>
      </c>
      <c r="AD3037" t="b">
        <f t="shared" ca="1" si="3096"/>
        <v>1</v>
      </c>
      <c r="AE3037" s="1" t="str">
        <f t="shared" ca="1" si="3117"/>
        <v>Garage 60</v>
      </c>
      <c r="AF3037" t="str">
        <f t="shared" ref="AF3037:AF3100" ca="1" si="3161">IF(LEFT(AE3037,1)="G",AE3037,"Plot "&amp;AE3037)</f>
        <v>Garage 60</v>
      </c>
    </row>
    <row r="3038" spans="28:32" x14ac:dyDescent="0.25">
      <c r="AB3038" t="str">
        <f t="shared" ref="AB3038:AC3038" si="3162">AB3017</f>
        <v>Loading Bay</v>
      </c>
      <c r="AC3038" t="str">
        <f t="shared" si="3162"/>
        <v>Lift 2</v>
      </c>
      <c r="AD3038" t="b">
        <f t="shared" ref="AD3038:AD3101" ca="1" si="3163">INDEX($AC$1:$JH$22,MATCH(AC3038,$AC$1:$AC$22,0),MATCH(AE3038,$AC$1:$JH$1,0))</f>
        <v>1</v>
      </c>
      <c r="AE3038" s="1" t="str">
        <f t="shared" ca="1" si="3117"/>
        <v>Garage 60</v>
      </c>
      <c r="AF3038" t="str">
        <f t="shared" ca="1" si="3161"/>
        <v>Garage 60</v>
      </c>
    </row>
    <row r="3039" spans="28:32" x14ac:dyDescent="0.25">
      <c r="AB3039" t="str">
        <f t="shared" ref="AB3039:AC3039" si="3164">AB3018</f>
        <v>Loading Bay</v>
      </c>
      <c r="AC3039" t="str">
        <f t="shared" si="3164"/>
        <v>Lift 3</v>
      </c>
      <c r="AD3039" t="b">
        <f t="shared" ca="1" si="3163"/>
        <v>1</v>
      </c>
      <c r="AE3039" s="1" t="str">
        <f t="shared" ca="1" si="3117"/>
        <v>Garage 60</v>
      </c>
      <c r="AF3039" t="str">
        <f t="shared" ca="1" si="3161"/>
        <v>Garage 60</v>
      </c>
    </row>
    <row r="3040" spans="28:32" x14ac:dyDescent="0.25">
      <c r="AB3040" t="str">
        <f t="shared" ref="AB3040:AC3040" si="3165">AB3019</f>
        <v>Loading Bay</v>
      </c>
      <c r="AC3040" t="str">
        <f t="shared" si="3165"/>
        <v>Lift 4</v>
      </c>
      <c r="AD3040" t="b">
        <f t="shared" ca="1" si="3163"/>
        <v>0</v>
      </c>
      <c r="AE3040" s="1" t="str">
        <f t="shared" ca="1" si="3117"/>
        <v>Garage 60</v>
      </c>
      <c r="AF3040" t="str">
        <f t="shared" ca="1" si="3161"/>
        <v>Garage 60</v>
      </c>
    </row>
    <row r="3041" spans="28:32" x14ac:dyDescent="0.25">
      <c r="AB3041" t="str">
        <f t="shared" ref="AB3041:AC3041" si="3166">AB3020</f>
        <v>Loading Bay</v>
      </c>
      <c r="AC3041" t="str">
        <f t="shared" si="3166"/>
        <v>Lift 5</v>
      </c>
      <c r="AD3041" t="b">
        <f t="shared" ca="1" si="3163"/>
        <v>0</v>
      </c>
      <c r="AE3041" s="1" t="str">
        <f t="shared" ca="1" si="3117"/>
        <v>Garage 60</v>
      </c>
      <c r="AF3041" t="str">
        <f t="shared" ca="1" si="3161"/>
        <v>Garage 60</v>
      </c>
    </row>
    <row r="3042" spans="28:32" x14ac:dyDescent="0.25">
      <c r="AB3042" t="str">
        <f t="shared" ref="AB3042:AC3042" si="3167">AB3021</f>
        <v>Loading Bay</v>
      </c>
      <c r="AC3042" t="str">
        <f t="shared" si="3167"/>
        <v>Lift 6</v>
      </c>
      <c r="AD3042" t="b">
        <f t="shared" ca="1" si="3163"/>
        <v>0</v>
      </c>
      <c r="AE3042" s="1" t="str">
        <f t="shared" ca="1" si="3117"/>
        <v>Garage 60</v>
      </c>
      <c r="AF3042" t="str">
        <f t="shared" ca="1" si="3161"/>
        <v>Garage 60</v>
      </c>
    </row>
    <row r="3043" spans="28:32" x14ac:dyDescent="0.25">
      <c r="AB3043" t="str">
        <f t="shared" ref="AB3043:AC3043" si="3168">AB3022</f>
        <v>Scaffolding Platform</v>
      </c>
      <c r="AC3043" t="str">
        <f t="shared" si="3168"/>
        <v>Ground Floor</v>
      </c>
      <c r="AD3043" t="b">
        <f t="shared" ca="1" si="3163"/>
        <v>1</v>
      </c>
      <c r="AE3043" s="1" t="str">
        <f t="shared" ca="1" si="3117"/>
        <v>Garage 60</v>
      </c>
      <c r="AF3043" t="str">
        <f t="shared" ca="1" si="3161"/>
        <v>Garage 60</v>
      </c>
    </row>
    <row r="3044" spans="28:32" x14ac:dyDescent="0.25">
      <c r="AB3044" t="str">
        <f t="shared" ref="AB3044:AC3044" si="3169">AB3023</f>
        <v>Scaffolding Platform</v>
      </c>
      <c r="AC3044" t="str">
        <f t="shared" si="3169"/>
        <v>First Floor</v>
      </c>
      <c r="AD3044" t="b">
        <f t="shared" ca="1" si="3163"/>
        <v>0</v>
      </c>
      <c r="AE3044" s="1" t="str">
        <f t="shared" ca="1" si="3117"/>
        <v>Garage 60</v>
      </c>
      <c r="AF3044" t="str">
        <f t="shared" ca="1" si="3161"/>
        <v>Garage 60</v>
      </c>
    </row>
    <row r="3045" spans="28:32" x14ac:dyDescent="0.25">
      <c r="AB3045" t="str">
        <f t="shared" ref="AB3045:AC3045" si="3170">AB3024</f>
        <v>Scaffolding Platform</v>
      </c>
      <c r="AC3045" t="str">
        <f t="shared" si="3170"/>
        <v>Second Floor</v>
      </c>
      <c r="AD3045" t="b">
        <f t="shared" ca="1" si="3163"/>
        <v>0</v>
      </c>
      <c r="AE3045" s="1" t="str">
        <f t="shared" ca="1" si="3117"/>
        <v>Garage 60</v>
      </c>
      <c r="AF3045" t="str">
        <f t="shared" ca="1" si="3161"/>
        <v>Garage 60</v>
      </c>
    </row>
    <row r="3046" spans="28:32" x14ac:dyDescent="0.25">
      <c r="AB3046" t="str">
        <f t="shared" ref="AB3046:AC3046" si="3171">AB3025</f>
        <v>Supporting Scaffold</v>
      </c>
      <c r="AC3046" t="str">
        <f t="shared" si="3171"/>
        <v>Ground Floor Prop.</v>
      </c>
      <c r="AD3046" t="str">
        <f t="shared" ca="1" si="3163"/>
        <v>FALSE</v>
      </c>
      <c r="AE3046" s="1" t="str">
        <f t="shared" ca="1" si="3117"/>
        <v>Garage 60</v>
      </c>
      <c r="AF3046" t="str">
        <f t="shared" ca="1" si="3161"/>
        <v>Garage 60</v>
      </c>
    </row>
    <row r="3047" spans="28:32" x14ac:dyDescent="0.25">
      <c r="AB3047" t="str">
        <f t="shared" ref="AB3047:AC3047" si="3172">AB3026</f>
        <v>Supporting Scaffold</v>
      </c>
      <c r="AC3047" t="str">
        <f t="shared" si="3172"/>
        <v>First Floor Prop.</v>
      </c>
      <c r="AD3047" t="str">
        <f t="shared" ca="1" si="3163"/>
        <v>FALSE</v>
      </c>
      <c r="AE3047" s="1" t="str">
        <f t="shared" ca="1" si="3117"/>
        <v>Garage 60</v>
      </c>
      <c r="AF3047" t="str">
        <f t="shared" ca="1" si="3161"/>
        <v>Garage 60</v>
      </c>
    </row>
    <row r="3048" spans="28:32" x14ac:dyDescent="0.25">
      <c r="AB3048" t="str">
        <f t="shared" ref="AB3048:AC3048" si="3173">AB3027</f>
        <v>Supporting Scaffold</v>
      </c>
      <c r="AC3048" t="str">
        <f t="shared" si="3173"/>
        <v>Second Floor Prop.</v>
      </c>
      <c r="AD3048" t="str">
        <f t="shared" ca="1" si="3163"/>
        <v>FALSE</v>
      </c>
      <c r="AE3048" s="1" t="str">
        <f t="shared" ca="1" si="3117"/>
        <v>Garage 60</v>
      </c>
      <c r="AF3048" t="str">
        <f t="shared" ca="1" si="3161"/>
        <v>Garage 60</v>
      </c>
    </row>
    <row r="3049" spans="28:32" x14ac:dyDescent="0.25">
      <c r="AB3049" t="str">
        <f t="shared" ref="AB3049:AC3049" si="3174">AB3028</f>
        <v>External Scaffolding</v>
      </c>
      <c r="AC3049" t="str">
        <f t="shared" si="3174"/>
        <v>Hop-ups</v>
      </c>
      <c r="AD3049" t="b">
        <f t="shared" ca="1" si="3163"/>
        <v>1</v>
      </c>
      <c r="AE3049" s="1" t="str">
        <f t="shared" ca="1" si="3117"/>
        <v>Garage 60</v>
      </c>
      <c r="AF3049" t="str">
        <f t="shared" ca="1" si="3161"/>
        <v>Garage 60</v>
      </c>
    </row>
    <row r="3050" spans="28:32" x14ac:dyDescent="0.25">
      <c r="AB3050" t="str">
        <f t="shared" ref="AB3050:AC3050" si="3175">AB3029</f>
        <v>External Scaffolding</v>
      </c>
      <c r="AC3050" t="str">
        <f t="shared" si="3175"/>
        <v>Adaptions</v>
      </c>
      <c r="AD3050" t="b">
        <f t="shared" ca="1" si="3163"/>
        <v>1</v>
      </c>
      <c r="AE3050" s="1" t="str">
        <f t="shared" ca="1" si="3117"/>
        <v>Garage 60</v>
      </c>
      <c r="AF3050" t="str">
        <f t="shared" ca="1" si="3161"/>
        <v>Garage 60</v>
      </c>
    </row>
    <row r="3051" spans="28:32" x14ac:dyDescent="0.25">
      <c r="AB3051" t="str">
        <f t="shared" ref="AB3051:AC3051" si="3176">AB3030</f>
        <v>External Scaffolding</v>
      </c>
      <c r="AC3051" t="str">
        <f t="shared" si="3176"/>
        <v>Adaption Tower</v>
      </c>
      <c r="AD3051" t="b">
        <f t="shared" ca="1" si="3163"/>
        <v>1</v>
      </c>
      <c r="AE3051" s="1" t="str">
        <f t="shared" ca="1" si="3117"/>
        <v>Garage 60</v>
      </c>
      <c r="AF3051" t="str">
        <f t="shared" ca="1" si="3161"/>
        <v>Garage 60</v>
      </c>
    </row>
    <row r="3052" spans="28:32" x14ac:dyDescent="0.25">
      <c r="AB3052" t="str">
        <f t="shared" ref="AB3052:AC3052" si="3177">AB3031</f>
        <v>External Scaffolding</v>
      </c>
      <c r="AC3052" t="str">
        <f t="shared" si="3177"/>
        <v>Lift 1</v>
      </c>
      <c r="AD3052" t="b">
        <f t="shared" ca="1" si="3163"/>
        <v>1</v>
      </c>
      <c r="AE3052" s="1" t="str">
        <f t="shared" ca="1" si="3117"/>
        <v>Garage 63</v>
      </c>
      <c r="AF3052" t="str">
        <f t="shared" ca="1" si="3161"/>
        <v>Garage 63</v>
      </c>
    </row>
    <row r="3053" spans="28:32" x14ac:dyDescent="0.25">
      <c r="AB3053" t="str">
        <f t="shared" ref="AB3053:AC3053" si="3178">AB3032</f>
        <v>External Scaffolding</v>
      </c>
      <c r="AC3053" t="str">
        <f t="shared" si="3178"/>
        <v>Lift 2</v>
      </c>
      <c r="AD3053" t="b">
        <f t="shared" ca="1" si="3163"/>
        <v>1</v>
      </c>
      <c r="AE3053" s="1" t="str">
        <f t="shared" ca="1" si="3117"/>
        <v>Garage 63</v>
      </c>
      <c r="AF3053" t="str">
        <f t="shared" ca="1" si="3161"/>
        <v>Garage 63</v>
      </c>
    </row>
    <row r="3054" spans="28:32" x14ac:dyDescent="0.25">
      <c r="AB3054" t="str">
        <f t="shared" ref="AB3054:AC3054" si="3179">AB3033</f>
        <v>External Scaffolding</v>
      </c>
      <c r="AC3054" t="str">
        <f t="shared" si="3179"/>
        <v>Lift 3</v>
      </c>
      <c r="AD3054" t="b">
        <f t="shared" ca="1" si="3163"/>
        <v>1</v>
      </c>
      <c r="AE3054" s="1" t="str">
        <f t="shared" ca="1" si="3117"/>
        <v>Garage 63</v>
      </c>
      <c r="AF3054" t="str">
        <f t="shared" ca="1" si="3161"/>
        <v>Garage 63</v>
      </c>
    </row>
    <row r="3055" spans="28:32" x14ac:dyDescent="0.25">
      <c r="AB3055" t="str">
        <f t="shared" ref="AB3055:AC3055" si="3180">AB3034</f>
        <v>External Scaffolding</v>
      </c>
      <c r="AC3055" t="str">
        <f t="shared" si="3180"/>
        <v>Lift 4</v>
      </c>
      <c r="AD3055" t="b">
        <f t="shared" ca="1" si="3163"/>
        <v>0</v>
      </c>
      <c r="AE3055" s="1" t="str">
        <f t="shared" ca="1" si="3117"/>
        <v>Garage 63</v>
      </c>
      <c r="AF3055" t="str">
        <f t="shared" ca="1" si="3161"/>
        <v>Garage 63</v>
      </c>
    </row>
    <row r="3056" spans="28:32" x14ac:dyDescent="0.25">
      <c r="AB3056" t="str">
        <f t="shared" ref="AB3056:AC3056" si="3181">AB3035</f>
        <v>External Scaffolding</v>
      </c>
      <c r="AC3056" t="str">
        <f t="shared" si="3181"/>
        <v>Lift 5</v>
      </c>
      <c r="AD3056" t="b">
        <f t="shared" ca="1" si="3163"/>
        <v>0</v>
      </c>
      <c r="AE3056" s="1" t="str">
        <f t="shared" ca="1" si="3117"/>
        <v>Garage 63</v>
      </c>
      <c r="AF3056" t="str">
        <f t="shared" ca="1" si="3161"/>
        <v>Garage 63</v>
      </c>
    </row>
    <row r="3057" spans="28:32" x14ac:dyDescent="0.25">
      <c r="AB3057" t="str">
        <f t="shared" ref="AB3057:AC3057" si="3182">AB3036</f>
        <v>External Scaffolding</v>
      </c>
      <c r="AC3057" t="str">
        <f t="shared" si="3182"/>
        <v>Lift 6</v>
      </c>
      <c r="AD3057" t="b">
        <f t="shared" ca="1" si="3163"/>
        <v>0</v>
      </c>
      <c r="AE3057" s="1" t="str">
        <f t="shared" ca="1" si="3117"/>
        <v>Garage 63</v>
      </c>
      <c r="AF3057" t="str">
        <f t="shared" ca="1" si="3161"/>
        <v>Garage 63</v>
      </c>
    </row>
    <row r="3058" spans="28:32" x14ac:dyDescent="0.25">
      <c r="AB3058" t="str">
        <f t="shared" ref="AB3058:AC3058" si="3183">AB3037</f>
        <v>Loading Bay</v>
      </c>
      <c r="AC3058" t="str">
        <f t="shared" si="3183"/>
        <v>Lift 1</v>
      </c>
      <c r="AD3058" t="b">
        <f t="shared" ca="1" si="3163"/>
        <v>1</v>
      </c>
      <c r="AE3058" s="1" t="str">
        <f t="shared" ref="AE3058:AE3121" ca="1" si="3184">OFFSET($AD$1,0,FLOOR(ROW(B3030)/21,1))</f>
        <v>Garage 63</v>
      </c>
      <c r="AF3058" t="str">
        <f t="shared" ca="1" si="3161"/>
        <v>Garage 63</v>
      </c>
    </row>
    <row r="3059" spans="28:32" x14ac:dyDescent="0.25">
      <c r="AB3059" t="str">
        <f t="shared" ref="AB3059:AC3059" si="3185">AB3038</f>
        <v>Loading Bay</v>
      </c>
      <c r="AC3059" t="str">
        <f t="shared" si="3185"/>
        <v>Lift 2</v>
      </c>
      <c r="AD3059" t="b">
        <f t="shared" ca="1" si="3163"/>
        <v>1</v>
      </c>
      <c r="AE3059" s="1" t="str">
        <f t="shared" ca="1" si="3184"/>
        <v>Garage 63</v>
      </c>
      <c r="AF3059" t="str">
        <f t="shared" ca="1" si="3161"/>
        <v>Garage 63</v>
      </c>
    </row>
    <row r="3060" spans="28:32" x14ac:dyDescent="0.25">
      <c r="AB3060" t="str">
        <f t="shared" ref="AB3060:AC3060" si="3186">AB3039</f>
        <v>Loading Bay</v>
      </c>
      <c r="AC3060" t="str">
        <f t="shared" si="3186"/>
        <v>Lift 3</v>
      </c>
      <c r="AD3060" t="b">
        <f t="shared" ca="1" si="3163"/>
        <v>1</v>
      </c>
      <c r="AE3060" s="1" t="str">
        <f t="shared" ca="1" si="3184"/>
        <v>Garage 63</v>
      </c>
      <c r="AF3060" t="str">
        <f t="shared" ca="1" si="3161"/>
        <v>Garage 63</v>
      </c>
    </row>
    <row r="3061" spans="28:32" x14ac:dyDescent="0.25">
      <c r="AB3061" t="str">
        <f t="shared" ref="AB3061:AC3061" si="3187">AB3040</f>
        <v>Loading Bay</v>
      </c>
      <c r="AC3061" t="str">
        <f t="shared" si="3187"/>
        <v>Lift 4</v>
      </c>
      <c r="AD3061" t="b">
        <f t="shared" ca="1" si="3163"/>
        <v>0</v>
      </c>
      <c r="AE3061" s="1" t="str">
        <f t="shared" ca="1" si="3184"/>
        <v>Garage 63</v>
      </c>
      <c r="AF3061" t="str">
        <f t="shared" ca="1" si="3161"/>
        <v>Garage 63</v>
      </c>
    </row>
    <row r="3062" spans="28:32" x14ac:dyDescent="0.25">
      <c r="AB3062" t="str">
        <f t="shared" ref="AB3062:AC3062" si="3188">AB3041</f>
        <v>Loading Bay</v>
      </c>
      <c r="AC3062" t="str">
        <f t="shared" si="3188"/>
        <v>Lift 5</v>
      </c>
      <c r="AD3062" t="b">
        <f t="shared" ca="1" si="3163"/>
        <v>0</v>
      </c>
      <c r="AE3062" s="1" t="str">
        <f t="shared" ca="1" si="3184"/>
        <v>Garage 63</v>
      </c>
      <c r="AF3062" t="str">
        <f t="shared" ca="1" si="3161"/>
        <v>Garage 63</v>
      </c>
    </row>
    <row r="3063" spans="28:32" x14ac:dyDescent="0.25">
      <c r="AB3063" t="str">
        <f t="shared" ref="AB3063:AC3063" si="3189">AB3042</f>
        <v>Loading Bay</v>
      </c>
      <c r="AC3063" t="str">
        <f t="shared" si="3189"/>
        <v>Lift 6</v>
      </c>
      <c r="AD3063" t="b">
        <f t="shared" ca="1" si="3163"/>
        <v>0</v>
      </c>
      <c r="AE3063" s="1" t="str">
        <f t="shared" ca="1" si="3184"/>
        <v>Garage 63</v>
      </c>
      <c r="AF3063" t="str">
        <f t="shared" ca="1" si="3161"/>
        <v>Garage 63</v>
      </c>
    </row>
    <row r="3064" spans="28:32" x14ac:dyDescent="0.25">
      <c r="AB3064" t="str">
        <f t="shared" ref="AB3064:AC3064" si="3190">AB3043</f>
        <v>Scaffolding Platform</v>
      </c>
      <c r="AC3064" t="str">
        <f t="shared" si="3190"/>
        <v>Ground Floor</v>
      </c>
      <c r="AD3064" t="b">
        <f t="shared" ca="1" si="3163"/>
        <v>1</v>
      </c>
      <c r="AE3064" s="1" t="str">
        <f t="shared" ca="1" si="3184"/>
        <v>Garage 63</v>
      </c>
      <c r="AF3064" t="str">
        <f t="shared" ca="1" si="3161"/>
        <v>Garage 63</v>
      </c>
    </row>
    <row r="3065" spans="28:32" x14ac:dyDescent="0.25">
      <c r="AB3065" t="str">
        <f t="shared" ref="AB3065:AC3065" si="3191">AB3044</f>
        <v>Scaffolding Platform</v>
      </c>
      <c r="AC3065" t="str">
        <f t="shared" si="3191"/>
        <v>First Floor</v>
      </c>
      <c r="AD3065" t="b">
        <f t="shared" ca="1" si="3163"/>
        <v>0</v>
      </c>
      <c r="AE3065" s="1" t="str">
        <f t="shared" ca="1" si="3184"/>
        <v>Garage 63</v>
      </c>
      <c r="AF3065" t="str">
        <f t="shared" ca="1" si="3161"/>
        <v>Garage 63</v>
      </c>
    </row>
    <row r="3066" spans="28:32" x14ac:dyDescent="0.25">
      <c r="AB3066" t="str">
        <f t="shared" ref="AB3066:AC3066" si="3192">AB3045</f>
        <v>Scaffolding Platform</v>
      </c>
      <c r="AC3066" t="str">
        <f t="shared" si="3192"/>
        <v>Second Floor</v>
      </c>
      <c r="AD3066" t="b">
        <f t="shared" ca="1" si="3163"/>
        <v>0</v>
      </c>
      <c r="AE3066" s="1" t="str">
        <f t="shared" ca="1" si="3184"/>
        <v>Garage 63</v>
      </c>
      <c r="AF3066" t="str">
        <f t="shared" ca="1" si="3161"/>
        <v>Garage 63</v>
      </c>
    </row>
    <row r="3067" spans="28:32" x14ac:dyDescent="0.25">
      <c r="AB3067" t="str">
        <f t="shared" ref="AB3067:AC3067" si="3193">AB3046</f>
        <v>Supporting Scaffold</v>
      </c>
      <c r="AC3067" t="str">
        <f t="shared" si="3193"/>
        <v>Ground Floor Prop.</v>
      </c>
      <c r="AD3067" t="str">
        <f t="shared" ca="1" si="3163"/>
        <v>FALSE</v>
      </c>
      <c r="AE3067" s="1" t="str">
        <f t="shared" ca="1" si="3184"/>
        <v>Garage 63</v>
      </c>
      <c r="AF3067" t="str">
        <f t="shared" ca="1" si="3161"/>
        <v>Garage 63</v>
      </c>
    </row>
    <row r="3068" spans="28:32" x14ac:dyDescent="0.25">
      <c r="AB3068" t="str">
        <f t="shared" ref="AB3068:AC3068" si="3194">AB3047</f>
        <v>Supporting Scaffold</v>
      </c>
      <c r="AC3068" t="str">
        <f t="shared" si="3194"/>
        <v>First Floor Prop.</v>
      </c>
      <c r="AD3068" t="str">
        <f t="shared" ca="1" si="3163"/>
        <v>FALSE</v>
      </c>
      <c r="AE3068" s="1" t="str">
        <f t="shared" ca="1" si="3184"/>
        <v>Garage 63</v>
      </c>
      <c r="AF3068" t="str">
        <f t="shared" ca="1" si="3161"/>
        <v>Garage 63</v>
      </c>
    </row>
    <row r="3069" spans="28:32" x14ac:dyDescent="0.25">
      <c r="AB3069" t="str">
        <f t="shared" ref="AB3069:AC3069" si="3195">AB3048</f>
        <v>Supporting Scaffold</v>
      </c>
      <c r="AC3069" t="str">
        <f t="shared" si="3195"/>
        <v>Second Floor Prop.</v>
      </c>
      <c r="AD3069" t="str">
        <f t="shared" ca="1" si="3163"/>
        <v>FALSE</v>
      </c>
      <c r="AE3069" s="1" t="str">
        <f t="shared" ca="1" si="3184"/>
        <v>Garage 63</v>
      </c>
      <c r="AF3069" t="str">
        <f t="shared" ca="1" si="3161"/>
        <v>Garage 63</v>
      </c>
    </row>
    <row r="3070" spans="28:32" x14ac:dyDescent="0.25">
      <c r="AB3070" t="str">
        <f t="shared" ref="AB3070:AC3070" si="3196">AB3049</f>
        <v>External Scaffolding</v>
      </c>
      <c r="AC3070" t="str">
        <f t="shared" si="3196"/>
        <v>Hop-ups</v>
      </c>
      <c r="AD3070" t="b">
        <f t="shared" ca="1" si="3163"/>
        <v>1</v>
      </c>
      <c r="AE3070" s="1" t="str">
        <f t="shared" ca="1" si="3184"/>
        <v>Garage 63</v>
      </c>
      <c r="AF3070" t="str">
        <f t="shared" ca="1" si="3161"/>
        <v>Garage 63</v>
      </c>
    </row>
    <row r="3071" spans="28:32" x14ac:dyDescent="0.25">
      <c r="AB3071" t="str">
        <f t="shared" ref="AB3071:AC3071" si="3197">AB3050</f>
        <v>External Scaffolding</v>
      </c>
      <c r="AC3071" t="str">
        <f t="shared" si="3197"/>
        <v>Adaptions</v>
      </c>
      <c r="AD3071" t="b">
        <f t="shared" ca="1" si="3163"/>
        <v>1</v>
      </c>
      <c r="AE3071" s="1" t="str">
        <f t="shared" ca="1" si="3184"/>
        <v>Garage 63</v>
      </c>
      <c r="AF3071" t="str">
        <f t="shared" ca="1" si="3161"/>
        <v>Garage 63</v>
      </c>
    </row>
    <row r="3072" spans="28:32" x14ac:dyDescent="0.25">
      <c r="AB3072" t="str">
        <f t="shared" ref="AB3072:AC3072" si="3198">AB3051</f>
        <v>External Scaffolding</v>
      </c>
      <c r="AC3072" t="str">
        <f t="shared" si="3198"/>
        <v>Adaption Tower</v>
      </c>
      <c r="AD3072" t="b">
        <f t="shared" ca="1" si="3163"/>
        <v>1</v>
      </c>
      <c r="AE3072" s="1" t="str">
        <f t="shared" ca="1" si="3184"/>
        <v>Garage 63</v>
      </c>
      <c r="AF3072" t="str">
        <f t="shared" ca="1" si="3161"/>
        <v>Garage 63</v>
      </c>
    </row>
    <row r="3073" spans="28:32" x14ac:dyDescent="0.25">
      <c r="AB3073" t="str">
        <f t="shared" ref="AB3073:AC3073" si="3199">AB3052</f>
        <v>External Scaffolding</v>
      </c>
      <c r="AC3073" t="str">
        <f t="shared" si="3199"/>
        <v>Lift 1</v>
      </c>
      <c r="AD3073" t="b">
        <f t="shared" ca="1" si="3163"/>
        <v>1</v>
      </c>
      <c r="AE3073" s="1" t="str">
        <f t="shared" ca="1" si="3184"/>
        <v>Garage 64</v>
      </c>
      <c r="AF3073" t="str">
        <f t="shared" ca="1" si="3161"/>
        <v>Garage 64</v>
      </c>
    </row>
    <row r="3074" spans="28:32" x14ac:dyDescent="0.25">
      <c r="AB3074" t="str">
        <f t="shared" ref="AB3074:AC3074" si="3200">AB3053</f>
        <v>External Scaffolding</v>
      </c>
      <c r="AC3074" t="str">
        <f t="shared" si="3200"/>
        <v>Lift 2</v>
      </c>
      <c r="AD3074" t="b">
        <f t="shared" ca="1" si="3163"/>
        <v>1</v>
      </c>
      <c r="AE3074" s="1" t="str">
        <f t="shared" ca="1" si="3184"/>
        <v>Garage 64</v>
      </c>
      <c r="AF3074" t="str">
        <f t="shared" ca="1" si="3161"/>
        <v>Garage 64</v>
      </c>
    </row>
    <row r="3075" spans="28:32" x14ac:dyDescent="0.25">
      <c r="AB3075" t="str">
        <f t="shared" ref="AB3075:AC3075" si="3201">AB3054</f>
        <v>External Scaffolding</v>
      </c>
      <c r="AC3075" t="str">
        <f t="shared" si="3201"/>
        <v>Lift 3</v>
      </c>
      <c r="AD3075" t="b">
        <f t="shared" ca="1" si="3163"/>
        <v>1</v>
      </c>
      <c r="AE3075" s="1" t="str">
        <f t="shared" ca="1" si="3184"/>
        <v>Garage 64</v>
      </c>
      <c r="AF3075" t="str">
        <f t="shared" ca="1" si="3161"/>
        <v>Garage 64</v>
      </c>
    </row>
    <row r="3076" spans="28:32" x14ac:dyDescent="0.25">
      <c r="AB3076" t="str">
        <f t="shared" ref="AB3076:AC3076" si="3202">AB3055</f>
        <v>External Scaffolding</v>
      </c>
      <c r="AC3076" t="str">
        <f t="shared" si="3202"/>
        <v>Lift 4</v>
      </c>
      <c r="AD3076" t="b">
        <f t="shared" ca="1" si="3163"/>
        <v>0</v>
      </c>
      <c r="AE3076" s="1" t="str">
        <f t="shared" ca="1" si="3184"/>
        <v>Garage 64</v>
      </c>
      <c r="AF3076" t="str">
        <f t="shared" ca="1" si="3161"/>
        <v>Garage 64</v>
      </c>
    </row>
    <row r="3077" spans="28:32" x14ac:dyDescent="0.25">
      <c r="AB3077" t="str">
        <f t="shared" ref="AB3077:AC3077" si="3203">AB3056</f>
        <v>External Scaffolding</v>
      </c>
      <c r="AC3077" t="str">
        <f t="shared" si="3203"/>
        <v>Lift 5</v>
      </c>
      <c r="AD3077" t="b">
        <f t="shared" ca="1" si="3163"/>
        <v>0</v>
      </c>
      <c r="AE3077" s="1" t="str">
        <f t="shared" ca="1" si="3184"/>
        <v>Garage 64</v>
      </c>
      <c r="AF3077" t="str">
        <f t="shared" ca="1" si="3161"/>
        <v>Garage 64</v>
      </c>
    </row>
    <row r="3078" spans="28:32" x14ac:dyDescent="0.25">
      <c r="AB3078" t="str">
        <f t="shared" ref="AB3078:AC3078" si="3204">AB3057</f>
        <v>External Scaffolding</v>
      </c>
      <c r="AC3078" t="str">
        <f t="shared" si="3204"/>
        <v>Lift 6</v>
      </c>
      <c r="AD3078" t="b">
        <f t="shared" ca="1" si="3163"/>
        <v>0</v>
      </c>
      <c r="AE3078" s="1" t="str">
        <f t="shared" ca="1" si="3184"/>
        <v>Garage 64</v>
      </c>
      <c r="AF3078" t="str">
        <f t="shared" ca="1" si="3161"/>
        <v>Garage 64</v>
      </c>
    </row>
    <row r="3079" spans="28:32" x14ac:dyDescent="0.25">
      <c r="AB3079" t="str">
        <f t="shared" ref="AB3079:AC3079" si="3205">AB3058</f>
        <v>Loading Bay</v>
      </c>
      <c r="AC3079" t="str">
        <f t="shared" si="3205"/>
        <v>Lift 1</v>
      </c>
      <c r="AD3079" t="b">
        <f t="shared" ca="1" si="3163"/>
        <v>1</v>
      </c>
      <c r="AE3079" s="1" t="str">
        <f t="shared" ca="1" si="3184"/>
        <v>Garage 64</v>
      </c>
      <c r="AF3079" t="str">
        <f t="shared" ca="1" si="3161"/>
        <v>Garage 64</v>
      </c>
    </row>
    <row r="3080" spans="28:32" x14ac:dyDescent="0.25">
      <c r="AB3080" t="str">
        <f t="shared" ref="AB3080:AC3080" si="3206">AB3059</f>
        <v>Loading Bay</v>
      </c>
      <c r="AC3080" t="str">
        <f t="shared" si="3206"/>
        <v>Lift 2</v>
      </c>
      <c r="AD3080" t="b">
        <f t="shared" ca="1" si="3163"/>
        <v>1</v>
      </c>
      <c r="AE3080" s="1" t="str">
        <f t="shared" ca="1" si="3184"/>
        <v>Garage 64</v>
      </c>
      <c r="AF3080" t="str">
        <f t="shared" ca="1" si="3161"/>
        <v>Garage 64</v>
      </c>
    </row>
    <row r="3081" spans="28:32" x14ac:dyDescent="0.25">
      <c r="AB3081" t="str">
        <f t="shared" ref="AB3081:AC3081" si="3207">AB3060</f>
        <v>Loading Bay</v>
      </c>
      <c r="AC3081" t="str">
        <f t="shared" si="3207"/>
        <v>Lift 3</v>
      </c>
      <c r="AD3081" t="b">
        <f t="shared" ca="1" si="3163"/>
        <v>1</v>
      </c>
      <c r="AE3081" s="1" t="str">
        <f t="shared" ca="1" si="3184"/>
        <v>Garage 64</v>
      </c>
      <c r="AF3081" t="str">
        <f t="shared" ca="1" si="3161"/>
        <v>Garage 64</v>
      </c>
    </row>
    <row r="3082" spans="28:32" x14ac:dyDescent="0.25">
      <c r="AB3082" t="str">
        <f t="shared" ref="AB3082:AC3082" si="3208">AB3061</f>
        <v>Loading Bay</v>
      </c>
      <c r="AC3082" t="str">
        <f t="shared" si="3208"/>
        <v>Lift 4</v>
      </c>
      <c r="AD3082" t="b">
        <f t="shared" ca="1" si="3163"/>
        <v>0</v>
      </c>
      <c r="AE3082" s="1" t="str">
        <f t="shared" ca="1" si="3184"/>
        <v>Garage 64</v>
      </c>
      <c r="AF3082" t="str">
        <f t="shared" ca="1" si="3161"/>
        <v>Garage 64</v>
      </c>
    </row>
    <row r="3083" spans="28:32" x14ac:dyDescent="0.25">
      <c r="AB3083" t="str">
        <f t="shared" ref="AB3083:AC3083" si="3209">AB3062</f>
        <v>Loading Bay</v>
      </c>
      <c r="AC3083" t="str">
        <f t="shared" si="3209"/>
        <v>Lift 5</v>
      </c>
      <c r="AD3083" t="b">
        <f t="shared" ca="1" si="3163"/>
        <v>0</v>
      </c>
      <c r="AE3083" s="1" t="str">
        <f t="shared" ca="1" si="3184"/>
        <v>Garage 64</v>
      </c>
      <c r="AF3083" t="str">
        <f t="shared" ca="1" si="3161"/>
        <v>Garage 64</v>
      </c>
    </row>
    <row r="3084" spans="28:32" x14ac:dyDescent="0.25">
      <c r="AB3084" t="str">
        <f t="shared" ref="AB3084:AC3084" si="3210">AB3063</f>
        <v>Loading Bay</v>
      </c>
      <c r="AC3084" t="str">
        <f t="shared" si="3210"/>
        <v>Lift 6</v>
      </c>
      <c r="AD3084" t="b">
        <f t="shared" ca="1" si="3163"/>
        <v>0</v>
      </c>
      <c r="AE3084" s="1" t="str">
        <f t="shared" ca="1" si="3184"/>
        <v>Garage 64</v>
      </c>
      <c r="AF3084" t="str">
        <f t="shared" ca="1" si="3161"/>
        <v>Garage 64</v>
      </c>
    </row>
    <row r="3085" spans="28:32" x14ac:dyDescent="0.25">
      <c r="AB3085" t="str">
        <f t="shared" ref="AB3085:AC3085" si="3211">AB3064</f>
        <v>Scaffolding Platform</v>
      </c>
      <c r="AC3085" t="str">
        <f t="shared" si="3211"/>
        <v>Ground Floor</v>
      </c>
      <c r="AD3085" t="b">
        <f t="shared" ca="1" si="3163"/>
        <v>1</v>
      </c>
      <c r="AE3085" s="1" t="str">
        <f t="shared" ca="1" si="3184"/>
        <v>Garage 64</v>
      </c>
      <c r="AF3085" t="str">
        <f t="shared" ca="1" si="3161"/>
        <v>Garage 64</v>
      </c>
    </row>
    <row r="3086" spans="28:32" x14ac:dyDescent="0.25">
      <c r="AB3086" t="str">
        <f t="shared" ref="AB3086:AC3086" si="3212">AB3065</f>
        <v>Scaffolding Platform</v>
      </c>
      <c r="AC3086" t="str">
        <f t="shared" si="3212"/>
        <v>First Floor</v>
      </c>
      <c r="AD3086" t="b">
        <f t="shared" ca="1" si="3163"/>
        <v>0</v>
      </c>
      <c r="AE3086" s="1" t="str">
        <f t="shared" ca="1" si="3184"/>
        <v>Garage 64</v>
      </c>
      <c r="AF3086" t="str">
        <f t="shared" ca="1" si="3161"/>
        <v>Garage 64</v>
      </c>
    </row>
    <row r="3087" spans="28:32" x14ac:dyDescent="0.25">
      <c r="AB3087" t="str">
        <f t="shared" ref="AB3087:AC3087" si="3213">AB3066</f>
        <v>Scaffolding Platform</v>
      </c>
      <c r="AC3087" t="str">
        <f t="shared" si="3213"/>
        <v>Second Floor</v>
      </c>
      <c r="AD3087" t="b">
        <f t="shared" ca="1" si="3163"/>
        <v>0</v>
      </c>
      <c r="AE3087" s="1" t="str">
        <f t="shared" ca="1" si="3184"/>
        <v>Garage 64</v>
      </c>
      <c r="AF3087" t="str">
        <f t="shared" ca="1" si="3161"/>
        <v>Garage 64</v>
      </c>
    </row>
    <row r="3088" spans="28:32" x14ac:dyDescent="0.25">
      <c r="AB3088" t="str">
        <f t="shared" ref="AB3088:AC3088" si="3214">AB3067</f>
        <v>Supporting Scaffold</v>
      </c>
      <c r="AC3088" t="str">
        <f t="shared" si="3214"/>
        <v>Ground Floor Prop.</v>
      </c>
      <c r="AD3088" t="str">
        <f t="shared" ca="1" si="3163"/>
        <v>FALSE</v>
      </c>
      <c r="AE3088" s="1" t="str">
        <f t="shared" ca="1" si="3184"/>
        <v>Garage 64</v>
      </c>
      <c r="AF3088" t="str">
        <f t="shared" ca="1" si="3161"/>
        <v>Garage 64</v>
      </c>
    </row>
    <row r="3089" spans="28:32" x14ac:dyDescent="0.25">
      <c r="AB3089" t="str">
        <f t="shared" ref="AB3089:AC3089" si="3215">AB3068</f>
        <v>Supporting Scaffold</v>
      </c>
      <c r="AC3089" t="str">
        <f t="shared" si="3215"/>
        <v>First Floor Prop.</v>
      </c>
      <c r="AD3089" t="str">
        <f t="shared" ca="1" si="3163"/>
        <v>FALSE</v>
      </c>
      <c r="AE3089" s="1" t="str">
        <f t="shared" ca="1" si="3184"/>
        <v>Garage 64</v>
      </c>
      <c r="AF3089" t="str">
        <f t="shared" ca="1" si="3161"/>
        <v>Garage 64</v>
      </c>
    </row>
    <row r="3090" spans="28:32" x14ac:dyDescent="0.25">
      <c r="AB3090" t="str">
        <f t="shared" ref="AB3090:AC3090" si="3216">AB3069</f>
        <v>Supporting Scaffold</v>
      </c>
      <c r="AC3090" t="str">
        <f t="shared" si="3216"/>
        <v>Second Floor Prop.</v>
      </c>
      <c r="AD3090" t="str">
        <f t="shared" ca="1" si="3163"/>
        <v>FALSE</v>
      </c>
      <c r="AE3090" s="1" t="str">
        <f t="shared" ca="1" si="3184"/>
        <v>Garage 64</v>
      </c>
      <c r="AF3090" t="str">
        <f t="shared" ca="1" si="3161"/>
        <v>Garage 64</v>
      </c>
    </row>
    <row r="3091" spans="28:32" x14ac:dyDescent="0.25">
      <c r="AB3091" t="str">
        <f t="shared" ref="AB3091:AC3091" si="3217">AB3070</f>
        <v>External Scaffolding</v>
      </c>
      <c r="AC3091" t="str">
        <f t="shared" si="3217"/>
        <v>Hop-ups</v>
      </c>
      <c r="AD3091" t="b">
        <f t="shared" ca="1" si="3163"/>
        <v>1</v>
      </c>
      <c r="AE3091" s="1" t="str">
        <f t="shared" ca="1" si="3184"/>
        <v>Garage 64</v>
      </c>
      <c r="AF3091" t="str">
        <f t="shared" ca="1" si="3161"/>
        <v>Garage 64</v>
      </c>
    </row>
    <row r="3092" spans="28:32" x14ac:dyDescent="0.25">
      <c r="AB3092" t="str">
        <f t="shared" ref="AB3092:AC3092" si="3218">AB3071</f>
        <v>External Scaffolding</v>
      </c>
      <c r="AC3092" t="str">
        <f t="shared" si="3218"/>
        <v>Adaptions</v>
      </c>
      <c r="AD3092" t="b">
        <f t="shared" ca="1" si="3163"/>
        <v>1</v>
      </c>
      <c r="AE3092" s="1" t="str">
        <f t="shared" ca="1" si="3184"/>
        <v>Garage 64</v>
      </c>
      <c r="AF3092" t="str">
        <f t="shared" ca="1" si="3161"/>
        <v>Garage 64</v>
      </c>
    </row>
    <row r="3093" spans="28:32" x14ac:dyDescent="0.25">
      <c r="AB3093" t="str">
        <f t="shared" ref="AB3093:AC3093" si="3219">AB3072</f>
        <v>External Scaffolding</v>
      </c>
      <c r="AC3093" t="str">
        <f t="shared" si="3219"/>
        <v>Adaption Tower</v>
      </c>
      <c r="AD3093" t="b">
        <f t="shared" ca="1" si="3163"/>
        <v>1</v>
      </c>
      <c r="AE3093" s="1" t="str">
        <f t="shared" ca="1" si="3184"/>
        <v>Garage 64</v>
      </c>
      <c r="AF3093" t="str">
        <f t="shared" ca="1" si="3161"/>
        <v>Garage 64</v>
      </c>
    </row>
    <row r="3094" spans="28:32" x14ac:dyDescent="0.25">
      <c r="AB3094" t="str">
        <f t="shared" ref="AB3094:AC3094" si="3220">AB3073</f>
        <v>External Scaffolding</v>
      </c>
      <c r="AC3094" t="str">
        <f t="shared" si="3220"/>
        <v>Lift 1</v>
      </c>
      <c r="AD3094" t="b">
        <f t="shared" ca="1" si="3163"/>
        <v>1</v>
      </c>
      <c r="AE3094" s="1" t="str">
        <f t="shared" ca="1" si="3184"/>
        <v>Garage 65-72</v>
      </c>
      <c r="AF3094" t="str">
        <f t="shared" ca="1" si="3161"/>
        <v>Garage 65-72</v>
      </c>
    </row>
    <row r="3095" spans="28:32" x14ac:dyDescent="0.25">
      <c r="AB3095" t="str">
        <f t="shared" ref="AB3095:AC3095" si="3221">AB3074</f>
        <v>External Scaffolding</v>
      </c>
      <c r="AC3095" t="str">
        <f t="shared" si="3221"/>
        <v>Lift 2</v>
      </c>
      <c r="AD3095" t="b">
        <f t="shared" ca="1" si="3163"/>
        <v>1</v>
      </c>
      <c r="AE3095" s="1" t="str">
        <f t="shared" ca="1" si="3184"/>
        <v>Garage 65-72</v>
      </c>
      <c r="AF3095" t="str">
        <f t="shared" ca="1" si="3161"/>
        <v>Garage 65-72</v>
      </c>
    </row>
    <row r="3096" spans="28:32" x14ac:dyDescent="0.25">
      <c r="AB3096" t="str">
        <f t="shared" ref="AB3096:AC3096" si="3222">AB3075</f>
        <v>External Scaffolding</v>
      </c>
      <c r="AC3096" t="str">
        <f t="shared" si="3222"/>
        <v>Lift 3</v>
      </c>
      <c r="AD3096" t="b">
        <f t="shared" ca="1" si="3163"/>
        <v>1</v>
      </c>
      <c r="AE3096" s="1" t="str">
        <f t="shared" ca="1" si="3184"/>
        <v>Garage 65-72</v>
      </c>
      <c r="AF3096" t="str">
        <f t="shared" ca="1" si="3161"/>
        <v>Garage 65-72</v>
      </c>
    </row>
    <row r="3097" spans="28:32" x14ac:dyDescent="0.25">
      <c r="AB3097" t="str">
        <f t="shared" ref="AB3097:AC3097" si="3223">AB3076</f>
        <v>External Scaffolding</v>
      </c>
      <c r="AC3097" t="str">
        <f t="shared" si="3223"/>
        <v>Lift 4</v>
      </c>
      <c r="AD3097" t="b">
        <f t="shared" ca="1" si="3163"/>
        <v>0</v>
      </c>
      <c r="AE3097" s="1" t="str">
        <f t="shared" ca="1" si="3184"/>
        <v>Garage 65-72</v>
      </c>
      <c r="AF3097" t="str">
        <f t="shared" ca="1" si="3161"/>
        <v>Garage 65-72</v>
      </c>
    </row>
    <row r="3098" spans="28:32" x14ac:dyDescent="0.25">
      <c r="AB3098" t="str">
        <f t="shared" ref="AB3098:AC3098" si="3224">AB3077</f>
        <v>External Scaffolding</v>
      </c>
      <c r="AC3098" t="str">
        <f t="shared" si="3224"/>
        <v>Lift 5</v>
      </c>
      <c r="AD3098" t="b">
        <f t="shared" ca="1" si="3163"/>
        <v>0</v>
      </c>
      <c r="AE3098" s="1" t="str">
        <f t="shared" ca="1" si="3184"/>
        <v>Garage 65-72</v>
      </c>
      <c r="AF3098" t="str">
        <f t="shared" ca="1" si="3161"/>
        <v>Garage 65-72</v>
      </c>
    </row>
    <row r="3099" spans="28:32" x14ac:dyDescent="0.25">
      <c r="AB3099" t="str">
        <f t="shared" ref="AB3099:AC3099" si="3225">AB3078</f>
        <v>External Scaffolding</v>
      </c>
      <c r="AC3099" t="str">
        <f t="shared" si="3225"/>
        <v>Lift 6</v>
      </c>
      <c r="AD3099" t="b">
        <f t="shared" ca="1" si="3163"/>
        <v>0</v>
      </c>
      <c r="AE3099" s="1" t="str">
        <f t="shared" ca="1" si="3184"/>
        <v>Garage 65-72</v>
      </c>
      <c r="AF3099" t="str">
        <f t="shared" ca="1" si="3161"/>
        <v>Garage 65-72</v>
      </c>
    </row>
    <row r="3100" spans="28:32" x14ac:dyDescent="0.25">
      <c r="AB3100" t="str">
        <f t="shared" ref="AB3100:AC3100" si="3226">AB3079</f>
        <v>Loading Bay</v>
      </c>
      <c r="AC3100" t="str">
        <f t="shared" si="3226"/>
        <v>Lift 1</v>
      </c>
      <c r="AD3100" t="b">
        <f t="shared" ca="1" si="3163"/>
        <v>1</v>
      </c>
      <c r="AE3100" s="1" t="str">
        <f t="shared" ca="1" si="3184"/>
        <v>Garage 65-72</v>
      </c>
      <c r="AF3100" t="str">
        <f t="shared" ca="1" si="3161"/>
        <v>Garage 65-72</v>
      </c>
    </row>
    <row r="3101" spans="28:32" x14ac:dyDescent="0.25">
      <c r="AB3101" t="str">
        <f t="shared" ref="AB3101:AC3101" si="3227">AB3080</f>
        <v>Loading Bay</v>
      </c>
      <c r="AC3101" t="str">
        <f t="shared" si="3227"/>
        <v>Lift 2</v>
      </c>
      <c r="AD3101" t="b">
        <f t="shared" ca="1" si="3163"/>
        <v>1</v>
      </c>
      <c r="AE3101" s="1" t="str">
        <f t="shared" ca="1" si="3184"/>
        <v>Garage 65-72</v>
      </c>
      <c r="AF3101" t="str">
        <f t="shared" ref="AF3101:AF3164" ca="1" si="3228">IF(LEFT(AE3101,1)="G",AE3101,"Plot "&amp;AE3101)</f>
        <v>Garage 65-72</v>
      </c>
    </row>
    <row r="3102" spans="28:32" x14ac:dyDescent="0.25">
      <c r="AB3102" t="str">
        <f t="shared" ref="AB3102:AC3102" si="3229">AB3081</f>
        <v>Loading Bay</v>
      </c>
      <c r="AC3102" t="str">
        <f t="shared" si="3229"/>
        <v>Lift 3</v>
      </c>
      <c r="AD3102" t="b">
        <f t="shared" ref="AD3102:AD3165" ca="1" si="3230">INDEX($AC$1:$JH$22,MATCH(AC3102,$AC$1:$AC$22,0),MATCH(AE3102,$AC$1:$JH$1,0))</f>
        <v>1</v>
      </c>
      <c r="AE3102" s="1" t="str">
        <f t="shared" ca="1" si="3184"/>
        <v>Garage 65-72</v>
      </c>
      <c r="AF3102" t="str">
        <f t="shared" ca="1" si="3228"/>
        <v>Garage 65-72</v>
      </c>
    </row>
    <row r="3103" spans="28:32" x14ac:dyDescent="0.25">
      <c r="AB3103" t="str">
        <f t="shared" ref="AB3103:AC3103" si="3231">AB3082</f>
        <v>Loading Bay</v>
      </c>
      <c r="AC3103" t="str">
        <f t="shared" si="3231"/>
        <v>Lift 4</v>
      </c>
      <c r="AD3103" t="b">
        <f t="shared" ca="1" si="3230"/>
        <v>0</v>
      </c>
      <c r="AE3103" s="1" t="str">
        <f t="shared" ca="1" si="3184"/>
        <v>Garage 65-72</v>
      </c>
      <c r="AF3103" t="str">
        <f t="shared" ca="1" si="3228"/>
        <v>Garage 65-72</v>
      </c>
    </row>
    <row r="3104" spans="28:32" x14ac:dyDescent="0.25">
      <c r="AB3104" t="str">
        <f t="shared" ref="AB3104:AC3104" si="3232">AB3083</f>
        <v>Loading Bay</v>
      </c>
      <c r="AC3104" t="str">
        <f t="shared" si="3232"/>
        <v>Lift 5</v>
      </c>
      <c r="AD3104" t="b">
        <f t="shared" ca="1" si="3230"/>
        <v>0</v>
      </c>
      <c r="AE3104" s="1" t="str">
        <f t="shared" ca="1" si="3184"/>
        <v>Garage 65-72</v>
      </c>
      <c r="AF3104" t="str">
        <f t="shared" ca="1" si="3228"/>
        <v>Garage 65-72</v>
      </c>
    </row>
    <row r="3105" spans="28:32" x14ac:dyDescent="0.25">
      <c r="AB3105" t="str">
        <f t="shared" ref="AB3105:AC3105" si="3233">AB3084</f>
        <v>Loading Bay</v>
      </c>
      <c r="AC3105" t="str">
        <f t="shared" si="3233"/>
        <v>Lift 6</v>
      </c>
      <c r="AD3105" t="b">
        <f t="shared" ca="1" si="3230"/>
        <v>0</v>
      </c>
      <c r="AE3105" s="1" t="str">
        <f t="shared" ca="1" si="3184"/>
        <v>Garage 65-72</v>
      </c>
      <c r="AF3105" t="str">
        <f t="shared" ca="1" si="3228"/>
        <v>Garage 65-72</v>
      </c>
    </row>
    <row r="3106" spans="28:32" x14ac:dyDescent="0.25">
      <c r="AB3106" t="str">
        <f t="shared" ref="AB3106:AC3106" si="3234">AB3085</f>
        <v>Scaffolding Platform</v>
      </c>
      <c r="AC3106" t="str">
        <f t="shared" si="3234"/>
        <v>Ground Floor</v>
      </c>
      <c r="AD3106" t="b">
        <f t="shared" ca="1" si="3230"/>
        <v>1</v>
      </c>
      <c r="AE3106" s="1" t="str">
        <f t="shared" ca="1" si="3184"/>
        <v>Garage 65-72</v>
      </c>
      <c r="AF3106" t="str">
        <f t="shared" ca="1" si="3228"/>
        <v>Garage 65-72</v>
      </c>
    </row>
    <row r="3107" spans="28:32" x14ac:dyDescent="0.25">
      <c r="AB3107" t="str">
        <f t="shared" ref="AB3107:AC3107" si="3235">AB3086</f>
        <v>Scaffolding Platform</v>
      </c>
      <c r="AC3107" t="str">
        <f t="shared" si="3235"/>
        <v>First Floor</v>
      </c>
      <c r="AD3107" t="b">
        <f t="shared" ca="1" si="3230"/>
        <v>0</v>
      </c>
      <c r="AE3107" s="1" t="str">
        <f t="shared" ca="1" si="3184"/>
        <v>Garage 65-72</v>
      </c>
      <c r="AF3107" t="str">
        <f t="shared" ca="1" si="3228"/>
        <v>Garage 65-72</v>
      </c>
    </row>
    <row r="3108" spans="28:32" x14ac:dyDescent="0.25">
      <c r="AB3108" t="str">
        <f t="shared" ref="AB3108:AC3108" si="3236">AB3087</f>
        <v>Scaffolding Platform</v>
      </c>
      <c r="AC3108" t="str">
        <f t="shared" si="3236"/>
        <v>Second Floor</v>
      </c>
      <c r="AD3108" t="b">
        <f t="shared" ca="1" si="3230"/>
        <v>0</v>
      </c>
      <c r="AE3108" s="1" t="str">
        <f t="shared" ca="1" si="3184"/>
        <v>Garage 65-72</v>
      </c>
      <c r="AF3108" t="str">
        <f t="shared" ca="1" si="3228"/>
        <v>Garage 65-72</v>
      </c>
    </row>
    <row r="3109" spans="28:32" x14ac:dyDescent="0.25">
      <c r="AB3109" t="str">
        <f t="shared" ref="AB3109:AC3109" si="3237">AB3088</f>
        <v>Supporting Scaffold</v>
      </c>
      <c r="AC3109" t="str">
        <f t="shared" si="3237"/>
        <v>Ground Floor Prop.</v>
      </c>
      <c r="AD3109" t="str">
        <f t="shared" ca="1" si="3230"/>
        <v>FALSE</v>
      </c>
      <c r="AE3109" s="1" t="str">
        <f t="shared" ca="1" si="3184"/>
        <v>Garage 65-72</v>
      </c>
      <c r="AF3109" t="str">
        <f t="shared" ca="1" si="3228"/>
        <v>Garage 65-72</v>
      </c>
    </row>
    <row r="3110" spans="28:32" x14ac:dyDescent="0.25">
      <c r="AB3110" t="str">
        <f t="shared" ref="AB3110:AC3110" si="3238">AB3089</f>
        <v>Supporting Scaffold</v>
      </c>
      <c r="AC3110" t="str">
        <f t="shared" si="3238"/>
        <v>First Floor Prop.</v>
      </c>
      <c r="AD3110" t="str">
        <f t="shared" ca="1" si="3230"/>
        <v>FALSE</v>
      </c>
      <c r="AE3110" s="1" t="str">
        <f t="shared" ca="1" si="3184"/>
        <v>Garage 65-72</v>
      </c>
      <c r="AF3110" t="str">
        <f t="shared" ca="1" si="3228"/>
        <v>Garage 65-72</v>
      </c>
    </row>
    <row r="3111" spans="28:32" x14ac:dyDescent="0.25">
      <c r="AB3111" t="str">
        <f t="shared" ref="AB3111:AC3111" si="3239">AB3090</f>
        <v>Supporting Scaffold</v>
      </c>
      <c r="AC3111" t="str">
        <f t="shared" si="3239"/>
        <v>Second Floor Prop.</v>
      </c>
      <c r="AD3111" t="str">
        <f t="shared" ca="1" si="3230"/>
        <v>FALSE</v>
      </c>
      <c r="AE3111" s="1" t="str">
        <f t="shared" ca="1" si="3184"/>
        <v>Garage 65-72</v>
      </c>
      <c r="AF3111" t="str">
        <f t="shared" ca="1" si="3228"/>
        <v>Garage 65-72</v>
      </c>
    </row>
    <row r="3112" spans="28:32" x14ac:dyDescent="0.25">
      <c r="AB3112" t="str">
        <f t="shared" ref="AB3112:AC3112" si="3240">AB3091</f>
        <v>External Scaffolding</v>
      </c>
      <c r="AC3112" t="str">
        <f t="shared" si="3240"/>
        <v>Hop-ups</v>
      </c>
      <c r="AD3112" t="b">
        <f t="shared" ca="1" si="3230"/>
        <v>1</v>
      </c>
      <c r="AE3112" s="1" t="str">
        <f t="shared" ca="1" si="3184"/>
        <v>Garage 65-72</v>
      </c>
      <c r="AF3112" t="str">
        <f t="shared" ca="1" si="3228"/>
        <v>Garage 65-72</v>
      </c>
    </row>
    <row r="3113" spans="28:32" x14ac:dyDescent="0.25">
      <c r="AB3113" t="str">
        <f t="shared" ref="AB3113:AC3113" si="3241">AB3092</f>
        <v>External Scaffolding</v>
      </c>
      <c r="AC3113" t="str">
        <f t="shared" si="3241"/>
        <v>Adaptions</v>
      </c>
      <c r="AD3113" t="b">
        <f t="shared" ca="1" si="3230"/>
        <v>1</v>
      </c>
      <c r="AE3113" s="1" t="str">
        <f t="shared" ca="1" si="3184"/>
        <v>Garage 65-72</v>
      </c>
      <c r="AF3113" t="str">
        <f t="shared" ca="1" si="3228"/>
        <v>Garage 65-72</v>
      </c>
    </row>
    <row r="3114" spans="28:32" x14ac:dyDescent="0.25">
      <c r="AB3114" t="str">
        <f t="shared" ref="AB3114:AC3114" si="3242">AB3093</f>
        <v>External Scaffolding</v>
      </c>
      <c r="AC3114" t="str">
        <f t="shared" si="3242"/>
        <v>Adaption Tower</v>
      </c>
      <c r="AD3114" t="b">
        <f t="shared" ca="1" si="3230"/>
        <v>1</v>
      </c>
      <c r="AE3114" s="1" t="str">
        <f t="shared" ca="1" si="3184"/>
        <v>Garage 65-72</v>
      </c>
      <c r="AF3114" t="str">
        <f t="shared" ca="1" si="3228"/>
        <v>Garage 65-72</v>
      </c>
    </row>
    <row r="3115" spans="28:32" x14ac:dyDescent="0.25">
      <c r="AB3115" t="str">
        <f t="shared" ref="AB3115:AC3115" si="3243">AB3094</f>
        <v>External Scaffolding</v>
      </c>
      <c r="AC3115" t="str">
        <f t="shared" si="3243"/>
        <v>Lift 1</v>
      </c>
      <c r="AD3115" t="b">
        <f t="shared" ca="1" si="3230"/>
        <v>1</v>
      </c>
      <c r="AE3115" s="1" t="str">
        <f t="shared" ca="1" si="3184"/>
        <v>Garage 66</v>
      </c>
      <c r="AF3115" t="str">
        <f t="shared" ca="1" si="3228"/>
        <v>Garage 66</v>
      </c>
    </row>
    <row r="3116" spans="28:32" x14ac:dyDescent="0.25">
      <c r="AB3116" t="str">
        <f t="shared" ref="AB3116:AC3116" si="3244">AB3095</f>
        <v>External Scaffolding</v>
      </c>
      <c r="AC3116" t="str">
        <f t="shared" si="3244"/>
        <v>Lift 2</v>
      </c>
      <c r="AD3116" t="b">
        <f t="shared" ca="1" si="3230"/>
        <v>1</v>
      </c>
      <c r="AE3116" s="1" t="str">
        <f t="shared" ca="1" si="3184"/>
        <v>Garage 66</v>
      </c>
      <c r="AF3116" t="str">
        <f t="shared" ca="1" si="3228"/>
        <v>Garage 66</v>
      </c>
    </row>
    <row r="3117" spans="28:32" x14ac:dyDescent="0.25">
      <c r="AB3117" t="str">
        <f t="shared" ref="AB3117:AC3117" si="3245">AB3096</f>
        <v>External Scaffolding</v>
      </c>
      <c r="AC3117" t="str">
        <f t="shared" si="3245"/>
        <v>Lift 3</v>
      </c>
      <c r="AD3117" t="b">
        <f t="shared" ca="1" si="3230"/>
        <v>1</v>
      </c>
      <c r="AE3117" s="1" t="str">
        <f t="shared" ca="1" si="3184"/>
        <v>Garage 66</v>
      </c>
      <c r="AF3117" t="str">
        <f t="shared" ca="1" si="3228"/>
        <v>Garage 66</v>
      </c>
    </row>
    <row r="3118" spans="28:32" x14ac:dyDescent="0.25">
      <c r="AB3118" t="str">
        <f t="shared" ref="AB3118:AC3118" si="3246">AB3097</f>
        <v>External Scaffolding</v>
      </c>
      <c r="AC3118" t="str">
        <f t="shared" si="3246"/>
        <v>Lift 4</v>
      </c>
      <c r="AD3118" t="b">
        <f t="shared" ca="1" si="3230"/>
        <v>0</v>
      </c>
      <c r="AE3118" s="1" t="str">
        <f t="shared" ca="1" si="3184"/>
        <v>Garage 66</v>
      </c>
      <c r="AF3118" t="str">
        <f t="shared" ca="1" si="3228"/>
        <v>Garage 66</v>
      </c>
    </row>
    <row r="3119" spans="28:32" x14ac:dyDescent="0.25">
      <c r="AB3119" t="str">
        <f t="shared" ref="AB3119:AC3119" si="3247">AB3098</f>
        <v>External Scaffolding</v>
      </c>
      <c r="AC3119" t="str">
        <f t="shared" si="3247"/>
        <v>Lift 5</v>
      </c>
      <c r="AD3119" t="b">
        <f t="shared" ca="1" si="3230"/>
        <v>0</v>
      </c>
      <c r="AE3119" s="1" t="str">
        <f t="shared" ca="1" si="3184"/>
        <v>Garage 66</v>
      </c>
      <c r="AF3119" t="str">
        <f t="shared" ca="1" si="3228"/>
        <v>Garage 66</v>
      </c>
    </row>
    <row r="3120" spans="28:32" x14ac:dyDescent="0.25">
      <c r="AB3120" t="str">
        <f t="shared" ref="AB3120:AC3120" si="3248">AB3099</f>
        <v>External Scaffolding</v>
      </c>
      <c r="AC3120" t="str">
        <f t="shared" si="3248"/>
        <v>Lift 6</v>
      </c>
      <c r="AD3120" t="b">
        <f t="shared" ca="1" si="3230"/>
        <v>0</v>
      </c>
      <c r="AE3120" s="1" t="str">
        <f t="shared" ca="1" si="3184"/>
        <v>Garage 66</v>
      </c>
      <c r="AF3120" t="str">
        <f t="shared" ca="1" si="3228"/>
        <v>Garage 66</v>
      </c>
    </row>
    <row r="3121" spans="28:32" x14ac:dyDescent="0.25">
      <c r="AB3121" t="str">
        <f t="shared" ref="AB3121:AC3121" si="3249">AB3100</f>
        <v>Loading Bay</v>
      </c>
      <c r="AC3121" t="str">
        <f t="shared" si="3249"/>
        <v>Lift 1</v>
      </c>
      <c r="AD3121" t="b">
        <f t="shared" ca="1" si="3230"/>
        <v>1</v>
      </c>
      <c r="AE3121" s="1" t="str">
        <f t="shared" ca="1" si="3184"/>
        <v>Garage 66</v>
      </c>
      <c r="AF3121" t="str">
        <f t="shared" ca="1" si="3228"/>
        <v>Garage 66</v>
      </c>
    </row>
    <row r="3122" spans="28:32" x14ac:dyDescent="0.25">
      <c r="AB3122" t="str">
        <f t="shared" ref="AB3122:AC3122" si="3250">AB3101</f>
        <v>Loading Bay</v>
      </c>
      <c r="AC3122" t="str">
        <f t="shared" si="3250"/>
        <v>Lift 2</v>
      </c>
      <c r="AD3122" t="b">
        <f t="shared" ca="1" si="3230"/>
        <v>1</v>
      </c>
      <c r="AE3122" s="1" t="str">
        <f t="shared" ref="AE3122:AE3185" ca="1" si="3251">OFFSET($AD$1,0,FLOOR(ROW(B3094)/21,1))</f>
        <v>Garage 66</v>
      </c>
      <c r="AF3122" t="str">
        <f t="shared" ca="1" si="3228"/>
        <v>Garage 66</v>
      </c>
    </row>
    <row r="3123" spans="28:32" x14ac:dyDescent="0.25">
      <c r="AB3123" t="str">
        <f t="shared" ref="AB3123:AC3123" si="3252">AB3102</f>
        <v>Loading Bay</v>
      </c>
      <c r="AC3123" t="str">
        <f t="shared" si="3252"/>
        <v>Lift 3</v>
      </c>
      <c r="AD3123" t="b">
        <f t="shared" ca="1" si="3230"/>
        <v>1</v>
      </c>
      <c r="AE3123" s="1" t="str">
        <f t="shared" ca="1" si="3251"/>
        <v>Garage 66</v>
      </c>
      <c r="AF3123" t="str">
        <f t="shared" ca="1" si="3228"/>
        <v>Garage 66</v>
      </c>
    </row>
    <row r="3124" spans="28:32" x14ac:dyDescent="0.25">
      <c r="AB3124" t="str">
        <f t="shared" ref="AB3124:AC3124" si="3253">AB3103</f>
        <v>Loading Bay</v>
      </c>
      <c r="AC3124" t="str">
        <f t="shared" si="3253"/>
        <v>Lift 4</v>
      </c>
      <c r="AD3124" t="b">
        <f t="shared" ca="1" si="3230"/>
        <v>0</v>
      </c>
      <c r="AE3124" s="1" t="str">
        <f t="shared" ca="1" si="3251"/>
        <v>Garage 66</v>
      </c>
      <c r="AF3124" t="str">
        <f t="shared" ca="1" si="3228"/>
        <v>Garage 66</v>
      </c>
    </row>
    <row r="3125" spans="28:32" x14ac:dyDescent="0.25">
      <c r="AB3125" t="str">
        <f t="shared" ref="AB3125:AC3125" si="3254">AB3104</f>
        <v>Loading Bay</v>
      </c>
      <c r="AC3125" t="str">
        <f t="shared" si="3254"/>
        <v>Lift 5</v>
      </c>
      <c r="AD3125" t="b">
        <f t="shared" ca="1" si="3230"/>
        <v>0</v>
      </c>
      <c r="AE3125" s="1" t="str">
        <f t="shared" ca="1" si="3251"/>
        <v>Garage 66</v>
      </c>
      <c r="AF3125" t="str">
        <f t="shared" ca="1" si="3228"/>
        <v>Garage 66</v>
      </c>
    </row>
    <row r="3126" spans="28:32" x14ac:dyDescent="0.25">
      <c r="AB3126" t="str">
        <f t="shared" ref="AB3126:AC3126" si="3255">AB3105</f>
        <v>Loading Bay</v>
      </c>
      <c r="AC3126" t="str">
        <f t="shared" si="3255"/>
        <v>Lift 6</v>
      </c>
      <c r="AD3126" t="b">
        <f t="shared" ca="1" si="3230"/>
        <v>0</v>
      </c>
      <c r="AE3126" s="1" t="str">
        <f t="shared" ca="1" si="3251"/>
        <v>Garage 66</v>
      </c>
      <c r="AF3126" t="str">
        <f t="shared" ca="1" si="3228"/>
        <v>Garage 66</v>
      </c>
    </row>
    <row r="3127" spans="28:32" x14ac:dyDescent="0.25">
      <c r="AB3127" t="str">
        <f t="shared" ref="AB3127:AC3127" si="3256">AB3106</f>
        <v>Scaffolding Platform</v>
      </c>
      <c r="AC3127" t="str">
        <f t="shared" si="3256"/>
        <v>Ground Floor</v>
      </c>
      <c r="AD3127" t="b">
        <f t="shared" ca="1" si="3230"/>
        <v>1</v>
      </c>
      <c r="AE3127" s="1" t="str">
        <f t="shared" ca="1" si="3251"/>
        <v>Garage 66</v>
      </c>
      <c r="AF3127" t="str">
        <f t="shared" ca="1" si="3228"/>
        <v>Garage 66</v>
      </c>
    </row>
    <row r="3128" spans="28:32" x14ac:dyDescent="0.25">
      <c r="AB3128" t="str">
        <f t="shared" ref="AB3128:AC3128" si="3257">AB3107</f>
        <v>Scaffolding Platform</v>
      </c>
      <c r="AC3128" t="str">
        <f t="shared" si="3257"/>
        <v>First Floor</v>
      </c>
      <c r="AD3128" t="b">
        <f t="shared" ca="1" si="3230"/>
        <v>0</v>
      </c>
      <c r="AE3128" s="1" t="str">
        <f t="shared" ca="1" si="3251"/>
        <v>Garage 66</v>
      </c>
      <c r="AF3128" t="str">
        <f t="shared" ca="1" si="3228"/>
        <v>Garage 66</v>
      </c>
    </row>
    <row r="3129" spans="28:32" x14ac:dyDescent="0.25">
      <c r="AB3129" t="str">
        <f t="shared" ref="AB3129:AC3129" si="3258">AB3108</f>
        <v>Scaffolding Platform</v>
      </c>
      <c r="AC3129" t="str">
        <f t="shared" si="3258"/>
        <v>Second Floor</v>
      </c>
      <c r="AD3129" t="b">
        <f t="shared" ca="1" si="3230"/>
        <v>0</v>
      </c>
      <c r="AE3129" s="1" t="str">
        <f t="shared" ca="1" si="3251"/>
        <v>Garage 66</v>
      </c>
      <c r="AF3129" t="str">
        <f t="shared" ca="1" si="3228"/>
        <v>Garage 66</v>
      </c>
    </row>
    <row r="3130" spans="28:32" x14ac:dyDescent="0.25">
      <c r="AB3130" t="str">
        <f t="shared" ref="AB3130:AC3130" si="3259">AB3109</f>
        <v>Supporting Scaffold</v>
      </c>
      <c r="AC3130" t="str">
        <f t="shared" si="3259"/>
        <v>Ground Floor Prop.</v>
      </c>
      <c r="AD3130" t="str">
        <f t="shared" ca="1" si="3230"/>
        <v>FALSE</v>
      </c>
      <c r="AE3130" s="1" t="str">
        <f t="shared" ca="1" si="3251"/>
        <v>Garage 66</v>
      </c>
      <c r="AF3130" t="str">
        <f t="shared" ca="1" si="3228"/>
        <v>Garage 66</v>
      </c>
    </row>
    <row r="3131" spans="28:32" x14ac:dyDescent="0.25">
      <c r="AB3131" t="str">
        <f t="shared" ref="AB3131:AC3131" si="3260">AB3110</f>
        <v>Supporting Scaffold</v>
      </c>
      <c r="AC3131" t="str">
        <f t="shared" si="3260"/>
        <v>First Floor Prop.</v>
      </c>
      <c r="AD3131" t="str">
        <f t="shared" ca="1" si="3230"/>
        <v>FALSE</v>
      </c>
      <c r="AE3131" s="1" t="str">
        <f t="shared" ca="1" si="3251"/>
        <v>Garage 66</v>
      </c>
      <c r="AF3131" t="str">
        <f t="shared" ca="1" si="3228"/>
        <v>Garage 66</v>
      </c>
    </row>
    <row r="3132" spans="28:32" x14ac:dyDescent="0.25">
      <c r="AB3132" t="str">
        <f t="shared" ref="AB3132:AC3132" si="3261">AB3111</f>
        <v>Supporting Scaffold</v>
      </c>
      <c r="AC3132" t="str">
        <f t="shared" si="3261"/>
        <v>Second Floor Prop.</v>
      </c>
      <c r="AD3132" t="str">
        <f t="shared" ca="1" si="3230"/>
        <v>FALSE</v>
      </c>
      <c r="AE3132" s="1" t="str">
        <f t="shared" ca="1" si="3251"/>
        <v>Garage 66</v>
      </c>
      <c r="AF3132" t="str">
        <f t="shared" ca="1" si="3228"/>
        <v>Garage 66</v>
      </c>
    </row>
    <row r="3133" spans="28:32" x14ac:dyDescent="0.25">
      <c r="AB3133" t="str">
        <f t="shared" ref="AB3133:AC3133" si="3262">AB3112</f>
        <v>External Scaffolding</v>
      </c>
      <c r="AC3133" t="str">
        <f t="shared" si="3262"/>
        <v>Hop-ups</v>
      </c>
      <c r="AD3133" t="b">
        <f t="shared" ca="1" si="3230"/>
        <v>1</v>
      </c>
      <c r="AE3133" s="1" t="str">
        <f t="shared" ca="1" si="3251"/>
        <v>Garage 66</v>
      </c>
      <c r="AF3133" t="str">
        <f t="shared" ca="1" si="3228"/>
        <v>Garage 66</v>
      </c>
    </row>
    <row r="3134" spans="28:32" x14ac:dyDescent="0.25">
      <c r="AB3134" t="str">
        <f t="shared" ref="AB3134:AC3134" si="3263">AB3113</f>
        <v>External Scaffolding</v>
      </c>
      <c r="AC3134" t="str">
        <f t="shared" si="3263"/>
        <v>Adaptions</v>
      </c>
      <c r="AD3134" t="b">
        <f t="shared" ca="1" si="3230"/>
        <v>1</v>
      </c>
      <c r="AE3134" s="1" t="str">
        <f t="shared" ca="1" si="3251"/>
        <v>Garage 66</v>
      </c>
      <c r="AF3134" t="str">
        <f t="shared" ca="1" si="3228"/>
        <v>Garage 66</v>
      </c>
    </row>
    <row r="3135" spans="28:32" x14ac:dyDescent="0.25">
      <c r="AB3135" t="str">
        <f t="shared" ref="AB3135:AC3135" si="3264">AB3114</f>
        <v>External Scaffolding</v>
      </c>
      <c r="AC3135" t="str">
        <f t="shared" si="3264"/>
        <v>Adaption Tower</v>
      </c>
      <c r="AD3135" t="b">
        <f t="shared" ca="1" si="3230"/>
        <v>1</v>
      </c>
      <c r="AE3135" s="1" t="str">
        <f t="shared" ca="1" si="3251"/>
        <v>Garage 66</v>
      </c>
      <c r="AF3135" t="str">
        <f t="shared" ca="1" si="3228"/>
        <v>Garage 66</v>
      </c>
    </row>
    <row r="3136" spans="28:32" x14ac:dyDescent="0.25">
      <c r="AB3136" t="str">
        <f t="shared" ref="AB3136:AC3136" si="3265">AB3115</f>
        <v>External Scaffolding</v>
      </c>
      <c r="AC3136" t="str">
        <f t="shared" si="3265"/>
        <v>Lift 1</v>
      </c>
      <c r="AD3136" t="b">
        <f t="shared" ca="1" si="3230"/>
        <v>1</v>
      </c>
      <c r="AE3136" s="1" t="str">
        <f t="shared" ca="1" si="3251"/>
        <v>Garage 67</v>
      </c>
      <c r="AF3136" t="str">
        <f t="shared" ca="1" si="3228"/>
        <v>Garage 67</v>
      </c>
    </row>
    <row r="3137" spans="28:32" x14ac:dyDescent="0.25">
      <c r="AB3137" t="str">
        <f t="shared" ref="AB3137:AC3137" si="3266">AB3116</f>
        <v>External Scaffolding</v>
      </c>
      <c r="AC3137" t="str">
        <f t="shared" si="3266"/>
        <v>Lift 2</v>
      </c>
      <c r="AD3137" t="b">
        <f t="shared" ca="1" si="3230"/>
        <v>1</v>
      </c>
      <c r="AE3137" s="1" t="str">
        <f t="shared" ca="1" si="3251"/>
        <v>Garage 67</v>
      </c>
      <c r="AF3137" t="str">
        <f t="shared" ca="1" si="3228"/>
        <v>Garage 67</v>
      </c>
    </row>
    <row r="3138" spans="28:32" x14ac:dyDescent="0.25">
      <c r="AB3138" t="str">
        <f t="shared" ref="AB3138:AC3138" si="3267">AB3117</f>
        <v>External Scaffolding</v>
      </c>
      <c r="AC3138" t="str">
        <f t="shared" si="3267"/>
        <v>Lift 3</v>
      </c>
      <c r="AD3138" t="b">
        <f t="shared" ca="1" si="3230"/>
        <v>1</v>
      </c>
      <c r="AE3138" s="1" t="str">
        <f t="shared" ca="1" si="3251"/>
        <v>Garage 67</v>
      </c>
      <c r="AF3138" t="str">
        <f t="shared" ca="1" si="3228"/>
        <v>Garage 67</v>
      </c>
    </row>
    <row r="3139" spans="28:32" x14ac:dyDescent="0.25">
      <c r="AB3139" t="str">
        <f t="shared" ref="AB3139:AC3139" si="3268">AB3118</f>
        <v>External Scaffolding</v>
      </c>
      <c r="AC3139" t="str">
        <f t="shared" si="3268"/>
        <v>Lift 4</v>
      </c>
      <c r="AD3139" t="b">
        <f t="shared" ca="1" si="3230"/>
        <v>0</v>
      </c>
      <c r="AE3139" s="1" t="str">
        <f t="shared" ca="1" si="3251"/>
        <v>Garage 67</v>
      </c>
      <c r="AF3139" t="str">
        <f t="shared" ca="1" si="3228"/>
        <v>Garage 67</v>
      </c>
    </row>
    <row r="3140" spans="28:32" x14ac:dyDescent="0.25">
      <c r="AB3140" t="str">
        <f t="shared" ref="AB3140:AC3140" si="3269">AB3119</f>
        <v>External Scaffolding</v>
      </c>
      <c r="AC3140" t="str">
        <f t="shared" si="3269"/>
        <v>Lift 5</v>
      </c>
      <c r="AD3140" t="b">
        <f t="shared" ca="1" si="3230"/>
        <v>0</v>
      </c>
      <c r="AE3140" s="1" t="str">
        <f t="shared" ca="1" si="3251"/>
        <v>Garage 67</v>
      </c>
      <c r="AF3140" t="str">
        <f t="shared" ca="1" si="3228"/>
        <v>Garage 67</v>
      </c>
    </row>
    <row r="3141" spans="28:32" x14ac:dyDescent="0.25">
      <c r="AB3141" t="str">
        <f t="shared" ref="AB3141:AC3141" si="3270">AB3120</f>
        <v>External Scaffolding</v>
      </c>
      <c r="AC3141" t="str">
        <f t="shared" si="3270"/>
        <v>Lift 6</v>
      </c>
      <c r="AD3141" t="b">
        <f t="shared" ca="1" si="3230"/>
        <v>0</v>
      </c>
      <c r="AE3141" s="1" t="str">
        <f t="shared" ca="1" si="3251"/>
        <v>Garage 67</v>
      </c>
      <c r="AF3141" t="str">
        <f t="shared" ca="1" si="3228"/>
        <v>Garage 67</v>
      </c>
    </row>
    <row r="3142" spans="28:32" x14ac:dyDescent="0.25">
      <c r="AB3142" t="str">
        <f t="shared" ref="AB3142:AC3142" si="3271">AB3121</f>
        <v>Loading Bay</v>
      </c>
      <c r="AC3142" t="str">
        <f t="shared" si="3271"/>
        <v>Lift 1</v>
      </c>
      <c r="AD3142" t="b">
        <f t="shared" ca="1" si="3230"/>
        <v>1</v>
      </c>
      <c r="AE3142" s="1" t="str">
        <f t="shared" ca="1" si="3251"/>
        <v>Garage 67</v>
      </c>
      <c r="AF3142" t="str">
        <f t="shared" ca="1" si="3228"/>
        <v>Garage 67</v>
      </c>
    </row>
    <row r="3143" spans="28:32" x14ac:dyDescent="0.25">
      <c r="AB3143" t="str">
        <f t="shared" ref="AB3143:AC3143" si="3272">AB3122</f>
        <v>Loading Bay</v>
      </c>
      <c r="AC3143" t="str">
        <f t="shared" si="3272"/>
        <v>Lift 2</v>
      </c>
      <c r="AD3143" t="b">
        <f t="shared" ca="1" si="3230"/>
        <v>1</v>
      </c>
      <c r="AE3143" s="1" t="str">
        <f t="shared" ca="1" si="3251"/>
        <v>Garage 67</v>
      </c>
      <c r="AF3143" t="str">
        <f t="shared" ca="1" si="3228"/>
        <v>Garage 67</v>
      </c>
    </row>
    <row r="3144" spans="28:32" x14ac:dyDescent="0.25">
      <c r="AB3144" t="str">
        <f t="shared" ref="AB3144:AC3144" si="3273">AB3123</f>
        <v>Loading Bay</v>
      </c>
      <c r="AC3144" t="str">
        <f t="shared" si="3273"/>
        <v>Lift 3</v>
      </c>
      <c r="AD3144" t="b">
        <f t="shared" ca="1" si="3230"/>
        <v>1</v>
      </c>
      <c r="AE3144" s="1" t="str">
        <f t="shared" ca="1" si="3251"/>
        <v>Garage 67</v>
      </c>
      <c r="AF3144" t="str">
        <f t="shared" ca="1" si="3228"/>
        <v>Garage 67</v>
      </c>
    </row>
    <row r="3145" spans="28:32" x14ac:dyDescent="0.25">
      <c r="AB3145" t="str">
        <f t="shared" ref="AB3145:AC3145" si="3274">AB3124</f>
        <v>Loading Bay</v>
      </c>
      <c r="AC3145" t="str">
        <f t="shared" si="3274"/>
        <v>Lift 4</v>
      </c>
      <c r="AD3145" t="b">
        <f t="shared" ca="1" si="3230"/>
        <v>0</v>
      </c>
      <c r="AE3145" s="1" t="str">
        <f t="shared" ca="1" si="3251"/>
        <v>Garage 67</v>
      </c>
      <c r="AF3145" t="str">
        <f t="shared" ca="1" si="3228"/>
        <v>Garage 67</v>
      </c>
    </row>
    <row r="3146" spans="28:32" x14ac:dyDescent="0.25">
      <c r="AB3146" t="str">
        <f t="shared" ref="AB3146:AC3146" si="3275">AB3125</f>
        <v>Loading Bay</v>
      </c>
      <c r="AC3146" t="str">
        <f t="shared" si="3275"/>
        <v>Lift 5</v>
      </c>
      <c r="AD3146" t="b">
        <f t="shared" ca="1" si="3230"/>
        <v>0</v>
      </c>
      <c r="AE3146" s="1" t="str">
        <f t="shared" ca="1" si="3251"/>
        <v>Garage 67</v>
      </c>
      <c r="AF3146" t="str">
        <f t="shared" ca="1" si="3228"/>
        <v>Garage 67</v>
      </c>
    </row>
    <row r="3147" spans="28:32" x14ac:dyDescent="0.25">
      <c r="AB3147" t="str">
        <f t="shared" ref="AB3147:AC3147" si="3276">AB3126</f>
        <v>Loading Bay</v>
      </c>
      <c r="AC3147" t="str">
        <f t="shared" si="3276"/>
        <v>Lift 6</v>
      </c>
      <c r="AD3147" t="b">
        <f t="shared" ca="1" si="3230"/>
        <v>0</v>
      </c>
      <c r="AE3147" s="1" t="str">
        <f t="shared" ca="1" si="3251"/>
        <v>Garage 67</v>
      </c>
      <c r="AF3147" t="str">
        <f t="shared" ca="1" si="3228"/>
        <v>Garage 67</v>
      </c>
    </row>
    <row r="3148" spans="28:32" x14ac:dyDescent="0.25">
      <c r="AB3148" t="str">
        <f t="shared" ref="AB3148:AC3148" si="3277">AB3127</f>
        <v>Scaffolding Platform</v>
      </c>
      <c r="AC3148" t="str">
        <f t="shared" si="3277"/>
        <v>Ground Floor</v>
      </c>
      <c r="AD3148" t="b">
        <f t="shared" ca="1" si="3230"/>
        <v>1</v>
      </c>
      <c r="AE3148" s="1" t="str">
        <f t="shared" ca="1" si="3251"/>
        <v>Garage 67</v>
      </c>
      <c r="AF3148" t="str">
        <f t="shared" ca="1" si="3228"/>
        <v>Garage 67</v>
      </c>
    </row>
    <row r="3149" spans="28:32" x14ac:dyDescent="0.25">
      <c r="AB3149" t="str">
        <f t="shared" ref="AB3149:AC3149" si="3278">AB3128</f>
        <v>Scaffolding Platform</v>
      </c>
      <c r="AC3149" t="str">
        <f t="shared" si="3278"/>
        <v>First Floor</v>
      </c>
      <c r="AD3149" t="b">
        <f t="shared" ca="1" si="3230"/>
        <v>0</v>
      </c>
      <c r="AE3149" s="1" t="str">
        <f t="shared" ca="1" si="3251"/>
        <v>Garage 67</v>
      </c>
      <c r="AF3149" t="str">
        <f t="shared" ca="1" si="3228"/>
        <v>Garage 67</v>
      </c>
    </row>
    <row r="3150" spans="28:32" x14ac:dyDescent="0.25">
      <c r="AB3150" t="str">
        <f t="shared" ref="AB3150:AC3150" si="3279">AB3129</f>
        <v>Scaffolding Platform</v>
      </c>
      <c r="AC3150" t="str">
        <f t="shared" si="3279"/>
        <v>Second Floor</v>
      </c>
      <c r="AD3150" t="b">
        <f t="shared" ca="1" si="3230"/>
        <v>0</v>
      </c>
      <c r="AE3150" s="1" t="str">
        <f t="shared" ca="1" si="3251"/>
        <v>Garage 67</v>
      </c>
      <c r="AF3150" t="str">
        <f t="shared" ca="1" si="3228"/>
        <v>Garage 67</v>
      </c>
    </row>
    <row r="3151" spans="28:32" x14ac:dyDescent="0.25">
      <c r="AB3151" t="str">
        <f t="shared" ref="AB3151:AC3151" si="3280">AB3130</f>
        <v>Supporting Scaffold</v>
      </c>
      <c r="AC3151" t="str">
        <f t="shared" si="3280"/>
        <v>Ground Floor Prop.</v>
      </c>
      <c r="AD3151" t="str">
        <f t="shared" ca="1" si="3230"/>
        <v>FALSE</v>
      </c>
      <c r="AE3151" s="1" t="str">
        <f t="shared" ca="1" si="3251"/>
        <v>Garage 67</v>
      </c>
      <c r="AF3151" t="str">
        <f t="shared" ca="1" si="3228"/>
        <v>Garage 67</v>
      </c>
    </row>
    <row r="3152" spans="28:32" x14ac:dyDescent="0.25">
      <c r="AB3152" t="str">
        <f t="shared" ref="AB3152:AC3152" si="3281">AB3131</f>
        <v>Supporting Scaffold</v>
      </c>
      <c r="AC3152" t="str">
        <f t="shared" si="3281"/>
        <v>First Floor Prop.</v>
      </c>
      <c r="AD3152" t="str">
        <f t="shared" ca="1" si="3230"/>
        <v>FALSE</v>
      </c>
      <c r="AE3152" s="1" t="str">
        <f t="shared" ca="1" si="3251"/>
        <v>Garage 67</v>
      </c>
      <c r="AF3152" t="str">
        <f t="shared" ca="1" si="3228"/>
        <v>Garage 67</v>
      </c>
    </row>
    <row r="3153" spans="28:32" x14ac:dyDescent="0.25">
      <c r="AB3153" t="str">
        <f t="shared" ref="AB3153:AC3153" si="3282">AB3132</f>
        <v>Supporting Scaffold</v>
      </c>
      <c r="AC3153" t="str">
        <f t="shared" si="3282"/>
        <v>Second Floor Prop.</v>
      </c>
      <c r="AD3153" t="str">
        <f t="shared" ca="1" si="3230"/>
        <v>FALSE</v>
      </c>
      <c r="AE3153" s="1" t="str">
        <f t="shared" ca="1" si="3251"/>
        <v>Garage 67</v>
      </c>
      <c r="AF3153" t="str">
        <f t="shared" ca="1" si="3228"/>
        <v>Garage 67</v>
      </c>
    </row>
    <row r="3154" spans="28:32" x14ac:dyDescent="0.25">
      <c r="AB3154" t="str">
        <f t="shared" ref="AB3154:AC3154" si="3283">AB3133</f>
        <v>External Scaffolding</v>
      </c>
      <c r="AC3154" t="str">
        <f t="shared" si="3283"/>
        <v>Hop-ups</v>
      </c>
      <c r="AD3154" t="b">
        <f t="shared" ca="1" si="3230"/>
        <v>1</v>
      </c>
      <c r="AE3154" s="1" t="str">
        <f t="shared" ca="1" si="3251"/>
        <v>Garage 67</v>
      </c>
      <c r="AF3154" t="str">
        <f t="shared" ca="1" si="3228"/>
        <v>Garage 67</v>
      </c>
    </row>
    <row r="3155" spans="28:32" x14ac:dyDescent="0.25">
      <c r="AB3155" t="str">
        <f t="shared" ref="AB3155:AC3155" si="3284">AB3134</f>
        <v>External Scaffolding</v>
      </c>
      <c r="AC3155" t="str">
        <f t="shared" si="3284"/>
        <v>Adaptions</v>
      </c>
      <c r="AD3155" t="b">
        <f t="shared" ca="1" si="3230"/>
        <v>1</v>
      </c>
      <c r="AE3155" s="1" t="str">
        <f t="shared" ca="1" si="3251"/>
        <v>Garage 67</v>
      </c>
      <c r="AF3155" t="str">
        <f t="shared" ca="1" si="3228"/>
        <v>Garage 67</v>
      </c>
    </row>
    <row r="3156" spans="28:32" x14ac:dyDescent="0.25">
      <c r="AB3156" t="str">
        <f t="shared" ref="AB3156:AC3156" si="3285">AB3135</f>
        <v>External Scaffolding</v>
      </c>
      <c r="AC3156" t="str">
        <f t="shared" si="3285"/>
        <v>Adaption Tower</v>
      </c>
      <c r="AD3156" t="b">
        <f t="shared" ca="1" si="3230"/>
        <v>1</v>
      </c>
      <c r="AE3156" s="1" t="str">
        <f t="shared" ca="1" si="3251"/>
        <v>Garage 67</v>
      </c>
      <c r="AF3156" t="str">
        <f t="shared" ca="1" si="3228"/>
        <v>Garage 67</v>
      </c>
    </row>
    <row r="3157" spans="28:32" x14ac:dyDescent="0.25">
      <c r="AB3157" t="str">
        <f t="shared" ref="AB3157:AC3157" si="3286">AB3136</f>
        <v>External Scaffolding</v>
      </c>
      <c r="AC3157" t="str">
        <f t="shared" si="3286"/>
        <v>Lift 1</v>
      </c>
      <c r="AD3157" t="b">
        <f t="shared" ca="1" si="3230"/>
        <v>1</v>
      </c>
      <c r="AE3157" s="1" t="str">
        <f t="shared" ca="1" si="3251"/>
        <v>Garage 68</v>
      </c>
      <c r="AF3157" t="str">
        <f t="shared" ca="1" si="3228"/>
        <v>Garage 68</v>
      </c>
    </row>
    <row r="3158" spans="28:32" x14ac:dyDescent="0.25">
      <c r="AB3158" t="str">
        <f t="shared" ref="AB3158:AC3158" si="3287">AB3137</f>
        <v>External Scaffolding</v>
      </c>
      <c r="AC3158" t="str">
        <f t="shared" si="3287"/>
        <v>Lift 2</v>
      </c>
      <c r="AD3158" t="b">
        <f t="shared" ca="1" si="3230"/>
        <v>1</v>
      </c>
      <c r="AE3158" s="1" t="str">
        <f t="shared" ca="1" si="3251"/>
        <v>Garage 68</v>
      </c>
      <c r="AF3158" t="str">
        <f t="shared" ca="1" si="3228"/>
        <v>Garage 68</v>
      </c>
    </row>
    <row r="3159" spans="28:32" x14ac:dyDescent="0.25">
      <c r="AB3159" t="str">
        <f t="shared" ref="AB3159:AC3159" si="3288">AB3138</f>
        <v>External Scaffolding</v>
      </c>
      <c r="AC3159" t="str">
        <f t="shared" si="3288"/>
        <v>Lift 3</v>
      </c>
      <c r="AD3159" t="b">
        <f t="shared" ca="1" si="3230"/>
        <v>1</v>
      </c>
      <c r="AE3159" s="1" t="str">
        <f t="shared" ca="1" si="3251"/>
        <v>Garage 68</v>
      </c>
      <c r="AF3159" t="str">
        <f t="shared" ca="1" si="3228"/>
        <v>Garage 68</v>
      </c>
    </row>
    <row r="3160" spans="28:32" x14ac:dyDescent="0.25">
      <c r="AB3160" t="str">
        <f t="shared" ref="AB3160:AC3160" si="3289">AB3139</f>
        <v>External Scaffolding</v>
      </c>
      <c r="AC3160" t="str">
        <f t="shared" si="3289"/>
        <v>Lift 4</v>
      </c>
      <c r="AD3160" t="b">
        <f t="shared" ca="1" si="3230"/>
        <v>0</v>
      </c>
      <c r="AE3160" s="1" t="str">
        <f t="shared" ca="1" si="3251"/>
        <v>Garage 68</v>
      </c>
      <c r="AF3160" t="str">
        <f t="shared" ca="1" si="3228"/>
        <v>Garage 68</v>
      </c>
    </row>
    <row r="3161" spans="28:32" x14ac:dyDescent="0.25">
      <c r="AB3161" t="str">
        <f t="shared" ref="AB3161:AC3161" si="3290">AB3140</f>
        <v>External Scaffolding</v>
      </c>
      <c r="AC3161" t="str">
        <f t="shared" si="3290"/>
        <v>Lift 5</v>
      </c>
      <c r="AD3161" t="b">
        <f t="shared" ca="1" si="3230"/>
        <v>0</v>
      </c>
      <c r="AE3161" s="1" t="str">
        <f t="shared" ca="1" si="3251"/>
        <v>Garage 68</v>
      </c>
      <c r="AF3161" t="str">
        <f t="shared" ca="1" si="3228"/>
        <v>Garage 68</v>
      </c>
    </row>
    <row r="3162" spans="28:32" x14ac:dyDescent="0.25">
      <c r="AB3162" t="str">
        <f t="shared" ref="AB3162:AC3162" si="3291">AB3141</f>
        <v>External Scaffolding</v>
      </c>
      <c r="AC3162" t="str">
        <f t="shared" si="3291"/>
        <v>Lift 6</v>
      </c>
      <c r="AD3162" t="b">
        <f t="shared" ca="1" si="3230"/>
        <v>0</v>
      </c>
      <c r="AE3162" s="1" t="str">
        <f t="shared" ca="1" si="3251"/>
        <v>Garage 68</v>
      </c>
      <c r="AF3162" t="str">
        <f t="shared" ca="1" si="3228"/>
        <v>Garage 68</v>
      </c>
    </row>
    <row r="3163" spans="28:32" x14ac:dyDescent="0.25">
      <c r="AB3163" t="str">
        <f t="shared" ref="AB3163:AC3163" si="3292">AB3142</f>
        <v>Loading Bay</v>
      </c>
      <c r="AC3163" t="str">
        <f t="shared" si="3292"/>
        <v>Lift 1</v>
      </c>
      <c r="AD3163" t="b">
        <f t="shared" ca="1" si="3230"/>
        <v>1</v>
      </c>
      <c r="AE3163" s="1" t="str">
        <f t="shared" ca="1" si="3251"/>
        <v>Garage 68</v>
      </c>
      <c r="AF3163" t="str">
        <f t="shared" ca="1" si="3228"/>
        <v>Garage 68</v>
      </c>
    </row>
    <row r="3164" spans="28:32" x14ac:dyDescent="0.25">
      <c r="AB3164" t="str">
        <f t="shared" ref="AB3164:AC3164" si="3293">AB3143</f>
        <v>Loading Bay</v>
      </c>
      <c r="AC3164" t="str">
        <f t="shared" si="3293"/>
        <v>Lift 2</v>
      </c>
      <c r="AD3164" t="b">
        <f t="shared" ca="1" si="3230"/>
        <v>1</v>
      </c>
      <c r="AE3164" s="1" t="str">
        <f t="shared" ca="1" si="3251"/>
        <v>Garage 68</v>
      </c>
      <c r="AF3164" t="str">
        <f t="shared" ca="1" si="3228"/>
        <v>Garage 68</v>
      </c>
    </row>
    <row r="3165" spans="28:32" x14ac:dyDescent="0.25">
      <c r="AB3165" t="str">
        <f t="shared" ref="AB3165:AC3165" si="3294">AB3144</f>
        <v>Loading Bay</v>
      </c>
      <c r="AC3165" t="str">
        <f t="shared" si="3294"/>
        <v>Lift 3</v>
      </c>
      <c r="AD3165" t="b">
        <f t="shared" ca="1" si="3230"/>
        <v>1</v>
      </c>
      <c r="AE3165" s="1" t="str">
        <f t="shared" ca="1" si="3251"/>
        <v>Garage 68</v>
      </c>
      <c r="AF3165" t="str">
        <f t="shared" ref="AF3165:AF3228" ca="1" si="3295">IF(LEFT(AE3165,1)="G",AE3165,"Plot "&amp;AE3165)</f>
        <v>Garage 68</v>
      </c>
    </row>
    <row r="3166" spans="28:32" x14ac:dyDescent="0.25">
      <c r="AB3166" t="str">
        <f t="shared" ref="AB3166:AC3166" si="3296">AB3145</f>
        <v>Loading Bay</v>
      </c>
      <c r="AC3166" t="str">
        <f t="shared" si="3296"/>
        <v>Lift 4</v>
      </c>
      <c r="AD3166" t="b">
        <f t="shared" ref="AD3166:AD3229" ca="1" si="3297">INDEX($AC$1:$JH$22,MATCH(AC3166,$AC$1:$AC$22,0),MATCH(AE3166,$AC$1:$JH$1,0))</f>
        <v>0</v>
      </c>
      <c r="AE3166" s="1" t="str">
        <f t="shared" ca="1" si="3251"/>
        <v>Garage 68</v>
      </c>
      <c r="AF3166" t="str">
        <f t="shared" ca="1" si="3295"/>
        <v>Garage 68</v>
      </c>
    </row>
    <row r="3167" spans="28:32" x14ac:dyDescent="0.25">
      <c r="AB3167" t="str">
        <f t="shared" ref="AB3167:AC3167" si="3298">AB3146</f>
        <v>Loading Bay</v>
      </c>
      <c r="AC3167" t="str">
        <f t="shared" si="3298"/>
        <v>Lift 5</v>
      </c>
      <c r="AD3167" t="b">
        <f t="shared" ca="1" si="3297"/>
        <v>0</v>
      </c>
      <c r="AE3167" s="1" t="str">
        <f t="shared" ca="1" si="3251"/>
        <v>Garage 68</v>
      </c>
      <c r="AF3167" t="str">
        <f t="shared" ca="1" si="3295"/>
        <v>Garage 68</v>
      </c>
    </row>
    <row r="3168" spans="28:32" x14ac:dyDescent="0.25">
      <c r="AB3168" t="str">
        <f t="shared" ref="AB3168:AC3168" si="3299">AB3147</f>
        <v>Loading Bay</v>
      </c>
      <c r="AC3168" t="str">
        <f t="shared" si="3299"/>
        <v>Lift 6</v>
      </c>
      <c r="AD3168" t="b">
        <f t="shared" ca="1" si="3297"/>
        <v>0</v>
      </c>
      <c r="AE3168" s="1" t="str">
        <f t="shared" ca="1" si="3251"/>
        <v>Garage 68</v>
      </c>
      <c r="AF3168" t="str">
        <f t="shared" ca="1" si="3295"/>
        <v>Garage 68</v>
      </c>
    </row>
    <row r="3169" spans="28:32" x14ac:dyDescent="0.25">
      <c r="AB3169" t="str">
        <f t="shared" ref="AB3169:AC3169" si="3300">AB3148</f>
        <v>Scaffolding Platform</v>
      </c>
      <c r="AC3169" t="str">
        <f t="shared" si="3300"/>
        <v>Ground Floor</v>
      </c>
      <c r="AD3169" t="b">
        <f t="shared" ca="1" si="3297"/>
        <v>1</v>
      </c>
      <c r="AE3169" s="1" t="str">
        <f t="shared" ca="1" si="3251"/>
        <v>Garage 68</v>
      </c>
      <c r="AF3169" t="str">
        <f t="shared" ca="1" si="3295"/>
        <v>Garage 68</v>
      </c>
    </row>
    <row r="3170" spans="28:32" x14ac:dyDescent="0.25">
      <c r="AB3170" t="str">
        <f t="shared" ref="AB3170:AC3170" si="3301">AB3149</f>
        <v>Scaffolding Platform</v>
      </c>
      <c r="AC3170" t="str">
        <f t="shared" si="3301"/>
        <v>First Floor</v>
      </c>
      <c r="AD3170" t="b">
        <f t="shared" ca="1" si="3297"/>
        <v>0</v>
      </c>
      <c r="AE3170" s="1" t="str">
        <f t="shared" ca="1" si="3251"/>
        <v>Garage 68</v>
      </c>
      <c r="AF3170" t="str">
        <f t="shared" ca="1" si="3295"/>
        <v>Garage 68</v>
      </c>
    </row>
    <row r="3171" spans="28:32" x14ac:dyDescent="0.25">
      <c r="AB3171" t="str">
        <f t="shared" ref="AB3171:AC3171" si="3302">AB3150</f>
        <v>Scaffolding Platform</v>
      </c>
      <c r="AC3171" t="str">
        <f t="shared" si="3302"/>
        <v>Second Floor</v>
      </c>
      <c r="AD3171" t="b">
        <f t="shared" ca="1" si="3297"/>
        <v>0</v>
      </c>
      <c r="AE3171" s="1" t="str">
        <f t="shared" ca="1" si="3251"/>
        <v>Garage 68</v>
      </c>
      <c r="AF3171" t="str">
        <f t="shared" ca="1" si="3295"/>
        <v>Garage 68</v>
      </c>
    </row>
    <row r="3172" spans="28:32" x14ac:dyDescent="0.25">
      <c r="AB3172" t="str">
        <f t="shared" ref="AB3172:AC3172" si="3303">AB3151</f>
        <v>Supporting Scaffold</v>
      </c>
      <c r="AC3172" t="str">
        <f t="shared" si="3303"/>
        <v>Ground Floor Prop.</v>
      </c>
      <c r="AD3172" t="str">
        <f t="shared" ca="1" si="3297"/>
        <v>FALSE</v>
      </c>
      <c r="AE3172" s="1" t="str">
        <f t="shared" ca="1" si="3251"/>
        <v>Garage 68</v>
      </c>
      <c r="AF3172" t="str">
        <f t="shared" ca="1" si="3295"/>
        <v>Garage 68</v>
      </c>
    </row>
    <row r="3173" spans="28:32" x14ac:dyDescent="0.25">
      <c r="AB3173" t="str">
        <f t="shared" ref="AB3173:AC3173" si="3304">AB3152</f>
        <v>Supporting Scaffold</v>
      </c>
      <c r="AC3173" t="str">
        <f t="shared" si="3304"/>
        <v>First Floor Prop.</v>
      </c>
      <c r="AD3173" t="str">
        <f t="shared" ca="1" si="3297"/>
        <v>FALSE</v>
      </c>
      <c r="AE3173" s="1" t="str">
        <f t="shared" ca="1" si="3251"/>
        <v>Garage 68</v>
      </c>
      <c r="AF3173" t="str">
        <f t="shared" ca="1" si="3295"/>
        <v>Garage 68</v>
      </c>
    </row>
    <row r="3174" spans="28:32" x14ac:dyDescent="0.25">
      <c r="AB3174" t="str">
        <f t="shared" ref="AB3174:AC3174" si="3305">AB3153</f>
        <v>Supporting Scaffold</v>
      </c>
      <c r="AC3174" t="str">
        <f t="shared" si="3305"/>
        <v>Second Floor Prop.</v>
      </c>
      <c r="AD3174" t="str">
        <f t="shared" ca="1" si="3297"/>
        <v>FALSE</v>
      </c>
      <c r="AE3174" s="1" t="str">
        <f t="shared" ca="1" si="3251"/>
        <v>Garage 68</v>
      </c>
      <c r="AF3174" t="str">
        <f t="shared" ca="1" si="3295"/>
        <v>Garage 68</v>
      </c>
    </row>
    <row r="3175" spans="28:32" x14ac:dyDescent="0.25">
      <c r="AB3175" t="str">
        <f t="shared" ref="AB3175:AC3175" si="3306">AB3154</f>
        <v>External Scaffolding</v>
      </c>
      <c r="AC3175" t="str">
        <f t="shared" si="3306"/>
        <v>Hop-ups</v>
      </c>
      <c r="AD3175" t="b">
        <f t="shared" ca="1" si="3297"/>
        <v>1</v>
      </c>
      <c r="AE3175" s="1" t="str">
        <f t="shared" ca="1" si="3251"/>
        <v>Garage 68</v>
      </c>
      <c r="AF3175" t="str">
        <f t="shared" ca="1" si="3295"/>
        <v>Garage 68</v>
      </c>
    </row>
    <row r="3176" spans="28:32" x14ac:dyDescent="0.25">
      <c r="AB3176" t="str">
        <f t="shared" ref="AB3176:AC3176" si="3307">AB3155</f>
        <v>External Scaffolding</v>
      </c>
      <c r="AC3176" t="str">
        <f t="shared" si="3307"/>
        <v>Adaptions</v>
      </c>
      <c r="AD3176" t="b">
        <f t="shared" ca="1" si="3297"/>
        <v>1</v>
      </c>
      <c r="AE3176" s="1" t="str">
        <f t="shared" ca="1" si="3251"/>
        <v>Garage 68</v>
      </c>
      <c r="AF3176" t="str">
        <f t="shared" ca="1" si="3295"/>
        <v>Garage 68</v>
      </c>
    </row>
    <row r="3177" spans="28:32" x14ac:dyDescent="0.25">
      <c r="AB3177" t="str">
        <f t="shared" ref="AB3177:AC3177" si="3308">AB3156</f>
        <v>External Scaffolding</v>
      </c>
      <c r="AC3177" t="str">
        <f t="shared" si="3308"/>
        <v>Adaption Tower</v>
      </c>
      <c r="AD3177" t="b">
        <f t="shared" ca="1" si="3297"/>
        <v>1</v>
      </c>
      <c r="AE3177" s="1" t="str">
        <f t="shared" ca="1" si="3251"/>
        <v>Garage 68</v>
      </c>
      <c r="AF3177" t="str">
        <f t="shared" ca="1" si="3295"/>
        <v>Garage 68</v>
      </c>
    </row>
    <row r="3178" spans="28:32" x14ac:dyDescent="0.25">
      <c r="AB3178" t="str">
        <f t="shared" ref="AB3178:AC3178" si="3309">AB3157</f>
        <v>External Scaffolding</v>
      </c>
      <c r="AC3178" t="str">
        <f t="shared" si="3309"/>
        <v>Lift 1</v>
      </c>
      <c r="AD3178" t="b">
        <f t="shared" ca="1" si="3297"/>
        <v>1</v>
      </c>
      <c r="AE3178" s="1" t="str">
        <f t="shared" ca="1" si="3251"/>
        <v>Garage 69</v>
      </c>
      <c r="AF3178" t="str">
        <f t="shared" ca="1" si="3295"/>
        <v>Garage 69</v>
      </c>
    </row>
    <row r="3179" spans="28:32" x14ac:dyDescent="0.25">
      <c r="AB3179" t="str">
        <f t="shared" ref="AB3179:AC3179" si="3310">AB3158</f>
        <v>External Scaffolding</v>
      </c>
      <c r="AC3179" t="str">
        <f t="shared" si="3310"/>
        <v>Lift 2</v>
      </c>
      <c r="AD3179" t="b">
        <f t="shared" ca="1" si="3297"/>
        <v>1</v>
      </c>
      <c r="AE3179" s="1" t="str">
        <f t="shared" ca="1" si="3251"/>
        <v>Garage 69</v>
      </c>
      <c r="AF3179" t="str">
        <f t="shared" ca="1" si="3295"/>
        <v>Garage 69</v>
      </c>
    </row>
    <row r="3180" spans="28:32" x14ac:dyDescent="0.25">
      <c r="AB3180" t="str">
        <f t="shared" ref="AB3180:AC3180" si="3311">AB3159</f>
        <v>External Scaffolding</v>
      </c>
      <c r="AC3180" t="str">
        <f t="shared" si="3311"/>
        <v>Lift 3</v>
      </c>
      <c r="AD3180" t="b">
        <f t="shared" ca="1" si="3297"/>
        <v>1</v>
      </c>
      <c r="AE3180" s="1" t="str">
        <f t="shared" ca="1" si="3251"/>
        <v>Garage 69</v>
      </c>
      <c r="AF3180" t="str">
        <f t="shared" ca="1" si="3295"/>
        <v>Garage 69</v>
      </c>
    </row>
    <row r="3181" spans="28:32" x14ac:dyDescent="0.25">
      <c r="AB3181" t="str">
        <f t="shared" ref="AB3181:AC3181" si="3312">AB3160</f>
        <v>External Scaffolding</v>
      </c>
      <c r="AC3181" t="str">
        <f t="shared" si="3312"/>
        <v>Lift 4</v>
      </c>
      <c r="AD3181" t="b">
        <f t="shared" ca="1" si="3297"/>
        <v>0</v>
      </c>
      <c r="AE3181" s="1" t="str">
        <f t="shared" ca="1" si="3251"/>
        <v>Garage 69</v>
      </c>
      <c r="AF3181" t="str">
        <f t="shared" ca="1" si="3295"/>
        <v>Garage 69</v>
      </c>
    </row>
    <row r="3182" spans="28:32" x14ac:dyDescent="0.25">
      <c r="AB3182" t="str">
        <f t="shared" ref="AB3182:AC3182" si="3313">AB3161</f>
        <v>External Scaffolding</v>
      </c>
      <c r="AC3182" t="str">
        <f t="shared" si="3313"/>
        <v>Lift 5</v>
      </c>
      <c r="AD3182" t="b">
        <f t="shared" ca="1" si="3297"/>
        <v>0</v>
      </c>
      <c r="AE3182" s="1" t="str">
        <f t="shared" ca="1" si="3251"/>
        <v>Garage 69</v>
      </c>
      <c r="AF3182" t="str">
        <f t="shared" ca="1" si="3295"/>
        <v>Garage 69</v>
      </c>
    </row>
    <row r="3183" spans="28:32" x14ac:dyDescent="0.25">
      <c r="AB3183" t="str">
        <f t="shared" ref="AB3183:AC3183" si="3314">AB3162</f>
        <v>External Scaffolding</v>
      </c>
      <c r="AC3183" t="str">
        <f t="shared" si="3314"/>
        <v>Lift 6</v>
      </c>
      <c r="AD3183" t="b">
        <f t="shared" ca="1" si="3297"/>
        <v>0</v>
      </c>
      <c r="AE3183" s="1" t="str">
        <f t="shared" ca="1" si="3251"/>
        <v>Garage 69</v>
      </c>
      <c r="AF3183" t="str">
        <f t="shared" ca="1" si="3295"/>
        <v>Garage 69</v>
      </c>
    </row>
    <row r="3184" spans="28:32" x14ac:dyDescent="0.25">
      <c r="AB3184" t="str">
        <f t="shared" ref="AB3184:AC3184" si="3315">AB3163</f>
        <v>Loading Bay</v>
      </c>
      <c r="AC3184" t="str">
        <f t="shared" si="3315"/>
        <v>Lift 1</v>
      </c>
      <c r="AD3184" t="b">
        <f t="shared" ca="1" si="3297"/>
        <v>1</v>
      </c>
      <c r="AE3184" s="1" t="str">
        <f t="shared" ca="1" si="3251"/>
        <v>Garage 69</v>
      </c>
      <c r="AF3184" t="str">
        <f t="shared" ca="1" si="3295"/>
        <v>Garage 69</v>
      </c>
    </row>
    <row r="3185" spans="28:32" x14ac:dyDescent="0.25">
      <c r="AB3185" t="str">
        <f t="shared" ref="AB3185:AC3185" si="3316">AB3164</f>
        <v>Loading Bay</v>
      </c>
      <c r="AC3185" t="str">
        <f t="shared" si="3316"/>
        <v>Lift 2</v>
      </c>
      <c r="AD3185" t="b">
        <f t="shared" ca="1" si="3297"/>
        <v>1</v>
      </c>
      <c r="AE3185" s="1" t="str">
        <f t="shared" ca="1" si="3251"/>
        <v>Garage 69</v>
      </c>
      <c r="AF3185" t="str">
        <f t="shared" ca="1" si="3295"/>
        <v>Garage 69</v>
      </c>
    </row>
    <row r="3186" spans="28:32" x14ac:dyDescent="0.25">
      <c r="AB3186" t="str">
        <f t="shared" ref="AB3186:AC3186" si="3317">AB3165</f>
        <v>Loading Bay</v>
      </c>
      <c r="AC3186" t="str">
        <f t="shared" si="3317"/>
        <v>Lift 3</v>
      </c>
      <c r="AD3186" t="b">
        <f t="shared" ca="1" si="3297"/>
        <v>1</v>
      </c>
      <c r="AE3186" s="1" t="str">
        <f t="shared" ref="AE3186:AE3249" ca="1" si="3318">OFFSET($AD$1,0,FLOOR(ROW(B3158)/21,1))</f>
        <v>Garage 69</v>
      </c>
      <c r="AF3186" t="str">
        <f t="shared" ca="1" si="3295"/>
        <v>Garage 69</v>
      </c>
    </row>
    <row r="3187" spans="28:32" x14ac:dyDescent="0.25">
      <c r="AB3187" t="str">
        <f t="shared" ref="AB3187:AC3187" si="3319">AB3166</f>
        <v>Loading Bay</v>
      </c>
      <c r="AC3187" t="str">
        <f t="shared" si="3319"/>
        <v>Lift 4</v>
      </c>
      <c r="AD3187" t="b">
        <f t="shared" ca="1" si="3297"/>
        <v>0</v>
      </c>
      <c r="AE3187" s="1" t="str">
        <f t="shared" ca="1" si="3318"/>
        <v>Garage 69</v>
      </c>
      <c r="AF3187" t="str">
        <f t="shared" ca="1" si="3295"/>
        <v>Garage 69</v>
      </c>
    </row>
    <row r="3188" spans="28:32" x14ac:dyDescent="0.25">
      <c r="AB3188" t="str">
        <f t="shared" ref="AB3188:AC3188" si="3320">AB3167</f>
        <v>Loading Bay</v>
      </c>
      <c r="AC3188" t="str">
        <f t="shared" si="3320"/>
        <v>Lift 5</v>
      </c>
      <c r="AD3188" t="b">
        <f t="shared" ca="1" si="3297"/>
        <v>0</v>
      </c>
      <c r="AE3188" s="1" t="str">
        <f t="shared" ca="1" si="3318"/>
        <v>Garage 69</v>
      </c>
      <c r="AF3188" t="str">
        <f t="shared" ca="1" si="3295"/>
        <v>Garage 69</v>
      </c>
    </row>
    <row r="3189" spans="28:32" x14ac:dyDescent="0.25">
      <c r="AB3189" t="str">
        <f t="shared" ref="AB3189:AC3189" si="3321">AB3168</f>
        <v>Loading Bay</v>
      </c>
      <c r="AC3189" t="str">
        <f t="shared" si="3321"/>
        <v>Lift 6</v>
      </c>
      <c r="AD3189" t="b">
        <f t="shared" ca="1" si="3297"/>
        <v>0</v>
      </c>
      <c r="AE3189" s="1" t="str">
        <f t="shared" ca="1" si="3318"/>
        <v>Garage 69</v>
      </c>
      <c r="AF3189" t="str">
        <f t="shared" ca="1" si="3295"/>
        <v>Garage 69</v>
      </c>
    </row>
    <row r="3190" spans="28:32" x14ac:dyDescent="0.25">
      <c r="AB3190" t="str">
        <f t="shared" ref="AB3190:AC3190" si="3322">AB3169</f>
        <v>Scaffolding Platform</v>
      </c>
      <c r="AC3190" t="str">
        <f t="shared" si="3322"/>
        <v>Ground Floor</v>
      </c>
      <c r="AD3190" t="b">
        <f t="shared" ca="1" si="3297"/>
        <v>1</v>
      </c>
      <c r="AE3190" s="1" t="str">
        <f t="shared" ca="1" si="3318"/>
        <v>Garage 69</v>
      </c>
      <c r="AF3190" t="str">
        <f t="shared" ca="1" si="3295"/>
        <v>Garage 69</v>
      </c>
    </row>
    <row r="3191" spans="28:32" x14ac:dyDescent="0.25">
      <c r="AB3191" t="str">
        <f t="shared" ref="AB3191:AC3191" si="3323">AB3170</f>
        <v>Scaffolding Platform</v>
      </c>
      <c r="AC3191" t="str">
        <f t="shared" si="3323"/>
        <v>First Floor</v>
      </c>
      <c r="AD3191" t="b">
        <f t="shared" ca="1" si="3297"/>
        <v>0</v>
      </c>
      <c r="AE3191" s="1" t="str">
        <f t="shared" ca="1" si="3318"/>
        <v>Garage 69</v>
      </c>
      <c r="AF3191" t="str">
        <f t="shared" ca="1" si="3295"/>
        <v>Garage 69</v>
      </c>
    </row>
    <row r="3192" spans="28:32" x14ac:dyDescent="0.25">
      <c r="AB3192" t="str">
        <f t="shared" ref="AB3192:AC3192" si="3324">AB3171</f>
        <v>Scaffolding Platform</v>
      </c>
      <c r="AC3192" t="str">
        <f t="shared" si="3324"/>
        <v>Second Floor</v>
      </c>
      <c r="AD3192" t="b">
        <f t="shared" ca="1" si="3297"/>
        <v>0</v>
      </c>
      <c r="AE3192" s="1" t="str">
        <f t="shared" ca="1" si="3318"/>
        <v>Garage 69</v>
      </c>
      <c r="AF3192" t="str">
        <f t="shared" ca="1" si="3295"/>
        <v>Garage 69</v>
      </c>
    </row>
    <row r="3193" spans="28:32" x14ac:dyDescent="0.25">
      <c r="AB3193" t="str">
        <f t="shared" ref="AB3193:AC3193" si="3325">AB3172</f>
        <v>Supporting Scaffold</v>
      </c>
      <c r="AC3193" t="str">
        <f t="shared" si="3325"/>
        <v>Ground Floor Prop.</v>
      </c>
      <c r="AD3193" t="str">
        <f t="shared" ca="1" si="3297"/>
        <v>FALSE</v>
      </c>
      <c r="AE3193" s="1" t="str">
        <f t="shared" ca="1" si="3318"/>
        <v>Garage 69</v>
      </c>
      <c r="AF3193" t="str">
        <f t="shared" ca="1" si="3295"/>
        <v>Garage 69</v>
      </c>
    </row>
    <row r="3194" spans="28:32" x14ac:dyDescent="0.25">
      <c r="AB3194" t="str">
        <f t="shared" ref="AB3194:AC3194" si="3326">AB3173</f>
        <v>Supporting Scaffold</v>
      </c>
      <c r="AC3194" t="str">
        <f t="shared" si="3326"/>
        <v>First Floor Prop.</v>
      </c>
      <c r="AD3194" t="str">
        <f t="shared" ca="1" si="3297"/>
        <v>FALSE</v>
      </c>
      <c r="AE3194" s="1" t="str">
        <f t="shared" ca="1" si="3318"/>
        <v>Garage 69</v>
      </c>
      <c r="AF3194" t="str">
        <f t="shared" ca="1" si="3295"/>
        <v>Garage 69</v>
      </c>
    </row>
    <row r="3195" spans="28:32" x14ac:dyDescent="0.25">
      <c r="AB3195" t="str">
        <f t="shared" ref="AB3195:AC3195" si="3327">AB3174</f>
        <v>Supporting Scaffold</v>
      </c>
      <c r="AC3195" t="str">
        <f t="shared" si="3327"/>
        <v>Second Floor Prop.</v>
      </c>
      <c r="AD3195" t="str">
        <f t="shared" ca="1" si="3297"/>
        <v>FALSE</v>
      </c>
      <c r="AE3195" s="1" t="str">
        <f t="shared" ca="1" si="3318"/>
        <v>Garage 69</v>
      </c>
      <c r="AF3195" t="str">
        <f t="shared" ca="1" si="3295"/>
        <v>Garage 69</v>
      </c>
    </row>
    <row r="3196" spans="28:32" x14ac:dyDescent="0.25">
      <c r="AB3196" t="str">
        <f t="shared" ref="AB3196:AC3196" si="3328">AB3175</f>
        <v>External Scaffolding</v>
      </c>
      <c r="AC3196" t="str">
        <f t="shared" si="3328"/>
        <v>Hop-ups</v>
      </c>
      <c r="AD3196" t="b">
        <f t="shared" ca="1" si="3297"/>
        <v>1</v>
      </c>
      <c r="AE3196" s="1" t="str">
        <f t="shared" ca="1" si="3318"/>
        <v>Garage 69</v>
      </c>
      <c r="AF3196" t="str">
        <f t="shared" ca="1" si="3295"/>
        <v>Garage 69</v>
      </c>
    </row>
    <row r="3197" spans="28:32" x14ac:dyDescent="0.25">
      <c r="AB3197" t="str">
        <f t="shared" ref="AB3197:AC3197" si="3329">AB3176</f>
        <v>External Scaffolding</v>
      </c>
      <c r="AC3197" t="str">
        <f t="shared" si="3329"/>
        <v>Adaptions</v>
      </c>
      <c r="AD3197" t="b">
        <f t="shared" ca="1" si="3297"/>
        <v>1</v>
      </c>
      <c r="AE3197" s="1" t="str">
        <f t="shared" ca="1" si="3318"/>
        <v>Garage 69</v>
      </c>
      <c r="AF3197" t="str">
        <f t="shared" ca="1" si="3295"/>
        <v>Garage 69</v>
      </c>
    </row>
    <row r="3198" spans="28:32" x14ac:dyDescent="0.25">
      <c r="AB3198" t="str">
        <f t="shared" ref="AB3198:AC3198" si="3330">AB3177</f>
        <v>External Scaffolding</v>
      </c>
      <c r="AC3198" t="str">
        <f t="shared" si="3330"/>
        <v>Adaption Tower</v>
      </c>
      <c r="AD3198" t="b">
        <f t="shared" ca="1" si="3297"/>
        <v>1</v>
      </c>
      <c r="AE3198" s="1" t="str">
        <f t="shared" ca="1" si="3318"/>
        <v>Garage 69</v>
      </c>
      <c r="AF3198" t="str">
        <f t="shared" ca="1" si="3295"/>
        <v>Garage 69</v>
      </c>
    </row>
    <row r="3199" spans="28:32" x14ac:dyDescent="0.25">
      <c r="AB3199" t="str">
        <f t="shared" ref="AB3199:AC3199" si="3331">AB3178</f>
        <v>External Scaffolding</v>
      </c>
      <c r="AC3199" t="str">
        <f t="shared" si="3331"/>
        <v>Lift 1</v>
      </c>
      <c r="AD3199" t="b">
        <f t="shared" ca="1" si="3297"/>
        <v>1</v>
      </c>
      <c r="AE3199" s="1" t="str">
        <f t="shared" ca="1" si="3318"/>
        <v>Garage 70</v>
      </c>
      <c r="AF3199" t="str">
        <f t="shared" ca="1" si="3295"/>
        <v>Garage 70</v>
      </c>
    </row>
    <row r="3200" spans="28:32" x14ac:dyDescent="0.25">
      <c r="AB3200" t="str">
        <f t="shared" ref="AB3200:AC3200" si="3332">AB3179</f>
        <v>External Scaffolding</v>
      </c>
      <c r="AC3200" t="str">
        <f t="shared" si="3332"/>
        <v>Lift 2</v>
      </c>
      <c r="AD3200" t="b">
        <f t="shared" ca="1" si="3297"/>
        <v>1</v>
      </c>
      <c r="AE3200" s="1" t="str">
        <f t="shared" ca="1" si="3318"/>
        <v>Garage 70</v>
      </c>
      <c r="AF3200" t="str">
        <f t="shared" ca="1" si="3295"/>
        <v>Garage 70</v>
      </c>
    </row>
    <row r="3201" spans="28:32" x14ac:dyDescent="0.25">
      <c r="AB3201" t="str">
        <f t="shared" ref="AB3201:AC3201" si="3333">AB3180</f>
        <v>External Scaffolding</v>
      </c>
      <c r="AC3201" t="str">
        <f t="shared" si="3333"/>
        <v>Lift 3</v>
      </c>
      <c r="AD3201" t="b">
        <f t="shared" ca="1" si="3297"/>
        <v>1</v>
      </c>
      <c r="AE3201" s="1" t="str">
        <f t="shared" ca="1" si="3318"/>
        <v>Garage 70</v>
      </c>
      <c r="AF3201" t="str">
        <f t="shared" ca="1" si="3295"/>
        <v>Garage 70</v>
      </c>
    </row>
    <row r="3202" spans="28:32" x14ac:dyDescent="0.25">
      <c r="AB3202" t="str">
        <f t="shared" ref="AB3202:AC3202" si="3334">AB3181</f>
        <v>External Scaffolding</v>
      </c>
      <c r="AC3202" t="str">
        <f t="shared" si="3334"/>
        <v>Lift 4</v>
      </c>
      <c r="AD3202" t="b">
        <f t="shared" ca="1" si="3297"/>
        <v>0</v>
      </c>
      <c r="AE3202" s="1" t="str">
        <f t="shared" ca="1" si="3318"/>
        <v>Garage 70</v>
      </c>
      <c r="AF3202" t="str">
        <f t="shared" ca="1" si="3295"/>
        <v>Garage 70</v>
      </c>
    </row>
    <row r="3203" spans="28:32" x14ac:dyDescent="0.25">
      <c r="AB3203" t="str">
        <f t="shared" ref="AB3203:AC3203" si="3335">AB3182</f>
        <v>External Scaffolding</v>
      </c>
      <c r="AC3203" t="str">
        <f t="shared" si="3335"/>
        <v>Lift 5</v>
      </c>
      <c r="AD3203" t="b">
        <f t="shared" ca="1" si="3297"/>
        <v>0</v>
      </c>
      <c r="AE3203" s="1" t="str">
        <f t="shared" ca="1" si="3318"/>
        <v>Garage 70</v>
      </c>
      <c r="AF3203" t="str">
        <f t="shared" ca="1" si="3295"/>
        <v>Garage 70</v>
      </c>
    </row>
    <row r="3204" spans="28:32" x14ac:dyDescent="0.25">
      <c r="AB3204" t="str">
        <f t="shared" ref="AB3204:AC3204" si="3336">AB3183</f>
        <v>External Scaffolding</v>
      </c>
      <c r="AC3204" t="str">
        <f t="shared" si="3336"/>
        <v>Lift 6</v>
      </c>
      <c r="AD3204" t="b">
        <f t="shared" ca="1" si="3297"/>
        <v>0</v>
      </c>
      <c r="AE3204" s="1" t="str">
        <f t="shared" ca="1" si="3318"/>
        <v>Garage 70</v>
      </c>
      <c r="AF3204" t="str">
        <f t="shared" ca="1" si="3295"/>
        <v>Garage 70</v>
      </c>
    </row>
    <row r="3205" spans="28:32" x14ac:dyDescent="0.25">
      <c r="AB3205" t="str">
        <f t="shared" ref="AB3205:AC3205" si="3337">AB3184</f>
        <v>Loading Bay</v>
      </c>
      <c r="AC3205" t="str">
        <f t="shared" si="3337"/>
        <v>Lift 1</v>
      </c>
      <c r="AD3205" t="b">
        <f t="shared" ca="1" si="3297"/>
        <v>1</v>
      </c>
      <c r="AE3205" s="1" t="str">
        <f t="shared" ca="1" si="3318"/>
        <v>Garage 70</v>
      </c>
      <c r="AF3205" t="str">
        <f t="shared" ca="1" si="3295"/>
        <v>Garage 70</v>
      </c>
    </row>
    <row r="3206" spans="28:32" x14ac:dyDescent="0.25">
      <c r="AB3206" t="str">
        <f t="shared" ref="AB3206:AC3206" si="3338">AB3185</f>
        <v>Loading Bay</v>
      </c>
      <c r="AC3206" t="str">
        <f t="shared" si="3338"/>
        <v>Lift 2</v>
      </c>
      <c r="AD3206" t="b">
        <f t="shared" ca="1" si="3297"/>
        <v>1</v>
      </c>
      <c r="AE3206" s="1" t="str">
        <f t="shared" ca="1" si="3318"/>
        <v>Garage 70</v>
      </c>
      <c r="AF3206" t="str">
        <f t="shared" ca="1" si="3295"/>
        <v>Garage 70</v>
      </c>
    </row>
    <row r="3207" spans="28:32" x14ac:dyDescent="0.25">
      <c r="AB3207" t="str">
        <f t="shared" ref="AB3207:AC3207" si="3339">AB3186</f>
        <v>Loading Bay</v>
      </c>
      <c r="AC3207" t="str">
        <f t="shared" si="3339"/>
        <v>Lift 3</v>
      </c>
      <c r="AD3207" t="b">
        <f t="shared" ca="1" si="3297"/>
        <v>1</v>
      </c>
      <c r="AE3207" s="1" t="str">
        <f t="shared" ca="1" si="3318"/>
        <v>Garage 70</v>
      </c>
      <c r="AF3207" t="str">
        <f t="shared" ca="1" si="3295"/>
        <v>Garage 70</v>
      </c>
    </row>
    <row r="3208" spans="28:32" x14ac:dyDescent="0.25">
      <c r="AB3208" t="str">
        <f t="shared" ref="AB3208:AC3208" si="3340">AB3187</f>
        <v>Loading Bay</v>
      </c>
      <c r="AC3208" t="str">
        <f t="shared" si="3340"/>
        <v>Lift 4</v>
      </c>
      <c r="AD3208" t="b">
        <f t="shared" ca="1" si="3297"/>
        <v>0</v>
      </c>
      <c r="AE3208" s="1" t="str">
        <f t="shared" ca="1" si="3318"/>
        <v>Garage 70</v>
      </c>
      <c r="AF3208" t="str">
        <f t="shared" ca="1" si="3295"/>
        <v>Garage 70</v>
      </c>
    </row>
    <row r="3209" spans="28:32" x14ac:dyDescent="0.25">
      <c r="AB3209" t="str">
        <f t="shared" ref="AB3209:AC3209" si="3341">AB3188</f>
        <v>Loading Bay</v>
      </c>
      <c r="AC3209" t="str">
        <f t="shared" si="3341"/>
        <v>Lift 5</v>
      </c>
      <c r="AD3209" t="b">
        <f t="shared" ca="1" si="3297"/>
        <v>0</v>
      </c>
      <c r="AE3209" s="1" t="str">
        <f t="shared" ca="1" si="3318"/>
        <v>Garage 70</v>
      </c>
      <c r="AF3209" t="str">
        <f t="shared" ca="1" si="3295"/>
        <v>Garage 70</v>
      </c>
    </row>
    <row r="3210" spans="28:32" x14ac:dyDescent="0.25">
      <c r="AB3210" t="str">
        <f t="shared" ref="AB3210:AC3210" si="3342">AB3189</f>
        <v>Loading Bay</v>
      </c>
      <c r="AC3210" t="str">
        <f t="shared" si="3342"/>
        <v>Lift 6</v>
      </c>
      <c r="AD3210" t="b">
        <f t="shared" ca="1" si="3297"/>
        <v>0</v>
      </c>
      <c r="AE3210" s="1" t="str">
        <f t="shared" ca="1" si="3318"/>
        <v>Garage 70</v>
      </c>
      <c r="AF3210" t="str">
        <f t="shared" ca="1" si="3295"/>
        <v>Garage 70</v>
      </c>
    </row>
    <row r="3211" spans="28:32" x14ac:dyDescent="0.25">
      <c r="AB3211" t="str">
        <f t="shared" ref="AB3211:AC3211" si="3343">AB3190</f>
        <v>Scaffolding Platform</v>
      </c>
      <c r="AC3211" t="str">
        <f t="shared" si="3343"/>
        <v>Ground Floor</v>
      </c>
      <c r="AD3211" t="b">
        <f t="shared" ca="1" si="3297"/>
        <v>1</v>
      </c>
      <c r="AE3211" s="1" t="str">
        <f t="shared" ca="1" si="3318"/>
        <v>Garage 70</v>
      </c>
      <c r="AF3211" t="str">
        <f t="shared" ca="1" si="3295"/>
        <v>Garage 70</v>
      </c>
    </row>
    <row r="3212" spans="28:32" x14ac:dyDescent="0.25">
      <c r="AB3212" t="str">
        <f t="shared" ref="AB3212:AC3212" si="3344">AB3191</f>
        <v>Scaffolding Platform</v>
      </c>
      <c r="AC3212" t="str">
        <f t="shared" si="3344"/>
        <v>First Floor</v>
      </c>
      <c r="AD3212" t="b">
        <f t="shared" ca="1" si="3297"/>
        <v>0</v>
      </c>
      <c r="AE3212" s="1" t="str">
        <f t="shared" ca="1" si="3318"/>
        <v>Garage 70</v>
      </c>
      <c r="AF3212" t="str">
        <f t="shared" ca="1" si="3295"/>
        <v>Garage 70</v>
      </c>
    </row>
    <row r="3213" spans="28:32" x14ac:dyDescent="0.25">
      <c r="AB3213" t="str">
        <f t="shared" ref="AB3213:AC3213" si="3345">AB3192</f>
        <v>Scaffolding Platform</v>
      </c>
      <c r="AC3213" t="str">
        <f t="shared" si="3345"/>
        <v>Second Floor</v>
      </c>
      <c r="AD3213" t="b">
        <f t="shared" ca="1" si="3297"/>
        <v>0</v>
      </c>
      <c r="AE3213" s="1" t="str">
        <f t="shared" ca="1" si="3318"/>
        <v>Garage 70</v>
      </c>
      <c r="AF3213" t="str">
        <f t="shared" ca="1" si="3295"/>
        <v>Garage 70</v>
      </c>
    </row>
    <row r="3214" spans="28:32" x14ac:dyDescent="0.25">
      <c r="AB3214" t="str">
        <f t="shared" ref="AB3214:AC3214" si="3346">AB3193</f>
        <v>Supporting Scaffold</v>
      </c>
      <c r="AC3214" t="str">
        <f t="shared" si="3346"/>
        <v>Ground Floor Prop.</v>
      </c>
      <c r="AD3214" t="str">
        <f t="shared" ca="1" si="3297"/>
        <v>FALSE</v>
      </c>
      <c r="AE3214" s="1" t="str">
        <f t="shared" ca="1" si="3318"/>
        <v>Garage 70</v>
      </c>
      <c r="AF3214" t="str">
        <f t="shared" ca="1" si="3295"/>
        <v>Garage 70</v>
      </c>
    </row>
    <row r="3215" spans="28:32" x14ac:dyDescent="0.25">
      <c r="AB3215" t="str">
        <f t="shared" ref="AB3215:AC3215" si="3347">AB3194</f>
        <v>Supporting Scaffold</v>
      </c>
      <c r="AC3215" t="str">
        <f t="shared" si="3347"/>
        <v>First Floor Prop.</v>
      </c>
      <c r="AD3215" t="str">
        <f t="shared" ca="1" si="3297"/>
        <v>FALSE</v>
      </c>
      <c r="AE3215" s="1" t="str">
        <f t="shared" ca="1" si="3318"/>
        <v>Garage 70</v>
      </c>
      <c r="AF3215" t="str">
        <f t="shared" ca="1" si="3295"/>
        <v>Garage 70</v>
      </c>
    </row>
    <row r="3216" spans="28:32" x14ac:dyDescent="0.25">
      <c r="AB3216" t="str">
        <f t="shared" ref="AB3216:AC3216" si="3348">AB3195</f>
        <v>Supporting Scaffold</v>
      </c>
      <c r="AC3216" t="str">
        <f t="shared" si="3348"/>
        <v>Second Floor Prop.</v>
      </c>
      <c r="AD3216" t="str">
        <f t="shared" ca="1" si="3297"/>
        <v>FALSE</v>
      </c>
      <c r="AE3216" s="1" t="str">
        <f t="shared" ca="1" si="3318"/>
        <v>Garage 70</v>
      </c>
      <c r="AF3216" t="str">
        <f t="shared" ca="1" si="3295"/>
        <v>Garage 70</v>
      </c>
    </row>
    <row r="3217" spans="28:32" x14ac:dyDescent="0.25">
      <c r="AB3217" t="str">
        <f t="shared" ref="AB3217:AC3217" si="3349">AB3196</f>
        <v>External Scaffolding</v>
      </c>
      <c r="AC3217" t="str">
        <f t="shared" si="3349"/>
        <v>Hop-ups</v>
      </c>
      <c r="AD3217" t="b">
        <f t="shared" ca="1" si="3297"/>
        <v>1</v>
      </c>
      <c r="AE3217" s="1" t="str">
        <f t="shared" ca="1" si="3318"/>
        <v>Garage 70</v>
      </c>
      <c r="AF3217" t="str">
        <f t="shared" ca="1" si="3295"/>
        <v>Garage 70</v>
      </c>
    </row>
    <row r="3218" spans="28:32" x14ac:dyDescent="0.25">
      <c r="AB3218" t="str">
        <f t="shared" ref="AB3218:AC3218" si="3350">AB3197</f>
        <v>External Scaffolding</v>
      </c>
      <c r="AC3218" t="str">
        <f t="shared" si="3350"/>
        <v>Adaptions</v>
      </c>
      <c r="AD3218" t="b">
        <f t="shared" ca="1" si="3297"/>
        <v>1</v>
      </c>
      <c r="AE3218" s="1" t="str">
        <f t="shared" ca="1" si="3318"/>
        <v>Garage 70</v>
      </c>
      <c r="AF3218" t="str">
        <f t="shared" ca="1" si="3295"/>
        <v>Garage 70</v>
      </c>
    </row>
    <row r="3219" spans="28:32" x14ac:dyDescent="0.25">
      <c r="AB3219" t="str">
        <f t="shared" ref="AB3219:AC3219" si="3351">AB3198</f>
        <v>External Scaffolding</v>
      </c>
      <c r="AC3219" t="str">
        <f t="shared" si="3351"/>
        <v>Adaption Tower</v>
      </c>
      <c r="AD3219" t="b">
        <f t="shared" ca="1" si="3297"/>
        <v>1</v>
      </c>
      <c r="AE3219" s="1" t="str">
        <f t="shared" ca="1" si="3318"/>
        <v>Garage 70</v>
      </c>
      <c r="AF3219" t="str">
        <f t="shared" ca="1" si="3295"/>
        <v>Garage 70</v>
      </c>
    </row>
    <row r="3220" spans="28:32" x14ac:dyDescent="0.25">
      <c r="AB3220" t="str">
        <f t="shared" ref="AB3220:AC3220" si="3352">AB3199</f>
        <v>External Scaffolding</v>
      </c>
      <c r="AC3220" t="str">
        <f t="shared" si="3352"/>
        <v>Lift 1</v>
      </c>
      <c r="AD3220" t="b">
        <f t="shared" ca="1" si="3297"/>
        <v>1</v>
      </c>
      <c r="AE3220" s="1" t="str">
        <f t="shared" ca="1" si="3318"/>
        <v>Garage 71</v>
      </c>
      <c r="AF3220" t="str">
        <f t="shared" ca="1" si="3295"/>
        <v>Garage 71</v>
      </c>
    </row>
    <row r="3221" spans="28:32" x14ac:dyDescent="0.25">
      <c r="AB3221" t="str">
        <f t="shared" ref="AB3221:AC3221" si="3353">AB3200</f>
        <v>External Scaffolding</v>
      </c>
      <c r="AC3221" t="str">
        <f t="shared" si="3353"/>
        <v>Lift 2</v>
      </c>
      <c r="AD3221" t="b">
        <f t="shared" ca="1" si="3297"/>
        <v>1</v>
      </c>
      <c r="AE3221" s="1" t="str">
        <f t="shared" ca="1" si="3318"/>
        <v>Garage 71</v>
      </c>
      <c r="AF3221" t="str">
        <f t="shared" ca="1" si="3295"/>
        <v>Garage 71</v>
      </c>
    </row>
    <row r="3222" spans="28:32" x14ac:dyDescent="0.25">
      <c r="AB3222" t="str">
        <f t="shared" ref="AB3222:AC3222" si="3354">AB3201</f>
        <v>External Scaffolding</v>
      </c>
      <c r="AC3222" t="str">
        <f t="shared" si="3354"/>
        <v>Lift 3</v>
      </c>
      <c r="AD3222" t="b">
        <f t="shared" ca="1" si="3297"/>
        <v>1</v>
      </c>
      <c r="AE3222" s="1" t="str">
        <f t="shared" ca="1" si="3318"/>
        <v>Garage 71</v>
      </c>
      <c r="AF3222" t="str">
        <f t="shared" ca="1" si="3295"/>
        <v>Garage 71</v>
      </c>
    </row>
    <row r="3223" spans="28:32" x14ac:dyDescent="0.25">
      <c r="AB3223" t="str">
        <f t="shared" ref="AB3223:AC3223" si="3355">AB3202</f>
        <v>External Scaffolding</v>
      </c>
      <c r="AC3223" t="str">
        <f t="shared" si="3355"/>
        <v>Lift 4</v>
      </c>
      <c r="AD3223" t="b">
        <f t="shared" ca="1" si="3297"/>
        <v>0</v>
      </c>
      <c r="AE3223" s="1" t="str">
        <f t="shared" ca="1" si="3318"/>
        <v>Garage 71</v>
      </c>
      <c r="AF3223" t="str">
        <f t="shared" ca="1" si="3295"/>
        <v>Garage 71</v>
      </c>
    </row>
    <row r="3224" spans="28:32" x14ac:dyDescent="0.25">
      <c r="AB3224" t="str">
        <f t="shared" ref="AB3224:AC3224" si="3356">AB3203</f>
        <v>External Scaffolding</v>
      </c>
      <c r="AC3224" t="str">
        <f t="shared" si="3356"/>
        <v>Lift 5</v>
      </c>
      <c r="AD3224" t="b">
        <f t="shared" ca="1" si="3297"/>
        <v>0</v>
      </c>
      <c r="AE3224" s="1" t="str">
        <f t="shared" ca="1" si="3318"/>
        <v>Garage 71</v>
      </c>
      <c r="AF3224" t="str">
        <f t="shared" ca="1" si="3295"/>
        <v>Garage 71</v>
      </c>
    </row>
    <row r="3225" spans="28:32" x14ac:dyDescent="0.25">
      <c r="AB3225" t="str">
        <f t="shared" ref="AB3225:AC3225" si="3357">AB3204</f>
        <v>External Scaffolding</v>
      </c>
      <c r="AC3225" t="str">
        <f t="shared" si="3357"/>
        <v>Lift 6</v>
      </c>
      <c r="AD3225" t="b">
        <f t="shared" ca="1" si="3297"/>
        <v>0</v>
      </c>
      <c r="AE3225" s="1" t="str">
        <f t="shared" ca="1" si="3318"/>
        <v>Garage 71</v>
      </c>
      <c r="AF3225" t="str">
        <f t="shared" ca="1" si="3295"/>
        <v>Garage 71</v>
      </c>
    </row>
    <row r="3226" spans="28:32" x14ac:dyDescent="0.25">
      <c r="AB3226" t="str">
        <f t="shared" ref="AB3226:AC3226" si="3358">AB3205</f>
        <v>Loading Bay</v>
      </c>
      <c r="AC3226" t="str">
        <f t="shared" si="3358"/>
        <v>Lift 1</v>
      </c>
      <c r="AD3226" t="b">
        <f t="shared" ca="1" si="3297"/>
        <v>1</v>
      </c>
      <c r="AE3226" s="1" t="str">
        <f t="shared" ca="1" si="3318"/>
        <v>Garage 71</v>
      </c>
      <c r="AF3226" t="str">
        <f t="shared" ca="1" si="3295"/>
        <v>Garage 71</v>
      </c>
    </row>
    <row r="3227" spans="28:32" x14ac:dyDescent="0.25">
      <c r="AB3227" t="str">
        <f t="shared" ref="AB3227:AC3227" si="3359">AB3206</f>
        <v>Loading Bay</v>
      </c>
      <c r="AC3227" t="str">
        <f t="shared" si="3359"/>
        <v>Lift 2</v>
      </c>
      <c r="AD3227" t="b">
        <f t="shared" ca="1" si="3297"/>
        <v>1</v>
      </c>
      <c r="AE3227" s="1" t="str">
        <f t="shared" ca="1" si="3318"/>
        <v>Garage 71</v>
      </c>
      <c r="AF3227" t="str">
        <f t="shared" ca="1" si="3295"/>
        <v>Garage 71</v>
      </c>
    </row>
    <row r="3228" spans="28:32" x14ac:dyDescent="0.25">
      <c r="AB3228" t="str">
        <f t="shared" ref="AB3228:AC3228" si="3360">AB3207</f>
        <v>Loading Bay</v>
      </c>
      <c r="AC3228" t="str">
        <f t="shared" si="3360"/>
        <v>Lift 3</v>
      </c>
      <c r="AD3228" t="b">
        <f t="shared" ca="1" si="3297"/>
        <v>1</v>
      </c>
      <c r="AE3228" s="1" t="str">
        <f t="shared" ca="1" si="3318"/>
        <v>Garage 71</v>
      </c>
      <c r="AF3228" t="str">
        <f t="shared" ca="1" si="3295"/>
        <v>Garage 71</v>
      </c>
    </row>
    <row r="3229" spans="28:32" x14ac:dyDescent="0.25">
      <c r="AB3229" t="str">
        <f t="shared" ref="AB3229:AC3229" si="3361">AB3208</f>
        <v>Loading Bay</v>
      </c>
      <c r="AC3229" t="str">
        <f t="shared" si="3361"/>
        <v>Lift 4</v>
      </c>
      <c r="AD3229" t="b">
        <f t="shared" ca="1" si="3297"/>
        <v>0</v>
      </c>
      <c r="AE3229" s="1" t="str">
        <f t="shared" ca="1" si="3318"/>
        <v>Garage 71</v>
      </c>
      <c r="AF3229" t="str">
        <f t="shared" ref="AF3229:AF3292" ca="1" si="3362">IF(LEFT(AE3229,1)="G",AE3229,"Plot "&amp;AE3229)</f>
        <v>Garage 71</v>
      </c>
    </row>
    <row r="3230" spans="28:32" x14ac:dyDescent="0.25">
      <c r="AB3230" t="str">
        <f t="shared" ref="AB3230:AC3230" si="3363">AB3209</f>
        <v>Loading Bay</v>
      </c>
      <c r="AC3230" t="str">
        <f t="shared" si="3363"/>
        <v>Lift 5</v>
      </c>
      <c r="AD3230" t="b">
        <f t="shared" ref="AD3230:AD3293" ca="1" si="3364">INDEX($AC$1:$JH$22,MATCH(AC3230,$AC$1:$AC$22,0),MATCH(AE3230,$AC$1:$JH$1,0))</f>
        <v>0</v>
      </c>
      <c r="AE3230" s="1" t="str">
        <f t="shared" ca="1" si="3318"/>
        <v>Garage 71</v>
      </c>
      <c r="AF3230" t="str">
        <f t="shared" ca="1" si="3362"/>
        <v>Garage 71</v>
      </c>
    </row>
    <row r="3231" spans="28:32" x14ac:dyDescent="0.25">
      <c r="AB3231" t="str">
        <f t="shared" ref="AB3231:AC3231" si="3365">AB3210</f>
        <v>Loading Bay</v>
      </c>
      <c r="AC3231" t="str">
        <f t="shared" si="3365"/>
        <v>Lift 6</v>
      </c>
      <c r="AD3231" t="b">
        <f t="shared" ca="1" si="3364"/>
        <v>0</v>
      </c>
      <c r="AE3231" s="1" t="str">
        <f t="shared" ca="1" si="3318"/>
        <v>Garage 71</v>
      </c>
      <c r="AF3231" t="str">
        <f t="shared" ca="1" si="3362"/>
        <v>Garage 71</v>
      </c>
    </row>
    <row r="3232" spans="28:32" x14ac:dyDescent="0.25">
      <c r="AB3232" t="str">
        <f t="shared" ref="AB3232:AC3232" si="3366">AB3211</f>
        <v>Scaffolding Platform</v>
      </c>
      <c r="AC3232" t="str">
        <f t="shared" si="3366"/>
        <v>Ground Floor</v>
      </c>
      <c r="AD3232" t="b">
        <f t="shared" ca="1" si="3364"/>
        <v>1</v>
      </c>
      <c r="AE3232" s="1" t="str">
        <f t="shared" ca="1" si="3318"/>
        <v>Garage 71</v>
      </c>
      <c r="AF3232" t="str">
        <f t="shared" ca="1" si="3362"/>
        <v>Garage 71</v>
      </c>
    </row>
    <row r="3233" spans="28:32" x14ac:dyDescent="0.25">
      <c r="AB3233" t="str">
        <f t="shared" ref="AB3233:AC3233" si="3367">AB3212</f>
        <v>Scaffolding Platform</v>
      </c>
      <c r="AC3233" t="str">
        <f t="shared" si="3367"/>
        <v>First Floor</v>
      </c>
      <c r="AD3233" t="b">
        <f t="shared" ca="1" si="3364"/>
        <v>0</v>
      </c>
      <c r="AE3233" s="1" t="str">
        <f t="shared" ca="1" si="3318"/>
        <v>Garage 71</v>
      </c>
      <c r="AF3233" t="str">
        <f t="shared" ca="1" si="3362"/>
        <v>Garage 71</v>
      </c>
    </row>
    <row r="3234" spans="28:32" x14ac:dyDescent="0.25">
      <c r="AB3234" t="str">
        <f t="shared" ref="AB3234:AC3234" si="3368">AB3213</f>
        <v>Scaffolding Platform</v>
      </c>
      <c r="AC3234" t="str">
        <f t="shared" si="3368"/>
        <v>Second Floor</v>
      </c>
      <c r="AD3234" t="b">
        <f t="shared" ca="1" si="3364"/>
        <v>0</v>
      </c>
      <c r="AE3234" s="1" t="str">
        <f t="shared" ca="1" si="3318"/>
        <v>Garage 71</v>
      </c>
      <c r="AF3234" t="str">
        <f t="shared" ca="1" si="3362"/>
        <v>Garage 71</v>
      </c>
    </row>
    <row r="3235" spans="28:32" x14ac:dyDescent="0.25">
      <c r="AB3235" t="str">
        <f t="shared" ref="AB3235:AC3235" si="3369">AB3214</f>
        <v>Supporting Scaffold</v>
      </c>
      <c r="AC3235" t="str">
        <f t="shared" si="3369"/>
        <v>Ground Floor Prop.</v>
      </c>
      <c r="AD3235" t="str">
        <f t="shared" ca="1" si="3364"/>
        <v>FALSE</v>
      </c>
      <c r="AE3235" s="1" t="str">
        <f t="shared" ca="1" si="3318"/>
        <v>Garage 71</v>
      </c>
      <c r="AF3235" t="str">
        <f t="shared" ca="1" si="3362"/>
        <v>Garage 71</v>
      </c>
    </row>
    <row r="3236" spans="28:32" x14ac:dyDescent="0.25">
      <c r="AB3236" t="str">
        <f t="shared" ref="AB3236:AC3236" si="3370">AB3215</f>
        <v>Supporting Scaffold</v>
      </c>
      <c r="AC3236" t="str">
        <f t="shared" si="3370"/>
        <v>First Floor Prop.</v>
      </c>
      <c r="AD3236" t="str">
        <f t="shared" ca="1" si="3364"/>
        <v>FALSE</v>
      </c>
      <c r="AE3236" s="1" t="str">
        <f t="shared" ca="1" si="3318"/>
        <v>Garage 71</v>
      </c>
      <c r="AF3236" t="str">
        <f t="shared" ca="1" si="3362"/>
        <v>Garage 71</v>
      </c>
    </row>
    <row r="3237" spans="28:32" x14ac:dyDescent="0.25">
      <c r="AB3237" t="str">
        <f t="shared" ref="AB3237:AC3237" si="3371">AB3216</f>
        <v>Supporting Scaffold</v>
      </c>
      <c r="AC3237" t="str">
        <f t="shared" si="3371"/>
        <v>Second Floor Prop.</v>
      </c>
      <c r="AD3237" t="str">
        <f t="shared" ca="1" si="3364"/>
        <v>FALSE</v>
      </c>
      <c r="AE3237" s="1" t="str">
        <f t="shared" ca="1" si="3318"/>
        <v>Garage 71</v>
      </c>
      <c r="AF3237" t="str">
        <f t="shared" ca="1" si="3362"/>
        <v>Garage 71</v>
      </c>
    </row>
    <row r="3238" spans="28:32" x14ac:dyDescent="0.25">
      <c r="AB3238" t="str">
        <f t="shared" ref="AB3238:AC3238" si="3372">AB3217</f>
        <v>External Scaffolding</v>
      </c>
      <c r="AC3238" t="str">
        <f t="shared" si="3372"/>
        <v>Hop-ups</v>
      </c>
      <c r="AD3238" t="b">
        <f t="shared" ca="1" si="3364"/>
        <v>1</v>
      </c>
      <c r="AE3238" s="1" t="str">
        <f t="shared" ca="1" si="3318"/>
        <v>Garage 71</v>
      </c>
      <c r="AF3238" t="str">
        <f t="shared" ca="1" si="3362"/>
        <v>Garage 71</v>
      </c>
    </row>
    <row r="3239" spans="28:32" x14ac:dyDescent="0.25">
      <c r="AB3239" t="str">
        <f t="shared" ref="AB3239:AC3239" si="3373">AB3218</f>
        <v>External Scaffolding</v>
      </c>
      <c r="AC3239" t="str">
        <f t="shared" si="3373"/>
        <v>Adaptions</v>
      </c>
      <c r="AD3239" t="b">
        <f t="shared" ca="1" si="3364"/>
        <v>1</v>
      </c>
      <c r="AE3239" s="1" t="str">
        <f t="shared" ca="1" si="3318"/>
        <v>Garage 71</v>
      </c>
      <c r="AF3239" t="str">
        <f t="shared" ca="1" si="3362"/>
        <v>Garage 71</v>
      </c>
    </row>
    <row r="3240" spans="28:32" x14ac:dyDescent="0.25">
      <c r="AB3240" t="str">
        <f t="shared" ref="AB3240:AC3240" si="3374">AB3219</f>
        <v>External Scaffolding</v>
      </c>
      <c r="AC3240" t="str">
        <f t="shared" si="3374"/>
        <v>Adaption Tower</v>
      </c>
      <c r="AD3240" t="b">
        <f t="shared" ca="1" si="3364"/>
        <v>1</v>
      </c>
      <c r="AE3240" s="1" t="str">
        <f t="shared" ca="1" si="3318"/>
        <v>Garage 71</v>
      </c>
      <c r="AF3240" t="str">
        <f t="shared" ca="1" si="3362"/>
        <v>Garage 71</v>
      </c>
    </row>
    <row r="3241" spans="28:32" x14ac:dyDescent="0.25">
      <c r="AB3241" t="str">
        <f t="shared" ref="AB3241:AC3241" si="3375">AB3220</f>
        <v>External Scaffolding</v>
      </c>
      <c r="AC3241" t="str">
        <f t="shared" si="3375"/>
        <v>Lift 1</v>
      </c>
      <c r="AD3241" t="b">
        <f t="shared" ca="1" si="3364"/>
        <v>1</v>
      </c>
      <c r="AE3241" s="1" t="str">
        <f t="shared" ca="1" si="3318"/>
        <v>Garage 73</v>
      </c>
      <c r="AF3241" t="str">
        <f t="shared" ca="1" si="3362"/>
        <v>Garage 73</v>
      </c>
    </row>
    <row r="3242" spans="28:32" x14ac:dyDescent="0.25">
      <c r="AB3242" t="str">
        <f t="shared" ref="AB3242:AC3242" si="3376">AB3221</f>
        <v>External Scaffolding</v>
      </c>
      <c r="AC3242" t="str">
        <f t="shared" si="3376"/>
        <v>Lift 2</v>
      </c>
      <c r="AD3242" t="b">
        <f t="shared" ca="1" si="3364"/>
        <v>1</v>
      </c>
      <c r="AE3242" s="1" t="str">
        <f t="shared" ca="1" si="3318"/>
        <v>Garage 73</v>
      </c>
      <c r="AF3242" t="str">
        <f t="shared" ca="1" si="3362"/>
        <v>Garage 73</v>
      </c>
    </row>
    <row r="3243" spans="28:32" x14ac:dyDescent="0.25">
      <c r="AB3243" t="str">
        <f t="shared" ref="AB3243:AC3243" si="3377">AB3222</f>
        <v>External Scaffolding</v>
      </c>
      <c r="AC3243" t="str">
        <f t="shared" si="3377"/>
        <v>Lift 3</v>
      </c>
      <c r="AD3243" t="b">
        <f t="shared" ca="1" si="3364"/>
        <v>1</v>
      </c>
      <c r="AE3243" s="1" t="str">
        <f t="shared" ca="1" si="3318"/>
        <v>Garage 73</v>
      </c>
      <c r="AF3243" t="str">
        <f t="shared" ca="1" si="3362"/>
        <v>Garage 73</v>
      </c>
    </row>
    <row r="3244" spans="28:32" x14ac:dyDescent="0.25">
      <c r="AB3244" t="str">
        <f t="shared" ref="AB3244:AC3244" si="3378">AB3223</f>
        <v>External Scaffolding</v>
      </c>
      <c r="AC3244" t="str">
        <f t="shared" si="3378"/>
        <v>Lift 4</v>
      </c>
      <c r="AD3244" t="b">
        <f t="shared" ca="1" si="3364"/>
        <v>0</v>
      </c>
      <c r="AE3244" s="1" t="str">
        <f t="shared" ca="1" si="3318"/>
        <v>Garage 73</v>
      </c>
      <c r="AF3244" t="str">
        <f t="shared" ca="1" si="3362"/>
        <v>Garage 73</v>
      </c>
    </row>
    <row r="3245" spans="28:32" x14ac:dyDescent="0.25">
      <c r="AB3245" t="str">
        <f t="shared" ref="AB3245:AC3245" si="3379">AB3224</f>
        <v>External Scaffolding</v>
      </c>
      <c r="AC3245" t="str">
        <f t="shared" si="3379"/>
        <v>Lift 5</v>
      </c>
      <c r="AD3245" t="b">
        <f t="shared" ca="1" si="3364"/>
        <v>0</v>
      </c>
      <c r="AE3245" s="1" t="str">
        <f t="shared" ca="1" si="3318"/>
        <v>Garage 73</v>
      </c>
      <c r="AF3245" t="str">
        <f t="shared" ca="1" si="3362"/>
        <v>Garage 73</v>
      </c>
    </row>
    <row r="3246" spans="28:32" x14ac:dyDescent="0.25">
      <c r="AB3246" t="str">
        <f t="shared" ref="AB3246:AC3246" si="3380">AB3225</f>
        <v>External Scaffolding</v>
      </c>
      <c r="AC3246" t="str">
        <f t="shared" si="3380"/>
        <v>Lift 6</v>
      </c>
      <c r="AD3246" t="b">
        <f t="shared" ca="1" si="3364"/>
        <v>0</v>
      </c>
      <c r="AE3246" s="1" t="str">
        <f t="shared" ca="1" si="3318"/>
        <v>Garage 73</v>
      </c>
      <c r="AF3246" t="str">
        <f t="shared" ca="1" si="3362"/>
        <v>Garage 73</v>
      </c>
    </row>
    <row r="3247" spans="28:32" x14ac:dyDescent="0.25">
      <c r="AB3247" t="str">
        <f t="shared" ref="AB3247:AC3247" si="3381">AB3226</f>
        <v>Loading Bay</v>
      </c>
      <c r="AC3247" t="str">
        <f t="shared" si="3381"/>
        <v>Lift 1</v>
      </c>
      <c r="AD3247" t="b">
        <f t="shared" ca="1" si="3364"/>
        <v>1</v>
      </c>
      <c r="AE3247" s="1" t="str">
        <f t="shared" ca="1" si="3318"/>
        <v>Garage 73</v>
      </c>
      <c r="AF3247" t="str">
        <f t="shared" ca="1" si="3362"/>
        <v>Garage 73</v>
      </c>
    </row>
    <row r="3248" spans="28:32" x14ac:dyDescent="0.25">
      <c r="AB3248" t="str">
        <f t="shared" ref="AB3248:AC3248" si="3382">AB3227</f>
        <v>Loading Bay</v>
      </c>
      <c r="AC3248" t="str">
        <f t="shared" si="3382"/>
        <v>Lift 2</v>
      </c>
      <c r="AD3248" t="b">
        <f t="shared" ca="1" si="3364"/>
        <v>1</v>
      </c>
      <c r="AE3248" s="1" t="str">
        <f t="shared" ca="1" si="3318"/>
        <v>Garage 73</v>
      </c>
      <c r="AF3248" t="str">
        <f t="shared" ca="1" si="3362"/>
        <v>Garage 73</v>
      </c>
    </row>
    <row r="3249" spans="28:32" x14ac:dyDescent="0.25">
      <c r="AB3249" t="str">
        <f t="shared" ref="AB3249:AC3249" si="3383">AB3228</f>
        <v>Loading Bay</v>
      </c>
      <c r="AC3249" t="str">
        <f t="shared" si="3383"/>
        <v>Lift 3</v>
      </c>
      <c r="AD3249" t="b">
        <f t="shared" ca="1" si="3364"/>
        <v>1</v>
      </c>
      <c r="AE3249" s="1" t="str">
        <f t="shared" ca="1" si="3318"/>
        <v>Garage 73</v>
      </c>
      <c r="AF3249" t="str">
        <f t="shared" ca="1" si="3362"/>
        <v>Garage 73</v>
      </c>
    </row>
    <row r="3250" spans="28:32" x14ac:dyDescent="0.25">
      <c r="AB3250" t="str">
        <f t="shared" ref="AB3250:AC3250" si="3384">AB3229</f>
        <v>Loading Bay</v>
      </c>
      <c r="AC3250" t="str">
        <f t="shared" si="3384"/>
        <v>Lift 4</v>
      </c>
      <c r="AD3250" t="b">
        <f t="shared" ca="1" si="3364"/>
        <v>0</v>
      </c>
      <c r="AE3250" s="1" t="str">
        <f t="shared" ref="AE3250:AE3313" ca="1" si="3385">OFFSET($AD$1,0,FLOOR(ROW(B3222)/21,1))</f>
        <v>Garage 73</v>
      </c>
      <c r="AF3250" t="str">
        <f t="shared" ca="1" si="3362"/>
        <v>Garage 73</v>
      </c>
    </row>
    <row r="3251" spans="28:32" x14ac:dyDescent="0.25">
      <c r="AB3251" t="str">
        <f t="shared" ref="AB3251:AC3251" si="3386">AB3230</f>
        <v>Loading Bay</v>
      </c>
      <c r="AC3251" t="str">
        <f t="shared" si="3386"/>
        <v>Lift 5</v>
      </c>
      <c r="AD3251" t="b">
        <f t="shared" ca="1" si="3364"/>
        <v>0</v>
      </c>
      <c r="AE3251" s="1" t="str">
        <f t="shared" ca="1" si="3385"/>
        <v>Garage 73</v>
      </c>
      <c r="AF3251" t="str">
        <f t="shared" ca="1" si="3362"/>
        <v>Garage 73</v>
      </c>
    </row>
    <row r="3252" spans="28:32" x14ac:dyDescent="0.25">
      <c r="AB3252" t="str">
        <f t="shared" ref="AB3252:AC3252" si="3387">AB3231</f>
        <v>Loading Bay</v>
      </c>
      <c r="AC3252" t="str">
        <f t="shared" si="3387"/>
        <v>Lift 6</v>
      </c>
      <c r="AD3252" t="b">
        <f t="shared" ca="1" si="3364"/>
        <v>0</v>
      </c>
      <c r="AE3252" s="1" t="str">
        <f t="shared" ca="1" si="3385"/>
        <v>Garage 73</v>
      </c>
      <c r="AF3252" t="str">
        <f t="shared" ca="1" si="3362"/>
        <v>Garage 73</v>
      </c>
    </row>
    <row r="3253" spans="28:32" x14ac:dyDescent="0.25">
      <c r="AB3253" t="str">
        <f t="shared" ref="AB3253:AC3253" si="3388">AB3232</f>
        <v>Scaffolding Platform</v>
      </c>
      <c r="AC3253" t="str">
        <f t="shared" si="3388"/>
        <v>Ground Floor</v>
      </c>
      <c r="AD3253" t="b">
        <f t="shared" ca="1" si="3364"/>
        <v>1</v>
      </c>
      <c r="AE3253" s="1" t="str">
        <f t="shared" ca="1" si="3385"/>
        <v>Garage 73</v>
      </c>
      <c r="AF3253" t="str">
        <f t="shared" ca="1" si="3362"/>
        <v>Garage 73</v>
      </c>
    </row>
    <row r="3254" spans="28:32" x14ac:dyDescent="0.25">
      <c r="AB3254" t="str">
        <f t="shared" ref="AB3254:AC3254" si="3389">AB3233</f>
        <v>Scaffolding Platform</v>
      </c>
      <c r="AC3254" t="str">
        <f t="shared" si="3389"/>
        <v>First Floor</v>
      </c>
      <c r="AD3254" t="b">
        <f t="shared" ca="1" si="3364"/>
        <v>0</v>
      </c>
      <c r="AE3254" s="1" t="str">
        <f t="shared" ca="1" si="3385"/>
        <v>Garage 73</v>
      </c>
      <c r="AF3254" t="str">
        <f t="shared" ca="1" si="3362"/>
        <v>Garage 73</v>
      </c>
    </row>
    <row r="3255" spans="28:32" x14ac:dyDescent="0.25">
      <c r="AB3255" t="str">
        <f t="shared" ref="AB3255:AC3255" si="3390">AB3234</f>
        <v>Scaffolding Platform</v>
      </c>
      <c r="AC3255" t="str">
        <f t="shared" si="3390"/>
        <v>Second Floor</v>
      </c>
      <c r="AD3255" t="b">
        <f t="shared" ca="1" si="3364"/>
        <v>0</v>
      </c>
      <c r="AE3255" s="1" t="str">
        <f t="shared" ca="1" si="3385"/>
        <v>Garage 73</v>
      </c>
      <c r="AF3255" t="str">
        <f t="shared" ca="1" si="3362"/>
        <v>Garage 73</v>
      </c>
    </row>
    <row r="3256" spans="28:32" x14ac:dyDescent="0.25">
      <c r="AB3256" t="str">
        <f t="shared" ref="AB3256:AC3256" si="3391">AB3235</f>
        <v>Supporting Scaffold</v>
      </c>
      <c r="AC3256" t="str">
        <f t="shared" si="3391"/>
        <v>Ground Floor Prop.</v>
      </c>
      <c r="AD3256" t="str">
        <f t="shared" ca="1" si="3364"/>
        <v>FALSE</v>
      </c>
      <c r="AE3256" s="1" t="str">
        <f t="shared" ca="1" si="3385"/>
        <v>Garage 73</v>
      </c>
      <c r="AF3256" t="str">
        <f t="shared" ca="1" si="3362"/>
        <v>Garage 73</v>
      </c>
    </row>
    <row r="3257" spans="28:32" x14ac:dyDescent="0.25">
      <c r="AB3257" t="str">
        <f t="shared" ref="AB3257:AC3257" si="3392">AB3236</f>
        <v>Supporting Scaffold</v>
      </c>
      <c r="AC3257" t="str">
        <f t="shared" si="3392"/>
        <v>First Floor Prop.</v>
      </c>
      <c r="AD3257" t="str">
        <f t="shared" ca="1" si="3364"/>
        <v>FALSE</v>
      </c>
      <c r="AE3257" s="1" t="str">
        <f t="shared" ca="1" si="3385"/>
        <v>Garage 73</v>
      </c>
      <c r="AF3257" t="str">
        <f t="shared" ca="1" si="3362"/>
        <v>Garage 73</v>
      </c>
    </row>
    <row r="3258" spans="28:32" x14ac:dyDescent="0.25">
      <c r="AB3258" t="str">
        <f t="shared" ref="AB3258:AC3258" si="3393">AB3237</f>
        <v>Supporting Scaffold</v>
      </c>
      <c r="AC3258" t="str">
        <f t="shared" si="3393"/>
        <v>Second Floor Prop.</v>
      </c>
      <c r="AD3258" t="str">
        <f t="shared" ca="1" si="3364"/>
        <v>FALSE</v>
      </c>
      <c r="AE3258" s="1" t="str">
        <f t="shared" ca="1" si="3385"/>
        <v>Garage 73</v>
      </c>
      <c r="AF3258" t="str">
        <f t="shared" ca="1" si="3362"/>
        <v>Garage 73</v>
      </c>
    </row>
    <row r="3259" spans="28:32" x14ac:dyDescent="0.25">
      <c r="AB3259" t="str">
        <f t="shared" ref="AB3259:AC3259" si="3394">AB3238</f>
        <v>External Scaffolding</v>
      </c>
      <c r="AC3259" t="str">
        <f t="shared" si="3394"/>
        <v>Hop-ups</v>
      </c>
      <c r="AD3259" t="b">
        <f t="shared" ca="1" si="3364"/>
        <v>1</v>
      </c>
      <c r="AE3259" s="1" t="str">
        <f t="shared" ca="1" si="3385"/>
        <v>Garage 73</v>
      </c>
      <c r="AF3259" t="str">
        <f t="shared" ca="1" si="3362"/>
        <v>Garage 73</v>
      </c>
    </row>
    <row r="3260" spans="28:32" x14ac:dyDescent="0.25">
      <c r="AB3260" t="str">
        <f t="shared" ref="AB3260:AC3260" si="3395">AB3239</f>
        <v>External Scaffolding</v>
      </c>
      <c r="AC3260" t="str">
        <f t="shared" si="3395"/>
        <v>Adaptions</v>
      </c>
      <c r="AD3260" t="b">
        <f t="shared" ca="1" si="3364"/>
        <v>1</v>
      </c>
      <c r="AE3260" s="1" t="str">
        <f t="shared" ca="1" si="3385"/>
        <v>Garage 73</v>
      </c>
      <c r="AF3260" t="str">
        <f t="shared" ca="1" si="3362"/>
        <v>Garage 73</v>
      </c>
    </row>
    <row r="3261" spans="28:32" x14ac:dyDescent="0.25">
      <c r="AB3261" t="str">
        <f t="shared" ref="AB3261:AC3261" si="3396">AB3240</f>
        <v>External Scaffolding</v>
      </c>
      <c r="AC3261" t="str">
        <f t="shared" si="3396"/>
        <v>Adaption Tower</v>
      </c>
      <c r="AD3261" t="b">
        <f t="shared" ca="1" si="3364"/>
        <v>1</v>
      </c>
      <c r="AE3261" s="1" t="str">
        <f t="shared" ca="1" si="3385"/>
        <v>Garage 73</v>
      </c>
      <c r="AF3261" t="str">
        <f t="shared" ca="1" si="3362"/>
        <v>Garage 73</v>
      </c>
    </row>
    <row r="3262" spans="28:32" x14ac:dyDescent="0.25">
      <c r="AB3262" t="str">
        <f t="shared" ref="AB3262:AC3262" si="3397">AB3241</f>
        <v>External Scaffolding</v>
      </c>
      <c r="AC3262" t="str">
        <f t="shared" si="3397"/>
        <v>Lift 1</v>
      </c>
      <c r="AD3262" t="b">
        <f t="shared" ca="1" si="3364"/>
        <v>1</v>
      </c>
      <c r="AE3262" s="1" t="str">
        <f t="shared" ca="1" si="3385"/>
        <v>Garage 74</v>
      </c>
      <c r="AF3262" t="str">
        <f t="shared" ca="1" si="3362"/>
        <v>Garage 74</v>
      </c>
    </row>
    <row r="3263" spans="28:32" x14ac:dyDescent="0.25">
      <c r="AB3263" t="str">
        <f t="shared" ref="AB3263:AC3263" si="3398">AB3242</f>
        <v>External Scaffolding</v>
      </c>
      <c r="AC3263" t="str">
        <f t="shared" si="3398"/>
        <v>Lift 2</v>
      </c>
      <c r="AD3263" t="b">
        <f t="shared" ca="1" si="3364"/>
        <v>1</v>
      </c>
      <c r="AE3263" s="1" t="str">
        <f t="shared" ca="1" si="3385"/>
        <v>Garage 74</v>
      </c>
      <c r="AF3263" t="str">
        <f t="shared" ca="1" si="3362"/>
        <v>Garage 74</v>
      </c>
    </row>
    <row r="3264" spans="28:32" x14ac:dyDescent="0.25">
      <c r="AB3264" t="str">
        <f t="shared" ref="AB3264:AC3264" si="3399">AB3243</f>
        <v>External Scaffolding</v>
      </c>
      <c r="AC3264" t="str">
        <f t="shared" si="3399"/>
        <v>Lift 3</v>
      </c>
      <c r="AD3264" t="b">
        <f t="shared" ca="1" si="3364"/>
        <v>1</v>
      </c>
      <c r="AE3264" s="1" t="str">
        <f t="shared" ca="1" si="3385"/>
        <v>Garage 74</v>
      </c>
      <c r="AF3264" t="str">
        <f t="shared" ca="1" si="3362"/>
        <v>Garage 74</v>
      </c>
    </row>
    <row r="3265" spans="28:32" x14ac:dyDescent="0.25">
      <c r="AB3265" t="str">
        <f t="shared" ref="AB3265:AC3265" si="3400">AB3244</f>
        <v>External Scaffolding</v>
      </c>
      <c r="AC3265" t="str">
        <f t="shared" si="3400"/>
        <v>Lift 4</v>
      </c>
      <c r="AD3265" t="b">
        <f t="shared" ca="1" si="3364"/>
        <v>0</v>
      </c>
      <c r="AE3265" s="1" t="str">
        <f t="shared" ca="1" si="3385"/>
        <v>Garage 74</v>
      </c>
      <c r="AF3265" t="str">
        <f t="shared" ca="1" si="3362"/>
        <v>Garage 74</v>
      </c>
    </row>
    <row r="3266" spans="28:32" x14ac:dyDescent="0.25">
      <c r="AB3266" t="str">
        <f t="shared" ref="AB3266:AC3266" si="3401">AB3245</f>
        <v>External Scaffolding</v>
      </c>
      <c r="AC3266" t="str">
        <f t="shared" si="3401"/>
        <v>Lift 5</v>
      </c>
      <c r="AD3266" t="b">
        <f t="shared" ca="1" si="3364"/>
        <v>0</v>
      </c>
      <c r="AE3266" s="1" t="str">
        <f t="shared" ca="1" si="3385"/>
        <v>Garage 74</v>
      </c>
      <c r="AF3266" t="str">
        <f t="shared" ca="1" si="3362"/>
        <v>Garage 74</v>
      </c>
    </row>
    <row r="3267" spans="28:32" x14ac:dyDescent="0.25">
      <c r="AB3267" t="str">
        <f t="shared" ref="AB3267:AC3267" si="3402">AB3246</f>
        <v>External Scaffolding</v>
      </c>
      <c r="AC3267" t="str">
        <f t="shared" si="3402"/>
        <v>Lift 6</v>
      </c>
      <c r="AD3267" t="b">
        <f t="shared" ca="1" si="3364"/>
        <v>0</v>
      </c>
      <c r="AE3267" s="1" t="str">
        <f t="shared" ca="1" si="3385"/>
        <v>Garage 74</v>
      </c>
      <c r="AF3267" t="str">
        <f t="shared" ca="1" si="3362"/>
        <v>Garage 74</v>
      </c>
    </row>
    <row r="3268" spans="28:32" x14ac:dyDescent="0.25">
      <c r="AB3268" t="str">
        <f t="shared" ref="AB3268:AC3268" si="3403">AB3247</f>
        <v>Loading Bay</v>
      </c>
      <c r="AC3268" t="str">
        <f t="shared" si="3403"/>
        <v>Lift 1</v>
      </c>
      <c r="AD3268" t="b">
        <f t="shared" ca="1" si="3364"/>
        <v>1</v>
      </c>
      <c r="AE3268" s="1" t="str">
        <f t="shared" ca="1" si="3385"/>
        <v>Garage 74</v>
      </c>
      <c r="AF3268" t="str">
        <f t="shared" ca="1" si="3362"/>
        <v>Garage 74</v>
      </c>
    </row>
    <row r="3269" spans="28:32" x14ac:dyDescent="0.25">
      <c r="AB3269" t="str">
        <f t="shared" ref="AB3269:AC3269" si="3404">AB3248</f>
        <v>Loading Bay</v>
      </c>
      <c r="AC3269" t="str">
        <f t="shared" si="3404"/>
        <v>Lift 2</v>
      </c>
      <c r="AD3269" t="b">
        <f t="shared" ca="1" si="3364"/>
        <v>1</v>
      </c>
      <c r="AE3269" s="1" t="str">
        <f t="shared" ca="1" si="3385"/>
        <v>Garage 74</v>
      </c>
      <c r="AF3269" t="str">
        <f t="shared" ca="1" si="3362"/>
        <v>Garage 74</v>
      </c>
    </row>
    <row r="3270" spans="28:32" x14ac:dyDescent="0.25">
      <c r="AB3270" t="str">
        <f t="shared" ref="AB3270:AC3270" si="3405">AB3249</f>
        <v>Loading Bay</v>
      </c>
      <c r="AC3270" t="str">
        <f t="shared" si="3405"/>
        <v>Lift 3</v>
      </c>
      <c r="AD3270" t="b">
        <f t="shared" ca="1" si="3364"/>
        <v>1</v>
      </c>
      <c r="AE3270" s="1" t="str">
        <f t="shared" ca="1" si="3385"/>
        <v>Garage 74</v>
      </c>
      <c r="AF3270" t="str">
        <f t="shared" ca="1" si="3362"/>
        <v>Garage 74</v>
      </c>
    </row>
    <row r="3271" spans="28:32" x14ac:dyDescent="0.25">
      <c r="AB3271" t="str">
        <f t="shared" ref="AB3271:AC3271" si="3406">AB3250</f>
        <v>Loading Bay</v>
      </c>
      <c r="AC3271" t="str">
        <f t="shared" si="3406"/>
        <v>Lift 4</v>
      </c>
      <c r="AD3271" t="b">
        <f t="shared" ca="1" si="3364"/>
        <v>0</v>
      </c>
      <c r="AE3271" s="1" t="str">
        <f t="shared" ca="1" si="3385"/>
        <v>Garage 74</v>
      </c>
      <c r="AF3271" t="str">
        <f t="shared" ca="1" si="3362"/>
        <v>Garage 74</v>
      </c>
    </row>
    <row r="3272" spans="28:32" x14ac:dyDescent="0.25">
      <c r="AB3272" t="str">
        <f t="shared" ref="AB3272:AC3272" si="3407">AB3251</f>
        <v>Loading Bay</v>
      </c>
      <c r="AC3272" t="str">
        <f t="shared" si="3407"/>
        <v>Lift 5</v>
      </c>
      <c r="AD3272" t="b">
        <f t="shared" ca="1" si="3364"/>
        <v>0</v>
      </c>
      <c r="AE3272" s="1" t="str">
        <f t="shared" ca="1" si="3385"/>
        <v>Garage 74</v>
      </c>
      <c r="AF3272" t="str">
        <f t="shared" ca="1" si="3362"/>
        <v>Garage 74</v>
      </c>
    </row>
    <row r="3273" spans="28:32" x14ac:dyDescent="0.25">
      <c r="AB3273" t="str">
        <f t="shared" ref="AB3273:AC3273" si="3408">AB3252</f>
        <v>Loading Bay</v>
      </c>
      <c r="AC3273" t="str">
        <f t="shared" si="3408"/>
        <v>Lift 6</v>
      </c>
      <c r="AD3273" t="b">
        <f t="shared" ca="1" si="3364"/>
        <v>0</v>
      </c>
      <c r="AE3273" s="1" t="str">
        <f t="shared" ca="1" si="3385"/>
        <v>Garage 74</v>
      </c>
      <c r="AF3273" t="str">
        <f t="shared" ca="1" si="3362"/>
        <v>Garage 74</v>
      </c>
    </row>
    <row r="3274" spans="28:32" x14ac:dyDescent="0.25">
      <c r="AB3274" t="str">
        <f t="shared" ref="AB3274:AC3274" si="3409">AB3253</f>
        <v>Scaffolding Platform</v>
      </c>
      <c r="AC3274" t="str">
        <f t="shared" si="3409"/>
        <v>Ground Floor</v>
      </c>
      <c r="AD3274" t="b">
        <f t="shared" ca="1" si="3364"/>
        <v>1</v>
      </c>
      <c r="AE3274" s="1" t="str">
        <f t="shared" ca="1" si="3385"/>
        <v>Garage 74</v>
      </c>
      <c r="AF3274" t="str">
        <f t="shared" ca="1" si="3362"/>
        <v>Garage 74</v>
      </c>
    </row>
    <row r="3275" spans="28:32" x14ac:dyDescent="0.25">
      <c r="AB3275" t="str">
        <f t="shared" ref="AB3275:AC3275" si="3410">AB3254</f>
        <v>Scaffolding Platform</v>
      </c>
      <c r="AC3275" t="str">
        <f t="shared" si="3410"/>
        <v>First Floor</v>
      </c>
      <c r="AD3275" t="b">
        <f t="shared" ca="1" si="3364"/>
        <v>0</v>
      </c>
      <c r="AE3275" s="1" t="str">
        <f t="shared" ca="1" si="3385"/>
        <v>Garage 74</v>
      </c>
      <c r="AF3275" t="str">
        <f t="shared" ca="1" si="3362"/>
        <v>Garage 74</v>
      </c>
    </row>
    <row r="3276" spans="28:32" x14ac:dyDescent="0.25">
      <c r="AB3276" t="str">
        <f t="shared" ref="AB3276:AC3276" si="3411">AB3255</f>
        <v>Scaffolding Platform</v>
      </c>
      <c r="AC3276" t="str">
        <f t="shared" si="3411"/>
        <v>Second Floor</v>
      </c>
      <c r="AD3276" t="b">
        <f t="shared" ca="1" si="3364"/>
        <v>0</v>
      </c>
      <c r="AE3276" s="1" t="str">
        <f t="shared" ca="1" si="3385"/>
        <v>Garage 74</v>
      </c>
      <c r="AF3276" t="str">
        <f t="shared" ca="1" si="3362"/>
        <v>Garage 74</v>
      </c>
    </row>
    <row r="3277" spans="28:32" x14ac:dyDescent="0.25">
      <c r="AB3277" t="str">
        <f t="shared" ref="AB3277:AC3277" si="3412">AB3256</f>
        <v>Supporting Scaffold</v>
      </c>
      <c r="AC3277" t="str">
        <f t="shared" si="3412"/>
        <v>Ground Floor Prop.</v>
      </c>
      <c r="AD3277" t="str">
        <f t="shared" ca="1" si="3364"/>
        <v>FALSE</v>
      </c>
      <c r="AE3277" s="1" t="str">
        <f t="shared" ca="1" si="3385"/>
        <v>Garage 74</v>
      </c>
      <c r="AF3277" t="str">
        <f t="shared" ca="1" si="3362"/>
        <v>Garage 74</v>
      </c>
    </row>
    <row r="3278" spans="28:32" x14ac:dyDescent="0.25">
      <c r="AB3278" t="str">
        <f t="shared" ref="AB3278:AC3278" si="3413">AB3257</f>
        <v>Supporting Scaffold</v>
      </c>
      <c r="AC3278" t="str">
        <f t="shared" si="3413"/>
        <v>First Floor Prop.</v>
      </c>
      <c r="AD3278" t="str">
        <f t="shared" ca="1" si="3364"/>
        <v>FALSE</v>
      </c>
      <c r="AE3278" s="1" t="str">
        <f t="shared" ca="1" si="3385"/>
        <v>Garage 74</v>
      </c>
      <c r="AF3278" t="str">
        <f t="shared" ca="1" si="3362"/>
        <v>Garage 74</v>
      </c>
    </row>
    <row r="3279" spans="28:32" x14ac:dyDescent="0.25">
      <c r="AB3279" t="str">
        <f t="shared" ref="AB3279:AC3279" si="3414">AB3258</f>
        <v>Supporting Scaffold</v>
      </c>
      <c r="AC3279" t="str">
        <f t="shared" si="3414"/>
        <v>Second Floor Prop.</v>
      </c>
      <c r="AD3279" t="str">
        <f t="shared" ca="1" si="3364"/>
        <v>FALSE</v>
      </c>
      <c r="AE3279" s="1" t="str">
        <f t="shared" ca="1" si="3385"/>
        <v>Garage 74</v>
      </c>
      <c r="AF3279" t="str">
        <f t="shared" ca="1" si="3362"/>
        <v>Garage 74</v>
      </c>
    </row>
    <row r="3280" spans="28:32" x14ac:dyDescent="0.25">
      <c r="AB3280" t="str">
        <f t="shared" ref="AB3280:AC3280" si="3415">AB3259</f>
        <v>External Scaffolding</v>
      </c>
      <c r="AC3280" t="str">
        <f t="shared" si="3415"/>
        <v>Hop-ups</v>
      </c>
      <c r="AD3280" t="b">
        <f t="shared" ca="1" si="3364"/>
        <v>1</v>
      </c>
      <c r="AE3280" s="1" t="str">
        <f t="shared" ca="1" si="3385"/>
        <v>Garage 74</v>
      </c>
      <c r="AF3280" t="str">
        <f t="shared" ca="1" si="3362"/>
        <v>Garage 74</v>
      </c>
    </row>
    <row r="3281" spans="28:32" x14ac:dyDescent="0.25">
      <c r="AB3281" t="str">
        <f t="shared" ref="AB3281:AC3281" si="3416">AB3260</f>
        <v>External Scaffolding</v>
      </c>
      <c r="AC3281" t="str">
        <f t="shared" si="3416"/>
        <v>Adaptions</v>
      </c>
      <c r="AD3281" t="b">
        <f t="shared" ca="1" si="3364"/>
        <v>1</v>
      </c>
      <c r="AE3281" s="1" t="str">
        <f t="shared" ca="1" si="3385"/>
        <v>Garage 74</v>
      </c>
      <c r="AF3281" t="str">
        <f t="shared" ca="1" si="3362"/>
        <v>Garage 74</v>
      </c>
    </row>
    <row r="3282" spans="28:32" x14ac:dyDescent="0.25">
      <c r="AB3282" t="str">
        <f t="shared" ref="AB3282:AC3282" si="3417">AB3261</f>
        <v>External Scaffolding</v>
      </c>
      <c r="AC3282" t="str">
        <f t="shared" si="3417"/>
        <v>Adaption Tower</v>
      </c>
      <c r="AD3282" t="b">
        <f t="shared" ca="1" si="3364"/>
        <v>1</v>
      </c>
      <c r="AE3282" s="1" t="str">
        <f t="shared" ca="1" si="3385"/>
        <v>Garage 74</v>
      </c>
      <c r="AF3282" t="str">
        <f t="shared" ca="1" si="3362"/>
        <v>Garage 74</v>
      </c>
    </row>
    <row r="3283" spans="28:32" x14ac:dyDescent="0.25">
      <c r="AB3283" t="str">
        <f t="shared" ref="AB3283:AC3283" si="3418">AB3262</f>
        <v>External Scaffolding</v>
      </c>
      <c r="AC3283" t="str">
        <f t="shared" si="3418"/>
        <v>Lift 1</v>
      </c>
      <c r="AD3283" t="b">
        <f t="shared" ca="1" si="3364"/>
        <v>1</v>
      </c>
      <c r="AE3283" s="1" t="str">
        <f t="shared" ca="1" si="3385"/>
        <v>Garage 75</v>
      </c>
      <c r="AF3283" t="str">
        <f t="shared" ca="1" si="3362"/>
        <v>Garage 75</v>
      </c>
    </row>
    <row r="3284" spans="28:32" x14ac:dyDescent="0.25">
      <c r="AB3284" t="str">
        <f t="shared" ref="AB3284:AC3284" si="3419">AB3263</f>
        <v>External Scaffolding</v>
      </c>
      <c r="AC3284" t="str">
        <f t="shared" si="3419"/>
        <v>Lift 2</v>
      </c>
      <c r="AD3284" t="b">
        <f t="shared" ca="1" si="3364"/>
        <v>1</v>
      </c>
      <c r="AE3284" s="1" t="str">
        <f t="shared" ca="1" si="3385"/>
        <v>Garage 75</v>
      </c>
      <c r="AF3284" t="str">
        <f t="shared" ca="1" si="3362"/>
        <v>Garage 75</v>
      </c>
    </row>
    <row r="3285" spans="28:32" x14ac:dyDescent="0.25">
      <c r="AB3285" t="str">
        <f t="shared" ref="AB3285:AC3285" si="3420">AB3264</f>
        <v>External Scaffolding</v>
      </c>
      <c r="AC3285" t="str">
        <f t="shared" si="3420"/>
        <v>Lift 3</v>
      </c>
      <c r="AD3285" t="b">
        <f t="shared" ca="1" si="3364"/>
        <v>1</v>
      </c>
      <c r="AE3285" s="1" t="str">
        <f t="shared" ca="1" si="3385"/>
        <v>Garage 75</v>
      </c>
      <c r="AF3285" t="str">
        <f t="shared" ca="1" si="3362"/>
        <v>Garage 75</v>
      </c>
    </row>
    <row r="3286" spans="28:32" x14ac:dyDescent="0.25">
      <c r="AB3286" t="str">
        <f t="shared" ref="AB3286:AC3286" si="3421">AB3265</f>
        <v>External Scaffolding</v>
      </c>
      <c r="AC3286" t="str">
        <f t="shared" si="3421"/>
        <v>Lift 4</v>
      </c>
      <c r="AD3286" t="b">
        <f t="shared" ca="1" si="3364"/>
        <v>0</v>
      </c>
      <c r="AE3286" s="1" t="str">
        <f t="shared" ca="1" si="3385"/>
        <v>Garage 75</v>
      </c>
      <c r="AF3286" t="str">
        <f t="shared" ca="1" si="3362"/>
        <v>Garage 75</v>
      </c>
    </row>
    <row r="3287" spans="28:32" x14ac:dyDescent="0.25">
      <c r="AB3287" t="str">
        <f t="shared" ref="AB3287:AC3287" si="3422">AB3266</f>
        <v>External Scaffolding</v>
      </c>
      <c r="AC3287" t="str">
        <f t="shared" si="3422"/>
        <v>Lift 5</v>
      </c>
      <c r="AD3287" t="b">
        <f t="shared" ca="1" si="3364"/>
        <v>0</v>
      </c>
      <c r="AE3287" s="1" t="str">
        <f t="shared" ca="1" si="3385"/>
        <v>Garage 75</v>
      </c>
      <c r="AF3287" t="str">
        <f t="shared" ca="1" si="3362"/>
        <v>Garage 75</v>
      </c>
    </row>
    <row r="3288" spans="28:32" x14ac:dyDescent="0.25">
      <c r="AB3288" t="str">
        <f t="shared" ref="AB3288:AC3288" si="3423">AB3267</f>
        <v>External Scaffolding</v>
      </c>
      <c r="AC3288" t="str">
        <f t="shared" si="3423"/>
        <v>Lift 6</v>
      </c>
      <c r="AD3288" t="b">
        <f t="shared" ca="1" si="3364"/>
        <v>0</v>
      </c>
      <c r="AE3288" s="1" t="str">
        <f t="shared" ca="1" si="3385"/>
        <v>Garage 75</v>
      </c>
      <c r="AF3288" t="str">
        <f t="shared" ca="1" si="3362"/>
        <v>Garage 75</v>
      </c>
    </row>
    <row r="3289" spans="28:32" x14ac:dyDescent="0.25">
      <c r="AB3289" t="str">
        <f t="shared" ref="AB3289:AC3289" si="3424">AB3268</f>
        <v>Loading Bay</v>
      </c>
      <c r="AC3289" t="str">
        <f t="shared" si="3424"/>
        <v>Lift 1</v>
      </c>
      <c r="AD3289" t="b">
        <f t="shared" ca="1" si="3364"/>
        <v>1</v>
      </c>
      <c r="AE3289" s="1" t="str">
        <f t="shared" ca="1" si="3385"/>
        <v>Garage 75</v>
      </c>
      <c r="AF3289" t="str">
        <f t="shared" ca="1" si="3362"/>
        <v>Garage 75</v>
      </c>
    </row>
    <row r="3290" spans="28:32" x14ac:dyDescent="0.25">
      <c r="AB3290" t="str">
        <f t="shared" ref="AB3290:AC3290" si="3425">AB3269</f>
        <v>Loading Bay</v>
      </c>
      <c r="AC3290" t="str">
        <f t="shared" si="3425"/>
        <v>Lift 2</v>
      </c>
      <c r="AD3290" t="b">
        <f t="shared" ca="1" si="3364"/>
        <v>1</v>
      </c>
      <c r="AE3290" s="1" t="str">
        <f t="shared" ca="1" si="3385"/>
        <v>Garage 75</v>
      </c>
      <c r="AF3290" t="str">
        <f t="shared" ca="1" si="3362"/>
        <v>Garage 75</v>
      </c>
    </row>
    <row r="3291" spans="28:32" x14ac:dyDescent="0.25">
      <c r="AB3291" t="str">
        <f t="shared" ref="AB3291:AC3291" si="3426">AB3270</f>
        <v>Loading Bay</v>
      </c>
      <c r="AC3291" t="str">
        <f t="shared" si="3426"/>
        <v>Lift 3</v>
      </c>
      <c r="AD3291" t="b">
        <f t="shared" ca="1" si="3364"/>
        <v>1</v>
      </c>
      <c r="AE3291" s="1" t="str">
        <f t="shared" ca="1" si="3385"/>
        <v>Garage 75</v>
      </c>
      <c r="AF3291" t="str">
        <f t="shared" ca="1" si="3362"/>
        <v>Garage 75</v>
      </c>
    </row>
    <row r="3292" spans="28:32" x14ac:dyDescent="0.25">
      <c r="AB3292" t="str">
        <f t="shared" ref="AB3292:AC3292" si="3427">AB3271</f>
        <v>Loading Bay</v>
      </c>
      <c r="AC3292" t="str">
        <f t="shared" si="3427"/>
        <v>Lift 4</v>
      </c>
      <c r="AD3292" t="b">
        <f t="shared" ca="1" si="3364"/>
        <v>0</v>
      </c>
      <c r="AE3292" s="1" t="str">
        <f t="shared" ca="1" si="3385"/>
        <v>Garage 75</v>
      </c>
      <c r="AF3292" t="str">
        <f t="shared" ca="1" si="3362"/>
        <v>Garage 75</v>
      </c>
    </row>
    <row r="3293" spans="28:32" x14ac:dyDescent="0.25">
      <c r="AB3293" t="str">
        <f t="shared" ref="AB3293:AC3293" si="3428">AB3272</f>
        <v>Loading Bay</v>
      </c>
      <c r="AC3293" t="str">
        <f t="shared" si="3428"/>
        <v>Lift 5</v>
      </c>
      <c r="AD3293" t="b">
        <f t="shared" ca="1" si="3364"/>
        <v>0</v>
      </c>
      <c r="AE3293" s="1" t="str">
        <f t="shared" ca="1" si="3385"/>
        <v>Garage 75</v>
      </c>
      <c r="AF3293" t="str">
        <f t="shared" ref="AF3293:AF3356" ca="1" si="3429">IF(LEFT(AE3293,1)="G",AE3293,"Plot "&amp;AE3293)</f>
        <v>Garage 75</v>
      </c>
    </row>
    <row r="3294" spans="28:32" x14ac:dyDescent="0.25">
      <c r="AB3294" t="str">
        <f t="shared" ref="AB3294:AC3294" si="3430">AB3273</f>
        <v>Loading Bay</v>
      </c>
      <c r="AC3294" t="str">
        <f t="shared" si="3430"/>
        <v>Lift 6</v>
      </c>
      <c r="AD3294" t="b">
        <f t="shared" ref="AD3294:AD3357" ca="1" si="3431">INDEX($AC$1:$JH$22,MATCH(AC3294,$AC$1:$AC$22,0),MATCH(AE3294,$AC$1:$JH$1,0))</f>
        <v>0</v>
      </c>
      <c r="AE3294" s="1" t="str">
        <f t="shared" ca="1" si="3385"/>
        <v>Garage 75</v>
      </c>
      <c r="AF3294" t="str">
        <f t="shared" ca="1" si="3429"/>
        <v>Garage 75</v>
      </c>
    </row>
    <row r="3295" spans="28:32" x14ac:dyDescent="0.25">
      <c r="AB3295" t="str">
        <f t="shared" ref="AB3295:AC3295" si="3432">AB3274</f>
        <v>Scaffolding Platform</v>
      </c>
      <c r="AC3295" t="str">
        <f t="shared" si="3432"/>
        <v>Ground Floor</v>
      </c>
      <c r="AD3295" t="b">
        <f t="shared" ca="1" si="3431"/>
        <v>1</v>
      </c>
      <c r="AE3295" s="1" t="str">
        <f t="shared" ca="1" si="3385"/>
        <v>Garage 75</v>
      </c>
      <c r="AF3295" t="str">
        <f t="shared" ca="1" si="3429"/>
        <v>Garage 75</v>
      </c>
    </row>
    <row r="3296" spans="28:32" x14ac:dyDescent="0.25">
      <c r="AB3296" t="str">
        <f t="shared" ref="AB3296:AC3296" si="3433">AB3275</f>
        <v>Scaffolding Platform</v>
      </c>
      <c r="AC3296" t="str">
        <f t="shared" si="3433"/>
        <v>First Floor</v>
      </c>
      <c r="AD3296" t="b">
        <f t="shared" ca="1" si="3431"/>
        <v>0</v>
      </c>
      <c r="AE3296" s="1" t="str">
        <f t="shared" ca="1" si="3385"/>
        <v>Garage 75</v>
      </c>
      <c r="AF3296" t="str">
        <f t="shared" ca="1" si="3429"/>
        <v>Garage 75</v>
      </c>
    </row>
    <row r="3297" spans="28:32" x14ac:dyDescent="0.25">
      <c r="AB3297" t="str">
        <f t="shared" ref="AB3297:AC3297" si="3434">AB3276</f>
        <v>Scaffolding Platform</v>
      </c>
      <c r="AC3297" t="str">
        <f t="shared" si="3434"/>
        <v>Second Floor</v>
      </c>
      <c r="AD3297" t="b">
        <f t="shared" ca="1" si="3431"/>
        <v>0</v>
      </c>
      <c r="AE3297" s="1" t="str">
        <f t="shared" ca="1" si="3385"/>
        <v>Garage 75</v>
      </c>
      <c r="AF3297" t="str">
        <f t="shared" ca="1" si="3429"/>
        <v>Garage 75</v>
      </c>
    </row>
    <row r="3298" spans="28:32" x14ac:dyDescent="0.25">
      <c r="AB3298" t="str">
        <f t="shared" ref="AB3298:AC3298" si="3435">AB3277</f>
        <v>Supporting Scaffold</v>
      </c>
      <c r="AC3298" t="str">
        <f t="shared" si="3435"/>
        <v>Ground Floor Prop.</v>
      </c>
      <c r="AD3298" t="str">
        <f t="shared" ca="1" si="3431"/>
        <v>FALSE</v>
      </c>
      <c r="AE3298" s="1" t="str">
        <f t="shared" ca="1" si="3385"/>
        <v>Garage 75</v>
      </c>
      <c r="AF3298" t="str">
        <f t="shared" ca="1" si="3429"/>
        <v>Garage 75</v>
      </c>
    </row>
    <row r="3299" spans="28:32" x14ac:dyDescent="0.25">
      <c r="AB3299" t="str">
        <f t="shared" ref="AB3299:AC3299" si="3436">AB3278</f>
        <v>Supporting Scaffold</v>
      </c>
      <c r="AC3299" t="str">
        <f t="shared" si="3436"/>
        <v>First Floor Prop.</v>
      </c>
      <c r="AD3299" t="str">
        <f t="shared" ca="1" si="3431"/>
        <v>FALSE</v>
      </c>
      <c r="AE3299" s="1" t="str">
        <f t="shared" ca="1" si="3385"/>
        <v>Garage 75</v>
      </c>
      <c r="AF3299" t="str">
        <f t="shared" ca="1" si="3429"/>
        <v>Garage 75</v>
      </c>
    </row>
    <row r="3300" spans="28:32" x14ac:dyDescent="0.25">
      <c r="AB3300" t="str">
        <f t="shared" ref="AB3300:AC3300" si="3437">AB3279</f>
        <v>Supporting Scaffold</v>
      </c>
      <c r="AC3300" t="str">
        <f t="shared" si="3437"/>
        <v>Second Floor Prop.</v>
      </c>
      <c r="AD3300" t="str">
        <f t="shared" ca="1" si="3431"/>
        <v>FALSE</v>
      </c>
      <c r="AE3300" s="1" t="str">
        <f t="shared" ca="1" si="3385"/>
        <v>Garage 75</v>
      </c>
      <c r="AF3300" t="str">
        <f t="shared" ca="1" si="3429"/>
        <v>Garage 75</v>
      </c>
    </row>
    <row r="3301" spans="28:32" x14ac:dyDescent="0.25">
      <c r="AB3301" t="str">
        <f t="shared" ref="AB3301:AC3301" si="3438">AB3280</f>
        <v>External Scaffolding</v>
      </c>
      <c r="AC3301" t="str">
        <f t="shared" si="3438"/>
        <v>Hop-ups</v>
      </c>
      <c r="AD3301" t="b">
        <f t="shared" ca="1" si="3431"/>
        <v>1</v>
      </c>
      <c r="AE3301" s="1" t="str">
        <f t="shared" ca="1" si="3385"/>
        <v>Garage 75</v>
      </c>
      <c r="AF3301" t="str">
        <f t="shared" ca="1" si="3429"/>
        <v>Garage 75</v>
      </c>
    </row>
    <row r="3302" spans="28:32" x14ac:dyDescent="0.25">
      <c r="AB3302" t="str">
        <f t="shared" ref="AB3302:AC3302" si="3439">AB3281</f>
        <v>External Scaffolding</v>
      </c>
      <c r="AC3302" t="str">
        <f t="shared" si="3439"/>
        <v>Adaptions</v>
      </c>
      <c r="AD3302" t="b">
        <f t="shared" ca="1" si="3431"/>
        <v>1</v>
      </c>
      <c r="AE3302" s="1" t="str">
        <f t="shared" ca="1" si="3385"/>
        <v>Garage 75</v>
      </c>
      <c r="AF3302" t="str">
        <f t="shared" ca="1" si="3429"/>
        <v>Garage 75</v>
      </c>
    </row>
    <row r="3303" spans="28:32" x14ac:dyDescent="0.25">
      <c r="AB3303" t="str">
        <f t="shared" ref="AB3303:AC3303" si="3440">AB3282</f>
        <v>External Scaffolding</v>
      </c>
      <c r="AC3303" t="str">
        <f t="shared" si="3440"/>
        <v>Adaption Tower</v>
      </c>
      <c r="AD3303" t="b">
        <f t="shared" ca="1" si="3431"/>
        <v>1</v>
      </c>
      <c r="AE3303" s="1" t="str">
        <f t="shared" ca="1" si="3385"/>
        <v>Garage 75</v>
      </c>
      <c r="AF3303" t="str">
        <f t="shared" ca="1" si="3429"/>
        <v>Garage 75</v>
      </c>
    </row>
    <row r="3304" spans="28:32" x14ac:dyDescent="0.25">
      <c r="AB3304" t="str">
        <f t="shared" ref="AB3304:AC3304" si="3441">AB3283</f>
        <v>External Scaffolding</v>
      </c>
      <c r="AC3304" t="str">
        <f t="shared" si="3441"/>
        <v>Lift 1</v>
      </c>
      <c r="AD3304" t="b">
        <f t="shared" ca="1" si="3431"/>
        <v>1</v>
      </c>
      <c r="AE3304" s="1" t="str">
        <f t="shared" ca="1" si="3385"/>
        <v>Garage 76</v>
      </c>
      <c r="AF3304" t="str">
        <f t="shared" ca="1" si="3429"/>
        <v>Garage 76</v>
      </c>
    </row>
    <row r="3305" spans="28:32" x14ac:dyDescent="0.25">
      <c r="AB3305" t="str">
        <f t="shared" ref="AB3305:AC3305" si="3442">AB3284</f>
        <v>External Scaffolding</v>
      </c>
      <c r="AC3305" t="str">
        <f t="shared" si="3442"/>
        <v>Lift 2</v>
      </c>
      <c r="AD3305" t="b">
        <f t="shared" ca="1" si="3431"/>
        <v>1</v>
      </c>
      <c r="AE3305" s="1" t="str">
        <f t="shared" ca="1" si="3385"/>
        <v>Garage 76</v>
      </c>
      <c r="AF3305" t="str">
        <f t="shared" ca="1" si="3429"/>
        <v>Garage 76</v>
      </c>
    </row>
    <row r="3306" spans="28:32" x14ac:dyDescent="0.25">
      <c r="AB3306" t="str">
        <f t="shared" ref="AB3306:AC3306" si="3443">AB3285</f>
        <v>External Scaffolding</v>
      </c>
      <c r="AC3306" t="str">
        <f t="shared" si="3443"/>
        <v>Lift 3</v>
      </c>
      <c r="AD3306" t="b">
        <f t="shared" ca="1" si="3431"/>
        <v>1</v>
      </c>
      <c r="AE3306" s="1" t="str">
        <f t="shared" ca="1" si="3385"/>
        <v>Garage 76</v>
      </c>
      <c r="AF3306" t="str">
        <f t="shared" ca="1" si="3429"/>
        <v>Garage 76</v>
      </c>
    </row>
    <row r="3307" spans="28:32" x14ac:dyDescent="0.25">
      <c r="AB3307" t="str">
        <f t="shared" ref="AB3307:AC3307" si="3444">AB3286</f>
        <v>External Scaffolding</v>
      </c>
      <c r="AC3307" t="str">
        <f t="shared" si="3444"/>
        <v>Lift 4</v>
      </c>
      <c r="AD3307" t="b">
        <f t="shared" ca="1" si="3431"/>
        <v>0</v>
      </c>
      <c r="AE3307" s="1" t="str">
        <f t="shared" ca="1" si="3385"/>
        <v>Garage 76</v>
      </c>
      <c r="AF3307" t="str">
        <f t="shared" ca="1" si="3429"/>
        <v>Garage 76</v>
      </c>
    </row>
    <row r="3308" spans="28:32" x14ac:dyDescent="0.25">
      <c r="AB3308" t="str">
        <f t="shared" ref="AB3308:AC3308" si="3445">AB3287</f>
        <v>External Scaffolding</v>
      </c>
      <c r="AC3308" t="str">
        <f t="shared" si="3445"/>
        <v>Lift 5</v>
      </c>
      <c r="AD3308" t="b">
        <f t="shared" ca="1" si="3431"/>
        <v>0</v>
      </c>
      <c r="AE3308" s="1" t="str">
        <f t="shared" ca="1" si="3385"/>
        <v>Garage 76</v>
      </c>
      <c r="AF3308" t="str">
        <f t="shared" ca="1" si="3429"/>
        <v>Garage 76</v>
      </c>
    </row>
    <row r="3309" spans="28:32" x14ac:dyDescent="0.25">
      <c r="AB3309" t="str">
        <f t="shared" ref="AB3309:AC3309" si="3446">AB3288</f>
        <v>External Scaffolding</v>
      </c>
      <c r="AC3309" t="str">
        <f t="shared" si="3446"/>
        <v>Lift 6</v>
      </c>
      <c r="AD3309" t="b">
        <f t="shared" ca="1" si="3431"/>
        <v>0</v>
      </c>
      <c r="AE3309" s="1" t="str">
        <f t="shared" ca="1" si="3385"/>
        <v>Garage 76</v>
      </c>
      <c r="AF3309" t="str">
        <f t="shared" ca="1" si="3429"/>
        <v>Garage 76</v>
      </c>
    </row>
    <row r="3310" spans="28:32" x14ac:dyDescent="0.25">
      <c r="AB3310" t="str">
        <f t="shared" ref="AB3310:AC3310" si="3447">AB3289</f>
        <v>Loading Bay</v>
      </c>
      <c r="AC3310" t="str">
        <f t="shared" si="3447"/>
        <v>Lift 1</v>
      </c>
      <c r="AD3310" t="b">
        <f t="shared" ca="1" si="3431"/>
        <v>1</v>
      </c>
      <c r="AE3310" s="1" t="str">
        <f t="shared" ca="1" si="3385"/>
        <v>Garage 76</v>
      </c>
      <c r="AF3310" t="str">
        <f t="shared" ca="1" si="3429"/>
        <v>Garage 76</v>
      </c>
    </row>
    <row r="3311" spans="28:32" x14ac:dyDescent="0.25">
      <c r="AB3311" t="str">
        <f t="shared" ref="AB3311:AC3311" si="3448">AB3290</f>
        <v>Loading Bay</v>
      </c>
      <c r="AC3311" t="str">
        <f t="shared" si="3448"/>
        <v>Lift 2</v>
      </c>
      <c r="AD3311" t="b">
        <f t="shared" ca="1" si="3431"/>
        <v>1</v>
      </c>
      <c r="AE3311" s="1" t="str">
        <f t="shared" ca="1" si="3385"/>
        <v>Garage 76</v>
      </c>
      <c r="AF3311" t="str">
        <f t="shared" ca="1" si="3429"/>
        <v>Garage 76</v>
      </c>
    </row>
    <row r="3312" spans="28:32" x14ac:dyDescent="0.25">
      <c r="AB3312" t="str">
        <f t="shared" ref="AB3312:AC3312" si="3449">AB3291</f>
        <v>Loading Bay</v>
      </c>
      <c r="AC3312" t="str">
        <f t="shared" si="3449"/>
        <v>Lift 3</v>
      </c>
      <c r="AD3312" t="b">
        <f t="shared" ca="1" si="3431"/>
        <v>1</v>
      </c>
      <c r="AE3312" s="1" t="str">
        <f t="shared" ca="1" si="3385"/>
        <v>Garage 76</v>
      </c>
      <c r="AF3312" t="str">
        <f t="shared" ca="1" si="3429"/>
        <v>Garage 76</v>
      </c>
    </row>
    <row r="3313" spans="28:32" x14ac:dyDescent="0.25">
      <c r="AB3313" t="str">
        <f t="shared" ref="AB3313:AC3313" si="3450">AB3292</f>
        <v>Loading Bay</v>
      </c>
      <c r="AC3313" t="str">
        <f t="shared" si="3450"/>
        <v>Lift 4</v>
      </c>
      <c r="AD3313" t="b">
        <f t="shared" ca="1" si="3431"/>
        <v>0</v>
      </c>
      <c r="AE3313" s="1" t="str">
        <f t="shared" ca="1" si="3385"/>
        <v>Garage 76</v>
      </c>
      <c r="AF3313" t="str">
        <f t="shared" ca="1" si="3429"/>
        <v>Garage 76</v>
      </c>
    </row>
    <row r="3314" spans="28:32" x14ac:dyDescent="0.25">
      <c r="AB3314" t="str">
        <f t="shared" ref="AB3314:AC3314" si="3451">AB3293</f>
        <v>Loading Bay</v>
      </c>
      <c r="AC3314" t="str">
        <f t="shared" si="3451"/>
        <v>Lift 5</v>
      </c>
      <c r="AD3314" t="b">
        <f t="shared" ca="1" si="3431"/>
        <v>0</v>
      </c>
      <c r="AE3314" s="1" t="str">
        <f t="shared" ref="AE3314:AE3377" ca="1" si="3452">OFFSET($AD$1,0,FLOOR(ROW(B3286)/21,1))</f>
        <v>Garage 76</v>
      </c>
      <c r="AF3314" t="str">
        <f t="shared" ca="1" si="3429"/>
        <v>Garage 76</v>
      </c>
    </row>
    <row r="3315" spans="28:32" x14ac:dyDescent="0.25">
      <c r="AB3315" t="str">
        <f t="shared" ref="AB3315:AC3315" si="3453">AB3294</f>
        <v>Loading Bay</v>
      </c>
      <c r="AC3315" t="str">
        <f t="shared" si="3453"/>
        <v>Lift 6</v>
      </c>
      <c r="AD3315" t="b">
        <f t="shared" ca="1" si="3431"/>
        <v>0</v>
      </c>
      <c r="AE3315" s="1" t="str">
        <f t="shared" ca="1" si="3452"/>
        <v>Garage 76</v>
      </c>
      <c r="AF3315" t="str">
        <f t="shared" ca="1" si="3429"/>
        <v>Garage 76</v>
      </c>
    </row>
    <row r="3316" spans="28:32" x14ac:dyDescent="0.25">
      <c r="AB3316" t="str">
        <f t="shared" ref="AB3316:AC3316" si="3454">AB3295</f>
        <v>Scaffolding Platform</v>
      </c>
      <c r="AC3316" t="str">
        <f t="shared" si="3454"/>
        <v>Ground Floor</v>
      </c>
      <c r="AD3316" t="b">
        <f t="shared" ca="1" si="3431"/>
        <v>1</v>
      </c>
      <c r="AE3316" s="1" t="str">
        <f t="shared" ca="1" si="3452"/>
        <v>Garage 76</v>
      </c>
      <c r="AF3316" t="str">
        <f t="shared" ca="1" si="3429"/>
        <v>Garage 76</v>
      </c>
    </row>
    <row r="3317" spans="28:32" x14ac:dyDescent="0.25">
      <c r="AB3317" t="str">
        <f t="shared" ref="AB3317:AC3317" si="3455">AB3296</f>
        <v>Scaffolding Platform</v>
      </c>
      <c r="AC3317" t="str">
        <f t="shared" si="3455"/>
        <v>First Floor</v>
      </c>
      <c r="AD3317" t="b">
        <f t="shared" ca="1" si="3431"/>
        <v>0</v>
      </c>
      <c r="AE3317" s="1" t="str">
        <f t="shared" ca="1" si="3452"/>
        <v>Garage 76</v>
      </c>
      <c r="AF3317" t="str">
        <f t="shared" ca="1" si="3429"/>
        <v>Garage 76</v>
      </c>
    </row>
    <row r="3318" spans="28:32" x14ac:dyDescent="0.25">
      <c r="AB3318" t="str">
        <f t="shared" ref="AB3318:AC3318" si="3456">AB3297</f>
        <v>Scaffolding Platform</v>
      </c>
      <c r="AC3318" t="str">
        <f t="shared" si="3456"/>
        <v>Second Floor</v>
      </c>
      <c r="AD3318" t="b">
        <f t="shared" ca="1" si="3431"/>
        <v>0</v>
      </c>
      <c r="AE3318" s="1" t="str">
        <f t="shared" ca="1" si="3452"/>
        <v>Garage 76</v>
      </c>
      <c r="AF3318" t="str">
        <f t="shared" ca="1" si="3429"/>
        <v>Garage 76</v>
      </c>
    </row>
    <row r="3319" spans="28:32" x14ac:dyDescent="0.25">
      <c r="AB3319" t="str">
        <f t="shared" ref="AB3319:AC3319" si="3457">AB3298</f>
        <v>Supporting Scaffold</v>
      </c>
      <c r="AC3319" t="str">
        <f t="shared" si="3457"/>
        <v>Ground Floor Prop.</v>
      </c>
      <c r="AD3319" t="str">
        <f t="shared" ca="1" si="3431"/>
        <v>FALSE</v>
      </c>
      <c r="AE3319" s="1" t="str">
        <f t="shared" ca="1" si="3452"/>
        <v>Garage 76</v>
      </c>
      <c r="AF3319" t="str">
        <f t="shared" ca="1" si="3429"/>
        <v>Garage 76</v>
      </c>
    </row>
    <row r="3320" spans="28:32" x14ac:dyDescent="0.25">
      <c r="AB3320" t="str">
        <f t="shared" ref="AB3320:AC3320" si="3458">AB3299</f>
        <v>Supporting Scaffold</v>
      </c>
      <c r="AC3320" t="str">
        <f t="shared" si="3458"/>
        <v>First Floor Prop.</v>
      </c>
      <c r="AD3320" t="str">
        <f t="shared" ca="1" si="3431"/>
        <v>FALSE</v>
      </c>
      <c r="AE3320" s="1" t="str">
        <f t="shared" ca="1" si="3452"/>
        <v>Garage 76</v>
      </c>
      <c r="AF3320" t="str">
        <f t="shared" ca="1" si="3429"/>
        <v>Garage 76</v>
      </c>
    </row>
    <row r="3321" spans="28:32" x14ac:dyDescent="0.25">
      <c r="AB3321" t="str">
        <f t="shared" ref="AB3321:AC3321" si="3459">AB3300</f>
        <v>Supporting Scaffold</v>
      </c>
      <c r="AC3321" t="str">
        <f t="shared" si="3459"/>
        <v>Second Floor Prop.</v>
      </c>
      <c r="AD3321" t="str">
        <f t="shared" ca="1" si="3431"/>
        <v>FALSE</v>
      </c>
      <c r="AE3321" s="1" t="str">
        <f t="shared" ca="1" si="3452"/>
        <v>Garage 76</v>
      </c>
      <c r="AF3321" t="str">
        <f t="shared" ca="1" si="3429"/>
        <v>Garage 76</v>
      </c>
    </row>
    <row r="3322" spans="28:32" x14ac:dyDescent="0.25">
      <c r="AB3322" t="str">
        <f t="shared" ref="AB3322:AC3322" si="3460">AB3301</f>
        <v>External Scaffolding</v>
      </c>
      <c r="AC3322" t="str">
        <f t="shared" si="3460"/>
        <v>Hop-ups</v>
      </c>
      <c r="AD3322" t="b">
        <f t="shared" ca="1" si="3431"/>
        <v>1</v>
      </c>
      <c r="AE3322" s="1" t="str">
        <f t="shared" ca="1" si="3452"/>
        <v>Garage 76</v>
      </c>
      <c r="AF3322" t="str">
        <f t="shared" ca="1" si="3429"/>
        <v>Garage 76</v>
      </c>
    </row>
    <row r="3323" spans="28:32" x14ac:dyDescent="0.25">
      <c r="AB3323" t="str">
        <f t="shared" ref="AB3323:AC3323" si="3461">AB3302</f>
        <v>External Scaffolding</v>
      </c>
      <c r="AC3323" t="str">
        <f t="shared" si="3461"/>
        <v>Adaptions</v>
      </c>
      <c r="AD3323" t="b">
        <f t="shared" ca="1" si="3431"/>
        <v>1</v>
      </c>
      <c r="AE3323" s="1" t="str">
        <f t="shared" ca="1" si="3452"/>
        <v>Garage 76</v>
      </c>
      <c r="AF3323" t="str">
        <f t="shared" ca="1" si="3429"/>
        <v>Garage 76</v>
      </c>
    </row>
    <row r="3324" spans="28:32" x14ac:dyDescent="0.25">
      <c r="AB3324" t="str">
        <f t="shared" ref="AB3324:AC3324" si="3462">AB3303</f>
        <v>External Scaffolding</v>
      </c>
      <c r="AC3324" t="str">
        <f t="shared" si="3462"/>
        <v>Adaption Tower</v>
      </c>
      <c r="AD3324" t="b">
        <f t="shared" ca="1" si="3431"/>
        <v>1</v>
      </c>
      <c r="AE3324" s="1" t="str">
        <f t="shared" ca="1" si="3452"/>
        <v>Garage 76</v>
      </c>
      <c r="AF3324" t="str">
        <f t="shared" ca="1" si="3429"/>
        <v>Garage 76</v>
      </c>
    </row>
    <row r="3325" spans="28:32" x14ac:dyDescent="0.25">
      <c r="AB3325" t="str">
        <f t="shared" ref="AB3325:AC3325" si="3463">AB3304</f>
        <v>External Scaffolding</v>
      </c>
      <c r="AC3325" t="str">
        <f t="shared" si="3463"/>
        <v>Lift 1</v>
      </c>
      <c r="AD3325" t="b">
        <f t="shared" ca="1" si="3431"/>
        <v>1</v>
      </c>
      <c r="AE3325" s="1" t="str">
        <f t="shared" ca="1" si="3452"/>
        <v>Garage 77</v>
      </c>
      <c r="AF3325" t="str">
        <f t="shared" ca="1" si="3429"/>
        <v>Garage 77</v>
      </c>
    </row>
    <row r="3326" spans="28:32" x14ac:dyDescent="0.25">
      <c r="AB3326" t="str">
        <f t="shared" ref="AB3326:AC3326" si="3464">AB3305</f>
        <v>External Scaffolding</v>
      </c>
      <c r="AC3326" t="str">
        <f t="shared" si="3464"/>
        <v>Lift 2</v>
      </c>
      <c r="AD3326" t="b">
        <f t="shared" ca="1" si="3431"/>
        <v>1</v>
      </c>
      <c r="AE3326" s="1" t="str">
        <f t="shared" ca="1" si="3452"/>
        <v>Garage 77</v>
      </c>
      <c r="AF3326" t="str">
        <f t="shared" ca="1" si="3429"/>
        <v>Garage 77</v>
      </c>
    </row>
    <row r="3327" spans="28:32" x14ac:dyDescent="0.25">
      <c r="AB3327" t="str">
        <f t="shared" ref="AB3327:AC3327" si="3465">AB3306</f>
        <v>External Scaffolding</v>
      </c>
      <c r="AC3327" t="str">
        <f t="shared" si="3465"/>
        <v>Lift 3</v>
      </c>
      <c r="AD3327" t="b">
        <f t="shared" ca="1" si="3431"/>
        <v>1</v>
      </c>
      <c r="AE3327" s="1" t="str">
        <f t="shared" ca="1" si="3452"/>
        <v>Garage 77</v>
      </c>
      <c r="AF3327" t="str">
        <f t="shared" ca="1" si="3429"/>
        <v>Garage 77</v>
      </c>
    </row>
    <row r="3328" spans="28:32" x14ac:dyDescent="0.25">
      <c r="AB3328" t="str">
        <f t="shared" ref="AB3328:AC3328" si="3466">AB3307</f>
        <v>External Scaffolding</v>
      </c>
      <c r="AC3328" t="str">
        <f t="shared" si="3466"/>
        <v>Lift 4</v>
      </c>
      <c r="AD3328" t="b">
        <f t="shared" ca="1" si="3431"/>
        <v>0</v>
      </c>
      <c r="AE3328" s="1" t="str">
        <f t="shared" ca="1" si="3452"/>
        <v>Garage 77</v>
      </c>
      <c r="AF3328" t="str">
        <f t="shared" ca="1" si="3429"/>
        <v>Garage 77</v>
      </c>
    </row>
    <row r="3329" spans="28:32" x14ac:dyDescent="0.25">
      <c r="AB3329" t="str">
        <f t="shared" ref="AB3329:AC3329" si="3467">AB3308</f>
        <v>External Scaffolding</v>
      </c>
      <c r="AC3329" t="str">
        <f t="shared" si="3467"/>
        <v>Lift 5</v>
      </c>
      <c r="AD3329" t="b">
        <f t="shared" ca="1" si="3431"/>
        <v>0</v>
      </c>
      <c r="AE3329" s="1" t="str">
        <f t="shared" ca="1" si="3452"/>
        <v>Garage 77</v>
      </c>
      <c r="AF3329" t="str">
        <f t="shared" ca="1" si="3429"/>
        <v>Garage 77</v>
      </c>
    </row>
    <row r="3330" spans="28:32" x14ac:dyDescent="0.25">
      <c r="AB3330" t="str">
        <f t="shared" ref="AB3330:AC3330" si="3468">AB3309</f>
        <v>External Scaffolding</v>
      </c>
      <c r="AC3330" t="str">
        <f t="shared" si="3468"/>
        <v>Lift 6</v>
      </c>
      <c r="AD3330" t="b">
        <f t="shared" ca="1" si="3431"/>
        <v>0</v>
      </c>
      <c r="AE3330" s="1" t="str">
        <f t="shared" ca="1" si="3452"/>
        <v>Garage 77</v>
      </c>
      <c r="AF3330" t="str">
        <f t="shared" ca="1" si="3429"/>
        <v>Garage 77</v>
      </c>
    </row>
    <row r="3331" spans="28:32" x14ac:dyDescent="0.25">
      <c r="AB3331" t="str">
        <f t="shared" ref="AB3331:AC3331" si="3469">AB3310</f>
        <v>Loading Bay</v>
      </c>
      <c r="AC3331" t="str">
        <f t="shared" si="3469"/>
        <v>Lift 1</v>
      </c>
      <c r="AD3331" t="b">
        <f t="shared" ca="1" si="3431"/>
        <v>1</v>
      </c>
      <c r="AE3331" s="1" t="str">
        <f t="shared" ca="1" si="3452"/>
        <v>Garage 77</v>
      </c>
      <c r="AF3331" t="str">
        <f t="shared" ca="1" si="3429"/>
        <v>Garage 77</v>
      </c>
    </row>
    <row r="3332" spans="28:32" x14ac:dyDescent="0.25">
      <c r="AB3332" t="str">
        <f t="shared" ref="AB3332:AC3332" si="3470">AB3311</f>
        <v>Loading Bay</v>
      </c>
      <c r="AC3332" t="str">
        <f t="shared" si="3470"/>
        <v>Lift 2</v>
      </c>
      <c r="AD3332" t="b">
        <f t="shared" ca="1" si="3431"/>
        <v>1</v>
      </c>
      <c r="AE3332" s="1" t="str">
        <f t="shared" ca="1" si="3452"/>
        <v>Garage 77</v>
      </c>
      <c r="AF3332" t="str">
        <f t="shared" ca="1" si="3429"/>
        <v>Garage 77</v>
      </c>
    </row>
    <row r="3333" spans="28:32" x14ac:dyDescent="0.25">
      <c r="AB3333" t="str">
        <f t="shared" ref="AB3333:AC3333" si="3471">AB3312</f>
        <v>Loading Bay</v>
      </c>
      <c r="AC3333" t="str">
        <f t="shared" si="3471"/>
        <v>Lift 3</v>
      </c>
      <c r="AD3333" t="b">
        <f t="shared" ca="1" si="3431"/>
        <v>1</v>
      </c>
      <c r="AE3333" s="1" t="str">
        <f t="shared" ca="1" si="3452"/>
        <v>Garage 77</v>
      </c>
      <c r="AF3333" t="str">
        <f t="shared" ca="1" si="3429"/>
        <v>Garage 77</v>
      </c>
    </row>
    <row r="3334" spans="28:32" x14ac:dyDescent="0.25">
      <c r="AB3334" t="str">
        <f t="shared" ref="AB3334:AC3334" si="3472">AB3313</f>
        <v>Loading Bay</v>
      </c>
      <c r="AC3334" t="str">
        <f t="shared" si="3472"/>
        <v>Lift 4</v>
      </c>
      <c r="AD3334" t="b">
        <f t="shared" ca="1" si="3431"/>
        <v>0</v>
      </c>
      <c r="AE3334" s="1" t="str">
        <f t="shared" ca="1" si="3452"/>
        <v>Garage 77</v>
      </c>
      <c r="AF3334" t="str">
        <f t="shared" ca="1" si="3429"/>
        <v>Garage 77</v>
      </c>
    </row>
    <row r="3335" spans="28:32" x14ac:dyDescent="0.25">
      <c r="AB3335" t="str">
        <f t="shared" ref="AB3335:AC3335" si="3473">AB3314</f>
        <v>Loading Bay</v>
      </c>
      <c r="AC3335" t="str">
        <f t="shared" si="3473"/>
        <v>Lift 5</v>
      </c>
      <c r="AD3335" t="b">
        <f t="shared" ca="1" si="3431"/>
        <v>0</v>
      </c>
      <c r="AE3335" s="1" t="str">
        <f t="shared" ca="1" si="3452"/>
        <v>Garage 77</v>
      </c>
      <c r="AF3335" t="str">
        <f t="shared" ca="1" si="3429"/>
        <v>Garage 77</v>
      </c>
    </row>
    <row r="3336" spans="28:32" x14ac:dyDescent="0.25">
      <c r="AB3336" t="str">
        <f t="shared" ref="AB3336:AC3336" si="3474">AB3315</f>
        <v>Loading Bay</v>
      </c>
      <c r="AC3336" t="str">
        <f t="shared" si="3474"/>
        <v>Lift 6</v>
      </c>
      <c r="AD3336" t="b">
        <f t="shared" ca="1" si="3431"/>
        <v>0</v>
      </c>
      <c r="AE3336" s="1" t="str">
        <f t="shared" ca="1" si="3452"/>
        <v>Garage 77</v>
      </c>
      <c r="AF3336" t="str">
        <f t="shared" ca="1" si="3429"/>
        <v>Garage 77</v>
      </c>
    </row>
    <row r="3337" spans="28:32" x14ac:dyDescent="0.25">
      <c r="AB3337" t="str">
        <f t="shared" ref="AB3337:AC3337" si="3475">AB3316</f>
        <v>Scaffolding Platform</v>
      </c>
      <c r="AC3337" t="str">
        <f t="shared" si="3475"/>
        <v>Ground Floor</v>
      </c>
      <c r="AD3337" t="b">
        <f t="shared" ca="1" si="3431"/>
        <v>1</v>
      </c>
      <c r="AE3337" s="1" t="str">
        <f t="shared" ca="1" si="3452"/>
        <v>Garage 77</v>
      </c>
      <c r="AF3337" t="str">
        <f t="shared" ca="1" si="3429"/>
        <v>Garage 77</v>
      </c>
    </row>
    <row r="3338" spans="28:32" x14ac:dyDescent="0.25">
      <c r="AB3338" t="str">
        <f t="shared" ref="AB3338:AC3338" si="3476">AB3317</f>
        <v>Scaffolding Platform</v>
      </c>
      <c r="AC3338" t="str">
        <f t="shared" si="3476"/>
        <v>First Floor</v>
      </c>
      <c r="AD3338" t="b">
        <f t="shared" ca="1" si="3431"/>
        <v>0</v>
      </c>
      <c r="AE3338" s="1" t="str">
        <f t="shared" ca="1" si="3452"/>
        <v>Garage 77</v>
      </c>
      <c r="AF3338" t="str">
        <f t="shared" ca="1" si="3429"/>
        <v>Garage 77</v>
      </c>
    </row>
    <row r="3339" spans="28:32" x14ac:dyDescent="0.25">
      <c r="AB3339" t="str">
        <f t="shared" ref="AB3339:AC3339" si="3477">AB3318</f>
        <v>Scaffolding Platform</v>
      </c>
      <c r="AC3339" t="str">
        <f t="shared" si="3477"/>
        <v>Second Floor</v>
      </c>
      <c r="AD3339" t="b">
        <f t="shared" ca="1" si="3431"/>
        <v>0</v>
      </c>
      <c r="AE3339" s="1" t="str">
        <f t="shared" ca="1" si="3452"/>
        <v>Garage 77</v>
      </c>
      <c r="AF3339" t="str">
        <f t="shared" ca="1" si="3429"/>
        <v>Garage 77</v>
      </c>
    </row>
    <row r="3340" spans="28:32" x14ac:dyDescent="0.25">
      <c r="AB3340" t="str">
        <f t="shared" ref="AB3340:AC3340" si="3478">AB3319</f>
        <v>Supporting Scaffold</v>
      </c>
      <c r="AC3340" t="str">
        <f t="shared" si="3478"/>
        <v>Ground Floor Prop.</v>
      </c>
      <c r="AD3340" t="str">
        <f t="shared" ca="1" si="3431"/>
        <v>FALSE</v>
      </c>
      <c r="AE3340" s="1" t="str">
        <f t="shared" ca="1" si="3452"/>
        <v>Garage 77</v>
      </c>
      <c r="AF3340" t="str">
        <f t="shared" ca="1" si="3429"/>
        <v>Garage 77</v>
      </c>
    </row>
    <row r="3341" spans="28:32" x14ac:dyDescent="0.25">
      <c r="AB3341" t="str">
        <f t="shared" ref="AB3341:AC3341" si="3479">AB3320</f>
        <v>Supporting Scaffold</v>
      </c>
      <c r="AC3341" t="str">
        <f t="shared" si="3479"/>
        <v>First Floor Prop.</v>
      </c>
      <c r="AD3341" t="str">
        <f t="shared" ca="1" si="3431"/>
        <v>FALSE</v>
      </c>
      <c r="AE3341" s="1" t="str">
        <f t="shared" ca="1" si="3452"/>
        <v>Garage 77</v>
      </c>
      <c r="AF3341" t="str">
        <f t="shared" ca="1" si="3429"/>
        <v>Garage 77</v>
      </c>
    </row>
    <row r="3342" spans="28:32" x14ac:dyDescent="0.25">
      <c r="AB3342" t="str">
        <f t="shared" ref="AB3342:AC3342" si="3480">AB3321</f>
        <v>Supporting Scaffold</v>
      </c>
      <c r="AC3342" t="str">
        <f t="shared" si="3480"/>
        <v>Second Floor Prop.</v>
      </c>
      <c r="AD3342" t="str">
        <f t="shared" ca="1" si="3431"/>
        <v>FALSE</v>
      </c>
      <c r="AE3342" s="1" t="str">
        <f t="shared" ca="1" si="3452"/>
        <v>Garage 77</v>
      </c>
      <c r="AF3342" t="str">
        <f t="shared" ca="1" si="3429"/>
        <v>Garage 77</v>
      </c>
    </row>
    <row r="3343" spans="28:32" x14ac:dyDescent="0.25">
      <c r="AB3343" t="str">
        <f t="shared" ref="AB3343:AC3343" si="3481">AB3322</f>
        <v>External Scaffolding</v>
      </c>
      <c r="AC3343" t="str">
        <f t="shared" si="3481"/>
        <v>Hop-ups</v>
      </c>
      <c r="AD3343" t="b">
        <f t="shared" ca="1" si="3431"/>
        <v>1</v>
      </c>
      <c r="AE3343" s="1" t="str">
        <f t="shared" ca="1" si="3452"/>
        <v>Garage 77</v>
      </c>
      <c r="AF3343" t="str">
        <f t="shared" ca="1" si="3429"/>
        <v>Garage 77</v>
      </c>
    </row>
    <row r="3344" spans="28:32" x14ac:dyDescent="0.25">
      <c r="AB3344" t="str">
        <f t="shared" ref="AB3344:AC3344" si="3482">AB3323</f>
        <v>External Scaffolding</v>
      </c>
      <c r="AC3344" t="str">
        <f t="shared" si="3482"/>
        <v>Adaptions</v>
      </c>
      <c r="AD3344" t="b">
        <f t="shared" ca="1" si="3431"/>
        <v>1</v>
      </c>
      <c r="AE3344" s="1" t="str">
        <f t="shared" ca="1" si="3452"/>
        <v>Garage 77</v>
      </c>
      <c r="AF3344" t="str">
        <f t="shared" ca="1" si="3429"/>
        <v>Garage 77</v>
      </c>
    </row>
    <row r="3345" spans="28:32" x14ac:dyDescent="0.25">
      <c r="AB3345" t="str">
        <f t="shared" ref="AB3345:AC3345" si="3483">AB3324</f>
        <v>External Scaffolding</v>
      </c>
      <c r="AC3345" t="str">
        <f t="shared" si="3483"/>
        <v>Adaption Tower</v>
      </c>
      <c r="AD3345" t="b">
        <f t="shared" ca="1" si="3431"/>
        <v>1</v>
      </c>
      <c r="AE3345" s="1" t="str">
        <f t="shared" ca="1" si="3452"/>
        <v>Garage 77</v>
      </c>
      <c r="AF3345" t="str">
        <f t="shared" ca="1" si="3429"/>
        <v>Garage 77</v>
      </c>
    </row>
    <row r="3346" spans="28:32" x14ac:dyDescent="0.25">
      <c r="AB3346" t="str">
        <f t="shared" ref="AB3346:AC3346" si="3484">AB3325</f>
        <v>External Scaffolding</v>
      </c>
      <c r="AC3346" t="str">
        <f t="shared" si="3484"/>
        <v>Lift 1</v>
      </c>
      <c r="AD3346" t="b">
        <f t="shared" ca="1" si="3431"/>
        <v>1</v>
      </c>
      <c r="AE3346" s="1" t="str">
        <f t="shared" ca="1" si="3452"/>
        <v>Garage 78-79</v>
      </c>
      <c r="AF3346" t="str">
        <f t="shared" ca="1" si="3429"/>
        <v>Garage 78-79</v>
      </c>
    </row>
    <row r="3347" spans="28:32" x14ac:dyDescent="0.25">
      <c r="AB3347" t="str">
        <f t="shared" ref="AB3347:AC3347" si="3485">AB3326</f>
        <v>External Scaffolding</v>
      </c>
      <c r="AC3347" t="str">
        <f t="shared" si="3485"/>
        <v>Lift 2</v>
      </c>
      <c r="AD3347" t="b">
        <f t="shared" ca="1" si="3431"/>
        <v>1</v>
      </c>
      <c r="AE3347" s="1" t="str">
        <f t="shared" ca="1" si="3452"/>
        <v>Garage 78-79</v>
      </c>
      <c r="AF3347" t="str">
        <f t="shared" ca="1" si="3429"/>
        <v>Garage 78-79</v>
      </c>
    </row>
    <row r="3348" spans="28:32" x14ac:dyDescent="0.25">
      <c r="AB3348" t="str">
        <f t="shared" ref="AB3348:AC3348" si="3486">AB3327</f>
        <v>External Scaffolding</v>
      </c>
      <c r="AC3348" t="str">
        <f t="shared" si="3486"/>
        <v>Lift 3</v>
      </c>
      <c r="AD3348" t="b">
        <f t="shared" ca="1" si="3431"/>
        <v>1</v>
      </c>
      <c r="AE3348" s="1" t="str">
        <f t="shared" ca="1" si="3452"/>
        <v>Garage 78-79</v>
      </c>
      <c r="AF3348" t="str">
        <f t="shared" ca="1" si="3429"/>
        <v>Garage 78-79</v>
      </c>
    </row>
    <row r="3349" spans="28:32" x14ac:dyDescent="0.25">
      <c r="AB3349" t="str">
        <f t="shared" ref="AB3349:AC3349" si="3487">AB3328</f>
        <v>External Scaffolding</v>
      </c>
      <c r="AC3349" t="str">
        <f t="shared" si="3487"/>
        <v>Lift 4</v>
      </c>
      <c r="AD3349" t="b">
        <f t="shared" ca="1" si="3431"/>
        <v>0</v>
      </c>
      <c r="AE3349" s="1" t="str">
        <f t="shared" ca="1" si="3452"/>
        <v>Garage 78-79</v>
      </c>
      <c r="AF3349" t="str">
        <f t="shared" ca="1" si="3429"/>
        <v>Garage 78-79</v>
      </c>
    </row>
    <row r="3350" spans="28:32" x14ac:dyDescent="0.25">
      <c r="AB3350" t="str">
        <f t="shared" ref="AB3350:AC3350" si="3488">AB3329</f>
        <v>External Scaffolding</v>
      </c>
      <c r="AC3350" t="str">
        <f t="shared" si="3488"/>
        <v>Lift 5</v>
      </c>
      <c r="AD3350" t="b">
        <f t="shared" ca="1" si="3431"/>
        <v>0</v>
      </c>
      <c r="AE3350" s="1" t="str">
        <f t="shared" ca="1" si="3452"/>
        <v>Garage 78-79</v>
      </c>
      <c r="AF3350" t="str">
        <f t="shared" ca="1" si="3429"/>
        <v>Garage 78-79</v>
      </c>
    </row>
    <row r="3351" spans="28:32" x14ac:dyDescent="0.25">
      <c r="AB3351" t="str">
        <f t="shared" ref="AB3351:AC3351" si="3489">AB3330</f>
        <v>External Scaffolding</v>
      </c>
      <c r="AC3351" t="str">
        <f t="shared" si="3489"/>
        <v>Lift 6</v>
      </c>
      <c r="AD3351" t="b">
        <f t="shared" ca="1" si="3431"/>
        <v>0</v>
      </c>
      <c r="AE3351" s="1" t="str">
        <f t="shared" ca="1" si="3452"/>
        <v>Garage 78-79</v>
      </c>
      <c r="AF3351" t="str">
        <f t="shared" ca="1" si="3429"/>
        <v>Garage 78-79</v>
      </c>
    </row>
    <row r="3352" spans="28:32" x14ac:dyDescent="0.25">
      <c r="AB3352" t="str">
        <f t="shared" ref="AB3352:AC3352" si="3490">AB3331</f>
        <v>Loading Bay</v>
      </c>
      <c r="AC3352" t="str">
        <f t="shared" si="3490"/>
        <v>Lift 1</v>
      </c>
      <c r="AD3352" t="b">
        <f t="shared" ca="1" si="3431"/>
        <v>1</v>
      </c>
      <c r="AE3352" s="1" t="str">
        <f t="shared" ca="1" si="3452"/>
        <v>Garage 78-79</v>
      </c>
      <c r="AF3352" t="str">
        <f t="shared" ca="1" si="3429"/>
        <v>Garage 78-79</v>
      </c>
    </row>
    <row r="3353" spans="28:32" x14ac:dyDescent="0.25">
      <c r="AB3353" t="str">
        <f t="shared" ref="AB3353:AC3353" si="3491">AB3332</f>
        <v>Loading Bay</v>
      </c>
      <c r="AC3353" t="str">
        <f t="shared" si="3491"/>
        <v>Lift 2</v>
      </c>
      <c r="AD3353" t="b">
        <f t="shared" ca="1" si="3431"/>
        <v>1</v>
      </c>
      <c r="AE3353" s="1" t="str">
        <f t="shared" ca="1" si="3452"/>
        <v>Garage 78-79</v>
      </c>
      <c r="AF3353" t="str">
        <f t="shared" ca="1" si="3429"/>
        <v>Garage 78-79</v>
      </c>
    </row>
    <row r="3354" spans="28:32" x14ac:dyDescent="0.25">
      <c r="AB3354" t="str">
        <f t="shared" ref="AB3354:AC3354" si="3492">AB3333</f>
        <v>Loading Bay</v>
      </c>
      <c r="AC3354" t="str">
        <f t="shared" si="3492"/>
        <v>Lift 3</v>
      </c>
      <c r="AD3354" t="b">
        <f t="shared" ca="1" si="3431"/>
        <v>1</v>
      </c>
      <c r="AE3354" s="1" t="str">
        <f t="shared" ca="1" si="3452"/>
        <v>Garage 78-79</v>
      </c>
      <c r="AF3354" t="str">
        <f t="shared" ca="1" si="3429"/>
        <v>Garage 78-79</v>
      </c>
    </row>
    <row r="3355" spans="28:32" x14ac:dyDescent="0.25">
      <c r="AB3355" t="str">
        <f t="shared" ref="AB3355:AC3355" si="3493">AB3334</f>
        <v>Loading Bay</v>
      </c>
      <c r="AC3355" t="str">
        <f t="shared" si="3493"/>
        <v>Lift 4</v>
      </c>
      <c r="AD3355" t="b">
        <f t="shared" ca="1" si="3431"/>
        <v>0</v>
      </c>
      <c r="AE3355" s="1" t="str">
        <f t="shared" ca="1" si="3452"/>
        <v>Garage 78-79</v>
      </c>
      <c r="AF3355" t="str">
        <f t="shared" ca="1" si="3429"/>
        <v>Garage 78-79</v>
      </c>
    </row>
    <row r="3356" spans="28:32" x14ac:dyDescent="0.25">
      <c r="AB3356" t="str">
        <f t="shared" ref="AB3356:AC3356" si="3494">AB3335</f>
        <v>Loading Bay</v>
      </c>
      <c r="AC3356" t="str">
        <f t="shared" si="3494"/>
        <v>Lift 5</v>
      </c>
      <c r="AD3356" t="b">
        <f t="shared" ca="1" si="3431"/>
        <v>0</v>
      </c>
      <c r="AE3356" s="1" t="str">
        <f t="shared" ca="1" si="3452"/>
        <v>Garage 78-79</v>
      </c>
      <c r="AF3356" t="str">
        <f t="shared" ca="1" si="3429"/>
        <v>Garage 78-79</v>
      </c>
    </row>
    <row r="3357" spans="28:32" x14ac:dyDescent="0.25">
      <c r="AB3357" t="str">
        <f t="shared" ref="AB3357:AC3357" si="3495">AB3336</f>
        <v>Loading Bay</v>
      </c>
      <c r="AC3357" t="str">
        <f t="shared" si="3495"/>
        <v>Lift 6</v>
      </c>
      <c r="AD3357" t="b">
        <f t="shared" ca="1" si="3431"/>
        <v>0</v>
      </c>
      <c r="AE3357" s="1" t="str">
        <f t="shared" ca="1" si="3452"/>
        <v>Garage 78-79</v>
      </c>
      <c r="AF3357" t="str">
        <f t="shared" ref="AF3357:AF3420" ca="1" si="3496">IF(LEFT(AE3357,1)="G",AE3357,"Plot "&amp;AE3357)</f>
        <v>Garage 78-79</v>
      </c>
    </row>
    <row r="3358" spans="28:32" x14ac:dyDescent="0.25">
      <c r="AB3358" t="str">
        <f t="shared" ref="AB3358:AC3358" si="3497">AB3337</f>
        <v>Scaffolding Platform</v>
      </c>
      <c r="AC3358" t="str">
        <f t="shared" si="3497"/>
        <v>Ground Floor</v>
      </c>
      <c r="AD3358" t="b">
        <f t="shared" ref="AD3358:AD3421" ca="1" si="3498">INDEX($AC$1:$JH$22,MATCH(AC3358,$AC$1:$AC$22,0),MATCH(AE3358,$AC$1:$JH$1,0))</f>
        <v>1</v>
      </c>
      <c r="AE3358" s="1" t="str">
        <f t="shared" ca="1" si="3452"/>
        <v>Garage 78-79</v>
      </c>
      <c r="AF3358" t="str">
        <f t="shared" ca="1" si="3496"/>
        <v>Garage 78-79</v>
      </c>
    </row>
    <row r="3359" spans="28:32" x14ac:dyDescent="0.25">
      <c r="AB3359" t="str">
        <f t="shared" ref="AB3359:AC3359" si="3499">AB3338</f>
        <v>Scaffolding Platform</v>
      </c>
      <c r="AC3359" t="str">
        <f t="shared" si="3499"/>
        <v>First Floor</v>
      </c>
      <c r="AD3359" t="b">
        <f t="shared" ca="1" si="3498"/>
        <v>0</v>
      </c>
      <c r="AE3359" s="1" t="str">
        <f t="shared" ca="1" si="3452"/>
        <v>Garage 78-79</v>
      </c>
      <c r="AF3359" t="str">
        <f t="shared" ca="1" si="3496"/>
        <v>Garage 78-79</v>
      </c>
    </row>
    <row r="3360" spans="28:32" x14ac:dyDescent="0.25">
      <c r="AB3360" t="str">
        <f t="shared" ref="AB3360:AC3360" si="3500">AB3339</f>
        <v>Scaffolding Platform</v>
      </c>
      <c r="AC3360" t="str">
        <f t="shared" si="3500"/>
        <v>Second Floor</v>
      </c>
      <c r="AD3360" t="b">
        <f t="shared" ca="1" si="3498"/>
        <v>0</v>
      </c>
      <c r="AE3360" s="1" t="str">
        <f t="shared" ca="1" si="3452"/>
        <v>Garage 78-79</v>
      </c>
      <c r="AF3360" t="str">
        <f t="shared" ca="1" si="3496"/>
        <v>Garage 78-79</v>
      </c>
    </row>
    <row r="3361" spans="28:32" x14ac:dyDescent="0.25">
      <c r="AB3361" t="str">
        <f t="shared" ref="AB3361:AC3361" si="3501">AB3340</f>
        <v>Supporting Scaffold</v>
      </c>
      <c r="AC3361" t="str">
        <f t="shared" si="3501"/>
        <v>Ground Floor Prop.</v>
      </c>
      <c r="AD3361" t="str">
        <f t="shared" ca="1" si="3498"/>
        <v>FALSE</v>
      </c>
      <c r="AE3361" s="1" t="str">
        <f t="shared" ca="1" si="3452"/>
        <v>Garage 78-79</v>
      </c>
      <c r="AF3361" t="str">
        <f t="shared" ca="1" si="3496"/>
        <v>Garage 78-79</v>
      </c>
    </row>
    <row r="3362" spans="28:32" x14ac:dyDescent="0.25">
      <c r="AB3362" t="str">
        <f t="shared" ref="AB3362:AC3362" si="3502">AB3341</f>
        <v>Supporting Scaffold</v>
      </c>
      <c r="AC3362" t="str">
        <f t="shared" si="3502"/>
        <v>First Floor Prop.</v>
      </c>
      <c r="AD3362" t="str">
        <f t="shared" ca="1" si="3498"/>
        <v>FALSE</v>
      </c>
      <c r="AE3362" s="1" t="str">
        <f t="shared" ca="1" si="3452"/>
        <v>Garage 78-79</v>
      </c>
      <c r="AF3362" t="str">
        <f t="shared" ca="1" si="3496"/>
        <v>Garage 78-79</v>
      </c>
    </row>
    <row r="3363" spans="28:32" x14ac:dyDescent="0.25">
      <c r="AB3363" t="str">
        <f t="shared" ref="AB3363:AC3363" si="3503">AB3342</f>
        <v>Supporting Scaffold</v>
      </c>
      <c r="AC3363" t="str">
        <f t="shared" si="3503"/>
        <v>Second Floor Prop.</v>
      </c>
      <c r="AD3363" t="str">
        <f t="shared" ca="1" si="3498"/>
        <v>FALSE</v>
      </c>
      <c r="AE3363" s="1" t="str">
        <f t="shared" ca="1" si="3452"/>
        <v>Garage 78-79</v>
      </c>
      <c r="AF3363" t="str">
        <f t="shared" ca="1" si="3496"/>
        <v>Garage 78-79</v>
      </c>
    </row>
    <row r="3364" spans="28:32" x14ac:dyDescent="0.25">
      <c r="AB3364" t="str">
        <f t="shared" ref="AB3364:AC3364" si="3504">AB3343</f>
        <v>External Scaffolding</v>
      </c>
      <c r="AC3364" t="str">
        <f t="shared" si="3504"/>
        <v>Hop-ups</v>
      </c>
      <c r="AD3364" t="b">
        <f t="shared" ca="1" si="3498"/>
        <v>1</v>
      </c>
      <c r="AE3364" s="1" t="str">
        <f t="shared" ca="1" si="3452"/>
        <v>Garage 78-79</v>
      </c>
      <c r="AF3364" t="str">
        <f t="shared" ca="1" si="3496"/>
        <v>Garage 78-79</v>
      </c>
    </row>
    <row r="3365" spans="28:32" x14ac:dyDescent="0.25">
      <c r="AB3365" t="str">
        <f t="shared" ref="AB3365:AC3365" si="3505">AB3344</f>
        <v>External Scaffolding</v>
      </c>
      <c r="AC3365" t="str">
        <f t="shared" si="3505"/>
        <v>Adaptions</v>
      </c>
      <c r="AD3365" t="b">
        <f t="shared" ca="1" si="3498"/>
        <v>1</v>
      </c>
      <c r="AE3365" s="1" t="str">
        <f t="shared" ca="1" si="3452"/>
        <v>Garage 78-79</v>
      </c>
      <c r="AF3365" t="str">
        <f t="shared" ca="1" si="3496"/>
        <v>Garage 78-79</v>
      </c>
    </row>
    <row r="3366" spans="28:32" x14ac:dyDescent="0.25">
      <c r="AB3366" t="str">
        <f t="shared" ref="AB3366:AC3366" si="3506">AB3345</f>
        <v>External Scaffolding</v>
      </c>
      <c r="AC3366" t="str">
        <f t="shared" si="3506"/>
        <v>Adaption Tower</v>
      </c>
      <c r="AD3366" t="b">
        <f t="shared" ca="1" si="3498"/>
        <v>1</v>
      </c>
      <c r="AE3366" s="1" t="str">
        <f t="shared" ca="1" si="3452"/>
        <v>Garage 78-79</v>
      </c>
      <c r="AF3366" t="str">
        <f t="shared" ca="1" si="3496"/>
        <v>Garage 78-79</v>
      </c>
    </row>
    <row r="3367" spans="28:32" x14ac:dyDescent="0.25">
      <c r="AB3367" t="str">
        <f t="shared" ref="AB3367:AC3367" si="3507">AB3346</f>
        <v>External Scaffolding</v>
      </c>
      <c r="AC3367" t="str">
        <f t="shared" si="3507"/>
        <v>Lift 1</v>
      </c>
      <c r="AD3367" t="b">
        <f t="shared" ca="1" si="3498"/>
        <v>1</v>
      </c>
      <c r="AE3367" s="1" t="str">
        <f t="shared" ca="1" si="3452"/>
        <v>Garage 83</v>
      </c>
      <c r="AF3367" t="str">
        <f t="shared" ca="1" si="3496"/>
        <v>Garage 83</v>
      </c>
    </row>
    <row r="3368" spans="28:32" x14ac:dyDescent="0.25">
      <c r="AB3368" t="str">
        <f t="shared" ref="AB3368:AC3368" si="3508">AB3347</f>
        <v>External Scaffolding</v>
      </c>
      <c r="AC3368" t="str">
        <f t="shared" si="3508"/>
        <v>Lift 2</v>
      </c>
      <c r="AD3368" t="b">
        <f t="shared" ca="1" si="3498"/>
        <v>1</v>
      </c>
      <c r="AE3368" s="1" t="str">
        <f t="shared" ca="1" si="3452"/>
        <v>Garage 83</v>
      </c>
      <c r="AF3368" t="str">
        <f t="shared" ca="1" si="3496"/>
        <v>Garage 83</v>
      </c>
    </row>
    <row r="3369" spans="28:32" x14ac:dyDescent="0.25">
      <c r="AB3369" t="str">
        <f t="shared" ref="AB3369:AC3369" si="3509">AB3348</f>
        <v>External Scaffolding</v>
      </c>
      <c r="AC3369" t="str">
        <f t="shared" si="3509"/>
        <v>Lift 3</v>
      </c>
      <c r="AD3369" t="b">
        <f t="shared" ca="1" si="3498"/>
        <v>1</v>
      </c>
      <c r="AE3369" s="1" t="str">
        <f t="shared" ca="1" si="3452"/>
        <v>Garage 83</v>
      </c>
      <c r="AF3369" t="str">
        <f t="shared" ca="1" si="3496"/>
        <v>Garage 83</v>
      </c>
    </row>
    <row r="3370" spans="28:32" x14ac:dyDescent="0.25">
      <c r="AB3370" t="str">
        <f t="shared" ref="AB3370:AC3370" si="3510">AB3349</f>
        <v>External Scaffolding</v>
      </c>
      <c r="AC3370" t="str">
        <f t="shared" si="3510"/>
        <v>Lift 4</v>
      </c>
      <c r="AD3370" t="b">
        <f t="shared" ca="1" si="3498"/>
        <v>0</v>
      </c>
      <c r="AE3370" s="1" t="str">
        <f t="shared" ca="1" si="3452"/>
        <v>Garage 83</v>
      </c>
      <c r="AF3370" t="str">
        <f t="shared" ca="1" si="3496"/>
        <v>Garage 83</v>
      </c>
    </row>
    <row r="3371" spans="28:32" x14ac:dyDescent="0.25">
      <c r="AB3371" t="str">
        <f t="shared" ref="AB3371:AC3371" si="3511">AB3350</f>
        <v>External Scaffolding</v>
      </c>
      <c r="AC3371" t="str">
        <f t="shared" si="3511"/>
        <v>Lift 5</v>
      </c>
      <c r="AD3371" t="b">
        <f t="shared" ca="1" si="3498"/>
        <v>0</v>
      </c>
      <c r="AE3371" s="1" t="str">
        <f t="shared" ca="1" si="3452"/>
        <v>Garage 83</v>
      </c>
      <c r="AF3371" t="str">
        <f t="shared" ca="1" si="3496"/>
        <v>Garage 83</v>
      </c>
    </row>
    <row r="3372" spans="28:32" x14ac:dyDescent="0.25">
      <c r="AB3372" t="str">
        <f t="shared" ref="AB3372:AC3372" si="3512">AB3351</f>
        <v>External Scaffolding</v>
      </c>
      <c r="AC3372" t="str">
        <f t="shared" si="3512"/>
        <v>Lift 6</v>
      </c>
      <c r="AD3372" t="b">
        <f t="shared" ca="1" si="3498"/>
        <v>0</v>
      </c>
      <c r="AE3372" s="1" t="str">
        <f t="shared" ca="1" si="3452"/>
        <v>Garage 83</v>
      </c>
      <c r="AF3372" t="str">
        <f t="shared" ca="1" si="3496"/>
        <v>Garage 83</v>
      </c>
    </row>
    <row r="3373" spans="28:32" x14ac:dyDescent="0.25">
      <c r="AB3373" t="str">
        <f t="shared" ref="AB3373:AC3373" si="3513">AB3352</f>
        <v>Loading Bay</v>
      </c>
      <c r="AC3373" t="str">
        <f t="shared" si="3513"/>
        <v>Lift 1</v>
      </c>
      <c r="AD3373" t="b">
        <f t="shared" ca="1" si="3498"/>
        <v>1</v>
      </c>
      <c r="AE3373" s="1" t="str">
        <f t="shared" ca="1" si="3452"/>
        <v>Garage 83</v>
      </c>
      <c r="AF3373" t="str">
        <f t="shared" ca="1" si="3496"/>
        <v>Garage 83</v>
      </c>
    </row>
    <row r="3374" spans="28:32" x14ac:dyDescent="0.25">
      <c r="AB3374" t="str">
        <f t="shared" ref="AB3374:AC3374" si="3514">AB3353</f>
        <v>Loading Bay</v>
      </c>
      <c r="AC3374" t="str">
        <f t="shared" si="3514"/>
        <v>Lift 2</v>
      </c>
      <c r="AD3374" t="b">
        <f t="shared" ca="1" si="3498"/>
        <v>1</v>
      </c>
      <c r="AE3374" s="1" t="str">
        <f t="shared" ca="1" si="3452"/>
        <v>Garage 83</v>
      </c>
      <c r="AF3374" t="str">
        <f t="shared" ca="1" si="3496"/>
        <v>Garage 83</v>
      </c>
    </row>
    <row r="3375" spans="28:32" x14ac:dyDescent="0.25">
      <c r="AB3375" t="str">
        <f t="shared" ref="AB3375:AC3375" si="3515">AB3354</f>
        <v>Loading Bay</v>
      </c>
      <c r="AC3375" t="str">
        <f t="shared" si="3515"/>
        <v>Lift 3</v>
      </c>
      <c r="AD3375" t="b">
        <f t="shared" ca="1" si="3498"/>
        <v>1</v>
      </c>
      <c r="AE3375" s="1" t="str">
        <f t="shared" ca="1" si="3452"/>
        <v>Garage 83</v>
      </c>
      <c r="AF3375" t="str">
        <f t="shared" ca="1" si="3496"/>
        <v>Garage 83</v>
      </c>
    </row>
    <row r="3376" spans="28:32" x14ac:dyDescent="0.25">
      <c r="AB3376" t="str">
        <f t="shared" ref="AB3376:AC3376" si="3516">AB3355</f>
        <v>Loading Bay</v>
      </c>
      <c r="AC3376" t="str">
        <f t="shared" si="3516"/>
        <v>Lift 4</v>
      </c>
      <c r="AD3376" t="b">
        <f t="shared" ca="1" si="3498"/>
        <v>0</v>
      </c>
      <c r="AE3376" s="1" t="str">
        <f t="shared" ca="1" si="3452"/>
        <v>Garage 83</v>
      </c>
      <c r="AF3376" t="str">
        <f t="shared" ca="1" si="3496"/>
        <v>Garage 83</v>
      </c>
    </row>
    <row r="3377" spans="28:32" x14ac:dyDescent="0.25">
      <c r="AB3377" t="str">
        <f t="shared" ref="AB3377:AC3377" si="3517">AB3356</f>
        <v>Loading Bay</v>
      </c>
      <c r="AC3377" t="str">
        <f t="shared" si="3517"/>
        <v>Lift 5</v>
      </c>
      <c r="AD3377" t="b">
        <f t="shared" ca="1" si="3498"/>
        <v>0</v>
      </c>
      <c r="AE3377" s="1" t="str">
        <f t="shared" ca="1" si="3452"/>
        <v>Garage 83</v>
      </c>
      <c r="AF3377" t="str">
        <f t="shared" ca="1" si="3496"/>
        <v>Garage 83</v>
      </c>
    </row>
    <row r="3378" spans="28:32" x14ac:dyDescent="0.25">
      <c r="AB3378" t="str">
        <f t="shared" ref="AB3378:AC3378" si="3518">AB3357</f>
        <v>Loading Bay</v>
      </c>
      <c r="AC3378" t="str">
        <f t="shared" si="3518"/>
        <v>Lift 6</v>
      </c>
      <c r="AD3378" t="b">
        <f t="shared" ca="1" si="3498"/>
        <v>0</v>
      </c>
      <c r="AE3378" s="1" t="str">
        <f t="shared" ref="AE3378:AE3441" ca="1" si="3519">OFFSET($AD$1,0,FLOOR(ROW(B3350)/21,1))</f>
        <v>Garage 83</v>
      </c>
      <c r="AF3378" t="str">
        <f t="shared" ca="1" si="3496"/>
        <v>Garage 83</v>
      </c>
    </row>
    <row r="3379" spans="28:32" x14ac:dyDescent="0.25">
      <c r="AB3379" t="str">
        <f t="shared" ref="AB3379:AC3379" si="3520">AB3358</f>
        <v>Scaffolding Platform</v>
      </c>
      <c r="AC3379" t="str">
        <f t="shared" si="3520"/>
        <v>Ground Floor</v>
      </c>
      <c r="AD3379" t="b">
        <f t="shared" ca="1" si="3498"/>
        <v>1</v>
      </c>
      <c r="AE3379" s="1" t="str">
        <f t="shared" ca="1" si="3519"/>
        <v>Garage 83</v>
      </c>
      <c r="AF3379" t="str">
        <f t="shared" ca="1" si="3496"/>
        <v>Garage 83</v>
      </c>
    </row>
    <row r="3380" spans="28:32" x14ac:dyDescent="0.25">
      <c r="AB3380" t="str">
        <f t="shared" ref="AB3380:AC3380" si="3521">AB3359</f>
        <v>Scaffolding Platform</v>
      </c>
      <c r="AC3380" t="str">
        <f t="shared" si="3521"/>
        <v>First Floor</v>
      </c>
      <c r="AD3380" t="b">
        <f t="shared" ca="1" si="3498"/>
        <v>0</v>
      </c>
      <c r="AE3380" s="1" t="str">
        <f t="shared" ca="1" si="3519"/>
        <v>Garage 83</v>
      </c>
      <c r="AF3380" t="str">
        <f t="shared" ca="1" si="3496"/>
        <v>Garage 83</v>
      </c>
    </row>
    <row r="3381" spans="28:32" x14ac:dyDescent="0.25">
      <c r="AB3381" t="str">
        <f t="shared" ref="AB3381:AC3381" si="3522">AB3360</f>
        <v>Scaffolding Platform</v>
      </c>
      <c r="AC3381" t="str">
        <f t="shared" si="3522"/>
        <v>Second Floor</v>
      </c>
      <c r="AD3381" t="b">
        <f t="shared" ca="1" si="3498"/>
        <v>0</v>
      </c>
      <c r="AE3381" s="1" t="str">
        <f t="shared" ca="1" si="3519"/>
        <v>Garage 83</v>
      </c>
      <c r="AF3381" t="str">
        <f t="shared" ca="1" si="3496"/>
        <v>Garage 83</v>
      </c>
    </row>
    <row r="3382" spans="28:32" x14ac:dyDescent="0.25">
      <c r="AB3382" t="str">
        <f t="shared" ref="AB3382:AC3382" si="3523">AB3361</f>
        <v>Supporting Scaffold</v>
      </c>
      <c r="AC3382" t="str">
        <f t="shared" si="3523"/>
        <v>Ground Floor Prop.</v>
      </c>
      <c r="AD3382" t="str">
        <f t="shared" ca="1" si="3498"/>
        <v>FALSE</v>
      </c>
      <c r="AE3382" s="1" t="str">
        <f t="shared" ca="1" si="3519"/>
        <v>Garage 83</v>
      </c>
      <c r="AF3382" t="str">
        <f t="shared" ca="1" si="3496"/>
        <v>Garage 83</v>
      </c>
    </row>
    <row r="3383" spans="28:32" x14ac:dyDescent="0.25">
      <c r="AB3383" t="str">
        <f t="shared" ref="AB3383:AC3383" si="3524">AB3362</f>
        <v>Supporting Scaffold</v>
      </c>
      <c r="AC3383" t="str">
        <f t="shared" si="3524"/>
        <v>First Floor Prop.</v>
      </c>
      <c r="AD3383" t="str">
        <f t="shared" ca="1" si="3498"/>
        <v>FALSE</v>
      </c>
      <c r="AE3383" s="1" t="str">
        <f t="shared" ca="1" si="3519"/>
        <v>Garage 83</v>
      </c>
      <c r="AF3383" t="str">
        <f t="shared" ca="1" si="3496"/>
        <v>Garage 83</v>
      </c>
    </row>
    <row r="3384" spans="28:32" x14ac:dyDescent="0.25">
      <c r="AB3384" t="str">
        <f t="shared" ref="AB3384:AC3384" si="3525">AB3363</f>
        <v>Supporting Scaffold</v>
      </c>
      <c r="AC3384" t="str">
        <f t="shared" si="3525"/>
        <v>Second Floor Prop.</v>
      </c>
      <c r="AD3384" t="str">
        <f t="shared" ca="1" si="3498"/>
        <v>FALSE</v>
      </c>
      <c r="AE3384" s="1" t="str">
        <f t="shared" ca="1" si="3519"/>
        <v>Garage 83</v>
      </c>
      <c r="AF3384" t="str">
        <f t="shared" ca="1" si="3496"/>
        <v>Garage 83</v>
      </c>
    </row>
    <row r="3385" spans="28:32" x14ac:dyDescent="0.25">
      <c r="AB3385" t="str">
        <f t="shared" ref="AB3385:AC3385" si="3526">AB3364</f>
        <v>External Scaffolding</v>
      </c>
      <c r="AC3385" t="str">
        <f t="shared" si="3526"/>
        <v>Hop-ups</v>
      </c>
      <c r="AD3385" t="b">
        <f t="shared" ca="1" si="3498"/>
        <v>1</v>
      </c>
      <c r="AE3385" s="1" t="str">
        <f t="shared" ca="1" si="3519"/>
        <v>Garage 83</v>
      </c>
      <c r="AF3385" t="str">
        <f t="shared" ca="1" si="3496"/>
        <v>Garage 83</v>
      </c>
    </row>
    <row r="3386" spans="28:32" x14ac:dyDescent="0.25">
      <c r="AB3386" t="str">
        <f t="shared" ref="AB3386:AC3386" si="3527">AB3365</f>
        <v>External Scaffolding</v>
      </c>
      <c r="AC3386" t="str">
        <f t="shared" si="3527"/>
        <v>Adaptions</v>
      </c>
      <c r="AD3386" t="b">
        <f t="shared" ca="1" si="3498"/>
        <v>1</v>
      </c>
      <c r="AE3386" s="1" t="str">
        <f t="shared" ca="1" si="3519"/>
        <v>Garage 83</v>
      </c>
      <c r="AF3386" t="str">
        <f t="shared" ca="1" si="3496"/>
        <v>Garage 83</v>
      </c>
    </row>
    <row r="3387" spans="28:32" x14ac:dyDescent="0.25">
      <c r="AB3387" t="str">
        <f t="shared" ref="AB3387:AC3387" si="3528">AB3366</f>
        <v>External Scaffolding</v>
      </c>
      <c r="AC3387" t="str">
        <f t="shared" si="3528"/>
        <v>Adaption Tower</v>
      </c>
      <c r="AD3387" t="b">
        <f t="shared" ca="1" si="3498"/>
        <v>1</v>
      </c>
      <c r="AE3387" s="1" t="str">
        <f t="shared" ca="1" si="3519"/>
        <v>Garage 83</v>
      </c>
      <c r="AF3387" t="str">
        <f t="shared" ca="1" si="3496"/>
        <v>Garage 83</v>
      </c>
    </row>
    <row r="3388" spans="28:32" x14ac:dyDescent="0.25">
      <c r="AB3388" t="str">
        <f t="shared" ref="AB3388:AC3388" si="3529">AB3367</f>
        <v>External Scaffolding</v>
      </c>
      <c r="AC3388" t="str">
        <f t="shared" si="3529"/>
        <v>Lift 1</v>
      </c>
      <c r="AD3388" t="b">
        <f t="shared" ca="1" si="3498"/>
        <v>1</v>
      </c>
      <c r="AE3388" s="1" t="str">
        <f t="shared" ca="1" si="3519"/>
        <v>Garage 84</v>
      </c>
      <c r="AF3388" t="str">
        <f t="shared" ca="1" si="3496"/>
        <v>Garage 84</v>
      </c>
    </row>
    <row r="3389" spans="28:32" x14ac:dyDescent="0.25">
      <c r="AB3389" t="str">
        <f t="shared" ref="AB3389:AC3389" si="3530">AB3368</f>
        <v>External Scaffolding</v>
      </c>
      <c r="AC3389" t="str">
        <f t="shared" si="3530"/>
        <v>Lift 2</v>
      </c>
      <c r="AD3389" t="b">
        <f t="shared" ca="1" si="3498"/>
        <v>1</v>
      </c>
      <c r="AE3389" s="1" t="str">
        <f t="shared" ca="1" si="3519"/>
        <v>Garage 84</v>
      </c>
      <c r="AF3389" t="str">
        <f t="shared" ca="1" si="3496"/>
        <v>Garage 84</v>
      </c>
    </row>
    <row r="3390" spans="28:32" x14ac:dyDescent="0.25">
      <c r="AB3390" t="str">
        <f t="shared" ref="AB3390:AC3390" si="3531">AB3369</f>
        <v>External Scaffolding</v>
      </c>
      <c r="AC3390" t="str">
        <f t="shared" si="3531"/>
        <v>Lift 3</v>
      </c>
      <c r="AD3390" t="b">
        <f t="shared" ca="1" si="3498"/>
        <v>1</v>
      </c>
      <c r="AE3390" s="1" t="str">
        <f t="shared" ca="1" si="3519"/>
        <v>Garage 84</v>
      </c>
      <c r="AF3390" t="str">
        <f t="shared" ca="1" si="3496"/>
        <v>Garage 84</v>
      </c>
    </row>
    <row r="3391" spans="28:32" x14ac:dyDescent="0.25">
      <c r="AB3391" t="str">
        <f t="shared" ref="AB3391:AC3391" si="3532">AB3370</f>
        <v>External Scaffolding</v>
      </c>
      <c r="AC3391" t="str">
        <f t="shared" si="3532"/>
        <v>Lift 4</v>
      </c>
      <c r="AD3391" t="b">
        <f t="shared" ca="1" si="3498"/>
        <v>0</v>
      </c>
      <c r="AE3391" s="1" t="str">
        <f t="shared" ca="1" si="3519"/>
        <v>Garage 84</v>
      </c>
      <c r="AF3391" t="str">
        <f t="shared" ca="1" si="3496"/>
        <v>Garage 84</v>
      </c>
    </row>
    <row r="3392" spans="28:32" x14ac:dyDescent="0.25">
      <c r="AB3392" t="str">
        <f t="shared" ref="AB3392:AC3392" si="3533">AB3371</f>
        <v>External Scaffolding</v>
      </c>
      <c r="AC3392" t="str">
        <f t="shared" si="3533"/>
        <v>Lift 5</v>
      </c>
      <c r="AD3392" t="b">
        <f t="shared" ca="1" si="3498"/>
        <v>0</v>
      </c>
      <c r="AE3392" s="1" t="str">
        <f t="shared" ca="1" si="3519"/>
        <v>Garage 84</v>
      </c>
      <c r="AF3392" t="str">
        <f t="shared" ca="1" si="3496"/>
        <v>Garage 84</v>
      </c>
    </row>
    <row r="3393" spans="28:32" x14ac:dyDescent="0.25">
      <c r="AB3393" t="str">
        <f t="shared" ref="AB3393:AC3393" si="3534">AB3372</f>
        <v>External Scaffolding</v>
      </c>
      <c r="AC3393" t="str">
        <f t="shared" si="3534"/>
        <v>Lift 6</v>
      </c>
      <c r="AD3393" t="b">
        <f t="shared" ca="1" si="3498"/>
        <v>0</v>
      </c>
      <c r="AE3393" s="1" t="str">
        <f t="shared" ca="1" si="3519"/>
        <v>Garage 84</v>
      </c>
      <c r="AF3393" t="str">
        <f t="shared" ca="1" si="3496"/>
        <v>Garage 84</v>
      </c>
    </row>
    <row r="3394" spans="28:32" x14ac:dyDescent="0.25">
      <c r="AB3394" t="str">
        <f t="shared" ref="AB3394:AC3394" si="3535">AB3373</f>
        <v>Loading Bay</v>
      </c>
      <c r="AC3394" t="str">
        <f t="shared" si="3535"/>
        <v>Lift 1</v>
      </c>
      <c r="AD3394" t="b">
        <f t="shared" ca="1" si="3498"/>
        <v>1</v>
      </c>
      <c r="AE3394" s="1" t="str">
        <f t="shared" ca="1" si="3519"/>
        <v>Garage 84</v>
      </c>
      <c r="AF3394" t="str">
        <f t="shared" ca="1" si="3496"/>
        <v>Garage 84</v>
      </c>
    </row>
    <row r="3395" spans="28:32" x14ac:dyDescent="0.25">
      <c r="AB3395" t="str">
        <f t="shared" ref="AB3395:AC3395" si="3536">AB3374</f>
        <v>Loading Bay</v>
      </c>
      <c r="AC3395" t="str">
        <f t="shared" si="3536"/>
        <v>Lift 2</v>
      </c>
      <c r="AD3395" t="b">
        <f t="shared" ca="1" si="3498"/>
        <v>1</v>
      </c>
      <c r="AE3395" s="1" t="str">
        <f t="shared" ca="1" si="3519"/>
        <v>Garage 84</v>
      </c>
      <c r="AF3395" t="str">
        <f t="shared" ca="1" si="3496"/>
        <v>Garage 84</v>
      </c>
    </row>
    <row r="3396" spans="28:32" x14ac:dyDescent="0.25">
      <c r="AB3396" t="str">
        <f t="shared" ref="AB3396:AC3396" si="3537">AB3375</f>
        <v>Loading Bay</v>
      </c>
      <c r="AC3396" t="str">
        <f t="shared" si="3537"/>
        <v>Lift 3</v>
      </c>
      <c r="AD3396" t="b">
        <f t="shared" ca="1" si="3498"/>
        <v>1</v>
      </c>
      <c r="AE3396" s="1" t="str">
        <f t="shared" ca="1" si="3519"/>
        <v>Garage 84</v>
      </c>
      <c r="AF3396" t="str">
        <f t="shared" ca="1" si="3496"/>
        <v>Garage 84</v>
      </c>
    </row>
    <row r="3397" spans="28:32" x14ac:dyDescent="0.25">
      <c r="AB3397" t="str">
        <f t="shared" ref="AB3397:AC3397" si="3538">AB3376</f>
        <v>Loading Bay</v>
      </c>
      <c r="AC3397" t="str">
        <f t="shared" si="3538"/>
        <v>Lift 4</v>
      </c>
      <c r="AD3397" t="b">
        <f t="shared" ca="1" si="3498"/>
        <v>0</v>
      </c>
      <c r="AE3397" s="1" t="str">
        <f t="shared" ca="1" si="3519"/>
        <v>Garage 84</v>
      </c>
      <c r="AF3397" t="str">
        <f t="shared" ca="1" si="3496"/>
        <v>Garage 84</v>
      </c>
    </row>
    <row r="3398" spans="28:32" x14ac:dyDescent="0.25">
      <c r="AB3398" t="str">
        <f t="shared" ref="AB3398:AC3398" si="3539">AB3377</f>
        <v>Loading Bay</v>
      </c>
      <c r="AC3398" t="str">
        <f t="shared" si="3539"/>
        <v>Lift 5</v>
      </c>
      <c r="AD3398" t="b">
        <f t="shared" ca="1" si="3498"/>
        <v>0</v>
      </c>
      <c r="AE3398" s="1" t="str">
        <f t="shared" ca="1" si="3519"/>
        <v>Garage 84</v>
      </c>
      <c r="AF3398" t="str">
        <f t="shared" ca="1" si="3496"/>
        <v>Garage 84</v>
      </c>
    </row>
    <row r="3399" spans="28:32" x14ac:dyDescent="0.25">
      <c r="AB3399" t="str">
        <f t="shared" ref="AB3399:AC3399" si="3540">AB3378</f>
        <v>Loading Bay</v>
      </c>
      <c r="AC3399" t="str">
        <f t="shared" si="3540"/>
        <v>Lift 6</v>
      </c>
      <c r="AD3399" t="b">
        <f t="shared" ca="1" si="3498"/>
        <v>0</v>
      </c>
      <c r="AE3399" s="1" t="str">
        <f t="shared" ca="1" si="3519"/>
        <v>Garage 84</v>
      </c>
      <c r="AF3399" t="str">
        <f t="shared" ca="1" si="3496"/>
        <v>Garage 84</v>
      </c>
    </row>
    <row r="3400" spans="28:32" x14ac:dyDescent="0.25">
      <c r="AB3400" t="str">
        <f t="shared" ref="AB3400:AC3400" si="3541">AB3379</f>
        <v>Scaffolding Platform</v>
      </c>
      <c r="AC3400" t="str">
        <f t="shared" si="3541"/>
        <v>Ground Floor</v>
      </c>
      <c r="AD3400" t="b">
        <f t="shared" ca="1" si="3498"/>
        <v>1</v>
      </c>
      <c r="AE3400" s="1" t="str">
        <f t="shared" ca="1" si="3519"/>
        <v>Garage 84</v>
      </c>
      <c r="AF3400" t="str">
        <f t="shared" ca="1" si="3496"/>
        <v>Garage 84</v>
      </c>
    </row>
    <row r="3401" spans="28:32" x14ac:dyDescent="0.25">
      <c r="AB3401" t="str">
        <f t="shared" ref="AB3401:AC3401" si="3542">AB3380</f>
        <v>Scaffolding Platform</v>
      </c>
      <c r="AC3401" t="str">
        <f t="shared" si="3542"/>
        <v>First Floor</v>
      </c>
      <c r="AD3401" t="b">
        <f t="shared" ca="1" si="3498"/>
        <v>0</v>
      </c>
      <c r="AE3401" s="1" t="str">
        <f t="shared" ca="1" si="3519"/>
        <v>Garage 84</v>
      </c>
      <c r="AF3401" t="str">
        <f t="shared" ca="1" si="3496"/>
        <v>Garage 84</v>
      </c>
    </row>
    <row r="3402" spans="28:32" x14ac:dyDescent="0.25">
      <c r="AB3402" t="str">
        <f t="shared" ref="AB3402:AC3402" si="3543">AB3381</f>
        <v>Scaffolding Platform</v>
      </c>
      <c r="AC3402" t="str">
        <f t="shared" si="3543"/>
        <v>Second Floor</v>
      </c>
      <c r="AD3402" t="b">
        <f t="shared" ca="1" si="3498"/>
        <v>0</v>
      </c>
      <c r="AE3402" s="1" t="str">
        <f t="shared" ca="1" si="3519"/>
        <v>Garage 84</v>
      </c>
      <c r="AF3402" t="str">
        <f t="shared" ca="1" si="3496"/>
        <v>Garage 84</v>
      </c>
    </row>
    <row r="3403" spans="28:32" x14ac:dyDescent="0.25">
      <c r="AB3403" t="str">
        <f t="shared" ref="AB3403:AC3403" si="3544">AB3382</f>
        <v>Supporting Scaffold</v>
      </c>
      <c r="AC3403" t="str">
        <f t="shared" si="3544"/>
        <v>Ground Floor Prop.</v>
      </c>
      <c r="AD3403" t="str">
        <f t="shared" ca="1" si="3498"/>
        <v>FALSE</v>
      </c>
      <c r="AE3403" s="1" t="str">
        <f t="shared" ca="1" si="3519"/>
        <v>Garage 84</v>
      </c>
      <c r="AF3403" t="str">
        <f t="shared" ca="1" si="3496"/>
        <v>Garage 84</v>
      </c>
    </row>
    <row r="3404" spans="28:32" x14ac:dyDescent="0.25">
      <c r="AB3404" t="str">
        <f t="shared" ref="AB3404:AC3404" si="3545">AB3383</f>
        <v>Supporting Scaffold</v>
      </c>
      <c r="AC3404" t="str">
        <f t="shared" si="3545"/>
        <v>First Floor Prop.</v>
      </c>
      <c r="AD3404" t="str">
        <f t="shared" ca="1" si="3498"/>
        <v>FALSE</v>
      </c>
      <c r="AE3404" s="1" t="str">
        <f t="shared" ca="1" si="3519"/>
        <v>Garage 84</v>
      </c>
      <c r="AF3404" t="str">
        <f t="shared" ca="1" si="3496"/>
        <v>Garage 84</v>
      </c>
    </row>
    <row r="3405" spans="28:32" x14ac:dyDescent="0.25">
      <c r="AB3405" t="str">
        <f t="shared" ref="AB3405:AC3405" si="3546">AB3384</f>
        <v>Supporting Scaffold</v>
      </c>
      <c r="AC3405" t="str">
        <f t="shared" si="3546"/>
        <v>Second Floor Prop.</v>
      </c>
      <c r="AD3405" t="str">
        <f t="shared" ca="1" si="3498"/>
        <v>FALSE</v>
      </c>
      <c r="AE3405" s="1" t="str">
        <f t="shared" ca="1" si="3519"/>
        <v>Garage 84</v>
      </c>
      <c r="AF3405" t="str">
        <f t="shared" ca="1" si="3496"/>
        <v>Garage 84</v>
      </c>
    </row>
    <row r="3406" spans="28:32" x14ac:dyDescent="0.25">
      <c r="AB3406" t="str">
        <f t="shared" ref="AB3406:AC3406" si="3547">AB3385</f>
        <v>External Scaffolding</v>
      </c>
      <c r="AC3406" t="str">
        <f t="shared" si="3547"/>
        <v>Hop-ups</v>
      </c>
      <c r="AD3406" t="b">
        <f t="shared" ca="1" si="3498"/>
        <v>1</v>
      </c>
      <c r="AE3406" s="1" t="str">
        <f t="shared" ca="1" si="3519"/>
        <v>Garage 84</v>
      </c>
      <c r="AF3406" t="str">
        <f t="shared" ca="1" si="3496"/>
        <v>Garage 84</v>
      </c>
    </row>
    <row r="3407" spans="28:32" x14ac:dyDescent="0.25">
      <c r="AB3407" t="str">
        <f t="shared" ref="AB3407:AC3407" si="3548">AB3386</f>
        <v>External Scaffolding</v>
      </c>
      <c r="AC3407" t="str">
        <f t="shared" si="3548"/>
        <v>Adaptions</v>
      </c>
      <c r="AD3407" t="b">
        <f t="shared" ca="1" si="3498"/>
        <v>1</v>
      </c>
      <c r="AE3407" s="1" t="str">
        <f t="shared" ca="1" si="3519"/>
        <v>Garage 84</v>
      </c>
      <c r="AF3407" t="str">
        <f t="shared" ca="1" si="3496"/>
        <v>Garage 84</v>
      </c>
    </row>
    <row r="3408" spans="28:32" x14ac:dyDescent="0.25">
      <c r="AB3408" t="str">
        <f t="shared" ref="AB3408:AC3408" si="3549">AB3387</f>
        <v>External Scaffolding</v>
      </c>
      <c r="AC3408" t="str">
        <f t="shared" si="3549"/>
        <v>Adaption Tower</v>
      </c>
      <c r="AD3408" t="b">
        <f t="shared" ca="1" si="3498"/>
        <v>1</v>
      </c>
      <c r="AE3408" s="1" t="str">
        <f t="shared" ca="1" si="3519"/>
        <v>Garage 84</v>
      </c>
      <c r="AF3408" t="str">
        <f t="shared" ca="1" si="3496"/>
        <v>Garage 84</v>
      </c>
    </row>
    <row r="3409" spans="28:32" x14ac:dyDescent="0.25">
      <c r="AB3409" t="str">
        <f t="shared" ref="AB3409:AC3409" si="3550">AB3388</f>
        <v>External Scaffolding</v>
      </c>
      <c r="AC3409" t="str">
        <f t="shared" si="3550"/>
        <v>Lift 1</v>
      </c>
      <c r="AD3409" t="b">
        <f t="shared" ca="1" si="3498"/>
        <v>1</v>
      </c>
      <c r="AE3409" s="1" t="str">
        <f t="shared" ca="1" si="3519"/>
        <v>Garage 85</v>
      </c>
      <c r="AF3409" t="str">
        <f t="shared" ca="1" si="3496"/>
        <v>Garage 85</v>
      </c>
    </row>
    <row r="3410" spans="28:32" x14ac:dyDescent="0.25">
      <c r="AB3410" t="str">
        <f t="shared" ref="AB3410:AC3410" si="3551">AB3389</f>
        <v>External Scaffolding</v>
      </c>
      <c r="AC3410" t="str">
        <f t="shared" si="3551"/>
        <v>Lift 2</v>
      </c>
      <c r="AD3410" t="b">
        <f t="shared" ca="1" si="3498"/>
        <v>1</v>
      </c>
      <c r="AE3410" s="1" t="str">
        <f t="shared" ca="1" si="3519"/>
        <v>Garage 85</v>
      </c>
      <c r="AF3410" t="str">
        <f t="shared" ca="1" si="3496"/>
        <v>Garage 85</v>
      </c>
    </row>
    <row r="3411" spans="28:32" x14ac:dyDescent="0.25">
      <c r="AB3411" t="str">
        <f t="shared" ref="AB3411:AC3411" si="3552">AB3390</f>
        <v>External Scaffolding</v>
      </c>
      <c r="AC3411" t="str">
        <f t="shared" si="3552"/>
        <v>Lift 3</v>
      </c>
      <c r="AD3411" t="b">
        <f t="shared" ca="1" si="3498"/>
        <v>1</v>
      </c>
      <c r="AE3411" s="1" t="str">
        <f t="shared" ca="1" si="3519"/>
        <v>Garage 85</v>
      </c>
      <c r="AF3411" t="str">
        <f t="shared" ca="1" si="3496"/>
        <v>Garage 85</v>
      </c>
    </row>
    <row r="3412" spans="28:32" x14ac:dyDescent="0.25">
      <c r="AB3412" t="str">
        <f t="shared" ref="AB3412:AC3412" si="3553">AB3391</f>
        <v>External Scaffolding</v>
      </c>
      <c r="AC3412" t="str">
        <f t="shared" si="3553"/>
        <v>Lift 4</v>
      </c>
      <c r="AD3412" t="b">
        <f t="shared" ca="1" si="3498"/>
        <v>0</v>
      </c>
      <c r="AE3412" s="1" t="str">
        <f t="shared" ca="1" si="3519"/>
        <v>Garage 85</v>
      </c>
      <c r="AF3412" t="str">
        <f t="shared" ca="1" si="3496"/>
        <v>Garage 85</v>
      </c>
    </row>
    <row r="3413" spans="28:32" x14ac:dyDescent="0.25">
      <c r="AB3413" t="str">
        <f t="shared" ref="AB3413:AC3413" si="3554">AB3392</f>
        <v>External Scaffolding</v>
      </c>
      <c r="AC3413" t="str">
        <f t="shared" si="3554"/>
        <v>Lift 5</v>
      </c>
      <c r="AD3413" t="b">
        <f t="shared" ca="1" si="3498"/>
        <v>0</v>
      </c>
      <c r="AE3413" s="1" t="str">
        <f t="shared" ca="1" si="3519"/>
        <v>Garage 85</v>
      </c>
      <c r="AF3413" t="str">
        <f t="shared" ca="1" si="3496"/>
        <v>Garage 85</v>
      </c>
    </row>
    <row r="3414" spans="28:32" x14ac:dyDescent="0.25">
      <c r="AB3414" t="str">
        <f t="shared" ref="AB3414:AC3414" si="3555">AB3393</f>
        <v>External Scaffolding</v>
      </c>
      <c r="AC3414" t="str">
        <f t="shared" si="3555"/>
        <v>Lift 6</v>
      </c>
      <c r="AD3414" t="b">
        <f t="shared" ca="1" si="3498"/>
        <v>0</v>
      </c>
      <c r="AE3414" s="1" t="str">
        <f t="shared" ca="1" si="3519"/>
        <v>Garage 85</v>
      </c>
      <c r="AF3414" t="str">
        <f t="shared" ca="1" si="3496"/>
        <v>Garage 85</v>
      </c>
    </row>
    <row r="3415" spans="28:32" x14ac:dyDescent="0.25">
      <c r="AB3415" t="str">
        <f t="shared" ref="AB3415:AC3415" si="3556">AB3394</f>
        <v>Loading Bay</v>
      </c>
      <c r="AC3415" t="str">
        <f t="shared" si="3556"/>
        <v>Lift 1</v>
      </c>
      <c r="AD3415" t="b">
        <f t="shared" ca="1" si="3498"/>
        <v>1</v>
      </c>
      <c r="AE3415" s="1" t="str">
        <f t="shared" ca="1" si="3519"/>
        <v>Garage 85</v>
      </c>
      <c r="AF3415" t="str">
        <f t="shared" ca="1" si="3496"/>
        <v>Garage 85</v>
      </c>
    </row>
    <row r="3416" spans="28:32" x14ac:dyDescent="0.25">
      <c r="AB3416" t="str">
        <f t="shared" ref="AB3416:AC3416" si="3557">AB3395</f>
        <v>Loading Bay</v>
      </c>
      <c r="AC3416" t="str">
        <f t="shared" si="3557"/>
        <v>Lift 2</v>
      </c>
      <c r="AD3416" t="b">
        <f t="shared" ca="1" si="3498"/>
        <v>1</v>
      </c>
      <c r="AE3416" s="1" t="str">
        <f t="shared" ca="1" si="3519"/>
        <v>Garage 85</v>
      </c>
      <c r="AF3416" t="str">
        <f t="shared" ca="1" si="3496"/>
        <v>Garage 85</v>
      </c>
    </row>
    <row r="3417" spans="28:32" x14ac:dyDescent="0.25">
      <c r="AB3417" t="str">
        <f t="shared" ref="AB3417:AC3417" si="3558">AB3396</f>
        <v>Loading Bay</v>
      </c>
      <c r="AC3417" t="str">
        <f t="shared" si="3558"/>
        <v>Lift 3</v>
      </c>
      <c r="AD3417" t="b">
        <f t="shared" ca="1" si="3498"/>
        <v>1</v>
      </c>
      <c r="AE3417" s="1" t="str">
        <f t="shared" ca="1" si="3519"/>
        <v>Garage 85</v>
      </c>
      <c r="AF3417" t="str">
        <f t="shared" ca="1" si="3496"/>
        <v>Garage 85</v>
      </c>
    </row>
    <row r="3418" spans="28:32" x14ac:dyDescent="0.25">
      <c r="AB3418" t="str">
        <f t="shared" ref="AB3418:AC3418" si="3559">AB3397</f>
        <v>Loading Bay</v>
      </c>
      <c r="AC3418" t="str">
        <f t="shared" si="3559"/>
        <v>Lift 4</v>
      </c>
      <c r="AD3418" t="b">
        <f t="shared" ca="1" si="3498"/>
        <v>0</v>
      </c>
      <c r="AE3418" s="1" t="str">
        <f t="shared" ca="1" si="3519"/>
        <v>Garage 85</v>
      </c>
      <c r="AF3418" t="str">
        <f t="shared" ca="1" si="3496"/>
        <v>Garage 85</v>
      </c>
    </row>
    <row r="3419" spans="28:32" x14ac:dyDescent="0.25">
      <c r="AB3419" t="str">
        <f t="shared" ref="AB3419:AC3419" si="3560">AB3398</f>
        <v>Loading Bay</v>
      </c>
      <c r="AC3419" t="str">
        <f t="shared" si="3560"/>
        <v>Lift 5</v>
      </c>
      <c r="AD3419" t="b">
        <f t="shared" ca="1" si="3498"/>
        <v>0</v>
      </c>
      <c r="AE3419" s="1" t="str">
        <f t="shared" ca="1" si="3519"/>
        <v>Garage 85</v>
      </c>
      <c r="AF3419" t="str">
        <f t="shared" ca="1" si="3496"/>
        <v>Garage 85</v>
      </c>
    </row>
    <row r="3420" spans="28:32" x14ac:dyDescent="0.25">
      <c r="AB3420" t="str">
        <f t="shared" ref="AB3420:AC3420" si="3561">AB3399</f>
        <v>Loading Bay</v>
      </c>
      <c r="AC3420" t="str">
        <f t="shared" si="3561"/>
        <v>Lift 6</v>
      </c>
      <c r="AD3420" t="b">
        <f t="shared" ca="1" si="3498"/>
        <v>0</v>
      </c>
      <c r="AE3420" s="1" t="str">
        <f t="shared" ca="1" si="3519"/>
        <v>Garage 85</v>
      </c>
      <c r="AF3420" t="str">
        <f t="shared" ca="1" si="3496"/>
        <v>Garage 85</v>
      </c>
    </row>
    <row r="3421" spans="28:32" x14ac:dyDescent="0.25">
      <c r="AB3421" t="str">
        <f t="shared" ref="AB3421:AC3421" si="3562">AB3400</f>
        <v>Scaffolding Platform</v>
      </c>
      <c r="AC3421" t="str">
        <f t="shared" si="3562"/>
        <v>Ground Floor</v>
      </c>
      <c r="AD3421" t="b">
        <f t="shared" ca="1" si="3498"/>
        <v>1</v>
      </c>
      <c r="AE3421" s="1" t="str">
        <f t="shared" ca="1" si="3519"/>
        <v>Garage 85</v>
      </c>
      <c r="AF3421" t="str">
        <f t="shared" ref="AF3421:AF3484" ca="1" si="3563">IF(LEFT(AE3421,1)="G",AE3421,"Plot "&amp;AE3421)</f>
        <v>Garage 85</v>
      </c>
    </row>
    <row r="3422" spans="28:32" x14ac:dyDescent="0.25">
      <c r="AB3422" t="str">
        <f t="shared" ref="AB3422:AC3422" si="3564">AB3401</f>
        <v>Scaffolding Platform</v>
      </c>
      <c r="AC3422" t="str">
        <f t="shared" si="3564"/>
        <v>First Floor</v>
      </c>
      <c r="AD3422" t="b">
        <f t="shared" ref="AD3422:AD3485" ca="1" si="3565">INDEX($AC$1:$JH$22,MATCH(AC3422,$AC$1:$AC$22,0),MATCH(AE3422,$AC$1:$JH$1,0))</f>
        <v>0</v>
      </c>
      <c r="AE3422" s="1" t="str">
        <f t="shared" ca="1" si="3519"/>
        <v>Garage 85</v>
      </c>
      <c r="AF3422" t="str">
        <f t="shared" ca="1" si="3563"/>
        <v>Garage 85</v>
      </c>
    </row>
    <row r="3423" spans="28:32" x14ac:dyDescent="0.25">
      <c r="AB3423" t="str">
        <f t="shared" ref="AB3423:AC3423" si="3566">AB3402</f>
        <v>Scaffolding Platform</v>
      </c>
      <c r="AC3423" t="str">
        <f t="shared" si="3566"/>
        <v>Second Floor</v>
      </c>
      <c r="AD3423" t="b">
        <f t="shared" ca="1" si="3565"/>
        <v>0</v>
      </c>
      <c r="AE3423" s="1" t="str">
        <f t="shared" ca="1" si="3519"/>
        <v>Garage 85</v>
      </c>
      <c r="AF3423" t="str">
        <f t="shared" ca="1" si="3563"/>
        <v>Garage 85</v>
      </c>
    </row>
    <row r="3424" spans="28:32" x14ac:dyDescent="0.25">
      <c r="AB3424" t="str">
        <f t="shared" ref="AB3424:AC3424" si="3567">AB3403</f>
        <v>Supporting Scaffold</v>
      </c>
      <c r="AC3424" t="str">
        <f t="shared" si="3567"/>
        <v>Ground Floor Prop.</v>
      </c>
      <c r="AD3424" t="str">
        <f t="shared" ca="1" si="3565"/>
        <v>FALSE</v>
      </c>
      <c r="AE3424" s="1" t="str">
        <f t="shared" ca="1" si="3519"/>
        <v>Garage 85</v>
      </c>
      <c r="AF3424" t="str">
        <f t="shared" ca="1" si="3563"/>
        <v>Garage 85</v>
      </c>
    </row>
    <row r="3425" spans="28:32" x14ac:dyDescent="0.25">
      <c r="AB3425" t="str">
        <f t="shared" ref="AB3425:AC3425" si="3568">AB3404</f>
        <v>Supporting Scaffold</v>
      </c>
      <c r="AC3425" t="str">
        <f t="shared" si="3568"/>
        <v>First Floor Prop.</v>
      </c>
      <c r="AD3425" t="str">
        <f t="shared" ca="1" si="3565"/>
        <v>FALSE</v>
      </c>
      <c r="AE3425" s="1" t="str">
        <f t="shared" ca="1" si="3519"/>
        <v>Garage 85</v>
      </c>
      <c r="AF3425" t="str">
        <f t="shared" ca="1" si="3563"/>
        <v>Garage 85</v>
      </c>
    </row>
    <row r="3426" spans="28:32" x14ac:dyDescent="0.25">
      <c r="AB3426" t="str">
        <f t="shared" ref="AB3426:AC3426" si="3569">AB3405</f>
        <v>Supporting Scaffold</v>
      </c>
      <c r="AC3426" t="str">
        <f t="shared" si="3569"/>
        <v>Second Floor Prop.</v>
      </c>
      <c r="AD3426" t="str">
        <f t="shared" ca="1" si="3565"/>
        <v>FALSE</v>
      </c>
      <c r="AE3426" s="1" t="str">
        <f t="shared" ca="1" si="3519"/>
        <v>Garage 85</v>
      </c>
      <c r="AF3426" t="str">
        <f t="shared" ca="1" si="3563"/>
        <v>Garage 85</v>
      </c>
    </row>
    <row r="3427" spans="28:32" x14ac:dyDescent="0.25">
      <c r="AB3427" t="str">
        <f t="shared" ref="AB3427:AC3427" si="3570">AB3406</f>
        <v>External Scaffolding</v>
      </c>
      <c r="AC3427" t="str">
        <f t="shared" si="3570"/>
        <v>Hop-ups</v>
      </c>
      <c r="AD3427" t="b">
        <f t="shared" ca="1" si="3565"/>
        <v>1</v>
      </c>
      <c r="AE3427" s="1" t="str">
        <f t="shared" ca="1" si="3519"/>
        <v>Garage 85</v>
      </c>
      <c r="AF3427" t="str">
        <f t="shared" ca="1" si="3563"/>
        <v>Garage 85</v>
      </c>
    </row>
    <row r="3428" spans="28:32" x14ac:dyDescent="0.25">
      <c r="AB3428" t="str">
        <f t="shared" ref="AB3428:AC3428" si="3571">AB3407</f>
        <v>External Scaffolding</v>
      </c>
      <c r="AC3428" t="str">
        <f t="shared" si="3571"/>
        <v>Adaptions</v>
      </c>
      <c r="AD3428" t="b">
        <f t="shared" ca="1" si="3565"/>
        <v>1</v>
      </c>
      <c r="AE3428" s="1" t="str">
        <f t="shared" ca="1" si="3519"/>
        <v>Garage 85</v>
      </c>
      <c r="AF3428" t="str">
        <f t="shared" ca="1" si="3563"/>
        <v>Garage 85</v>
      </c>
    </row>
    <row r="3429" spans="28:32" x14ac:dyDescent="0.25">
      <c r="AB3429" t="str">
        <f t="shared" ref="AB3429:AC3429" si="3572">AB3408</f>
        <v>External Scaffolding</v>
      </c>
      <c r="AC3429" t="str">
        <f t="shared" si="3572"/>
        <v>Adaption Tower</v>
      </c>
      <c r="AD3429" t="b">
        <f t="shared" ca="1" si="3565"/>
        <v>1</v>
      </c>
      <c r="AE3429" s="1" t="str">
        <f t="shared" ca="1" si="3519"/>
        <v>Garage 85</v>
      </c>
      <c r="AF3429" t="str">
        <f t="shared" ca="1" si="3563"/>
        <v>Garage 85</v>
      </c>
    </row>
    <row r="3430" spans="28:32" x14ac:dyDescent="0.25">
      <c r="AB3430" t="str">
        <f t="shared" ref="AB3430:AC3430" si="3573">AB3409</f>
        <v>External Scaffolding</v>
      </c>
      <c r="AC3430" t="str">
        <f t="shared" si="3573"/>
        <v>Lift 1</v>
      </c>
      <c r="AD3430" t="b">
        <f t="shared" ca="1" si="3565"/>
        <v>1</v>
      </c>
      <c r="AE3430" s="1" t="str">
        <f t="shared" ca="1" si="3519"/>
        <v>Garage 88-89</v>
      </c>
      <c r="AF3430" t="str">
        <f t="shared" ca="1" si="3563"/>
        <v>Garage 88-89</v>
      </c>
    </row>
    <row r="3431" spans="28:32" x14ac:dyDescent="0.25">
      <c r="AB3431" t="str">
        <f t="shared" ref="AB3431:AC3431" si="3574">AB3410</f>
        <v>External Scaffolding</v>
      </c>
      <c r="AC3431" t="str">
        <f t="shared" si="3574"/>
        <v>Lift 2</v>
      </c>
      <c r="AD3431" t="b">
        <f t="shared" ca="1" si="3565"/>
        <v>1</v>
      </c>
      <c r="AE3431" s="1" t="str">
        <f t="shared" ca="1" si="3519"/>
        <v>Garage 88-89</v>
      </c>
      <c r="AF3431" t="str">
        <f t="shared" ca="1" si="3563"/>
        <v>Garage 88-89</v>
      </c>
    </row>
    <row r="3432" spans="28:32" x14ac:dyDescent="0.25">
      <c r="AB3432" t="str">
        <f t="shared" ref="AB3432:AC3432" si="3575">AB3411</f>
        <v>External Scaffolding</v>
      </c>
      <c r="AC3432" t="str">
        <f t="shared" si="3575"/>
        <v>Lift 3</v>
      </c>
      <c r="AD3432" t="b">
        <f t="shared" ca="1" si="3565"/>
        <v>1</v>
      </c>
      <c r="AE3432" s="1" t="str">
        <f t="shared" ca="1" si="3519"/>
        <v>Garage 88-89</v>
      </c>
      <c r="AF3432" t="str">
        <f t="shared" ca="1" si="3563"/>
        <v>Garage 88-89</v>
      </c>
    </row>
    <row r="3433" spans="28:32" x14ac:dyDescent="0.25">
      <c r="AB3433" t="str">
        <f t="shared" ref="AB3433:AC3433" si="3576">AB3412</f>
        <v>External Scaffolding</v>
      </c>
      <c r="AC3433" t="str">
        <f t="shared" si="3576"/>
        <v>Lift 4</v>
      </c>
      <c r="AD3433" t="b">
        <f t="shared" ca="1" si="3565"/>
        <v>0</v>
      </c>
      <c r="AE3433" s="1" t="str">
        <f t="shared" ca="1" si="3519"/>
        <v>Garage 88-89</v>
      </c>
      <c r="AF3433" t="str">
        <f t="shared" ca="1" si="3563"/>
        <v>Garage 88-89</v>
      </c>
    </row>
    <row r="3434" spans="28:32" x14ac:dyDescent="0.25">
      <c r="AB3434" t="str">
        <f t="shared" ref="AB3434:AC3434" si="3577">AB3413</f>
        <v>External Scaffolding</v>
      </c>
      <c r="AC3434" t="str">
        <f t="shared" si="3577"/>
        <v>Lift 5</v>
      </c>
      <c r="AD3434" t="b">
        <f t="shared" ca="1" si="3565"/>
        <v>0</v>
      </c>
      <c r="AE3434" s="1" t="str">
        <f t="shared" ca="1" si="3519"/>
        <v>Garage 88-89</v>
      </c>
      <c r="AF3434" t="str">
        <f t="shared" ca="1" si="3563"/>
        <v>Garage 88-89</v>
      </c>
    </row>
    <row r="3435" spans="28:32" x14ac:dyDescent="0.25">
      <c r="AB3435" t="str">
        <f t="shared" ref="AB3435:AC3435" si="3578">AB3414</f>
        <v>External Scaffolding</v>
      </c>
      <c r="AC3435" t="str">
        <f t="shared" si="3578"/>
        <v>Lift 6</v>
      </c>
      <c r="AD3435" t="b">
        <f t="shared" ca="1" si="3565"/>
        <v>0</v>
      </c>
      <c r="AE3435" s="1" t="str">
        <f t="shared" ca="1" si="3519"/>
        <v>Garage 88-89</v>
      </c>
      <c r="AF3435" t="str">
        <f t="shared" ca="1" si="3563"/>
        <v>Garage 88-89</v>
      </c>
    </row>
    <row r="3436" spans="28:32" x14ac:dyDescent="0.25">
      <c r="AB3436" t="str">
        <f t="shared" ref="AB3436:AC3436" si="3579">AB3415</f>
        <v>Loading Bay</v>
      </c>
      <c r="AC3436" t="str">
        <f t="shared" si="3579"/>
        <v>Lift 1</v>
      </c>
      <c r="AD3436" t="b">
        <f t="shared" ca="1" si="3565"/>
        <v>1</v>
      </c>
      <c r="AE3436" s="1" t="str">
        <f t="shared" ca="1" si="3519"/>
        <v>Garage 88-89</v>
      </c>
      <c r="AF3436" t="str">
        <f t="shared" ca="1" si="3563"/>
        <v>Garage 88-89</v>
      </c>
    </row>
    <row r="3437" spans="28:32" x14ac:dyDescent="0.25">
      <c r="AB3437" t="str">
        <f t="shared" ref="AB3437:AC3437" si="3580">AB3416</f>
        <v>Loading Bay</v>
      </c>
      <c r="AC3437" t="str">
        <f t="shared" si="3580"/>
        <v>Lift 2</v>
      </c>
      <c r="AD3437" t="b">
        <f t="shared" ca="1" si="3565"/>
        <v>1</v>
      </c>
      <c r="AE3437" s="1" t="str">
        <f t="shared" ca="1" si="3519"/>
        <v>Garage 88-89</v>
      </c>
      <c r="AF3437" t="str">
        <f t="shared" ca="1" si="3563"/>
        <v>Garage 88-89</v>
      </c>
    </row>
    <row r="3438" spans="28:32" x14ac:dyDescent="0.25">
      <c r="AB3438" t="str">
        <f t="shared" ref="AB3438:AC3438" si="3581">AB3417</f>
        <v>Loading Bay</v>
      </c>
      <c r="AC3438" t="str">
        <f t="shared" si="3581"/>
        <v>Lift 3</v>
      </c>
      <c r="AD3438" t="b">
        <f t="shared" ca="1" si="3565"/>
        <v>1</v>
      </c>
      <c r="AE3438" s="1" t="str">
        <f t="shared" ca="1" si="3519"/>
        <v>Garage 88-89</v>
      </c>
      <c r="AF3438" t="str">
        <f t="shared" ca="1" si="3563"/>
        <v>Garage 88-89</v>
      </c>
    </row>
    <row r="3439" spans="28:32" x14ac:dyDescent="0.25">
      <c r="AB3439" t="str">
        <f t="shared" ref="AB3439:AC3439" si="3582">AB3418</f>
        <v>Loading Bay</v>
      </c>
      <c r="AC3439" t="str">
        <f t="shared" si="3582"/>
        <v>Lift 4</v>
      </c>
      <c r="AD3439" t="b">
        <f t="shared" ca="1" si="3565"/>
        <v>0</v>
      </c>
      <c r="AE3439" s="1" t="str">
        <f t="shared" ca="1" si="3519"/>
        <v>Garage 88-89</v>
      </c>
      <c r="AF3439" t="str">
        <f t="shared" ca="1" si="3563"/>
        <v>Garage 88-89</v>
      </c>
    </row>
    <row r="3440" spans="28:32" x14ac:dyDescent="0.25">
      <c r="AB3440" t="str">
        <f t="shared" ref="AB3440:AC3440" si="3583">AB3419</f>
        <v>Loading Bay</v>
      </c>
      <c r="AC3440" t="str">
        <f t="shared" si="3583"/>
        <v>Lift 5</v>
      </c>
      <c r="AD3440" t="b">
        <f t="shared" ca="1" si="3565"/>
        <v>0</v>
      </c>
      <c r="AE3440" s="1" t="str">
        <f t="shared" ca="1" si="3519"/>
        <v>Garage 88-89</v>
      </c>
      <c r="AF3440" t="str">
        <f t="shared" ca="1" si="3563"/>
        <v>Garage 88-89</v>
      </c>
    </row>
    <row r="3441" spans="28:32" x14ac:dyDescent="0.25">
      <c r="AB3441" t="str">
        <f t="shared" ref="AB3441:AC3441" si="3584">AB3420</f>
        <v>Loading Bay</v>
      </c>
      <c r="AC3441" t="str">
        <f t="shared" si="3584"/>
        <v>Lift 6</v>
      </c>
      <c r="AD3441" t="b">
        <f t="shared" ca="1" si="3565"/>
        <v>0</v>
      </c>
      <c r="AE3441" s="1" t="str">
        <f t="shared" ca="1" si="3519"/>
        <v>Garage 88-89</v>
      </c>
      <c r="AF3441" t="str">
        <f t="shared" ca="1" si="3563"/>
        <v>Garage 88-89</v>
      </c>
    </row>
    <row r="3442" spans="28:32" x14ac:dyDescent="0.25">
      <c r="AB3442" t="str">
        <f t="shared" ref="AB3442:AC3442" si="3585">AB3421</f>
        <v>Scaffolding Platform</v>
      </c>
      <c r="AC3442" t="str">
        <f t="shared" si="3585"/>
        <v>Ground Floor</v>
      </c>
      <c r="AD3442" t="b">
        <f t="shared" ca="1" si="3565"/>
        <v>1</v>
      </c>
      <c r="AE3442" s="1" t="str">
        <f t="shared" ref="AE3442:AE3505" ca="1" si="3586">OFFSET($AD$1,0,FLOOR(ROW(B3414)/21,1))</f>
        <v>Garage 88-89</v>
      </c>
      <c r="AF3442" t="str">
        <f t="shared" ca="1" si="3563"/>
        <v>Garage 88-89</v>
      </c>
    </row>
    <row r="3443" spans="28:32" x14ac:dyDescent="0.25">
      <c r="AB3443" t="str">
        <f t="shared" ref="AB3443:AC3443" si="3587">AB3422</f>
        <v>Scaffolding Platform</v>
      </c>
      <c r="AC3443" t="str">
        <f t="shared" si="3587"/>
        <v>First Floor</v>
      </c>
      <c r="AD3443" t="b">
        <f t="shared" ca="1" si="3565"/>
        <v>0</v>
      </c>
      <c r="AE3443" s="1" t="str">
        <f t="shared" ca="1" si="3586"/>
        <v>Garage 88-89</v>
      </c>
      <c r="AF3443" t="str">
        <f t="shared" ca="1" si="3563"/>
        <v>Garage 88-89</v>
      </c>
    </row>
    <row r="3444" spans="28:32" x14ac:dyDescent="0.25">
      <c r="AB3444" t="str">
        <f t="shared" ref="AB3444:AC3444" si="3588">AB3423</f>
        <v>Scaffolding Platform</v>
      </c>
      <c r="AC3444" t="str">
        <f t="shared" si="3588"/>
        <v>Second Floor</v>
      </c>
      <c r="AD3444" t="b">
        <f t="shared" ca="1" si="3565"/>
        <v>0</v>
      </c>
      <c r="AE3444" s="1" t="str">
        <f t="shared" ca="1" si="3586"/>
        <v>Garage 88-89</v>
      </c>
      <c r="AF3444" t="str">
        <f t="shared" ca="1" si="3563"/>
        <v>Garage 88-89</v>
      </c>
    </row>
    <row r="3445" spans="28:32" x14ac:dyDescent="0.25">
      <c r="AB3445" t="str">
        <f t="shared" ref="AB3445:AC3445" si="3589">AB3424</f>
        <v>Supporting Scaffold</v>
      </c>
      <c r="AC3445" t="str">
        <f t="shared" si="3589"/>
        <v>Ground Floor Prop.</v>
      </c>
      <c r="AD3445" t="str">
        <f t="shared" ca="1" si="3565"/>
        <v>FALSE</v>
      </c>
      <c r="AE3445" s="1" t="str">
        <f t="shared" ca="1" si="3586"/>
        <v>Garage 88-89</v>
      </c>
      <c r="AF3445" t="str">
        <f t="shared" ca="1" si="3563"/>
        <v>Garage 88-89</v>
      </c>
    </row>
    <row r="3446" spans="28:32" x14ac:dyDescent="0.25">
      <c r="AB3446" t="str">
        <f t="shared" ref="AB3446:AC3446" si="3590">AB3425</f>
        <v>Supporting Scaffold</v>
      </c>
      <c r="AC3446" t="str">
        <f t="shared" si="3590"/>
        <v>First Floor Prop.</v>
      </c>
      <c r="AD3446" t="str">
        <f t="shared" ca="1" si="3565"/>
        <v>FALSE</v>
      </c>
      <c r="AE3446" s="1" t="str">
        <f t="shared" ca="1" si="3586"/>
        <v>Garage 88-89</v>
      </c>
      <c r="AF3446" t="str">
        <f t="shared" ca="1" si="3563"/>
        <v>Garage 88-89</v>
      </c>
    </row>
    <row r="3447" spans="28:32" x14ac:dyDescent="0.25">
      <c r="AB3447" t="str">
        <f t="shared" ref="AB3447:AC3447" si="3591">AB3426</f>
        <v>Supporting Scaffold</v>
      </c>
      <c r="AC3447" t="str">
        <f t="shared" si="3591"/>
        <v>Second Floor Prop.</v>
      </c>
      <c r="AD3447" t="str">
        <f t="shared" ca="1" si="3565"/>
        <v>FALSE</v>
      </c>
      <c r="AE3447" s="1" t="str">
        <f t="shared" ca="1" si="3586"/>
        <v>Garage 88-89</v>
      </c>
      <c r="AF3447" t="str">
        <f t="shared" ca="1" si="3563"/>
        <v>Garage 88-89</v>
      </c>
    </row>
    <row r="3448" spans="28:32" x14ac:dyDescent="0.25">
      <c r="AB3448" t="str">
        <f t="shared" ref="AB3448:AC3448" si="3592">AB3427</f>
        <v>External Scaffolding</v>
      </c>
      <c r="AC3448" t="str">
        <f t="shared" si="3592"/>
        <v>Hop-ups</v>
      </c>
      <c r="AD3448" t="b">
        <f t="shared" ca="1" si="3565"/>
        <v>1</v>
      </c>
      <c r="AE3448" s="1" t="str">
        <f t="shared" ca="1" si="3586"/>
        <v>Garage 88-89</v>
      </c>
      <c r="AF3448" t="str">
        <f t="shared" ca="1" si="3563"/>
        <v>Garage 88-89</v>
      </c>
    </row>
    <row r="3449" spans="28:32" x14ac:dyDescent="0.25">
      <c r="AB3449" t="str">
        <f t="shared" ref="AB3449:AC3449" si="3593">AB3428</f>
        <v>External Scaffolding</v>
      </c>
      <c r="AC3449" t="str">
        <f t="shared" si="3593"/>
        <v>Adaptions</v>
      </c>
      <c r="AD3449" t="b">
        <f t="shared" ca="1" si="3565"/>
        <v>1</v>
      </c>
      <c r="AE3449" s="1" t="str">
        <f t="shared" ca="1" si="3586"/>
        <v>Garage 88-89</v>
      </c>
      <c r="AF3449" t="str">
        <f t="shared" ca="1" si="3563"/>
        <v>Garage 88-89</v>
      </c>
    </row>
    <row r="3450" spans="28:32" x14ac:dyDescent="0.25">
      <c r="AB3450" t="str">
        <f t="shared" ref="AB3450:AC3450" si="3594">AB3429</f>
        <v>External Scaffolding</v>
      </c>
      <c r="AC3450" t="str">
        <f t="shared" si="3594"/>
        <v>Adaption Tower</v>
      </c>
      <c r="AD3450" t="b">
        <f t="shared" ca="1" si="3565"/>
        <v>1</v>
      </c>
      <c r="AE3450" s="1" t="str">
        <f t="shared" ca="1" si="3586"/>
        <v>Garage 88-89</v>
      </c>
      <c r="AF3450" t="str">
        <f t="shared" ca="1" si="3563"/>
        <v>Garage 88-89</v>
      </c>
    </row>
    <row r="3451" spans="28:32" x14ac:dyDescent="0.25">
      <c r="AB3451" t="str">
        <f t="shared" ref="AB3451:AC3451" si="3595">AB3430</f>
        <v>External Scaffolding</v>
      </c>
      <c r="AC3451" t="str">
        <f t="shared" si="3595"/>
        <v>Lift 1</v>
      </c>
      <c r="AD3451" t="b">
        <f t="shared" ca="1" si="3565"/>
        <v>1</v>
      </c>
      <c r="AE3451" s="1" t="str">
        <f t="shared" ca="1" si="3586"/>
        <v>Garage 90</v>
      </c>
      <c r="AF3451" t="str">
        <f t="shared" ca="1" si="3563"/>
        <v>Garage 90</v>
      </c>
    </row>
    <row r="3452" spans="28:32" x14ac:dyDescent="0.25">
      <c r="AB3452" t="str">
        <f t="shared" ref="AB3452:AC3452" si="3596">AB3431</f>
        <v>External Scaffolding</v>
      </c>
      <c r="AC3452" t="str">
        <f t="shared" si="3596"/>
        <v>Lift 2</v>
      </c>
      <c r="AD3452" t="b">
        <f t="shared" ca="1" si="3565"/>
        <v>1</v>
      </c>
      <c r="AE3452" s="1" t="str">
        <f t="shared" ca="1" si="3586"/>
        <v>Garage 90</v>
      </c>
      <c r="AF3452" t="str">
        <f t="shared" ca="1" si="3563"/>
        <v>Garage 90</v>
      </c>
    </row>
    <row r="3453" spans="28:32" x14ac:dyDescent="0.25">
      <c r="AB3453" t="str">
        <f t="shared" ref="AB3453:AC3453" si="3597">AB3432</f>
        <v>External Scaffolding</v>
      </c>
      <c r="AC3453" t="str">
        <f t="shared" si="3597"/>
        <v>Lift 3</v>
      </c>
      <c r="AD3453" t="b">
        <f t="shared" ca="1" si="3565"/>
        <v>1</v>
      </c>
      <c r="AE3453" s="1" t="str">
        <f t="shared" ca="1" si="3586"/>
        <v>Garage 90</v>
      </c>
      <c r="AF3453" t="str">
        <f t="shared" ca="1" si="3563"/>
        <v>Garage 90</v>
      </c>
    </row>
    <row r="3454" spans="28:32" x14ac:dyDescent="0.25">
      <c r="AB3454" t="str">
        <f t="shared" ref="AB3454:AC3454" si="3598">AB3433</f>
        <v>External Scaffolding</v>
      </c>
      <c r="AC3454" t="str">
        <f t="shared" si="3598"/>
        <v>Lift 4</v>
      </c>
      <c r="AD3454" t="b">
        <f t="shared" ca="1" si="3565"/>
        <v>0</v>
      </c>
      <c r="AE3454" s="1" t="str">
        <f t="shared" ca="1" si="3586"/>
        <v>Garage 90</v>
      </c>
      <c r="AF3454" t="str">
        <f t="shared" ca="1" si="3563"/>
        <v>Garage 90</v>
      </c>
    </row>
    <row r="3455" spans="28:32" x14ac:dyDescent="0.25">
      <c r="AB3455" t="str">
        <f t="shared" ref="AB3455:AC3455" si="3599">AB3434</f>
        <v>External Scaffolding</v>
      </c>
      <c r="AC3455" t="str">
        <f t="shared" si="3599"/>
        <v>Lift 5</v>
      </c>
      <c r="AD3455" t="b">
        <f t="shared" ca="1" si="3565"/>
        <v>0</v>
      </c>
      <c r="AE3455" s="1" t="str">
        <f t="shared" ca="1" si="3586"/>
        <v>Garage 90</v>
      </c>
      <c r="AF3455" t="str">
        <f t="shared" ca="1" si="3563"/>
        <v>Garage 90</v>
      </c>
    </row>
    <row r="3456" spans="28:32" x14ac:dyDescent="0.25">
      <c r="AB3456" t="str">
        <f t="shared" ref="AB3456:AC3456" si="3600">AB3435</f>
        <v>External Scaffolding</v>
      </c>
      <c r="AC3456" t="str">
        <f t="shared" si="3600"/>
        <v>Lift 6</v>
      </c>
      <c r="AD3456" t="b">
        <f t="shared" ca="1" si="3565"/>
        <v>0</v>
      </c>
      <c r="AE3456" s="1" t="str">
        <f t="shared" ca="1" si="3586"/>
        <v>Garage 90</v>
      </c>
      <c r="AF3456" t="str">
        <f t="shared" ca="1" si="3563"/>
        <v>Garage 90</v>
      </c>
    </row>
    <row r="3457" spans="28:32" x14ac:dyDescent="0.25">
      <c r="AB3457" t="str">
        <f t="shared" ref="AB3457:AC3457" si="3601">AB3436</f>
        <v>Loading Bay</v>
      </c>
      <c r="AC3457" t="str">
        <f t="shared" si="3601"/>
        <v>Lift 1</v>
      </c>
      <c r="AD3457" t="b">
        <f t="shared" ca="1" si="3565"/>
        <v>1</v>
      </c>
      <c r="AE3457" s="1" t="str">
        <f t="shared" ca="1" si="3586"/>
        <v>Garage 90</v>
      </c>
      <c r="AF3457" t="str">
        <f t="shared" ca="1" si="3563"/>
        <v>Garage 90</v>
      </c>
    </row>
    <row r="3458" spans="28:32" x14ac:dyDescent="0.25">
      <c r="AB3458" t="str">
        <f t="shared" ref="AB3458:AC3458" si="3602">AB3437</f>
        <v>Loading Bay</v>
      </c>
      <c r="AC3458" t="str">
        <f t="shared" si="3602"/>
        <v>Lift 2</v>
      </c>
      <c r="AD3458" t="b">
        <f t="shared" ca="1" si="3565"/>
        <v>1</v>
      </c>
      <c r="AE3458" s="1" t="str">
        <f t="shared" ca="1" si="3586"/>
        <v>Garage 90</v>
      </c>
      <c r="AF3458" t="str">
        <f t="shared" ca="1" si="3563"/>
        <v>Garage 90</v>
      </c>
    </row>
    <row r="3459" spans="28:32" x14ac:dyDescent="0.25">
      <c r="AB3459" t="str">
        <f t="shared" ref="AB3459:AC3459" si="3603">AB3438</f>
        <v>Loading Bay</v>
      </c>
      <c r="AC3459" t="str">
        <f t="shared" si="3603"/>
        <v>Lift 3</v>
      </c>
      <c r="AD3459" t="b">
        <f t="shared" ca="1" si="3565"/>
        <v>1</v>
      </c>
      <c r="AE3459" s="1" t="str">
        <f t="shared" ca="1" si="3586"/>
        <v>Garage 90</v>
      </c>
      <c r="AF3459" t="str">
        <f t="shared" ca="1" si="3563"/>
        <v>Garage 90</v>
      </c>
    </row>
    <row r="3460" spans="28:32" x14ac:dyDescent="0.25">
      <c r="AB3460" t="str">
        <f t="shared" ref="AB3460:AC3460" si="3604">AB3439</f>
        <v>Loading Bay</v>
      </c>
      <c r="AC3460" t="str">
        <f t="shared" si="3604"/>
        <v>Lift 4</v>
      </c>
      <c r="AD3460" t="b">
        <f t="shared" ca="1" si="3565"/>
        <v>0</v>
      </c>
      <c r="AE3460" s="1" t="str">
        <f t="shared" ca="1" si="3586"/>
        <v>Garage 90</v>
      </c>
      <c r="AF3460" t="str">
        <f t="shared" ca="1" si="3563"/>
        <v>Garage 90</v>
      </c>
    </row>
    <row r="3461" spans="28:32" x14ac:dyDescent="0.25">
      <c r="AB3461" t="str">
        <f t="shared" ref="AB3461:AC3461" si="3605">AB3440</f>
        <v>Loading Bay</v>
      </c>
      <c r="AC3461" t="str">
        <f t="shared" si="3605"/>
        <v>Lift 5</v>
      </c>
      <c r="AD3461" t="b">
        <f t="shared" ca="1" si="3565"/>
        <v>0</v>
      </c>
      <c r="AE3461" s="1" t="str">
        <f t="shared" ca="1" si="3586"/>
        <v>Garage 90</v>
      </c>
      <c r="AF3461" t="str">
        <f t="shared" ca="1" si="3563"/>
        <v>Garage 90</v>
      </c>
    </row>
    <row r="3462" spans="28:32" x14ac:dyDescent="0.25">
      <c r="AB3462" t="str">
        <f t="shared" ref="AB3462:AC3462" si="3606">AB3441</f>
        <v>Loading Bay</v>
      </c>
      <c r="AC3462" t="str">
        <f t="shared" si="3606"/>
        <v>Lift 6</v>
      </c>
      <c r="AD3462" t="b">
        <f t="shared" ca="1" si="3565"/>
        <v>0</v>
      </c>
      <c r="AE3462" s="1" t="str">
        <f t="shared" ca="1" si="3586"/>
        <v>Garage 90</v>
      </c>
      <c r="AF3462" t="str">
        <f t="shared" ca="1" si="3563"/>
        <v>Garage 90</v>
      </c>
    </row>
    <row r="3463" spans="28:32" x14ac:dyDescent="0.25">
      <c r="AB3463" t="str">
        <f t="shared" ref="AB3463:AC3463" si="3607">AB3442</f>
        <v>Scaffolding Platform</v>
      </c>
      <c r="AC3463" t="str">
        <f t="shared" si="3607"/>
        <v>Ground Floor</v>
      </c>
      <c r="AD3463" t="b">
        <f t="shared" ca="1" si="3565"/>
        <v>1</v>
      </c>
      <c r="AE3463" s="1" t="str">
        <f t="shared" ca="1" si="3586"/>
        <v>Garage 90</v>
      </c>
      <c r="AF3463" t="str">
        <f t="shared" ca="1" si="3563"/>
        <v>Garage 90</v>
      </c>
    </row>
    <row r="3464" spans="28:32" x14ac:dyDescent="0.25">
      <c r="AB3464" t="str">
        <f t="shared" ref="AB3464:AC3464" si="3608">AB3443</f>
        <v>Scaffolding Platform</v>
      </c>
      <c r="AC3464" t="str">
        <f t="shared" si="3608"/>
        <v>First Floor</v>
      </c>
      <c r="AD3464" t="b">
        <f t="shared" ca="1" si="3565"/>
        <v>0</v>
      </c>
      <c r="AE3464" s="1" t="str">
        <f t="shared" ca="1" si="3586"/>
        <v>Garage 90</v>
      </c>
      <c r="AF3464" t="str">
        <f t="shared" ca="1" si="3563"/>
        <v>Garage 90</v>
      </c>
    </row>
    <row r="3465" spans="28:32" x14ac:dyDescent="0.25">
      <c r="AB3465" t="str">
        <f t="shared" ref="AB3465:AC3465" si="3609">AB3444</f>
        <v>Scaffolding Platform</v>
      </c>
      <c r="AC3465" t="str">
        <f t="shared" si="3609"/>
        <v>Second Floor</v>
      </c>
      <c r="AD3465" t="b">
        <f t="shared" ca="1" si="3565"/>
        <v>0</v>
      </c>
      <c r="AE3465" s="1" t="str">
        <f t="shared" ca="1" si="3586"/>
        <v>Garage 90</v>
      </c>
      <c r="AF3465" t="str">
        <f t="shared" ca="1" si="3563"/>
        <v>Garage 90</v>
      </c>
    </row>
    <row r="3466" spans="28:32" x14ac:dyDescent="0.25">
      <c r="AB3466" t="str">
        <f t="shared" ref="AB3466:AC3466" si="3610">AB3445</f>
        <v>Supporting Scaffold</v>
      </c>
      <c r="AC3466" t="str">
        <f t="shared" si="3610"/>
        <v>Ground Floor Prop.</v>
      </c>
      <c r="AD3466" t="str">
        <f t="shared" ca="1" si="3565"/>
        <v>FALSE</v>
      </c>
      <c r="AE3466" s="1" t="str">
        <f t="shared" ca="1" si="3586"/>
        <v>Garage 90</v>
      </c>
      <c r="AF3466" t="str">
        <f t="shared" ca="1" si="3563"/>
        <v>Garage 90</v>
      </c>
    </row>
    <row r="3467" spans="28:32" x14ac:dyDescent="0.25">
      <c r="AB3467" t="str">
        <f t="shared" ref="AB3467:AC3467" si="3611">AB3446</f>
        <v>Supporting Scaffold</v>
      </c>
      <c r="AC3467" t="str">
        <f t="shared" si="3611"/>
        <v>First Floor Prop.</v>
      </c>
      <c r="AD3467" t="str">
        <f t="shared" ca="1" si="3565"/>
        <v>FALSE</v>
      </c>
      <c r="AE3467" s="1" t="str">
        <f t="shared" ca="1" si="3586"/>
        <v>Garage 90</v>
      </c>
      <c r="AF3467" t="str">
        <f t="shared" ca="1" si="3563"/>
        <v>Garage 90</v>
      </c>
    </row>
    <row r="3468" spans="28:32" x14ac:dyDescent="0.25">
      <c r="AB3468" t="str">
        <f t="shared" ref="AB3468:AC3468" si="3612">AB3447</f>
        <v>Supporting Scaffold</v>
      </c>
      <c r="AC3468" t="str">
        <f t="shared" si="3612"/>
        <v>Second Floor Prop.</v>
      </c>
      <c r="AD3468" t="str">
        <f t="shared" ca="1" si="3565"/>
        <v>FALSE</v>
      </c>
      <c r="AE3468" s="1" t="str">
        <f t="shared" ca="1" si="3586"/>
        <v>Garage 90</v>
      </c>
      <c r="AF3468" t="str">
        <f t="shared" ca="1" si="3563"/>
        <v>Garage 90</v>
      </c>
    </row>
    <row r="3469" spans="28:32" x14ac:dyDescent="0.25">
      <c r="AB3469" t="str">
        <f t="shared" ref="AB3469:AC3469" si="3613">AB3448</f>
        <v>External Scaffolding</v>
      </c>
      <c r="AC3469" t="str">
        <f t="shared" si="3613"/>
        <v>Hop-ups</v>
      </c>
      <c r="AD3469" t="b">
        <f t="shared" ca="1" si="3565"/>
        <v>1</v>
      </c>
      <c r="AE3469" s="1" t="str">
        <f t="shared" ca="1" si="3586"/>
        <v>Garage 90</v>
      </c>
      <c r="AF3469" t="str">
        <f t="shared" ca="1" si="3563"/>
        <v>Garage 90</v>
      </c>
    </row>
    <row r="3470" spans="28:32" x14ac:dyDescent="0.25">
      <c r="AB3470" t="str">
        <f t="shared" ref="AB3470:AC3470" si="3614">AB3449</f>
        <v>External Scaffolding</v>
      </c>
      <c r="AC3470" t="str">
        <f t="shared" si="3614"/>
        <v>Adaptions</v>
      </c>
      <c r="AD3470" t="b">
        <f t="shared" ca="1" si="3565"/>
        <v>1</v>
      </c>
      <c r="AE3470" s="1" t="str">
        <f t="shared" ca="1" si="3586"/>
        <v>Garage 90</v>
      </c>
      <c r="AF3470" t="str">
        <f t="shared" ca="1" si="3563"/>
        <v>Garage 90</v>
      </c>
    </row>
    <row r="3471" spans="28:32" x14ac:dyDescent="0.25">
      <c r="AB3471" t="str">
        <f t="shared" ref="AB3471:AC3471" si="3615">AB3450</f>
        <v>External Scaffolding</v>
      </c>
      <c r="AC3471" t="str">
        <f t="shared" si="3615"/>
        <v>Adaption Tower</v>
      </c>
      <c r="AD3471" t="b">
        <f t="shared" ca="1" si="3565"/>
        <v>1</v>
      </c>
      <c r="AE3471" s="1" t="str">
        <f t="shared" ca="1" si="3586"/>
        <v>Garage 90</v>
      </c>
      <c r="AF3471" t="str">
        <f t="shared" ca="1" si="3563"/>
        <v>Garage 90</v>
      </c>
    </row>
    <row r="3472" spans="28:32" x14ac:dyDescent="0.25">
      <c r="AB3472" t="str">
        <f t="shared" ref="AB3472:AC3472" si="3616">AB3451</f>
        <v>External Scaffolding</v>
      </c>
      <c r="AC3472" t="str">
        <f t="shared" si="3616"/>
        <v>Lift 1</v>
      </c>
      <c r="AD3472" t="b">
        <f t="shared" ca="1" si="3565"/>
        <v>1</v>
      </c>
      <c r="AE3472" s="1" t="str">
        <f t="shared" ca="1" si="3586"/>
        <v>Garage 109</v>
      </c>
      <c r="AF3472" t="str">
        <f t="shared" ca="1" si="3563"/>
        <v>Garage 109</v>
      </c>
    </row>
    <row r="3473" spans="28:32" x14ac:dyDescent="0.25">
      <c r="AB3473" t="str">
        <f t="shared" ref="AB3473:AC3473" si="3617">AB3452</f>
        <v>External Scaffolding</v>
      </c>
      <c r="AC3473" t="str">
        <f t="shared" si="3617"/>
        <v>Lift 2</v>
      </c>
      <c r="AD3473" t="b">
        <f t="shared" ca="1" si="3565"/>
        <v>1</v>
      </c>
      <c r="AE3473" s="1" t="str">
        <f t="shared" ca="1" si="3586"/>
        <v>Garage 109</v>
      </c>
      <c r="AF3473" t="str">
        <f t="shared" ca="1" si="3563"/>
        <v>Garage 109</v>
      </c>
    </row>
    <row r="3474" spans="28:32" x14ac:dyDescent="0.25">
      <c r="AB3474" t="str">
        <f t="shared" ref="AB3474:AC3474" si="3618">AB3453</f>
        <v>External Scaffolding</v>
      </c>
      <c r="AC3474" t="str">
        <f t="shared" si="3618"/>
        <v>Lift 3</v>
      </c>
      <c r="AD3474" t="b">
        <f t="shared" ca="1" si="3565"/>
        <v>1</v>
      </c>
      <c r="AE3474" s="1" t="str">
        <f t="shared" ca="1" si="3586"/>
        <v>Garage 109</v>
      </c>
      <c r="AF3474" t="str">
        <f t="shared" ca="1" si="3563"/>
        <v>Garage 109</v>
      </c>
    </row>
    <row r="3475" spans="28:32" x14ac:dyDescent="0.25">
      <c r="AB3475" t="str">
        <f t="shared" ref="AB3475:AC3475" si="3619">AB3454</f>
        <v>External Scaffolding</v>
      </c>
      <c r="AC3475" t="str">
        <f t="shared" si="3619"/>
        <v>Lift 4</v>
      </c>
      <c r="AD3475" t="b">
        <f t="shared" ca="1" si="3565"/>
        <v>0</v>
      </c>
      <c r="AE3475" s="1" t="str">
        <f t="shared" ca="1" si="3586"/>
        <v>Garage 109</v>
      </c>
      <c r="AF3475" t="str">
        <f t="shared" ca="1" si="3563"/>
        <v>Garage 109</v>
      </c>
    </row>
    <row r="3476" spans="28:32" x14ac:dyDescent="0.25">
      <c r="AB3476" t="str">
        <f t="shared" ref="AB3476:AC3476" si="3620">AB3455</f>
        <v>External Scaffolding</v>
      </c>
      <c r="AC3476" t="str">
        <f t="shared" si="3620"/>
        <v>Lift 5</v>
      </c>
      <c r="AD3476" t="b">
        <f t="shared" ca="1" si="3565"/>
        <v>0</v>
      </c>
      <c r="AE3476" s="1" t="str">
        <f t="shared" ca="1" si="3586"/>
        <v>Garage 109</v>
      </c>
      <c r="AF3476" t="str">
        <f t="shared" ca="1" si="3563"/>
        <v>Garage 109</v>
      </c>
    </row>
    <row r="3477" spans="28:32" x14ac:dyDescent="0.25">
      <c r="AB3477" t="str">
        <f t="shared" ref="AB3477:AC3477" si="3621">AB3456</f>
        <v>External Scaffolding</v>
      </c>
      <c r="AC3477" t="str">
        <f t="shared" si="3621"/>
        <v>Lift 6</v>
      </c>
      <c r="AD3477" t="b">
        <f t="shared" ca="1" si="3565"/>
        <v>0</v>
      </c>
      <c r="AE3477" s="1" t="str">
        <f t="shared" ca="1" si="3586"/>
        <v>Garage 109</v>
      </c>
      <c r="AF3477" t="str">
        <f t="shared" ca="1" si="3563"/>
        <v>Garage 109</v>
      </c>
    </row>
    <row r="3478" spans="28:32" x14ac:dyDescent="0.25">
      <c r="AB3478" t="str">
        <f t="shared" ref="AB3478:AC3478" si="3622">AB3457</f>
        <v>Loading Bay</v>
      </c>
      <c r="AC3478" t="str">
        <f t="shared" si="3622"/>
        <v>Lift 1</v>
      </c>
      <c r="AD3478" t="b">
        <f t="shared" ca="1" si="3565"/>
        <v>1</v>
      </c>
      <c r="AE3478" s="1" t="str">
        <f t="shared" ca="1" si="3586"/>
        <v>Garage 109</v>
      </c>
      <c r="AF3478" t="str">
        <f t="shared" ca="1" si="3563"/>
        <v>Garage 109</v>
      </c>
    </row>
    <row r="3479" spans="28:32" x14ac:dyDescent="0.25">
      <c r="AB3479" t="str">
        <f t="shared" ref="AB3479:AC3479" si="3623">AB3458</f>
        <v>Loading Bay</v>
      </c>
      <c r="AC3479" t="str">
        <f t="shared" si="3623"/>
        <v>Lift 2</v>
      </c>
      <c r="AD3479" t="b">
        <f t="shared" ca="1" si="3565"/>
        <v>1</v>
      </c>
      <c r="AE3479" s="1" t="str">
        <f t="shared" ca="1" si="3586"/>
        <v>Garage 109</v>
      </c>
      <c r="AF3479" t="str">
        <f t="shared" ca="1" si="3563"/>
        <v>Garage 109</v>
      </c>
    </row>
    <row r="3480" spans="28:32" x14ac:dyDescent="0.25">
      <c r="AB3480" t="str">
        <f t="shared" ref="AB3480:AC3480" si="3624">AB3459</f>
        <v>Loading Bay</v>
      </c>
      <c r="AC3480" t="str">
        <f t="shared" si="3624"/>
        <v>Lift 3</v>
      </c>
      <c r="AD3480" t="b">
        <f t="shared" ca="1" si="3565"/>
        <v>1</v>
      </c>
      <c r="AE3480" s="1" t="str">
        <f t="shared" ca="1" si="3586"/>
        <v>Garage 109</v>
      </c>
      <c r="AF3480" t="str">
        <f t="shared" ca="1" si="3563"/>
        <v>Garage 109</v>
      </c>
    </row>
    <row r="3481" spans="28:32" x14ac:dyDescent="0.25">
      <c r="AB3481" t="str">
        <f t="shared" ref="AB3481:AC3481" si="3625">AB3460</f>
        <v>Loading Bay</v>
      </c>
      <c r="AC3481" t="str">
        <f t="shared" si="3625"/>
        <v>Lift 4</v>
      </c>
      <c r="AD3481" t="b">
        <f t="shared" ca="1" si="3565"/>
        <v>0</v>
      </c>
      <c r="AE3481" s="1" t="str">
        <f t="shared" ca="1" si="3586"/>
        <v>Garage 109</v>
      </c>
      <c r="AF3481" t="str">
        <f t="shared" ca="1" si="3563"/>
        <v>Garage 109</v>
      </c>
    </row>
    <row r="3482" spans="28:32" x14ac:dyDescent="0.25">
      <c r="AB3482" t="str">
        <f t="shared" ref="AB3482:AC3482" si="3626">AB3461</f>
        <v>Loading Bay</v>
      </c>
      <c r="AC3482" t="str">
        <f t="shared" si="3626"/>
        <v>Lift 5</v>
      </c>
      <c r="AD3482" t="b">
        <f t="shared" ca="1" si="3565"/>
        <v>0</v>
      </c>
      <c r="AE3482" s="1" t="str">
        <f t="shared" ca="1" si="3586"/>
        <v>Garage 109</v>
      </c>
      <c r="AF3482" t="str">
        <f t="shared" ca="1" si="3563"/>
        <v>Garage 109</v>
      </c>
    </row>
    <row r="3483" spans="28:32" x14ac:dyDescent="0.25">
      <c r="AB3483" t="str">
        <f t="shared" ref="AB3483:AC3483" si="3627">AB3462</f>
        <v>Loading Bay</v>
      </c>
      <c r="AC3483" t="str">
        <f t="shared" si="3627"/>
        <v>Lift 6</v>
      </c>
      <c r="AD3483" t="b">
        <f t="shared" ca="1" si="3565"/>
        <v>0</v>
      </c>
      <c r="AE3483" s="1" t="str">
        <f t="shared" ca="1" si="3586"/>
        <v>Garage 109</v>
      </c>
      <c r="AF3483" t="str">
        <f t="shared" ca="1" si="3563"/>
        <v>Garage 109</v>
      </c>
    </row>
    <row r="3484" spans="28:32" x14ac:dyDescent="0.25">
      <c r="AB3484" t="str">
        <f t="shared" ref="AB3484:AC3484" si="3628">AB3463</f>
        <v>Scaffolding Platform</v>
      </c>
      <c r="AC3484" t="str">
        <f t="shared" si="3628"/>
        <v>Ground Floor</v>
      </c>
      <c r="AD3484" t="b">
        <f t="shared" ca="1" si="3565"/>
        <v>1</v>
      </c>
      <c r="AE3484" s="1" t="str">
        <f t="shared" ca="1" si="3586"/>
        <v>Garage 109</v>
      </c>
      <c r="AF3484" t="str">
        <f t="shared" ca="1" si="3563"/>
        <v>Garage 109</v>
      </c>
    </row>
    <row r="3485" spans="28:32" x14ac:dyDescent="0.25">
      <c r="AB3485" t="str">
        <f t="shared" ref="AB3485:AC3485" si="3629">AB3464</f>
        <v>Scaffolding Platform</v>
      </c>
      <c r="AC3485" t="str">
        <f t="shared" si="3629"/>
        <v>First Floor</v>
      </c>
      <c r="AD3485" t="b">
        <f t="shared" ca="1" si="3565"/>
        <v>0</v>
      </c>
      <c r="AE3485" s="1" t="str">
        <f t="shared" ca="1" si="3586"/>
        <v>Garage 109</v>
      </c>
      <c r="AF3485" t="str">
        <f t="shared" ref="AF3485:AF3548" ca="1" si="3630">IF(LEFT(AE3485,1)="G",AE3485,"Plot "&amp;AE3485)</f>
        <v>Garage 109</v>
      </c>
    </row>
    <row r="3486" spans="28:32" x14ac:dyDescent="0.25">
      <c r="AB3486" t="str">
        <f t="shared" ref="AB3486:AC3486" si="3631">AB3465</f>
        <v>Scaffolding Platform</v>
      </c>
      <c r="AC3486" t="str">
        <f t="shared" si="3631"/>
        <v>Second Floor</v>
      </c>
      <c r="AD3486" t="b">
        <f t="shared" ref="AD3486:AD3549" ca="1" si="3632">INDEX($AC$1:$JH$22,MATCH(AC3486,$AC$1:$AC$22,0),MATCH(AE3486,$AC$1:$JH$1,0))</f>
        <v>0</v>
      </c>
      <c r="AE3486" s="1" t="str">
        <f t="shared" ca="1" si="3586"/>
        <v>Garage 109</v>
      </c>
      <c r="AF3486" t="str">
        <f t="shared" ca="1" si="3630"/>
        <v>Garage 109</v>
      </c>
    </row>
    <row r="3487" spans="28:32" x14ac:dyDescent="0.25">
      <c r="AB3487" t="str">
        <f t="shared" ref="AB3487:AC3487" si="3633">AB3466</f>
        <v>Supporting Scaffold</v>
      </c>
      <c r="AC3487" t="str">
        <f t="shared" si="3633"/>
        <v>Ground Floor Prop.</v>
      </c>
      <c r="AD3487" t="str">
        <f t="shared" ca="1" si="3632"/>
        <v>FALSE</v>
      </c>
      <c r="AE3487" s="1" t="str">
        <f t="shared" ca="1" si="3586"/>
        <v>Garage 109</v>
      </c>
      <c r="AF3487" t="str">
        <f t="shared" ca="1" si="3630"/>
        <v>Garage 109</v>
      </c>
    </row>
    <row r="3488" spans="28:32" x14ac:dyDescent="0.25">
      <c r="AB3488" t="str">
        <f t="shared" ref="AB3488:AC3488" si="3634">AB3467</f>
        <v>Supporting Scaffold</v>
      </c>
      <c r="AC3488" t="str">
        <f t="shared" si="3634"/>
        <v>First Floor Prop.</v>
      </c>
      <c r="AD3488" t="str">
        <f t="shared" ca="1" si="3632"/>
        <v>FALSE</v>
      </c>
      <c r="AE3488" s="1" t="str">
        <f t="shared" ca="1" si="3586"/>
        <v>Garage 109</v>
      </c>
      <c r="AF3488" t="str">
        <f t="shared" ca="1" si="3630"/>
        <v>Garage 109</v>
      </c>
    </row>
    <row r="3489" spans="28:32" x14ac:dyDescent="0.25">
      <c r="AB3489" t="str">
        <f t="shared" ref="AB3489:AC3489" si="3635">AB3468</f>
        <v>Supporting Scaffold</v>
      </c>
      <c r="AC3489" t="str">
        <f t="shared" si="3635"/>
        <v>Second Floor Prop.</v>
      </c>
      <c r="AD3489" t="str">
        <f t="shared" ca="1" si="3632"/>
        <v>FALSE</v>
      </c>
      <c r="AE3489" s="1" t="str">
        <f t="shared" ca="1" si="3586"/>
        <v>Garage 109</v>
      </c>
      <c r="AF3489" t="str">
        <f t="shared" ca="1" si="3630"/>
        <v>Garage 109</v>
      </c>
    </row>
    <row r="3490" spans="28:32" x14ac:dyDescent="0.25">
      <c r="AB3490" t="str">
        <f t="shared" ref="AB3490:AC3490" si="3636">AB3469</f>
        <v>External Scaffolding</v>
      </c>
      <c r="AC3490" t="str">
        <f t="shared" si="3636"/>
        <v>Hop-ups</v>
      </c>
      <c r="AD3490" t="b">
        <f t="shared" ca="1" si="3632"/>
        <v>1</v>
      </c>
      <c r="AE3490" s="1" t="str">
        <f t="shared" ca="1" si="3586"/>
        <v>Garage 109</v>
      </c>
      <c r="AF3490" t="str">
        <f t="shared" ca="1" si="3630"/>
        <v>Garage 109</v>
      </c>
    </row>
    <row r="3491" spans="28:32" x14ac:dyDescent="0.25">
      <c r="AB3491" t="str">
        <f t="shared" ref="AB3491:AC3491" si="3637">AB3470</f>
        <v>External Scaffolding</v>
      </c>
      <c r="AC3491" t="str">
        <f t="shared" si="3637"/>
        <v>Adaptions</v>
      </c>
      <c r="AD3491" t="b">
        <f t="shared" ca="1" si="3632"/>
        <v>1</v>
      </c>
      <c r="AE3491" s="1" t="str">
        <f t="shared" ca="1" si="3586"/>
        <v>Garage 109</v>
      </c>
      <c r="AF3491" t="str">
        <f t="shared" ca="1" si="3630"/>
        <v>Garage 109</v>
      </c>
    </row>
    <row r="3492" spans="28:32" x14ac:dyDescent="0.25">
      <c r="AB3492" t="str">
        <f t="shared" ref="AB3492:AC3492" si="3638">AB3471</f>
        <v>External Scaffolding</v>
      </c>
      <c r="AC3492" t="str">
        <f t="shared" si="3638"/>
        <v>Adaption Tower</v>
      </c>
      <c r="AD3492" t="b">
        <f t="shared" ca="1" si="3632"/>
        <v>1</v>
      </c>
      <c r="AE3492" s="1" t="str">
        <f t="shared" ca="1" si="3586"/>
        <v>Garage 109</v>
      </c>
      <c r="AF3492" t="str">
        <f t="shared" ca="1" si="3630"/>
        <v>Garage 109</v>
      </c>
    </row>
    <row r="3493" spans="28:32" x14ac:dyDescent="0.25">
      <c r="AB3493" t="str">
        <f t="shared" ref="AB3493:AC3493" si="3639">AB3472</f>
        <v>External Scaffolding</v>
      </c>
      <c r="AC3493" t="str">
        <f t="shared" si="3639"/>
        <v>Lift 1</v>
      </c>
      <c r="AD3493" t="b">
        <f t="shared" ca="1" si="3632"/>
        <v>1</v>
      </c>
      <c r="AE3493" s="1" t="str">
        <f t="shared" ca="1" si="3586"/>
        <v>Garage 120</v>
      </c>
      <c r="AF3493" t="str">
        <f t="shared" ca="1" si="3630"/>
        <v>Garage 120</v>
      </c>
    </row>
    <row r="3494" spans="28:32" x14ac:dyDescent="0.25">
      <c r="AB3494" t="str">
        <f t="shared" ref="AB3494:AC3494" si="3640">AB3473</f>
        <v>External Scaffolding</v>
      </c>
      <c r="AC3494" t="str">
        <f t="shared" si="3640"/>
        <v>Lift 2</v>
      </c>
      <c r="AD3494" t="b">
        <f t="shared" ca="1" si="3632"/>
        <v>1</v>
      </c>
      <c r="AE3494" s="1" t="str">
        <f t="shared" ca="1" si="3586"/>
        <v>Garage 120</v>
      </c>
      <c r="AF3494" t="str">
        <f t="shared" ca="1" si="3630"/>
        <v>Garage 120</v>
      </c>
    </row>
    <row r="3495" spans="28:32" x14ac:dyDescent="0.25">
      <c r="AB3495" t="str">
        <f t="shared" ref="AB3495:AC3495" si="3641">AB3474</f>
        <v>External Scaffolding</v>
      </c>
      <c r="AC3495" t="str">
        <f t="shared" si="3641"/>
        <v>Lift 3</v>
      </c>
      <c r="AD3495" t="b">
        <f t="shared" ca="1" si="3632"/>
        <v>1</v>
      </c>
      <c r="AE3495" s="1" t="str">
        <f t="shared" ca="1" si="3586"/>
        <v>Garage 120</v>
      </c>
      <c r="AF3495" t="str">
        <f t="shared" ca="1" si="3630"/>
        <v>Garage 120</v>
      </c>
    </row>
    <row r="3496" spans="28:32" x14ac:dyDescent="0.25">
      <c r="AB3496" t="str">
        <f t="shared" ref="AB3496:AC3496" si="3642">AB3475</f>
        <v>External Scaffolding</v>
      </c>
      <c r="AC3496" t="str">
        <f t="shared" si="3642"/>
        <v>Lift 4</v>
      </c>
      <c r="AD3496" t="b">
        <f t="shared" ca="1" si="3632"/>
        <v>0</v>
      </c>
      <c r="AE3496" s="1" t="str">
        <f t="shared" ca="1" si="3586"/>
        <v>Garage 120</v>
      </c>
      <c r="AF3496" t="str">
        <f t="shared" ca="1" si="3630"/>
        <v>Garage 120</v>
      </c>
    </row>
    <row r="3497" spans="28:32" x14ac:dyDescent="0.25">
      <c r="AB3497" t="str">
        <f t="shared" ref="AB3497:AC3497" si="3643">AB3476</f>
        <v>External Scaffolding</v>
      </c>
      <c r="AC3497" t="str">
        <f t="shared" si="3643"/>
        <v>Lift 5</v>
      </c>
      <c r="AD3497" t="b">
        <f t="shared" ca="1" si="3632"/>
        <v>0</v>
      </c>
      <c r="AE3497" s="1" t="str">
        <f t="shared" ca="1" si="3586"/>
        <v>Garage 120</v>
      </c>
      <c r="AF3497" t="str">
        <f t="shared" ca="1" si="3630"/>
        <v>Garage 120</v>
      </c>
    </row>
    <row r="3498" spans="28:32" x14ac:dyDescent="0.25">
      <c r="AB3498" t="str">
        <f t="shared" ref="AB3498:AC3498" si="3644">AB3477</f>
        <v>External Scaffolding</v>
      </c>
      <c r="AC3498" t="str">
        <f t="shared" si="3644"/>
        <v>Lift 6</v>
      </c>
      <c r="AD3498" t="b">
        <f t="shared" ca="1" si="3632"/>
        <v>0</v>
      </c>
      <c r="AE3498" s="1" t="str">
        <f t="shared" ca="1" si="3586"/>
        <v>Garage 120</v>
      </c>
      <c r="AF3498" t="str">
        <f t="shared" ca="1" si="3630"/>
        <v>Garage 120</v>
      </c>
    </row>
    <row r="3499" spans="28:32" x14ac:dyDescent="0.25">
      <c r="AB3499" t="str">
        <f t="shared" ref="AB3499:AC3499" si="3645">AB3478</f>
        <v>Loading Bay</v>
      </c>
      <c r="AC3499" t="str">
        <f t="shared" si="3645"/>
        <v>Lift 1</v>
      </c>
      <c r="AD3499" t="b">
        <f t="shared" ca="1" si="3632"/>
        <v>1</v>
      </c>
      <c r="AE3499" s="1" t="str">
        <f t="shared" ca="1" si="3586"/>
        <v>Garage 120</v>
      </c>
      <c r="AF3499" t="str">
        <f t="shared" ca="1" si="3630"/>
        <v>Garage 120</v>
      </c>
    </row>
    <row r="3500" spans="28:32" x14ac:dyDescent="0.25">
      <c r="AB3500" t="str">
        <f t="shared" ref="AB3500:AC3500" si="3646">AB3479</f>
        <v>Loading Bay</v>
      </c>
      <c r="AC3500" t="str">
        <f t="shared" si="3646"/>
        <v>Lift 2</v>
      </c>
      <c r="AD3500" t="b">
        <f t="shared" ca="1" si="3632"/>
        <v>1</v>
      </c>
      <c r="AE3500" s="1" t="str">
        <f t="shared" ca="1" si="3586"/>
        <v>Garage 120</v>
      </c>
      <c r="AF3500" t="str">
        <f t="shared" ca="1" si="3630"/>
        <v>Garage 120</v>
      </c>
    </row>
    <row r="3501" spans="28:32" x14ac:dyDescent="0.25">
      <c r="AB3501" t="str">
        <f t="shared" ref="AB3501:AC3501" si="3647">AB3480</f>
        <v>Loading Bay</v>
      </c>
      <c r="AC3501" t="str">
        <f t="shared" si="3647"/>
        <v>Lift 3</v>
      </c>
      <c r="AD3501" t="b">
        <f t="shared" ca="1" si="3632"/>
        <v>1</v>
      </c>
      <c r="AE3501" s="1" t="str">
        <f t="shared" ca="1" si="3586"/>
        <v>Garage 120</v>
      </c>
      <c r="AF3501" t="str">
        <f t="shared" ca="1" si="3630"/>
        <v>Garage 120</v>
      </c>
    </row>
    <row r="3502" spans="28:32" x14ac:dyDescent="0.25">
      <c r="AB3502" t="str">
        <f t="shared" ref="AB3502:AC3502" si="3648">AB3481</f>
        <v>Loading Bay</v>
      </c>
      <c r="AC3502" t="str">
        <f t="shared" si="3648"/>
        <v>Lift 4</v>
      </c>
      <c r="AD3502" t="b">
        <f t="shared" ca="1" si="3632"/>
        <v>0</v>
      </c>
      <c r="AE3502" s="1" t="str">
        <f t="shared" ca="1" si="3586"/>
        <v>Garage 120</v>
      </c>
      <c r="AF3502" t="str">
        <f t="shared" ca="1" si="3630"/>
        <v>Garage 120</v>
      </c>
    </row>
    <row r="3503" spans="28:32" x14ac:dyDescent="0.25">
      <c r="AB3503" t="str">
        <f t="shared" ref="AB3503:AC3503" si="3649">AB3482</f>
        <v>Loading Bay</v>
      </c>
      <c r="AC3503" t="str">
        <f t="shared" si="3649"/>
        <v>Lift 5</v>
      </c>
      <c r="AD3503" t="b">
        <f t="shared" ca="1" si="3632"/>
        <v>0</v>
      </c>
      <c r="AE3503" s="1" t="str">
        <f t="shared" ca="1" si="3586"/>
        <v>Garage 120</v>
      </c>
      <c r="AF3503" t="str">
        <f t="shared" ca="1" si="3630"/>
        <v>Garage 120</v>
      </c>
    </row>
    <row r="3504" spans="28:32" x14ac:dyDescent="0.25">
      <c r="AB3504" t="str">
        <f t="shared" ref="AB3504:AC3504" si="3650">AB3483</f>
        <v>Loading Bay</v>
      </c>
      <c r="AC3504" t="str">
        <f t="shared" si="3650"/>
        <v>Lift 6</v>
      </c>
      <c r="AD3504" t="b">
        <f t="shared" ca="1" si="3632"/>
        <v>0</v>
      </c>
      <c r="AE3504" s="1" t="str">
        <f t="shared" ca="1" si="3586"/>
        <v>Garage 120</v>
      </c>
      <c r="AF3504" t="str">
        <f t="shared" ca="1" si="3630"/>
        <v>Garage 120</v>
      </c>
    </row>
    <row r="3505" spans="28:32" x14ac:dyDescent="0.25">
      <c r="AB3505" t="str">
        <f t="shared" ref="AB3505:AC3505" si="3651">AB3484</f>
        <v>Scaffolding Platform</v>
      </c>
      <c r="AC3505" t="str">
        <f t="shared" si="3651"/>
        <v>Ground Floor</v>
      </c>
      <c r="AD3505" t="b">
        <f t="shared" ca="1" si="3632"/>
        <v>1</v>
      </c>
      <c r="AE3505" s="1" t="str">
        <f t="shared" ca="1" si="3586"/>
        <v>Garage 120</v>
      </c>
      <c r="AF3505" t="str">
        <f t="shared" ca="1" si="3630"/>
        <v>Garage 120</v>
      </c>
    </row>
    <row r="3506" spans="28:32" x14ac:dyDescent="0.25">
      <c r="AB3506" t="str">
        <f t="shared" ref="AB3506:AC3506" si="3652">AB3485</f>
        <v>Scaffolding Platform</v>
      </c>
      <c r="AC3506" t="str">
        <f t="shared" si="3652"/>
        <v>First Floor</v>
      </c>
      <c r="AD3506" t="b">
        <f t="shared" ca="1" si="3632"/>
        <v>0</v>
      </c>
      <c r="AE3506" s="1" t="str">
        <f t="shared" ref="AE3506:AE3569" ca="1" si="3653">OFFSET($AD$1,0,FLOOR(ROW(B3478)/21,1))</f>
        <v>Garage 120</v>
      </c>
      <c r="AF3506" t="str">
        <f t="shared" ca="1" si="3630"/>
        <v>Garage 120</v>
      </c>
    </row>
    <row r="3507" spans="28:32" x14ac:dyDescent="0.25">
      <c r="AB3507" t="str">
        <f t="shared" ref="AB3507:AC3507" si="3654">AB3486</f>
        <v>Scaffolding Platform</v>
      </c>
      <c r="AC3507" t="str">
        <f t="shared" si="3654"/>
        <v>Second Floor</v>
      </c>
      <c r="AD3507" t="b">
        <f t="shared" ca="1" si="3632"/>
        <v>0</v>
      </c>
      <c r="AE3507" s="1" t="str">
        <f t="shared" ca="1" si="3653"/>
        <v>Garage 120</v>
      </c>
      <c r="AF3507" t="str">
        <f t="shared" ca="1" si="3630"/>
        <v>Garage 120</v>
      </c>
    </row>
    <row r="3508" spans="28:32" x14ac:dyDescent="0.25">
      <c r="AB3508" t="str">
        <f t="shared" ref="AB3508:AC3508" si="3655">AB3487</f>
        <v>Supporting Scaffold</v>
      </c>
      <c r="AC3508" t="str">
        <f t="shared" si="3655"/>
        <v>Ground Floor Prop.</v>
      </c>
      <c r="AD3508" t="str">
        <f t="shared" ca="1" si="3632"/>
        <v>FALSE</v>
      </c>
      <c r="AE3508" s="1" t="str">
        <f t="shared" ca="1" si="3653"/>
        <v>Garage 120</v>
      </c>
      <c r="AF3508" t="str">
        <f t="shared" ca="1" si="3630"/>
        <v>Garage 120</v>
      </c>
    </row>
    <row r="3509" spans="28:32" x14ac:dyDescent="0.25">
      <c r="AB3509" t="str">
        <f t="shared" ref="AB3509:AC3509" si="3656">AB3488</f>
        <v>Supporting Scaffold</v>
      </c>
      <c r="AC3509" t="str">
        <f t="shared" si="3656"/>
        <v>First Floor Prop.</v>
      </c>
      <c r="AD3509" t="str">
        <f t="shared" ca="1" si="3632"/>
        <v>FALSE</v>
      </c>
      <c r="AE3509" s="1" t="str">
        <f t="shared" ca="1" si="3653"/>
        <v>Garage 120</v>
      </c>
      <c r="AF3509" t="str">
        <f t="shared" ca="1" si="3630"/>
        <v>Garage 120</v>
      </c>
    </row>
    <row r="3510" spans="28:32" x14ac:dyDescent="0.25">
      <c r="AB3510" t="str">
        <f t="shared" ref="AB3510:AC3510" si="3657">AB3489</f>
        <v>Supporting Scaffold</v>
      </c>
      <c r="AC3510" t="str">
        <f t="shared" si="3657"/>
        <v>Second Floor Prop.</v>
      </c>
      <c r="AD3510" t="str">
        <f t="shared" ca="1" si="3632"/>
        <v>FALSE</v>
      </c>
      <c r="AE3510" s="1" t="str">
        <f t="shared" ca="1" si="3653"/>
        <v>Garage 120</v>
      </c>
      <c r="AF3510" t="str">
        <f t="shared" ca="1" si="3630"/>
        <v>Garage 120</v>
      </c>
    </row>
    <row r="3511" spans="28:32" x14ac:dyDescent="0.25">
      <c r="AB3511" t="str">
        <f t="shared" ref="AB3511:AC3511" si="3658">AB3490</f>
        <v>External Scaffolding</v>
      </c>
      <c r="AC3511" t="str">
        <f t="shared" si="3658"/>
        <v>Hop-ups</v>
      </c>
      <c r="AD3511" t="b">
        <f t="shared" ca="1" si="3632"/>
        <v>1</v>
      </c>
      <c r="AE3511" s="1" t="str">
        <f t="shared" ca="1" si="3653"/>
        <v>Garage 120</v>
      </c>
      <c r="AF3511" t="str">
        <f t="shared" ca="1" si="3630"/>
        <v>Garage 120</v>
      </c>
    </row>
    <row r="3512" spans="28:32" x14ac:dyDescent="0.25">
      <c r="AB3512" t="str">
        <f t="shared" ref="AB3512:AC3512" si="3659">AB3491</f>
        <v>External Scaffolding</v>
      </c>
      <c r="AC3512" t="str">
        <f t="shared" si="3659"/>
        <v>Adaptions</v>
      </c>
      <c r="AD3512" t="b">
        <f t="shared" ca="1" si="3632"/>
        <v>1</v>
      </c>
      <c r="AE3512" s="1" t="str">
        <f t="shared" ca="1" si="3653"/>
        <v>Garage 120</v>
      </c>
      <c r="AF3512" t="str">
        <f t="shared" ca="1" si="3630"/>
        <v>Garage 120</v>
      </c>
    </row>
    <row r="3513" spans="28:32" x14ac:dyDescent="0.25">
      <c r="AB3513" t="str">
        <f t="shared" ref="AB3513:AC3513" si="3660">AB3492</f>
        <v>External Scaffolding</v>
      </c>
      <c r="AC3513" t="str">
        <f t="shared" si="3660"/>
        <v>Adaption Tower</v>
      </c>
      <c r="AD3513" t="b">
        <f t="shared" ca="1" si="3632"/>
        <v>1</v>
      </c>
      <c r="AE3513" s="1" t="str">
        <f t="shared" ca="1" si="3653"/>
        <v>Garage 120</v>
      </c>
      <c r="AF3513" t="str">
        <f t="shared" ca="1" si="3630"/>
        <v>Garage 120</v>
      </c>
    </row>
    <row r="3514" spans="28:32" x14ac:dyDescent="0.25">
      <c r="AB3514" t="str">
        <f t="shared" ref="AB3514:AC3514" si="3661">AB3493</f>
        <v>External Scaffolding</v>
      </c>
      <c r="AC3514" t="str">
        <f t="shared" si="3661"/>
        <v>Lift 1</v>
      </c>
      <c r="AD3514" t="b">
        <f t="shared" ca="1" si="3632"/>
        <v>1</v>
      </c>
      <c r="AE3514" s="1" t="str">
        <f t="shared" ca="1" si="3653"/>
        <v>Garage 121</v>
      </c>
      <c r="AF3514" t="str">
        <f t="shared" ca="1" si="3630"/>
        <v>Garage 121</v>
      </c>
    </row>
    <row r="3515" spans="28:32" x14ac:dyDescent="0.25">
      <c r="AB3515" t="str">
        <f t="shared" ref="AB3515:AC3515" si="3662">AB3494</f>
        <v>External Scaffolding</v>
      </c>
      <c r="AC3515" t="str">
        <f t="shared" si="3662"/>
        <v>Lift 2</v>
      </c>
      <c r="AD3515" t="b">
        <f t="shared" ca="1" si="3632"/>
        <v>1</v>
      </c>
      <c r="AE3515" s="1" t="str">
        <f t="shared" ca="1" si="3653"/>
        <v>Garage 121</v>
      </c>
      <c r="AF3515" t="str">
        <f t="shared" ca="1" si="3630"/>
        <v>Garage 121</v>
      </c>
    </row>
    <row r="3516" spans="28:32" x14ac:dyDescent="0.25">
      <c r="AB3516" t="str">
        <f t="shared" ref="AB3516:AC3516" si="3663">AB3495</f>
        <v>External Scaffolding</v>
      </c>
      <c r="AC3516" t="str">
        <f t="shared" si="3663"/>
        <v>Lift 3</v>
      </c>
      <c r="AD3516" t="b">
        <f t="shared" ca="1" si="3632"/>
        <v>1</v>
      </c>
      <c r="AE3516" s="1" t="str">
        <f t="shared" ca="1" si="3653"/>
        <v>Garage 121</v>
      </c>
      <c r="AF3516" t="str">
        <f t="shared" ca="1" si="3630"/>
        <v>Garage 121</v>
      </c>
    </row>
    <row r="3517" spans="28:32" x14ac:dyDescent="0.25">
      <c r="AB3517" t="str">
        <f t="shared" ref="AB3517:AC3517" si="3664">AB3496</f>
        <v>External Scaffolding</v>
      </c>
      <c r="AC3517" t="str">
        <f t="shared" si="3664"/>
        <v>Lift 4</v>
      </c>
      <c r="AD3517" t="b">
        <f t="shared" ca="1" si="3632"/>
        <v>0</v>
      </c>
      <c r="AE3517" s="1" t="str">
        <f t="shared" ca="1" si="3653"/>
        <v>Garage 121</v>
      </c>
      <c r="AF3517" t="str">
        <f t="shared" ca="1" si="3630"/>
        <v>Garage 121</v>
      </c>
    </row>
    <row r="3518" spans="28:32" x14ac:dyDescent="0.25">
      <c r="AB3518" t="str">
        <f t="shared" ref="AB3518:AC3518" si="3665">AB3497</f>
        <v>External Scaffolding</v>
      </c>
      <c r="AC3518" t="str">
        <f t="shared" si="3665"/>
        <v>Lift 5</v>
      </c>
      <c r="AD3518" t="b">
        <f t="shared" ca="1" si="3632"/>
        <v>0</v>
      </c>
      <c r="AE3518" s="1" t="str">
        <f t="shared" ca="1" si="3653"/>
        <v>Garage 121</v>
      </c>
      <c r="AF3518" t="str">
        <f t="shared" ca="1" si="3630"/>
        <v>Garage 121</v>
      </c>
    </row>
    <row r="3519" spans="28:32" x14ac:dyDescent="0.25">
      <c r="AB3519" t="str">
        <f t="shared" ref="AB3519:AC3519" si="3666">AB3498</f>
        <v>External Scaffolding</v>
      </c>
      <c r="AC3519" t="str">
        <f t="shared" si="3666"/>
        <v>Lift 6</v>
      </c>
      <c r="AD3519" t="b">
        <f t="shared" ca="1" si="3632"/>
        <v>0</v>
      </c>
      <c r="AE3519" s="1" t="str">
        <f t="shared" ca="1" si="3653"/>
        <v>Garage 121</v>
      </c>
      <c r="AF3519" t="str">
        <f t="shared" ca="1" si="3630"/>
        <v>Garage 121</v>
      </c>
    </row>
    <row r="3520" spans="28:32" x14ac:dyDescent="0.25">
      <c r="AB3520" t="str">
        <f t="shared" ref="AB3520:AC3520" si="3667">AB3499</f>
        <v>Loading Bay</v>
      </c>
      <c r="AC3520" t="str">
        <f t="shared" si="3667"/>
        <v>Lift 1</v>
      </c>
      <c r="AD3520" t="b">
        <f t="shared" ca="1" si="3632"/>
        <v>1</v>
      </c>
      <c r="AE3520" s="1" t="str">
        <f t="shared" ca="1" si="3653"/>
        <v>Garage 121</v>
      </c>
      <c r="AF3520" t="str">
        <f t="shared" ca="1" si="3630"/>
        <v>Garage 121</v>
      </c>
    </row>
    <row r="3521" spans="28:32" x14ac:dyDescent="0.25">
      <c r="AB3521" t="str">
        <f t="shared" ref="AB3521:AC3521" si="3668">AB3500</f>
        <v>Loading Bay</v>
      </c>
      <c r="AC3521" t="str">
        <f t="shared" si="3668"/>
        <v>Lift 2</v>
      </c>
      <c r="AD3521" t="b">
        <f t="shared" ca="1" si="3632"/>
        <v>1</v>
      </c>
      <c r="AE3521" s="1" t="str">
        <f t="shared" ca="1" si="3653"/>
        <v>Garage 121</v>
      </c>
      <c r="AF3521" t="str">
        <f t="shared" ca="1" si="3630"/>
        <v>Garage 121</v>
      </c>
    </row>
    <row r="3522" spans="28:32" x14ac:dyDescent="0.25">
      <c r="AB3522" t="str">
        <f t="shared" ref="AB3522:AC3522" si="3669">AB3501</f>
        <v>Loading Bay</v>
      </c>
      <c r="AC3522" t="str">
        <f t="shared" si="3669"/>
        <v>Lift 3</v>
      </c>
      <c r="AD3522" t="b">
        <f t="shared" ca="1" si="3632"/>
        <v>1</v>
      </c>
      <c r="AE3522" s="1" t="str">
        <f t="shared" ca="1" si="3653"/>
        <v>Garage 121</v>
      </c>
      <c r="AF3522" t="str">
        <f t="shared" ca="1" si="3630"/>
        <v>Garage 121</v>
      </c>
    </row>
    <row r="3523" spans="28:32" x14ac:dyDescent="0.25">
      <c r="AB3523" t="str">
        <f t="shared" ref="AB3523:AC3523" si="3670">AB3502</f>
        <v>Loading Bay</v>
      </c>
      <c r="AC3523" t="str">
        <f t="shared" si="3670"/>
        <v>Lift 4</v>
      </c>
      <c r="AD3523" t="b">
        <f t="shared" ca="1" si="3632"/>
        <v>0</v>
      </c>
      <c r="AE3523" s="1" t="str">
        <f t="shared" ca="1" si="3653"/>
        <v>Garage 121</v>
      </c>
      <c r="AF3523" t="str">
        <f t="shared" ca="1" si="3630"/>
        <v>Garage 121</v>
      </c>
    </row>
    <row r="3524" spans="28:32" x14ac:dyDescent="0.25">
      <c r="AB3524" t="str">
        <f t="shared" ref="AB3524:AC3524" si="3671">AB3503</f>
        <v>Loading Bay</v>
      </c>
      <c r="AC3524" t="str">
        <f t="shared" si="3671"/>
        <v>Lift 5</v>
      </c>
      <c r="AD3524" t="b">
        <f t="shared" ca="1" si="3632"/>
        <v>0</v>
      </c>
      <c r="AE3524" s="1" t="str">
        <f t="shared" ca="1" si="3653"/>
        <v>Garage 121</v>
      </c>
      <c r="AF3524" t="str">
        <f t="shared" ca="1" si="3630"/>
        <v>Garage 121</v>
      </c>
    </row>
    <row r="3525" spans="28:32" x14ac:dyDescent="0.25">
      <c r="AB3525" t="str">
        <f t="shared" ref="AB3525:AC3525" si="3672">AB3504</f>
        <v>Loading Bay</v>
      </c>
      <c r="AC3525" t="str">
        <f t="shared" si="3672"/>
        <v>Lift 6</v>
      </c>
      <c r="AD3525" t="b">
        <f t="shared" ca="1" si="3632"/>
        <v>0</v>
      </c>
      <c r="AE3525" s="1" t="str">
        <f t="shared" ca="1" si="3653"/>
        <v>Garage 121</v>
      </c>
      <c r="AF3525" t="str">
        <f t="shared" ca="1" si="3630"/>
        <v>Garage 121</v>
      </c>
    </row>
    <row r="3526" spans="28:32" x14ac:dyDescent="0.25">
      <c r="AB3526" t="str">
        <f t="shared" ref="AB3526:AC3526" si="3673">AB3505</f>
        <v>Scaffolding Platform</v>
      </c>
      <c r="AC3526" t="str">
        <f t="shared" si="3673"/>
        <v>Ground Floor</v>
      </c>
      <c r="AD3526" t="b">
        <f t="shared" ca="1" si="3632"/>
        <v>1</v>
      </c>
      <c r="AE3526" s="1" t="str">
        <f t="shared" ca="1" si="3653"/>
        <v>Garage 121</v>
      </c>
      <c r="AF3526" t="str">
        <f t="shared" ca="1" si="3630"/>
        <v>Garage 121</v>
      </c>
    </row>
    <row r="3527" spans="28:32" x14ac:dyDescent="0.25">
      <c r="AB3527" t="str">
        <f t="shared" ref="AB3527:AC3527" si="3674">AB3506</f>
        <v>Scaffolding Platform</v>
      </c>
      <c r="AC3527" t="str">
        <f t="shared" si="3674"/>
        <v>First Floor</v>
      </c>
      <c r="AD3527" t="b">
        <f t="shared" ca="1" si="3632"/>
        <v>0</v>
      </c>
      <c r="AE3527" s="1" t="str">
        <f t="shared" ca="1" si="3653"/>
        <v>Garage 121</v>
      </c>
      <c r="AF3527" t="str">
        <f t="shared" ca="1" si="3630"/>
        <v>Garage 121</v>
      </c>
    </row>
    <row r="3528" spans="28:32" x14ac:dyDescent="0.25">
      <c r="AB3528" t="str">
        <f t="shared" ref="AB3528:AC3528" si="3675">AB3507</f>
        <v>Scaffolding Platform</v>
      </c>
      <c r="AC3528" t="str">
        <f t="shared" si="3675"/>
        <v>Second Floor</v>
      </c>
      <c r="AD3528" t="b">
        <f t="shared" ca="1" si="3632"/>
        <v>0</v>
      </c>
      <c r="AE3528" s="1" t="str">
        <f t="shared" ca="1" si="3653"/>
        <v>Garage 121</v>
      </c>
      <c r="AF3528" t="str">
        <f t="shared" ca="1" si="3630"/>
        <v>Garage 121</v>
      </c>
    </row>
    <row r="3529" spans="28:32" x14ac:dyDescent="0.25">
      <c r="AB3529" t="str">
        <f t="shared" ref="AB3529:AC3529" si="3676">AB3508</f>
        <v>Supporting Scaffold</v>
      </c>
      <c r="AC3529" t="str">
        <f t="shared" si="3676"/>
        <v>Ground Floor Prop.</v>
      </c>
      <c r="AD3529" t="str">
        <f t="shared" ca="1" si="3632"/>
        <v>FALSE</v>
      </c>
      <c r="AE3529" s="1" t="str">
        <f t="shared" ca="1" si="3653"/>
        <v>Garage 121</v>
      </c>
      <c r="AF3529" t="str">
        <f t="shared" ca="1" si="3630"/>
        <v>Garage 121</v>
      </c>
    </row>
    <row r="3530" spans="28:32" x14ac:dyDescent="0.25">
      <c r="AB3530" t="str">
        <f t="shared" ref="AB3530:AC3530" si="3677">AB3509</f>
        <v>Supporting Scaffold</v>
      </c>
      <c r="AC3530" t="str">
        <f t="shared" si="3677"/>
        <v>First Floor Prop.</v>
      </c>
      <c r="AD3530" t="str">
        <f t="shared" ca="1" si="3632"/>
        <v>FALSE</v>
      </c>
      <c r="AE3530" s="1" t="str">
        <f t="shared" ca="1" si="3653"/>
        <v>Garage 121</v>
      </c>
      <c r="AF3530" t="str">
        <f t="shared" ca="1" si="3630"/>
        <v>Garage 121</v>
      </c>
    </row>
    <row r="3531" spans="28:32" x14ac:dyDescent="0.25">
      <c r="AB3531" t="str">
        <f t="shared" ref="AB3531:AC3531" si="3678">AB3510</f>
        <v>Supporting Scaffold</v>
      </c>
      <c r="AC3531" t="str">
        <f t="shared" si="3678"/>
        <v>Second Floor Prop.</v>
      </c>
      <c r="AD3531" t="str">
        <f t="shared" ca="1" si="3632"/>
        <v>FALSE</v>
      </c>
      <c r="AE3531" s="1" t="str">
        <f t="shared" ca="1" si="3653"/>
        <v>Garage 121</v>
      </c>
      <c r="AF3531" t="str">
        <f t="shared" ca="1" si="3630"/>
        <v>Garage 121</v>
      </c>
    </row>
    <row r="3532" spans="28:32" x14ac:dyDescent="0.25">
      <c r="AB3532" t="str">
        <f t="shared" ref="AB3532:AC3532" si="3679">AB3511</f>
        <v>External Scaffolding</v>
      </c>
      <c r="AC3532" t="str">
        <f t="shared" si="3679"/>
        <v>Hop-ups</v>
      </c>
      <c r="AD3532" t="b">
        <f t="shared" ca="1" si="3632"/>
        <v>1</v>
      </c>
      <c r="AE3532" s="1" t="str">
        <f t="shared" ca="1" si="3653"/>
        <v>Garage 121</v>
      </c>
      <c r="AF3532" t="str">
        <f t="shared" ca="1" si="3630"/>
        <v>Garage 121</v>
      </c>
    </row>
    <row r="3533" spans="28:32" x14ac:dyDescent="0.25">
      <c r="AB3533" t="str">
        <f t="shared" ref="AB3533:AC3533" si="3680">AB3512</f>
        <v>External Scaffolding</v>
      </c>
      <c r="AC3533" t="str">
        <f t="shared" si="3680"/>
        <v>Adaptions</v>
      </c>
      <c r="AD3533" t="b">
        <f t="shared" ca="1" si="3632"/>
        <v>1</v>
      </c>
      <c r="AE3533" s="1" t="str">
        <f t="shared" ca="1" si="3653"/>
        <v>Garage 121</v>
      </c>
      <c r="AF3533" t="str">
        <f t="shared" ca="1" si="3630"/>
        <v>Garage 121</v>
      </c>
    </row>
    <row r="3534" spans="28:32" x14ac:dyDescent="0.25">
      <c r="AB3534" t="str">
        <f t="shared" ref="AB3534:AC3534" si="3681">AB3513</f>
        <v>External Scaffolding</v>
      </c>
      <c r="AC3534" t="str">
        <f t="shared" si="3681"/>
        <v>Adaption Tower</v>
      </c>
      <c r="AD3534" t="b">
        <f t="shared" ca="1" si="3632"/>
        <v>1</v>
      </c>
      <c r="AE3534" s="1" t="str">
        <f t="shared" ca="1" si="3653"/>
        <v>Garage 121</v>
      </c>
      <c r="AF3534" t="str">
        <f t="shared" ca="1" si="3630"/>
        <v>Garage 121</v>
      </c>
    </row>
    <row r="3535" spans="28:32" x14ac:dyDescent="0.25">
      <c r="AB3535" t="str">
        <f t="shared" ref="AB3535:AC3535" si="3682">AB3514</f>
        <v>External Scaffolding</v>
      </c>
      <c r="AC3535" t="str">
        <f t="shared" si="3682"/>
        <v>Lift 1</v>
      </c>
      <c r="AD3535" t="b">
        <f t="shared" ca="1" si="3632"/>
        <v>1</v>
      </c>
      <c r="AE3535" s="1" t="str">
        <f t="shared" ca="1" si="3653"/>
        <v>Garage 122</v>
      </c>
      <c r="AF3535" t="str">
        <f t="shared" ca="1" si="3630"/>
        <v>Garage 122</v>
      </c>
    </row>
    <row r="3536" spans="28:32" x14ac:dyDescent="0.25">
      <c r="AB3536" t="str">
        <f t="shared" ref="AB3536:AC3536" si="3683">AB3515</f>
        <v>External Scaffolding</v>
      </c>
      <c r="AC3536" t="str">
        <f t="shared" si="3683"/>
        <v>Lift 2</v>
      </c>
      <c r="AD3536" t="b">
        <f t="shared" ca="1" si="3632"/>
        <v>1</v>
      </c>
      <c r="AE3536" s="1" t="str">
        <f t="shared" ca="1" si="3653"/>
        <v>Garage 122</v>
      </c>
      <c r="AF3536" t="str">
        <f t="shared" ca="1" si="3630"/>
        <v>Garage 122</v>
      </c>
    </row>
    <row r="3537" spans="28:32" x14ac:dyDescent="0.25">
      <c r="AB3537" t="str">
        <f t="shared" ref="AB3537:AC3537" si="3684">AB3516</f>
        <v>External Scaffolding</v>
      </c>
      <c r="AC3537" t="str">
        <f t="shared" si="3684"/>
        <v>Lift 3</v>
      </c>
      <c r="AD3537" t="b">
        <f t="shared" ca="1" si="3632"/>
        <v>1</v>
      </c>
      <c r="AE3537" s="1" t="str">
        <f t="shared" ca="1" si="3653"/>
        <v>Garage 122</v>
      </c>
      <c r="AF3537" t="str">
        <f t="shared" ca="1" si="3630"/>
        <v>Garage 122</v>
      </c>
    </row>
    <row r="3538" spans="28:32" x14ac:dyDescent="0.25">
      <c r="AB3538" t="str">
        <f t="shared" ref="AB3538:AC3538" si="3685">AB3517</f>
        <v>External Scaffolding</v>
      </c>
      <c r="AC3538" t="str">
        <f t="shared" si="3685"/>
        <v>Lift 4</v>
      </c>
      <c r="AD3538" t="b">
        <f t="shared" ca="1" si="3632"/>
        <v>0</v>
      </c>
      <c r="AE3538" s="1" t="str">
        <f t="shared" ca="1" si="3653"/>
        <v>Garage 122</v>
      </c>
      <c r="AF3538" t="str">
        <f t="shared" ca="1" si="3630"/>
        <v>Garage 122</v>
      </c>
    </row>
    <row r="3539" spans="28:32" x14ac:dyDescent="0.25">
      <c r="AB3539" t="str">
        <f t="shared" ref="AB3539:AC3539" si="3686">AB3518</f>
        <v>External Scaffolding</v>
      </c>
      <c r="AC3539" t="str">
        <f t="shared" si="3686"/>
        <v>Lift 5</v>
      </c>
      <c r="AD3539" t="b">
        <f t="shared" ca="1" si="3632"/>
        <v>0</v>
      </c>
      <c r="AE3539" s="1" t="str">
        <f t="shared" ca="1" si="3653"/>
        <v>Garage 122</v>
      </c>
      <c r="AF3539" t="str">
        <f t="shared" ca="1" si="3630"/>
        <v>Garage 122</v>
      </c>
    </row>
    <row r="3540" spans="28:32" x14ac:dyDescent="0.25">
      <c r="AB3540" t="str">
        <f t="shared" ref="AB3540:AC3540" si="3687">AB3519</f>
        <v>External Scaffolding</v>
      </c>
      <c r="AC3540" t="str">
        <f t="shared" si="3687"/>
        <v>Lift 6</v>
      </c>
      <c r="AD3540" t="b">
        <f t="shared" ca="1" si="3632"/>
        <v>0</v>
      </c>
      <c r="AE3540" s="1" t="str">
        <f t="shared" ca="1" si="3653"/>
        <v>Garage 122</v>
      </c>
      <c r="AF3540" t="str">
        <f t="shared" ca="1" si="3630"/>
        <v>Garage 122</v>
      </c>
    </row>
    <row r="3541" spans="28:32" x14ac:dyDescent="0.25">
      <c r="AB3541" t="str">
        <f t="shared" ref="AB3541:AC3541" si="3688">AB3520</f>
        <v>Loading Bay</v>
      </c>
      <c r="AC3541" t="str">
        <f t="shared" si="3688"/>
        <v>Lift 1</v>
      </c>
      <c r="AD3541" t="b">
        <f t="shared" ca="1" si="3632"/>
        <v>1</v>
      </c>
      <c r="AE3541" s="1" t="str">
        <f t="shared" ca="1" si="3653"/>
        <v>Garage 122</v>
      </c>
      <c r="AF3541" t="str">
        <f t="shared" ca="1" si="3630"/>
        <v>Garage 122</v>
      </c>
    </row>
    <row r="3542" spans="28:32" x14ac:dyDescent="0.25">
      <c r="AB3542" t="str">
        <f t="shared" ref="AB3542:AC3542" si="3689">AB3521</f>
        <v>Loading Bay</v>
      </c>
      <c r="AC3542" t="str">
        <f t="shared" si="3689"/>
        <v>Lift 2</v>
      </c>
      <c r="AD3542" t="b">
        <f t="shared" ca="1" si="3632"/>
        <v>1</v>
      </c>
      <c r="AE3542" s="1" t="str">
        <f t="shared" ca="1" si="3653"/>
        <v>Garage 122</v>
      </c>
      <c r="AF3542" t="str">
        <f t="shared" ca="1" si="3630"/>
        <v>Garage 122</v>
      </c>
    </row>
    <row r="3543" spans="28:32" x14ac:dyDescent="0.25">
      <c r="AB3543" t="str">
        <f t="shared" ref="AB3543:AC3543" si="3690">AB3522</f>
        <v>Loading Bay</v>
      </c>
      <c r="AC3543" t="str">
        <f t="shared" si="3690"/>
        <v>Lift 3</v>
      </c>
      <c r="AD3543" t="b">
        <f t="shared" ca="1" si="3632"/>
        <v>1</v>
      </c>
      <c r="AE3543" s="1" t="str">
        <f t="shared" ca="1" si="3653"/>
        <v>Garage 122</v>
      </c>
      <c r="AF3543" t="str">
        <f t="shared" ca="1" si="3630"/>
        <v>Garage 122</v>
      </c>
    </row>
    <row r="3544" spans="28:32" x14ac:dyDescent="0.25">
      <c r="AB3544" t="str">
        <f t="shared" ref="AB3544:AC3544" si="3691">AB3523</f>
        <v>Loading Bay</v>
      </c>
      <c r="AC3544" t="str">
        <f t="shared" si="3691"/>
        <v>Lift 4</v>
      </c>
      <c r="AD3544" t="b">
        <f t="shared" ca="1" si="3632"/>
        <v>0</v>
      </c>
      <c r="AE3544" s="1" t="str">
        <f t="shared" ca="1" si="3653"/>
        <v>Garage 122</v>
      </c>
      <c r="AF3544" t="str">
        <f t="shared" ca="1" si="3630"/>
        <v>Garage 122</v>
      </c>
    </row>
    <row r="3545" spans="28:32" x14ac:dyDescent="0.25">
      <c r="AB3545" t="str">
        <f t="shared" ref="AB3545:AC3545" si="3692">AB3524</f>
        <v>Loading Bay</v>
      </c>
      <c r="AC3545" t="str">
        <f t="shared" si="3692"/>
        <v>Lift 5</v>
      </c>
      <c r="AD3545" t="b">
        <f t="shared" ca="1" si="3632"/>
        <v>0</v>
      </c>
      <c r="AE3545" s="1" t="str">
        <f t="shared" ca="1" si="3653"/>
        <v>Garage 122</v>
      </c>
      <c r="AF3545" t="str">
        <f t="shared" ca="1" si="3630"/>
        <v>Garage 122</v>
      </c>
    </row>
    <row r="3546" spans="28:32" x14ac:dyDescent="0.25">
      <c r="AB3546" t="str">
        <f t="shared" ref="AB3546:AC3546" si="3693">AB3525</f>
        <v>Loading Bay</v>
      </c>
      <c r="AC3546" t="str">
        <f t="shared" si="3693"/>
        <v>Lift 6</v>
      </c>
      <c r="AD3546" t="b">
        <f t="shared" ca="1" si="3632"/>
        <v>0</v>
      </c>
      <c r="AE3546" s="1" t="str">
        <f t="shared" ca="1" si="3653"/>
        <v>Garage 122</v>
      </c>
      <c r="AF3546" t="str">
        <f t="shared" ca="1" si="3630"/>
        <v>Garage 122</v>
      </c>
    </row>
    <row r="3547" spans="28:32" x14ac:dyDescent="0.25">
      <c r="AB3547" t="str">
        <f t="shared" ref="AB3547:AC3547" si="3694">AB3526</f>
        <v>Scaffolding Platform</v>
      </c>
      <c r="AC3547" t="str">
        <f t="shared" si="3694"/>
        <v>Ground Floor</v>
      </c>
      <c r="AD3547" t="b">
        <f t="shared" ca="1" si="3632"/>
        <v>1</v>
      </c>
      <c r="AE3547" s="1" t="str">
        <f t="shared" ca="1" si="3653"/>
        <v>Garage 122</v>
      </c>
      <c r="AF3547" t="str">
        <f t="shared" ca="1" si="3630"/>
        <v>Garage 122</v>
      </c>
    </row>
    <row r="3548" spans="28:32" x14ac:dyDescent="0.25">
      <c r="AB3548" t="str">
        <f t="shared" ref="AB3548:AC3548" si="3695">AB3527</f>
        <v>Scaffolding Platform</v>
      </c>
      <c r="AC3548" t="str">
        <f t="shared" si="3695"/>
        <v>First Floor</v>
      </c>
      <c r="AD3548" t="b">
        <f t="shared" ca="1" si="3632"/>
        <v>0</v>
      </c>
      <c r="AE3548" s="1" t="str">
        <f t="shared" ca="1" si="3653"/>
        <v>Garage 122</v>
      </c>
      <c r="AF3548" t="str">
        <f t="shared" ca="1" si="3630"/>
        <v>Garage 122</v>
      </c>
    </row>
    <row r="3549" spans="28:32" x14ac:dyDescent="0.25">
      <c r="AB3549" t="str">
        <f t="shared" ref="AB3549:AC3549" si="3696">AB3528</f>
        <v>Scaffolding Platform</v>
      </c>
      <c r="AC3549" t="str">
        <f t="shared" si="3696"/>
        <v>Second Floor</v>
      </c>
      <c r="AD3549" t="b">
        <f t="shared" ca="1" si="3632"/>
        <v>0</v>
      </c>
      <c r="AE3549" s="1" t="str">
        <f t="shared" ca="1" si="3653"/>
        <v>Garage 122</v>
      </c>
      <c r="AF3549" t="str">
        <f t="shared" ref="AF3549:AF3612" ca="1" si="3697">IF(LEFT(AE3549,1)="G",AE3549,"Plot "&amp;AE3549)</f>
        <v>Garage 122</v>
      </c>
    </row>
    <row r="3550" spans="28:32" x14ac:dyDescent="0.25">
      <c r="AB3550" t="str">
        <f t="shared" ref="AB3550:AC3550" si="3698">AB3529</f>
        <v>Supporting Scaffold</v>
      </c>
      <c r="AC3550" t="str">
        <f t="shared" si="3698"/>
        <v>Ground Floor Prop.</v>
      </c>
      <c r="AD3550" t="str">
        <f t="shared" ref="AD3550:AD3613" ca="1" si="3699">INDEX($AC$1:$JH$22,MATCH(AC3550,$AC$1:$AC$22,0),MATCH(AE3550,$AC$1:$JH$1,0))</f>
        <v>FALSE</v>
      </c>
      <c r="AE3550" s="1" t="str">
        <f t="shared" ca="1" si="3653"/>
        <v>Garage 122</v>
      </c>
      <c r="AF3550" t="str">
        <f t="shared" ca="1" si="3697"/>
        <v>Garage 122</v>
      </c>
    </row>
    <row r="3551" spans="28:32" x14ac:dyDescent="0.25">
      <c r="AB3551" t="str">
        <f t="shared" ref="AB3551:AC3551" si="3700">AB3530</f>
        <v>Supporting Scaffold</v>
      </c>
      <c r="AC3551" t="str">
        <f t="shared" si="3700"/>
        <v>First Floor Prop.</v>
      </c>
      <c r="AD3551" t="str">
        <f t="shared" ca="1" si="3699"/>
        <v>FALSE</v>
      </c>
      <c r="AE3551" s="1" t="str">
        <f t="shared" ca="1" si="3653"/>
        <v>Garage 122</v>
      </c>
      <c r="AF3551" t="str">
        <f t="shared" ca="1" si="3697"/>
        <v>Garage 122</v>
      </c>
    </row>
    <row r="3552" spans="28:32" x14ac:dyDescent="0.25">
      <c r="AB3552" t="str">
        <f t="shared" ref="AB3552:AC3552" si="3701">AB3531</f>
        <v>Supporting Scaffold</v>
      </c>
      <c r="AC3552" t="str">
        <f t="shared" si="3701"/>
        <v>Second Floor Prop.</v>
      </c>
      <c r="AD3552" t="str">
        <f t="shared" ca="1" si="3699"/>
        <v>FALSE</v>
      </c>
      <c r="AE3552" s="1" t="str">
        <f t="shared" ca="1" si="3653"/>
        <v>Garage 122</v>
      </c>
      <c r="AF3552" t="str">
        <f t="shared" ca="1" si="3697"/>
        <v>Garage 122</v>
      </c>
    </row>
    <row r="3553" spans="28:32" x14ac:dyDescent="0.25">
      <c r="AB3553" t="str">
        <f t="shared" ref="AB3553:AC3553" si="3702">AB3532</f>
        <v>External Scaffolding</v>
      </c>
      <c r="AC3553" t="str">
        <f t="shared" si="3702"/>
        <v>Hop-ups</v>
      </c>
      <c r="AD3553" t="b">
        <f t="shared" ca="1" si="3699"/>
        <v>1</v>
      </c>
      <c r="AE3553" s="1" t="str">
        <f t="shared" ca="1" si="3653"/>
        <v>Garage 122</v>
      </c>
      <c r="AF3553" t="str">
        <f t="shared" ca="1" si="3697"/>
        <v>Garage 122</v>
      </c>
    </row>
    <row r="3554" spans="28:32" x14ac:dyDescent="0.25">
      <c r="AB3554" t="str">
        <f t="shared" ref="AB3554:AC3554" si="3703">AB3533</f>
        <v>External Scaffolding</v>
      </c>
      <c r="AC3554" t="str">
        <f t="shared" si="3703"/>
        <v>Adaptions</v>
      </c>
      <c r="AD3554" t="b">
        <f t="shared" ca="1" si="3699"/>
        <v>1</v>
      </c>
      <c r="AE3554" s="1" t="str">
        <f t="shared" ca="1" si="3653"/>
        <v>Garage 122</v>
      </c>
      <c r="AF3554" t="str">
        <f t="shared" ca="1" si="3697"/>
        <v>Garage 122</v>
      </c>
    </row>
    <row r="3555" spans="28:32" x14ac:dyDescent="0.25">
      <c r="AB3555" t="str">
        <f t="shared" ref="AB3555:AC3555" si="3704">AB3534</f>
        <v>External Scaffolding</v>
      </c>
      <c r="AC3555" t="str">
        <f t="shared" si="3704"/>
        <v>Adaption Tower</v>
      </c>
      <c r="AD3555" t="b">
        <f t="shared" ca="1" si="3699"/>
        <v>1</v>
      </c>
      <c r="AE3555" s="1" t="str">
        <f t="shared" ca="1" si="3653"/>
        <v>Garage 122</v>
      </c>
      <c r="AF3555" t="str">
        <f t="shared" ca="1" si="3697"/>
        <v>Garage 122</v>
      </c>
    </row>
    <row r="3556" spans="28:32" x14ac:dyDescent="0.25">
      <c r="AB3556" t="str">
        <f t="shared" ref="AB3556:AC3556" si="3705">AB3535</f>
        <v>External Scaffolding</v>
      </c>
      <c r="AC3556" t="str">
        <f t="shared" si="3705"/>
        <v>Lift 1</v>
      </c>
      <c r="AD3556" t="b">
        <f t="shared" ca="1" si="3699"/>
        <v>1</v>
      </c>
      <c r="AE3556" s="1" t="str">
        <f t="shared" ca="1" si="3653"/>
        <v>Garage 123</v>
      </c>
      <c r="AF3556" t="str">
        <f t="shared" ca="1" si="3697"/>
        <v>Garage 123</v>
      </c>
    </row>
    <row r="3557" spans="28:32" x14ac:dyDescent="0.25">
      <c r="AB3557" t="str">
        <f t="shared" ref="AB3557:AC3557" si="3706">AB3536</f>
        <v>External Scaffolding</v>
      </c>
      <c r="AC3557" t="str">
        <f t="shared" si="3706"/>
        <v>Lift 2</v>
      </c>
      <c r="AD3557" t="b">
        <f t="shared" ca="1" si="3699"/>
        <v>1</v>
      </c>
      <c r="AE3557" s="1" t="str">
        <f t="shared" ca="1" si="3653"/>
        <v>Garage 123</v>
      </c>
      <c r="AF3557" t="str">
        <f t="shared" ca="1" si="3697"/>
        <v>Garage 123</v>
      </c>
    </row>
    <row r="3558" spans="28:32" x14ac:dyDescent="0.25">
      <c r="AB3558" t="str">
        <f t="shared" ref="AB3558:AC3558" si="3707">AB3537</f>
        <v>External Scaffolding</v>
      </c>
      <c r="AC3558" t="str">
        <f t="shared" si="3707"/>
        <v>Lift 3</v>
      </c>
      <c r="AD3558" t="b">
        <f t="shared" ca="1" si="3699"/>
        <v>1</v>
      </c>
      <c r="AE3558" s="1" t="str">
        <f t="shared" ca="1" si="3653"/>
        <v>Garage 123</v>
      </c>
      <c r="AF3558" t="str">
        <f t="shared" ca="1" si="3697"/>
        <v>Garage 123</v>
      </c>
    </row>
    <row r="3559" spans="28:32" x14ac:dyDescent="0.25">
      <c r="AB3559" t="str">
        <f t="shared" ref="AB3559:AC3559" si="3708">AB3538</f>
        <v>External Scaffolding</v>
      </c>
      <c r="AC3559" t="str">
        <f t="shared" si="3708"/>
        <v>Lift 4</v>
      </c>
      <c r="AD3559" t="b">
        <f t="shared" ca="1" si="3699"/>
        <v>0</v>
      </c>
      <c r="AE3559" s="1" t="str">
        <f t="shared" ca="1" si="3653"/>
        <v>Garage 123</v>
      </c>
      <c r="AF3559" t="str">
        <f t="shared" ca="1" si="3697"/>
        <v>Garage 123</v>
      </c>
    </row>
    <row r="3560" spans="28:32" x14ac:dyDescent="0.25">
      <c r="AB3560" t="str">
        <f t="shared" ref="AB3560:AC3560" si="3709">AB3539</f>
        <v>External Scaffolding</v>
      </c>
      <c r="AC3560" t="str">
        <f t="shared" si="3709"/>
        <v>Lift 5</v>
      </c>
      <c r="AD3560" t="b">
        <f t="shared" ca="1" si="3699"/>
        <v>0</v>
      </c>
      <c r="AE3560" s="1" t="str">
        <f t="shared" ca="1" si="3653"/>
        <v>Garage 123</v>
      </c>
      <c r="AF3560" t="str">
        <f t="shared" ca="1" si="3697"/>
        <v>Garage 123</v>
      </c>
    </row>
    <row r="3561" spans="28:32" x14ac:dyDescent="0.25">
      <c r="AB3561" t="str">
        <f t="shared" ref="AB3561:AC3561" si="3710">AB3540</f>
        <v>External Scaffolding</v>
      </c>
      <c r="AC3561" t="str">
        <f t="shared" si="3710"/>
        <v>Lift 6</v>
      </c>
      <c r="AD3561" t="b">
        <f t="shared" ca="1" si="3699"/>
        <v>0</v>
      </c>
      <c r="AE3561" s="1" t="str">
        <f t="shared" ca="1" si="3653"/>
        <v>Garage 123</v>
      </c>
      <c r="AF3561" t="str">
        <f t="shared" ca="1" si="3697"/>
        <v>Garage 123</v>
      </c>
    </row>
    <row r="3562" spans="28:32" x14ac:dyDescent="0.25">
      <c r="AB3562" t="str">
        <f t="shared" ref="AB3562:AC3562" si="3711">AB3541</f>
        <v>Loading Bay</v>
      </c>
      <c r="AC3562" t="str">
        <f t="shared" si="3711"/>
        <v>Lift 1</v>
      </c>
      <c r="AD3562" t="b">
        <f t="shared" ca="1" si="3699"/>
        <v>1</v>
      </c>
      <c r="AE3562" s="1" t="str">
        <f t="shared" ca="1" si="3653"/>
        <v>Garage 123</v>
      </c>
      <c r="AF3562" t="str">
        <f t="shared" ca="1" si="3697"/>
        <v>Garage 123</v>
      </c>
    </row>
    <row r="3563" spans="28:32" x14ac:dyDescent="0.25">
      <c r="AB3563" t="str">
        <f t="shared" ref="AB3563:AC3563" si="3712">AB3542</f>
        <v>Loading Bay</v>
      </c>
      <c r="AC3563" t="str">
        <f t="shared" si="3712"/>
        <v>Lift 2</v>
      </c>
      <c r="AD3563" t="b">
        <f t="shared" ca="1" si="3699"/>
        <v>1</v>
      </c>
      <c r="AE3563" s="1" t="str">
        <f t="shared" ca="1" si="3653"/>
        <v>Garage 123</v>
      </c>
      <c r="AF3563" t="str">
        <f t="shared" ca="1" si="3697"/>
        <v>Garage 123</v>
      </c>
    </row>
    <row r="3564" spans="28:32" x14ac:dyDescent="0.25">
      <c r="AB3564" t="str">
        <f t="shared" ref="AB3564:AC3564" si="3713">AB3543</f>
        <v>Loading Bay</v>
      </c>
      <c r="AC3564" t="str">
        <f t="shared" si="3713"/>
        <v>Lift 3</v>
      </c>
      <c r="AD3564" t="b">
        <f t="shared" ca="1" si="3699"/>
        <v>1</v>
      </c>
      <c r="AE3564" s="1" t="str">
        <f t="shared" ca="1" si="3653"/>
        <v>Garage 123</v>
      </c>
      <c r="AF3564" t="str">
        <f t="shared" ca="1" si="3697"/>
        <v>Garage 123</v>
      </c>
    </row>
    <row r="3565" spans="28:32" x14ac:dyDescent="0.25">
      <c r="AB3565" t="str">
        <f t="shared" ref="AB3565:AC3565" si="3714">AB3544</f>
        <v>Loading Bay</v>
      </c>
      <c r="AC3565" t="str">
        <f t="shared" si="3714"/>
        <v>Lift 4</v>
      </c>
      <c r="AD3565" t="b">
        <f t="shared" ca="1" si="3699"/>
        <v>0</v>
      </c>
      <c r="AE3565" s="1" t="str">
        <f t="shared" ca="1" si="3653"/>
        <v>Garage 123</v>
      </c>
      <c r="AF3565" t="str">
        <f t="shared" ca="1" si="3697"/>
        <v>Garage 123</v>
      </c>
    </row>
    <row r="3566" spans="28:32" x14ac:dyDescent="0.25">
      <c r="AB3566" t="str">
        <f t="shared" ref="AB3566:AC3566" si="3715">AB3545</f>
        <v>Loading Bay</v>
      </c>
      <c r="AC3566" t="str">
        <f t="shared" si="3715"/>
        <v>Lift 5</v>
      </c>
      <c r="AD3566" t="b">
        <f t="shared" ca="1" si="3699"/>
        <v>0</v>
      </c>
      <c r="AE3566" s="1" t="str">
        <f t="shared" ca="1" si="3653"/>
        <v>Garage 123</v>
      </c>
      <c r="AF3566" t="str">
        <f t="shared" ca="1" si="3697"/>
        <v>Garage 123</v>
      </c>
    </row>
    <row r="3567" spans="28:32" x14ac:dyDescent="0.25">
      <c r="AB3567" t="str">
        <f t="shared" ref="AB3567:AC3567" si="3716">AB3546</f>
        <v>Loading Bay</v>
      </c>
      <c r="AC3567" t="str">
        <f t="shared" si="3716"/>
        <v>Lift 6</v>
      </c>
      <c r="AD3567" t="b">
        <f t="shared" ca="1" si="3699"/>
        <v>0</v>
      </c>
      <c r="AE3567" s="1" t="str">
        <f t="shared" ca="1" si="3653"/>
        <v>Garage 123</v>
      </c>
      <c r="AF3567" t="str">
        <f t="shared" ca="1" si="3697"/>
        <v>Garage 123</v>
      </c>
    </row>
    <row r="3568" spans="28:32" x14ac:dyDescent="0.25">
      <c r="AB3568" t="str">
        <f t="shared" ref="AB3568:AC3568" si="3717">AB3547</f>
        <v>Scaffolding Platform</v>
      </c>
      <c r="AC3568" t="str">
        <f t="shared" si="3717"/>
        <v>Ground Floor</v>
      </c>
      <c r="AD3568" t="b">
        <f t="shared" ca="1" si="3699"/>
        <v>1</v>
      </c>
      <c r="AE3568" s="1" t="str">
        <f t="shared" ca="1" si="3653"/>
        <v>Garage 123</v>
      </c>
      <c r="AF3568" t="str">
        <f t="shared" ca="1" si="3697"/>
        <v>Garage 123</v>
      </c>
    </row>
    <row r="3569" spans="28:32" x14ac:dyDescent="0.25">
      <c r="AB3569" t="str">
        <f t="shared" ref="AB3569:AC3569" si="3718">AB3548</f>
        <v>Scaffolding Platform</v>
      </c>
      <c r="AC3569" t="str">
        <f t="shared" si="3718"/>
        <v>First Floor</v>
      </c>
      <c r="AD3569" t="b">
        <f t="shared" ca="1" si="3699"/>
        <v>0</v>
      </c>
      <c r="AE3569" s="1" t="str">
        <f t="shared" ca="1" si="3653"/>
        <v>Garage 123</v>
      </c>
      <c r="AF3569" t="str">
        <f t="shared" ca="1" si="3697"/>
        <v>Garage 123</v>
      </c>
    </row>
    <row r="3570" spans="28:32" x14ac:dyDescent="0.25">
      <c r="AB3570" t="str">
        <f t="shared" ref="AB3570:AC3570" si="3719">AB3549</f>
        <v>Scaffolding Platform</v>
      </c>
      <c r="AC3570" t="str">
        <f t="shared" si="3719"/>
        <v>Second Floor</v>
      </c>
      <c r="AD3570" t="b">
        <f t="shared" ca="1" si="3699"/>
        <v>0</v>
      </c>
      <c r="AE3570" s="1" t="str">
        <f t="shared" ref="AE3570:AE3633" ca="1" si="3720">OFFSET($AD$1,0,FLOOR(ROW(B3542)/21,1))</f>
        <v>Garage 123</v>
      </c>
      <c r="AF3570" t="str">
        <f t="shared" ca="1" si="3697"/>
        <v>Garage 123</v>
      </c>
    </row>
    <row r="3571" spans="28:32" x14ac:dyDescent="0.25">
      <c r="AB3571" t="str">
        <f t="shared" ref="AB3571:AC3571" si="3721">AB3550</f>
        <v>Supporting Scaffold</v>
      </c>
      <c r="AC3571" t="str">
        <f t="shared" si="3721"/>
        <v>Ground Floor Prop.</v>
      </c>
      <c r="AD3571" t="str">
        <f t="shared" ca="1" si="3699"/>
        <v>FALSE</v>
      </c>
      <c r="AE3571" s="1" t="str">
        <f t="shared" ca="1" si="3720"/>
        <v>Garage 123</v>
      </c>
      <c r="AF3571" t="str">
        <f t="shared" ca="1" si="3697"/>
        <v>Garage 123</v>
      </c>
    </row>
    <row r="3572" spans="28:32" x14ac:dyDescent="0.25">
      <c r="AB3572" t="str">
        <f t="shared" ref="AB3572:AC3572" si="3722">AB3551</f>
        <v>Supporting Scaffold</v>
      </c>
      <c r="AC3572" t="str">
        <f t="shared" si="3722"/>
        <v>First Floor Prop.</v>
      </c>
      <c r="AD3572" t="str">
        <f t="shared" ca="1" si="3699"/>
        <v>FALSE</v>
      </c>
      <c r="AE3572" s="1" t="str">
        <f t="shared" ca="1" si="3720"/>
        <v>Garage 123</v>
      </c>
      <c r="AF3572" t="str">
        <f t="shared" ca="1" si="3697"/>
        <v>Garage 123</v>
      </c>
    </row>
    <row r="3573" spans="28:32" x14ac:dyDescent="0.25">
      <c r="AB3573" t="str">
        <f t="shared" ref="AB3573:AC3573" si="3723">AB3552</f>
        <v>Supporting Scaffold</v>
      </c>
      <c r="AC3573" t="str">
        <f t="shared" si="3723"/>
        <v>Second Floor Prop.</v>
      </c>
      <c r="AD3573" t="str">
        <f t="shared" ca="1" si="3699"/>
        <v>FALSE</v>
      </c>
      <c r="AE3573" s="1" t="str">
        <f t="shared" ca="1" si="3720"/>
        <v>Garage 123</v>
      </c>
      <c r="AF3573" t="str">
        <f t="shared" ca="1" si="3697"/>
        <v>Garage 123</v>
      </c>
    </row>
    <row r="3574" spans="28:32" x14ac:dyDescent="0.25">
      <c r="AB3574" t="str">
        <f t="shared" ref="AB3574:AC3574" si="3724">AB3553</f>
        <v>External Scaffolding</v>
      </c>
      <c r="AC3574" t="str">
        <f t="shared" si="3724"/>
        <v>Hop-ups</v>
      </c>
      <c r="AD3574" t="b">
        <f t="shared" ca="1" si="3699"/>
        <v>1</v>
      </c>
      <c r="AE3574" s="1" t="str">
        <f t="shared" ca="1" si="3720"/>
        <v>Garage 123</v>
      </c>
      <c r="AF3574" t="str">
        <f t="shared" ca="1" si="3697"/>
        <v>Garage 123</v>
      </c>
    </row>
    <row r="3575" spans="28:32" x14ac:dyDescent="0.25">
      <c r="AB3575" t="str">
        <f t="shared" ref="AB3575:AC3575" si="3725">AB3554</f>
        <v>External Scaffolding</v>
      </c>
      <c r="AC3575" t="str">
        <f t="shared" si="3725"/>
        <v>Adaptions</v>
      </c>
      <c r="AD3575" t="b">
        <f t="shared" ca="1" si="3699"/>
        <v>1</v>
      </c>
      <c r="AE3575" s="1" t="str">
        <f t="shared" ca="1" si="3720"/>
        <v>Garage 123</v>
      </c>
      <c r="AF3575" t="str">
        <f t="shared" ca="1" si="3697"/>
        <v>Garage 123</v>
      </c>
    </row>
    <row r="3576" spans="28:32" x14ac:dyDescent="0.25">
      <c r="AB3576" t="str">
        <f t="shared" ref="AB3576:AC3576" si="3726">AB3555</f>
        <v>External Scaffolding</v>
      </c>
      <c r="AC3576" t="str">
        <f t="shared" si="3726"/>
        <v>Adaption Tower</v>
      </c>
      <c r="AD3576" t="b">
        <f t="shared" ca="1" si="3699"/>
        <v>1</v>
      </c>
      <c r="AE3576" s="1" t="str">
        <f t="shared" ca="1" si="3720"/>
        <v>Garage 123</v>
      </c>
      <c r="AF3576" t="str">
        <f t="shared" ca="1" si="3697"/>
        <v>Garage 123</v>
      </c>
    </row>
    <row r="3577" spans="28:32" x14ac:dyDescent="0.25">
      <c r="AB3577" t="str">
        <f t="shared" ref="AB3577:AC3577" si="3727">AB3556</f>
        <v>External Scaffolding</v>
      </c>
      <c r="AC3577" t="str">
        <f t="shared" si="3727"/>
        <v>Lift 1</v>
      </c>
      <c r="AD3577" t="b">
        <f t="shared" ca="1" si="3699"/>
        <v>1</v>
      </c>
      <c r="AE3577" s="1" t="str">
        <f t="shared" ca="1" si="3720"/>
        <v>Garage 124</v>
      </c>
      <c r="AF3577" t="str">
        <f t="shared" ca="1" si="3697"/>
        <v>Garage 124</v>
      </c>
    </row>
    <row r="3578" spans="28:32" x14ac:dyDescent="0.25">
      <c r="AB3578" t="str">
        <f t="shared" ref="AB3578:AC3578" si="3728">AB3557</f>
        <v>External Scaffolding</v>
      </c>
      <c r="AC3578" t="str">
        <f t="shared" si="3728"/>
        <v>Lift 2</v>
      </c>
      <c r="AD3578" t="b">
        <f t="shared" ca="1" si="3699"/>
        <v>1</v>
      </c>
      <c r="AE3578" s="1" t="str">
        <f t="shared" ca="1" si="3720"/>
        <v>Garage 124</v>
      </c>
      <c r="AF3578" t="str">
        <f t="shared" ca="1" si="3697"/>
        <v>Garage 124</v>
      </c>
    </row>
    <row r="3579" spans="28:32" x14ac:dyDescent="0.25">
      <c r="AB3579" t="str">
        <f t="shared" ref="AB3579:AC3579" si="3729">AB3558</f>
        <v>External Scaffolding</v>
      </c>
      <c r="AC3579" t="str">
        <f t="shared" si="3729"/>
        <v>Lift 3</v>
      </c>
      <c r="AD3579" t="b">
        <f t="shared" ca="1" si="3699"/>
        <v>1</v>
      </c>
      <c r="AE3579" s="1" t="str">
        <f t="shared" ca="1" si="3720"/>
        <v>Garage 124</v>
      </c>
      <c r="AF3579" t="str">
        <f t="shared" ca="1" si="3697"/>
        <v>Garage 124</v>
      </c>
    </row>
    <row r="3580" spans="28:32" x14ac:dyDescent="0.25">
      <c r="AB3580" t="str">
        <f t="shared" ref="AB3580:AC3580" si="3730">AB3559</f>
        <v>External Scaffolding</v>
      </c>
      <c r="AC3580" t="str">
        <f t="shared" si="3730"/>
        <v>Lift 4</v>
      </c>
      <c r="AD3580" t="b">
        <f t="shared" ca="1" si="3699"/>
        <v>0</v>
      </c>
      <c r="AE3580" s="1" t="str">
        <f t="shared" ca="1" si="3720"/>
        <v>Garage 124</v>
      </c>
      <c r="AF3580" t="str">
        <f t="shared" ca="1" si="3697"/>
        <v>Garage 124</v>
      </c>
    </row>
    <row r="3581" spans="28:32" x14ac:dyDescent="0.25">
      <c r="AB3581" t="str">
        <f t="shared" ref="AB3581:AC3581" si="3731">AB3560</f>
        <v>External Scaffolding</v>
      </c>
      <c r="AC3581" t="str">
        <f t="shared" si="3731"/>
        <v>Lift 5</v>
      </c>
      <c r="AD3581" t="b">
        <f t="shared" ca="1" si="3699"/>
        <v>0</v>
      </c>
      <c r="AE3581" s="1" t="str">
        <f t="shared" ca="1" si="3720"/>
        <v>Garage 124</v>
      </c>
      <c r="AF3581" t="str">
        <f t="shared" ca="1" si="3697"/>
        <v>Garage 124</v>
      </c>
    </row>
    <row r="3582" spans="28:32" x14ac:dyDescent="0.25">
      <c r="AB3582" t="str">
        <f t="shared" ref="AB3582:AC3582" si="3732">AB3561</f>
        <v>External Scaffolding</v>
      </c>
      <c r="AC3582" t="str">
        <f t="shared" si="3732"/>
        <v>Lift 6</v>
      </c>
      <c r="AD3582" t="b">
        <f t="shared" ca="1" si="3699"/>
        <v>0</v>
      </c>
      <c r="AE3582" s="1" t="str">
        <f t="shared" ca="1" si="3720"/>
        <v>Garage 124</v>
      </c>
      <c r="AF3582" t="str">
        <f t="shared" ca="1" si="3697"/>
        <v>Garage 124</v>
      </c>
    </row>
    <row r="3583" spans="28:32" x14ac:dyDescent="0.25">
      <c r="AB3583" t="str">
        <f t="shared" ref="AB3583:AC3583" si="3733">AB3562</f>
        <v>Loading Bay</v>
      </c>
      <c r="AC3583" t="str">
        <f t="shared" si="3733"/>
        <v>Lift 1</v>
      </c>
      <c r="AD3583" t="b">
        <f t="shared" ca="1" si="3699"/>
        <v>1</v>
      </c>
      <c r="AE3583" s="1" t="str">
        <f t="shared" ca="1" si="3720"/>
        <v>Garage 124</v>
      </c>
      <c r="AF3583" t="str">
        <f t="shared" ca="1" si="3697"/>
        <v>Garage 124</v>
      </c>
    </row>
    <row r="3584" spans="28:32" x14ac:dyDescent="0.25">
      <c r="AB3584" t="str">
        <f t="shared" ref="AB3584:AC3584" si="3734">AB3563</f>
        <v>Loading Bay</v>
      </c>
      <c r="AC3584" t="str">
        <f t="shared" si="3734"/>
        <v>Lift 2</v>
      </c>
      <c r="AD3584" t="b">
        <f t="shared" ca="1" si="3699"/>
        <v>1</v>
      </c>
      <c r="AE3584" s="1" t="str">
        <f t="shared" ca="1" si="3720"/>
        <v>Garage 124</v>
      </c>
      <c r="AF3584" t="str">
        <f t="shared" ca="1" si="3697"/>
        <v>Garage 124</v>
      </c>
    </row>
    <row r="3585" spans="28:32" x14ac:dyDescent="0.25">
      <c r="AB3585" t="str">
        <f t="shared" ref="AB3585:AC3585" si="3735">AB3564</f>
        <v>Loading Bay</v>
      </c>
      <c r="AC3585" t="str">
        <f t="shared" si="3735"/>
        <v>Lift 3</v>
      </c>
      <c r="AD3585" t="b">
        <f t="shared" ca="1" si="3699"/>
        <v>1</v>
      </c>
      <c r="AE3585" s="1" t="str">
        <f t="shared" ca="1" si="3720"/>
        <v>Garage 124</v>
      </c>
      <c r="AF3585" t="str">
        <f t="shared" ca="1" si="3697"/>
        <v>Garage 124</v>
      </c>
    </row>
    <row r="3586" spans="28:32" x14ac:dyDescent="0.25">
      <c r="AB3586" t="str">
        <f t="shared" ref="AB3586:AC3586" si="3736">AB3565</f>
        <v>Loading Bay</v>
      </c>
      <c r="AC3586" t="str">
        <f t="shared" si="3736"/>
        <v>Lift 4</v>
      </c>
      <c r="AD3586" t="b">
        <f t="shared" ca="1" si="3699"/>
        <v>0</v>
      </c>
      <c r="AE3586" s="1" t="str">
        <f t="shared" ca="1" si="3720"/>
        <v>Garage 124</v>
      </c>
      <c r="AF3586" t="str">
        <f t="shared" ca="1" si="3697"/>
        <v>Garage 124</v>
      </c>
    </row>
    <row r="3587" spans="28:32" x14ac:dyDescent="0.25">
      <c r="AB3587" t="str">
        <f t="shared" ref="AB3587:AC3587" si="3737">AB3566</f>
        <v>Loading Bay</v>
      </c>
      <c r="AC3587" t="str">
        <f t="shared" si="3737"/>
        <v>Lift 5</v>
      </c>
      <c r="AD3587" t="b">
        <f t="shared" ca="1" si="3699"/>
        <v>0</v>
      </c>
      <c r="AE3587" s="1" t="str">
        <f t="shared" ca="1" si="3720"/>
        <v>Garage 124</v>
      </c>
      <c r="AF3587" t="str">
        <f t="shared" ca="1" si="3697"/>
        <v>Garage 124</v>
      </c>
    </row>
    <row r="3588" spans="28:32" x14ac:dyDescent="0.25">
      <c r="AB3588" t="str">
        <f t="shared" ref="AB3588:AC3588" si="3738">AB3567</f>
        <v>Loading Bay</v>
      </c>
      <c r="AC3588" t="str">
        <f t="shared" si="3738"/>
        <v>Lift 6</v>
      </c>
      <c r="AD3588" t="b">
        <f t="shared" ca="1" si="3699"/>
        <v>0</v>
      </c>
      <c r="AE3588" s="1" t="str">
        <f t="shared" ca="1" si="3720"/>
        <v>Garage 124</v>
      </c>
      <c r="AF3588" t="str">
        <f t="shared" ca="1" si="3697"/>
        <v>Garage 124</v>
      </c>
    </row>
    <row r="3589" spans="28:32" x14ac:dyDescent="0.25">
      <c r="AB3589" t="str">
        <f t="shared" ref="AB3589:AC3589" si="3739">AB3568</f>
        <v>Scaffolding Platform</v>
      </c>
      <c r="AC3589" t="str">
        <f t="shared" si="3739"/>
        <v>Ground Floor</v>
      </c>
      <c r="AD3589" t="b">
        <f t="shared" ca="1" si="3699"/>
        <v>1</v>
      </c>
      <c r="AE3589" s="1" t="str">
        <f t="shared" ca="1" si="3720"/>
        <v>Garage 124</v>
      </c>
      <c r="AF3589" t="str">
        <f t="shared" ca="1" si="3697"/>
        <v>Garage 124</v>
      </c>
    </row>
    <row r="3590" spans="28:32" x14ac:dyDescent="0.25">
      <c r="AB3590" t="str">
        <f t="shared" ref="AB3590:AC3590" si="3740">AB3569</f>
        <v>Scaffolding Platform</v>
      </c>
      <c r="AC3590" t="str">
        <f t="shared" si="3740"/>
        <v>First Floor</v>
      </c>
      <c r="AD3590" t="b">
        <f t="shared" ca="1" si="3699"/>
        <v>0</v>
      </c>
      <c r="AE3590" s="1" t="str">
        <f t="shared" ca="1" si="3720"/>
        <v>Garage 124</v>
      </c>
      <c r="AF3590" t="str">
        <f t="shared" ca="1" si="3697"/>
        <v>Garage 124</v>
      </c>
    </row>
    <row r="3591" spans="28:32" x14ac:dyDescent="0.25">
      <c r="AB3591" t="str">
        <f t="shared" ref="AB3591:AC3591" si="3741">AB3570</f>
        <v>Scaffolding Platform</v>
      </c>
      <c r="AC3591" t="str">
        <f t="shared" si="3741"/>
        <v>Second Floor</v>
      </c>
      <c r="AD3591" t="b">
        <f t="shared" ca="1" si="3699"/>
        <v>0</v>
      </c>
      <c r="AE3591" s="1" t="str">
        <f t="shared" ca="1" si="3720"/>
        <v>Garage 124</v>
      </c>
      <c r="AF3591" t="str">
        <f t="shared" ca="1" si="3697"/>
        <v>Garage 124</v>
      </c>
    </row>
    <row r="3592" spans="28:32" x14ac:dyDescent="0.25">
      <c r="AB3592" t="str">
        <f t="shared" ref="AB3592:AC3592" si="3742">AB3571</f>
        <v>Supporting Scaffold</v>
      </c>
      <c r="AC3592" t="str">
        <f t="shared" si="3742"/>
        <v>Ground Floor Prop.</v>
      </c>
      <c r="AD3592" t="str">
        <f t="shared" ca="1" si="3699"/>
        <v>FALSE</v>
      </c>
      <c r="AE3592" s="1" t="str">
        <f t="shared" ca="1" si="3720"/>
        <v>Garage 124</v>
      </c>
      <c r="AF3592" t="str">
        <f t="shared" ca="1" si="3697"/>
        <v>Garage 124</v>
      </c>
    </row>
    <row r="3593" spans="28:32" x14ac:dyDescent="0.25">
      <c r="AB3593" t="str">
        <f t="shared" ref="AB3593:AC3593" si="3743">AB3572</f>
        <v>Supporting Scaffold</v>
      </c>
      <c r="AC3593" t="str">
        <f t="shared" si="3743"/>
        <v>First Floor Prop.</v>
      </c>
      <c r="AD3593" t="str">
        <f t="shared" ca="1" si="3699"/>
        <v>FALSE</v>
      </c>
      <c r="AE3593" s="1" t="str">
        <f t="shared" ca="1" si="3720"/>
        <v>Garage 124</v>
      </c>
      <c r="AF3593" t="str">
        <f t="shared" ca="1" si="3697"/>
        <v>Garage 124</v>
      </c>
    </row>
    <row r="3594" spans="28:32" x14ac:dyDescent="0.25">
      <c r="AB3594" t="str">
        <f t="shared" ref="AB3594:AC3594" si="3744">AB3573</f>
        <v>Supporting Scaffold</v>
      </c>
      <c r="AC3594" t="str">
        <f t="shared" si="3744"/>
        <v>Second Floor Prop.</v>
      </c>
      <c r="AD3594" t="str">
        <f t="shared" ca="1" si="3699"/>
        <v>FALSE</v>
      </c>
      <c r="AE3594" s="1" t="str">
        <f t="shared" ca="1" si="3720"/>
        <v>Garage 124</v>
      </c>
      <c r="AF3594" t="str">
        <f t="shared" ca="1" si="3697"/>
        <v>Garage 124</v>
      </c>
    </row>
    <row r="3595" spans="28:32" x14ac:dyDescent="0.25">
      <c r="AB3595" t="str">
        <f t="shared" ref="AB3595:AC3595" si="3745">AB3574</f>
        <v>External Scaffolding</v>
      </c>
      <c r="AC3595" t="str">
        <f t="shared" si="3745"/>
        <v>Hop-ups</v>
      </c>
      <c r="AD3595" t="b">
        <f t="shared" ca="1" si="3699"/>
        <v>1</v>
      </c>
      <c r="AE3595" s="1" t="str">
        <f t="shared" ca="1" si="3720"/>
        <v>Garage 124</v>
      </c>
      <c r="AF3595" t="str">
        <f t="shared" ca="1" si="3697"/>
        <v>Garage 124</v>
      </c>
    </row>
    <row r="3596" spans="28:32" x14ac:dyDescent="0.25">
      <c r="AB3596" t="str">
        <f t="shared" ref="AB3596:AC3596" si="3746">AB3575</f>
        <v>External Scaffolding</v>
      </c>
      <c r="AC3596" t="str">
        <f t="shared" si="3746"/>
        <v>Adaptions</v>
      </c>
      <c r="AD3596" t="b">
        <f t="shared" ca="1" si="3699"/>
        <v>1</v>
      </c>
      <c r="AE3596" s="1" t="str">
        <f t="shared" ca="1" si="3720"/>
        <v>Garage 124</v>
      </c>
      <c r="AF3596" t="str">
        <f t="shared" ca="1" si="3697"/>
        <v>Garage 124</v>
      </c>
    </row>
    <row r="3597" spans="28:32" x14ac:dyDescent="0.25">
      <c r="AB3597" t="str">
        <f t="shared" ref="AB3597:AC3597" si="3747">AB3576</f>
        <v>External Scaffolding</v>
      </c>
      <c r="AC3597" t="str">
        <f t="shared" si="3747"/>
        <v>Adaption Tower</v>
      </c>
      <c r="AD3597" t="b">
        <f t="shared" ca="1" si="3699"/>
        <v>1</v>
      </c>
      <c r="AE3597" s="1" t="str">
        <f t="shared" ca="1" si="3720"/>
        <v>Garage 124</v>
      </c>
      <c r="AF3597" t="str">
        <f t="shared" ca="1" si="3697"/>
        <v>Garage 124</v>
      </c>
    </row>
    <row r="3598" spans="28:32" x14ac:dyDescent="0.25">
      <c r="AB3598" t="str">
        <f t="shared" ref="AB3598:AC3598" si="3748">AB3577</f>
        <v>External Scaffolding</v>
      </c>
      <c r="AC3598" t="str">
        <f t="shared" si="3748"/>
        <v>Lift 1</v>
      </c>
      <c r="AD3598" t="b">
        <f t="shared" ca="1" si="3699"/>
        <v>1</v>
      </c>
      <c r="AE3598" s="1" t="str">
        <f t="shared" ca="1" si="3720"/>
        <v>Garage 125</v>
      </c>
      <c r="AF3598" t="str">
        <f t="shared" ca="1" si="3697"/>
        <v>Garage 125</v>
      </c>
    </row>
    <row r="3599" spans="28:32" x14ac:dyDescent="0.25">
      <c r="AB3599" t="str">
        <f t="shared" ref="AB3599:AC3599" si="3749">AB3578</f>
        <v>External Scaffolding</v>
      </c>
      <c r="AC3599" t="str">
        <f t="shared" si="3749"/>
        <v>Lift 2</v>
      </c>
      <c r="AD3599" t="b">
        <f t="shared" ca="1" si="3699"/>
        <v>1</v>
      </c>
      <c r="AE3599" s="1" t="str">
        <f t="shared" ca="1" si="3720"/>
        <v>Garage 125</v>
      </c>
      <c r="AF3599" t="str">
        <f t="shared" ca="1" si="3697"/>
        <v>Garage 125</v>
      </c>
    </row>
    <row r="3600" spans="28:32" x14ac:dyDescent="0.25">
      <c r="AB3600" t="str">
        <f t="shared" ref="AB3600:AC3600" si="3750">AB3579</f>
        <v>External Scaffolding</v>
      </c>
      <c r="AC3600" t="str">
        <f t="shared" si="3750"/>
        <v>Lift 3</v>
      </c>
      <c r="AD3600" t="b">
        <f t="shared" ca="1" si="3699"/>
        <v>1</v>
      </c>
      <c r="AE3600" s="1" t="str">
        <f t="shared" ca="1" si="3720"/>
        <v>Garage 125</v>
      </c>
      <c r="AF3600" t="str">
        <f t="shared" ca="1" si="3697"/>
        <v>Garage 125</v>
      </c>
    </row>
    <row r="3601" spans="28:32" x14ac:dyDescent="0.25">
      <c r="AB3601" t="str">
        <f t="shared" ref="AB3601:AC3601" si="3751">AB3580</f>
        <v>External Scaffolding</v>
      </c>
      <c r="AC3601" t="str">
        <f t="shared" si="3751"/>
        <v>Lift 4</v>
      </c>
      <c r="AD3601" t="b">
        <f t="shared" ca="1" si="3699"/>
        <v>0</v>
      </c>
      <c r="AE3601" s="1" t="str">
        <f t="shared" ca="1" si="3720"/>
        <v>Garage 125</v>
      </c>
      <c r="AF3601" t="str">
        <f t="shared" ca="1" si="3697"/>
        <v>Garage 125</v>
      </c>
    </row>
    <row r="3602" spans="28:32" x14ac:dyDescent="0.25">
      <c r="AB3602" t="str">
        <f t="shared" ref="AB3602:AC3602" si="3752">AB3581</f>
        <v>External Scaffolding</v>
      </c>
      <c r="AC3602" t="str">
        <f t="shared" si="3752"/>
        <v>Lift 5</v>
      </c>
      <c r="AD3602" t="b">
        <f t="shared" ca="1" si="3699"/>
        <v>0</v>
      </c>
      <c r="AE3602" s="1" t="str">
        <f t="shared" ca="1" si="3720"/>
        <v>Garage 125</v>
      </c>
      <c r="AF3602" t="str">
        <f t="shared" ca="1" si="3697"/>
        <v>Garage 125</v>
      </c>
    </row>
    <row r="3603" spans="28:32" x14ac:dyDescent="0.25">
      <c r="AB3603" t="str">
        <f t="shared" ref="AB3603:AC3603" si="3753">AB3582</f>
        <v>External Scaffolding</v>
      </c>
      <c r="AC3603" t="str">
        <f t="shared" si="3753"/>
        <v>Lift 6</v>
      </c>
      <c r="AD3603" t="b">
        <f t="shared" ca="1" si="3699"/>
        <v>0</v>
      </c>
      <c r="AE3603" s="1" t="str">
        <f t="shared" ca="1" si="3720"/>
        <v>Garage 125</v>
      </c>
      <c r="AF3603" t="str">
        <f t="shared" ca="1" si="3697"/>
        <v>Garage 125</v>
      </c>
    </row>
    <row r="3604" spans="28:32" x14ac:dyDescent="0.25">
      <c r="AB3604" t="str">
        <f t="shared" ref="AB3604:AC3604" si="3754">AB3583</f>
        <v>Loading Bay</v>
      </c>
      <c r="AC3604" t="str">
        <f t="shared" si="3754"/>
        <v>Lift 1</v>
      </c>
      <c r="AD3604" t="b">
        <f t="shared" ca="1" si="3699"/>
        <v>1</v>
      </c>
      <c r="AE3604" s="1" t="str">
        <f t="shared" ca="1" si="3720"/>
        <v>Garage 125</v>
      </c>
      <c r="AF3604" t="str">
        <f t="shared" ca="1" si="3697"/>
        <v>Garage 125</v>
      </c>
    </row>
    <row r="3605" spans="28:32" x14ac:dyDescent="0.25">
      <c r="AB3605" t="str">
        <f t="shared" ref="AB3605:AC3605" si="3755">AB3584</f>
        <v>Loading Bay</v>
      </c>
      <c r="AC3605" t="str">
        <f t="shared" si="3755"/>
        <v>Lift 2</v>
      </c>
      <c r="AD3605" t="b">
        <f t="shared" ca="1" si="3699"/>
        <v>1</v>
      </c>
      <c r="AE3605" s="1" t="str">
        <f t="shared" ca="1" si="3720"/>
        <v>Garage 125</v>
      </c>
      <c r="AF3605" t="str">
        <f t="shared" ca="1" si="3697"/>
        <v>Garage 125</v>
      </c>
    </row>
    <row r="3606" spans="28:32" x14ac:dyDescent="0.25">
      <c r="AB3606" t="str">
        <f t="shared" ref="AB3606:AC3606" si="3756">AB3585</f>
        <v>Loading Bay</v>
      </c>
      <c r="AC3606" t="str">
        <f t="shared" si="3756"/>
        <v>Lift 3</v>
      </c>
      <c r="AD3606" t="b">
        <f t="shared" ca="1" si="3699"/>
        <v>1</v>
      </c>
      <c r="AE3606" s="1" t="str">
        <f t="shared" ca="1" si="3720"/>
        <v>Garage 125</v>
      </c>
      <c r="AF3606" t="str">
        <f t="shared" ca="1" si="3697"/>
        <v>Garage 125</v>
      </c>
    </row>
    <row r="3607" spans="28:32" x14ac:dyDescent="0.25">
      <c r="AB3607" t="str">
        <f t="shared" ref="AB3607:AC3607" si="3757">AB3586</f>
        <v>Loading Bay</v>
      </c>
      <c r="AC3607" t="str">
        <f t="shared" si="3757"/>
        <v>Lift 4</v>
      </c>
      <c r="AD3607" t="b">
        <f t="shared" ca="1" si="3699"/>
        <v>0</v>
      </c>
      <c r="AE3607" s="1" t="str">
        <f t="shared" ca="1" si="3720"/>
        <v>Garage 125</v>
      </c>
      <c r="AF3607" t="str">
        <f t="shared" ca="1" si="3697"/>
        <v>Garage 125</v>
      </c>
    </row>
    <row r="3608" spans="28:32" x14ac:dyDescent="0.25">
      <c r="AB3608" t="str">
        <f t="shared" ref="AB3608:AC3608" si="3758">AB3587</f>
        <v>Loading Bay</v>
      </c>
      <c r="AC3608" t="str">
        <f t="shared" si="3758"/>
        <v>Lift 5</v>
      </c>
      <c r="AD3608" t="b">
        <f t="shared" ca="1" si="3699"/>
        <v>0</v>
      </c>
      <c r="AE3608" s="1" t="str">
        <f t="shared" ca="1" si="3720"/>
        <v>Garage 125</v>
      </c>
      <c r="AF3608" t="str">
        <f t="shared" ca="1" si="3697"/>
        <v>Garage 125</v>
      </c>
    </row>
    <row r="3609" spans="28:32" x14ac:dyDescent="0.25">
      <c r="AB3609" t="str">
        <f t="shared" ref="AB3609:AC3609" si="3759">AB3588</f>
        <v>Loading Bay</v>
      </c>
      <c r="AC3609" t="str">
        <f t="shared" si="3759"/>
        <v>Lift 6</v>
      </c>
      <c r="AD3609" t="b">
        <f t="shared" ca="1" si="3699"/>
        <v>0</v>
      </c>
      <c r="AE3609" s="1" t="str">
        <f t="shared" ca="1" si="3720"/>
        <v>Garage 125</v>
      </c>
      <c r="AF3609" t="str">
        <f t="shared" ca="1" si="3697"/>
        <v>Garage 125</v>
      </c>
    </row>
    <row r="3610" spans="28:32" x14ac:dyDescent="0.25">
      <c r="AB3610" t="str">
        <f t="shared" ref="AB3610:AC3610" si="3760">AB3589</f>
        <v>Scaffolding Platform</v>
      </c>
      <c r="AC3610" t="str">
        <f t="shared" si="3760"/>
        <v>Ground Floor</v>
      </c>
      <c r="AD3610" t="b">
        <f t="shared" ca="1" si="3699"/>
        <v>1</v>
      </c>
      <c r="AE3610" s="1" t="str">
        <f t="shared" ca="1" si="3720"/>
        <v>Garage 125</v>
      </c>
      <c r="AF3610" t="str">
        <f t="shared" ca="1" si="3697"/>
        <v>Garage 125</v>
      </c>
    </row>
    <row r="3611" spans="28:32" x14ac:dyDescent="0.25">
      <c r="AB3611" t="str">
        <f t="shared" ref="AB3611:AC3611" si="3761">AB3590</f>
        <v>Scaffolding Platform</v>
      </c>
      <c r="AC3611" t="str">
        <f t="shared" si="3761"/>
        <v>First Floor</v>
      </c>
      <c r="AD3611" t="b">
        <f t="shared" ca="1" si="3699"/>
        <v>0</v>
      </c>
      <c r="AE3611" s="1" t="str">
        <f t="shared" ca="1" si="3720"/>
        <v>Garage 125</v>
      </c>
      <c r="AF3611" t="str">
        <f t="shared" ca="1" si="3697"/>
        <v>Garage 125</v>
      </c>
    </row>
    <row r="3612" spans="28:32" x14ac:dyDescent="0.25">
      <c r="AB3612" t="str">
        <f t="shared" ref="AB3612:AC3612" si="3762">AB3591</f>
        <v>Scaffolding Platform</v>
      </c>
      <c r="AC3612" t="str">
        <f t="shared" si="3762"/>
        <v>Second Floor</v>
      </c>
      <c r="AD3612" t="b">
        <f t="shared" ca="1" si="3699"/>
        <v>0</v>
      </c>
      <c r="AE3612" s="1" t="str">
        <f t="shared" ca="1" si="3720"/>
        <v>Garage 125</v>
      </c>
      <c r="AF3612" t="str">
        <f t="shared" ca="1" si="3697"/>
        <v>Garage 125</v>
      </c>
    </row>
    <row r="3613" spans="28:32" x14ac:dyDescent="0.25">
      <c r="AB3613" t="str">
        <f t="shared" ref="AB3613:AC3613" si="3763">AB3592</f>
        <v>Supporting Scaffold</v>
      </c>
      <c r="AC3613" t="str">
        <f t="shared" si="3763"/>
        <v>Ground Floor Prop.</v>
      </c>
      <c r="AD3613" t="str">
        <f t="shared" ca="1" si="3699"/>
        <v>FALSE</v>
      </c>
      <c r="AE3613" s="1" t="str">
        <f t="shared" ca="1" si="3720"/>
        <v>Garage 125</v>
      </c>
      <c r="AF3613" t="str">
        <f t="shared" ref="AF3613:AF3676" ca="1" si="3764">IF(LEFT(AE3613,1)="G",AE3613,"Plot "&amp;AE3613)</f>
        <v>Garage 125</v>
      </c>
    </row>
    <row r="3614" spans="28:32" x14ac:dyDescent="0.25">
      <c r="AB3614" t="str">
        <f t="shared" ref="AB3614:AC3614" si="3765">AB3593</f>
        <v>Supporting Scaffold</v>
      </c>
      <c r="AC3614" t="str">
        <f t="shared" si="3765"/>
        <v>First Floor Prop.</v>
      </c>
      <c r="AD3614" t="str">
        <f t="shared" ref="AD3614:AD3677" ca="1" si="3766">INDEX($AC$1:$JH$22,MATCH(AC3614,$AC$1:$AC$22,0),MATCH(AE3614,$AC$1:$JH$1,0))</f>
        <v>FALSE</v>
      </c>
      <c r="AE3614" s="1" t="str">
        <f t="shared" ca="1" si="3720"/>
        <v>Garage 125</v>
      </c>
      <c r="AF3614" t="str">
        <f t="shared" ca="1" si="3764"/>
        <v>Garage 125</v>
      </c>
    </row>
    <row r="3615" spans="28:32" x14ac:dyDescent="0.25">
      <c r="AB3615" t="str">
        <f t="shared" ref="AB3615:AC3615" si="3767">AB3594</f>
        <v>Supporting Scaffold</v>
      </c>
      <c r="AC3615" t="str">
        <f t="shared" si="3767"/>
        <v>Second Floor Prop.</v>
      </c>
      <c r="AD3615" t="str">
        <f t="shared" ca="1" si="3766"/>
        <v>FALSE</v>
      </c>
      <c r="AE3615" s="1" t="str">
        <f t="shared" ca="1" si="3720"/>
        <v>Garage 125</v>
      </c>
      <c r="AF3615" t="str">
        <f t="shared" ca="1" si="3764"/>
        <v>Garage 125</v>
      </c>
    </row>
    <row r="3616" spans="28:32" x14ac:dyDescent="0.25">
      <c r="AB3616" t="str">
        <f t="shared" ref="AB3616:AC3616" si="3768">AB3595</f>
        <v>External Scaffolding</v>
      </c>
      <c r="AC3616" t="str">
        <f t="shared" si="3768"/>
        <v>Hop-ups</v>
      </c>
      <c r="AD3616" t="b">
        <f t="shared" ca="1" si="3766"/>
        <v>1</v>
      </c>
      <c r="AE3616" s="1" t="str">
        <f t="shared" ca="1" si="3720"/>
        <v>Garage 125</v>
      </c>
      <c r="AF3616" t="str">
        <f t="shared" ca="1" si="3764"/>
        <v>Garage 125</v>
      </c>
    </row>
    <row r="3617" spans="28:32" x14ac:dyDescent="0.25">
      <c r="AB3617" t="str">
        <f t="shared" ref="AB3617:AC3617" si="3769">AB3596</f>
        <v>External Scaffolding</v>
      </c>
      <c r="AC3617" t="str">
        <f t="shared" si="3769"/>
        <v>Adaptions</v>
      </c>
      <c r="AD3617" t="b">
        <f t="shared" ca="1" si="3766"/>
        <v>1</v>
      </c>
      <c r="AE3617" s="1" t="str">
        <f t="shared" ca="1" si="3720"/>
        <v>Garage 125</v>
      </c>
      <c r="AF3617" t="str">
        <f t="shared" ca="1" si="3764"/>
        <v>Garage 125</v>
      </c>
    </row>
    <row r="3618" spans="28:32" x14ac:dyDescent="0.25">
      <c r="AB3618" t="str">
        <f t="shared" ref="AB3618:AC3618" si="3770">AB3597</f>
        <v>External Scaffolding</v>
      </c>
      <c r="AC3618" t="str">
        <f t="shared" si="3770"/>
        <v>Adaption Tower</v>
      </c>
      <c r="AD3618" t="b">
        <f t="shared" ca="1" si="3766"/>
        <v>1</v>
      </c>
      <c r="AE3618" s="1" t="str">
        <f t="shared" ca="1" si="3720"/>
        <v>Garage 125</v>
      </c>
      <c r="AF3618" t="str">
        <f t="shared" ca="1" si="3764"/>
        <v>Garage 125</v>
      </c>
    </row>
    <row r="3619" spans="28:32" x14ac:dyDescent="0.25">
      <c r="AB3619" t="str">
        <f t="shared" ref="AB3619:AC3619" si="3771">AB3598</f>
        <v>External Scaffolding</v>
      </c>
      <c r="AC3619" t="str">
        <f t="shared" si="3771"/>
        <v>Lift 1</v>
      </c>
      <c r="AD3619" t="b">
        <f t="shared" ca="1" si="3766"/>
        <v>1</v>
      </c>
      <c r="AE3619" s="1" t="str">
        <f t="shared" ca="1" si="3720"/>
        <v>Garage 132</v>
      </c>
      <c r="AF3619" t="str">
        <f t="shared" ca="1" si="3764"/>
        <v>Garage 132</v>
      </c>
    </row>
    <row r="3620" spans="28:32" x14ac:dyDescent="0.25">
      <c r="AB3620" t="str">
        <f t="shared" ref="AB3620:AC3620" si="3772">AB3599</f>
        <v>External Scaffolding</v>
      </c>
      <c r="AC3620" t="str">
        <f t="shared" si="3772"/>
        <v>Lift 2</v>
      </c>
      <c r="AD3620" t="b">
        <f t="shared" ca="1" si="3766"/>
        <v>1</v>
      </c>
      <c r="AE3620" s="1" t="str">
        <f t="shared" ca="1" si="3720"/>
        <v>Garage 132</v>
      </c>
      <c r="AF3620" t="str">
        <f t="shared" ca="1" si="3764"/>
        <v>Garage 132</v>
      </c>
    </row>
    <row r="3621" spans="28:32" x14ac:dyDescent="0.25">
      <c r="AB3621" t="str">
        <f t="shared" ref="AB3621:AC3621" si="3773">AB3600</f>
        <v>External Scaffolding</v>
      </c>
      <c r="AC3621" t="str">
        <f t="shared" si="3773"/>
        <v>Lift 3</v>
      </c>
      <c r="AD3621" t="b">
        <f t="shared" ca="1" si="3766"/>
        <v>1</v>
      </c>
      <c r="AE3621" s="1" t="str">
        <f t="shared" ca="1" si="3720"/>
        <v>Garage 132</v>
      </c>
      <c r="AF3621" t="str">
        <f t="shared" ca="1" si="3764"/>
        <v>Garage 132</v>
      </c>
    </row>
    <row r="3622" spans="28:32" x14ac:dyDescent="0.25">
      <c r="AB3622" t="str">
        <f t="shared" ref="AB3622:AC3622" si="3774">AB3601</f>
        <v>External Scaffolding</v>
      </c>
      <c r="AC3622" t="str">
        <f t="shared" si="3774"/>
        <v>Lift 4</v>
      </c>
      <c r="AD3622" t="b">
        <f t="shared" ca="1" si="3766"/>
        <v>0</v>
      </c>
      <c r="AE3622" s="1" t="str">
        <f t="shared" ca="1" si="3720"/>
        <v>Garage 132</v>
      </c>
      <c r="AF3622" t="str">
        <f t="shared" ca="1" si="3764"/>
        <v>Garage 132</v>
      </c>
    </row>
    <row r="3623" spans="28:32" x14ac:dyDescent="0.25">
      <c r="AB3623" t="str">
        <f t="shared" ref="AB3623:AC3623" si="3775">AB3602</f>
        <v>External Scaffolding</v>
      </c>
      <c r="AC3623" t="str">
        <f t="shared" si="3775"/>
        <v>Lift 5</v>
      </c>
      <c r="AD3623" t="b">
        <f t="shared" ca="1" si="3766"/>
        <v>0</v>
      </c>
      <c r="AE3623" s="1" t="str">
        <f t="shared" ca="1" si="3720"/>
        <v>Garage 132</v>
      </c>
      <c r="AF3623" t="str">
        <f t="shared" ca="1" si="3764"/>
        <v>Garage 132</v>
      </c>
    </row>
    <row r="3624" spans="28:32" x14ac:dyDescent="0.25">
      <c r="AB3624" t="str">
        <f t="shared" ref="AB3624:AC3624" si="3776">AB3603</f>
        <v>External Scaffolding</v>
      </c>
      <c r="AC3624" t="str">
        <f t="shared" si="3776"/>
        <v>Lift 6</v>
      </c>
      <c r="AD3624" t="b">
        <f t="shared" ca="1" si="3766"/>
        <v>0</v>
      </c>
      <c r="AE3624" s="1" t="str">
        <f t="shared" ca="1" si="3720"/>
        <v>Garage 132</v>
      </c>
      <c r="AF3624" t="str">
        <f t="shared" ca="1" si="3764"/>
        <v>Garage 132</v>
      </c>
    </row>
    <row r="3625" spans="28:32" x14ac:dyDescent="0.25">
      <c r="AB3625" t="str">
        <f t="shared" ref="AB3625:AC3625" si="3777">AB3604</f>
        <v>Loading Bay</v>
      </c>
      <c r="AC3625" t="str">
        <f t="shared" si="3777"/>
        <v>Lift 1</v>
      </c>
      <c r="AD3625" t="b">
        <f t="shared" ca="1" si="3766"/>
        <v>1</v>
      </c>
      <c r="AE3625" s="1" t="str">
        <f t="shared" ca="1" si="3720"/>
        <v>Garage 132</v>
      </c>
      <c r="AF3625" t="str">
        <f t="shared" ca="1" si="3764"/>
        <v>Garage 132</v>
      </c>
    </row>
    <row r="3626" spans="28:32" x14ac:dyDescent="0.25">
      <c r="AB3626" t="str">
        <f t="shared" ref="AB3626:AC3626" si="3778">AB3605</f>
        <v>Loading Bay</v>
      </c>
      <c r="AC3626" t="str">
        <f t="shared" si="3778"/>
        <v>Lift 2</v>
      </c>
      <c r="AD3626" t="b">
        <f t="shared" ca="1" si="3766"/>
        <v>1</v>
      </c>
      <c r="AE3626" s="1" t="str">
        <f t="shared" ca="1" si="3720"/>
        <v>Garage 132</v>
      </c>
      <c r="AF3626" t="str">
        <f t="shared" ca="1" si="3764"/>
        <v>Garage 132</v>
      </c>
    </row>
    <row r="3627" spans="28:32" x14ac:dyDescent="0.25">
      <c r="AB3627" t="str">
        <f t="shared" ref="AB3627:AC3627" si="3779">AB3606</f>
        <v>Loading Bay</v>
      </c>
      <c r="AC3627" t="str">
        <f t="shared" si="3779"/>
        <v>Lift 3</v>
      </c>
      <c r="AD3627" t="b">
        <f t="shared" ca="1" si="3766"/>
        <v>1</v>
      </c>
      <c r="AE3627" s="1" t="str">
        <f t="shared" ca="1" si="3720"/>
        <v>Garage 132</v>
      </c>
      <c r="AF3627" t="str">
        <f t="shared" ca="1" si="3764"/>
        <v>Garage 132</v>
      </c>
    </row>
    <row r="3628" spans="28:32" x14ac:dyDescent="0.25">
      <c r="AB3628" t="str">
        <f t="shared" ref="AB3628:AC3628" si="3780">AB3607</f>
        <v>Loading Bay</v>
      </c>
      <c r="AC3628" t="str">
        <f t="shared" si="3780"/>
        <v>Lift 4</v>
      </c>
      <c r="AD3628" t="b">
        <f t="shared" ca="1" si="3766"/>
        <v>0</v>
      </c>
      <c r="AE3628" s="1" t="str">
        <f t="shared" ca="1" si="3720"/>
        <v>Garage 132</v>
      </c>
      <c r="AF3628" t="str">
        <f t="shared" ca="1" si="3764"/>
        <v>Garage 132</v>
      </c>
    </row>
    <row r="3629" spans="28:32" x14ac:dyDescent="0.25">
      <c r="AB3629" t="str">
        <f t="shared" ref="AB3629:AC3629" si="3781">AB3608</f>
        <v>Loading Bay</v>
      </c>
      <c r="AC3629" t="str">
        <f t="shared" si="3781"/>
        <v>Lift 5</v>
      </c>
      <c r="AD3629" t="b">
        <f t="shared" ca="1" si="3766"/>
        <v>0</v>
      </c>
      <c r="AE3629" s="1" t="str">
        <f t="shared" ca="1" si="3720"/>
        <v>Garage 132</v>
      </c>
      <c r="AF3629" t="str">
        <f t="shared" ca="1" si="3764"/>
        <v>Garage 132</v>
      </c>
    </row>
    <row r="3630" spans="28:32" x14ac:dyDescent="0.25">
      <c r="AB3630" t="str">
        <f t="shared" ref="AB3630:AC3630" si="3782">AB3609</f>
        <v>Loading Bay</v>
      </c>
      <c r="AC3630" t="str">
        <f t="shared" si="3782"/>
        <v>Lift 6</v>
      </c>
      <c r="AD3630" t="b">
        <f t="shared" ca="1" si="3766"/>
        <v>0</v>
      </c>
      <c r="AE3630" s="1" t="str">
        <f t="shared" ca="1" si="3720"/>
        <v>Garage 132</v>
      </c>
      <c r="AF3630" t="str">
        <f t="shared" ca="1" si="3764"/>
        <v>Garage 132</v>
      </c>
    </row>
    <row r="3631" spans="28:32" x14ac:dyDescent="0.25">
      <c r="AB3631" t="str">
        <f t="shared" ref="AB3631:AC3631" si="3783">AB3610</f>
        <v>Scaffolding Platform</v>
      </c>
      <c r="AC3631" t="str">
        <f t="shared" si="3783"/>
        <v>Ground Floor</v>
      </c>
      <c r="AD3631" t="b">
        <f t="shared" ca="1" si="3766"/>
        <v>1</v>
      </c>
      <c r="AE3631" s="1" t="str">
        <f t="shared" ca="1" si="3720"/>
        <v>Garage 132</v>
      </c>
      <c r="AF3631" t="str">
        <f t="shared" ca="1" si="3764"/>
        <v>Garage 132</v>
      </c>
    </row>
    <row r="3632" spans="28:32" x14ac:dyDescent="0.25">
      <c r="AB3632" t="str">
        <f t="shared" ref="AB3632:AC3632" si="3784">AB3611</f>
        <v>Scaffolding Platform</v>
      </c>
      <c r="AC3632" t="str">
        <f t="shared" si="3784"/>
        <v>First Floor</v>
      </c>
      <c r="AD3632" t="b">
        <f t="shared" ca="1" si="3766"/>
        <v>0</v>
      </c>
      <c r="AE3632" s="1" t="str">
        <f t="shared" ca="1" si="3720"/>
        <v>Garage 132</v>
      </c>
      <c r="AF3632" t="str">
        <f t="shared" ca="1" si="3764"/>
        <v>Garage 132</v>
      </c>
    </row>
    <row r="3633" spans="28:32" x14ac:dyDescent="0.25">
      <c r="AB3633" t="str">
        <f t="shared" ref="AB3633:AC3633" si="3785">AB3612</f>
        <v>Scaffolding Platform</v>
      </c>
      <c r="AC3633" t="str">
        <f t="shared" si="3785"/>
        <v>Second Floor</v>
      </c>
      <c r="AD3633" t="b">
        <f t="shared" ca="1" si="3766"/>
        <v>0</v>
      </c>
      <c r="AE3633" s="1" t="str">
        <f t="shared" ca="1" si="3720"/>
        <v>Garage 132</v>
      </c>
      <c r="AF3633" t="str">
        <f t="shared" ca="1" si="3764"/>
        <v>Garage 132</v>
      </c>
    </row>
    <row r="3634" spans="28:32" x14ac:dyDescent="0.25">
      <c r="AB3634" t="str">
        <f t="shared" ref="AB3634:AC3634" si="3786">AB3613</f>
        <v>Supporting Scaffold</v>
      </c>
      <c r="AC3634" t="str">
        <f t="shared" si="3786"/>
        <v>Ground Floor Prop.</v>
      </c>
      <c r="AD3634" t="str">
        <f t="shared" ca="1" si="3766"/>
        <v>FALSE</v>
      </c>
      <c r="AE3634" s="1" t="str">
        <f t="shared" ref="AE3634:AE3697" ca="1" si="3787">OFFSET($AD$1,0,FLOOR(ROW(B3606)/21,1))</f>
        <v>Garage 132</v>
      </c>
      <c r="AF3634" t="str">
        <f t="shared" ca="1" si="3764"/>
        <v>Garage 132</v>
      </c>
    </row>
    <row r="3635" spans="28:32" x14ac:dyDescent="0.25">
      <c r="AB3635" t="str">
        <f t="shared" ref="AB3635:AC3635" si="3788">AB3614</f>
        <v>Supporting Scaffold</v>
      </c>
      <c r="AC3635" t="str">
        <f t="shared" si="3788"/>
        <v>First Floor Prop.</v>
      </c>
      <c r="AD3635" t="str">
        <f t="shared" ca="1" si="3766"/>
        <v>FALSE</v>
      </c>
      <c r="AE3635" s="1" t="str">
        <f t="shared" ca="1" si="3787"/>
        <v>Garage 132</v>
      </c>
      <c r="AF3635" t="str">
        <f t="shared" ca="1" si="3764"/>
        <v>Garage 132</v>
      </c>
    </row>
    <row r="3636" spans="28:32" x14ac:dyDescent="0.25">
      <c r="AB3636" t="str">
        <f t="shared" ref="AB3636:AC3636" si="3789">AB3615</f>
        <v>Supporting Scaffold</v>
      </c>
      <c r="AC3636" t="str">
        <f t="shared" si="3789"/>
        <v>Second Floor Prop.</v>
      </c>
      <c r="AD3636" t="str">
        <f t="shared" ca="1" si="3766"/>
        <v>FALSE</v>
      </c>
      <c r="AE3636" s="1" t="str">
        <f t="shared" ca="1" si="3787"/>
        <v>Garage 132</v>
      </c>
      <c r="AF3636" t="str">
        <f t="shared" ca="1" si="3764"/>
        <v>Garage 132</v>
      </c>
    </row>
    <row r="3637" spans="28:32" x14ac:dyDescent="0.25">
      <c r="AB3637" t="str">
        <f t="shared" ref="AB3637:AC3637" si="3790">AB3616</f>
        <v>External Scaffolding</v>
      </c>
      <c r="AC3637" t="str">
        <f t="shared" si="3790"/>
        <v>Hop-ups</v>
      </c>
      <c r="AD3637" t="b">
        <f t="shared" ca="1" si="3766"/>
        <v>1</v>
      </c>
      <c r="AE3637" s="1" t="str">
        <f t="shared" ca="1" si="3787"/>
        <v>Garage 132</v>
      </c>
      <c r="AF3637" t="str">
        <f t="shared" ca="1" si="3764"/>
        <v>Garage 132</v>
      </c>
    </row>
    <row r="3638" spans="28:32" x14ac:dyDescent="0.25">
      <c r="AB3638" t="str">
        <f t="shared" ref="AB3638:AC3638" si="3791">AB3617</f>
        <v>External Scaffolding</v>
      </c>
      <c r="AC3638" t="str">
        <f t="shared" si="3791"/>
        <v>Adaptions</v>
      </c>
      <c r="AD3638" t="b">
        <f t="shared" ca="1" si="3766"/>
        <v>1</v>
      </c>
      <c r="AE3638" s="1" t="str">
        <f t="shared" ca="1" si="3787"/>
        <v>Garage 132</v>
      </c>
      <c r="AF3638" t="str">
        <f t="shared" ca="1" si="3764"/>
        <v>Garage 132</v>
      </c>
    </row>
    <row r="3639" spans="28:32" x14ac:dyDescent="0.25">
      <c r="AB3639" t="str">
        <f t="shared" ref="AB3639:AC3639" si="3792">AB3618</f>
        <v>External Scaffolding</v>
      </c>
      <c r="AC3639" t="str">
        <f t="shared" si="3792"/>
        <v>Adaption Tower</v>
      </c>
      <c r="AD3639" t="b">
        <f t="shared" ca="1" si="3766"/>
        <v>1</v>
      </c>
      <c r="AE3639" s="1" t="str">
        <f t="shared" ca="1" si="3787"/>
        <v>Garage 132</v>
      </c>
      <c r="AF3639" t="str">
        <f t="shared" ca="1" si="3764"/>
        <v>Garage 132</v>
      </c>
    </row>
    <row r="3640" spans="28:32" x14ac:dyDescent="0.25">
      <c r="AB3640" t="str">
        <f t="shared" ref="AB3640:AC3640" si="3793">AB3619</f>
        <v>External Scaffolding</v>
      </c>
      <c r="AC3640" t="str">
        <f t="shared" si="3793"/>
        <v>Lift 1</v>
      </c>
      <c r="AD3640" t="b">
        <f t="shared" ca="1" si="3766"/>
        <v>1</v>
      </c>
      <c r="AE3640" s="1" t="str">
        <f t="shared" ca="1" si="3787"/>
        <v>Garage 135</v>
      </c>
      <c r="AF3640" t="str">
        <f t="shared" ca="1" si="3764"/>
        <v>Garage 135</v>
      </c>
    </row>
    <row r="3641" spans="28:32" x14ac:dyDescent="0.25">
      <c r="AB3641" t="str">
        <f t="shared" ref="AB3641:AC3641" si="3794">AB3620</f>
        <v>External Scaffolding</v>
      </c>
      <c r="AC3641" t="str">
        <f t="shared" si="3794"/>
        <v>Lift 2</v>
      </c>
      <c r="AD3641" t="b">
        <f t="shared" ca="1" si="3766"/>
        <v>1</v>
      </c>
      <c r="AE3641" s="1" t="str">
        <f t="shared" ca="1" si="3787"/>
        <v>Garage 135</v>
      </c>
      <c r="AF3641" t="str">
        <f t="shared" ca="1" si="3764"/>
        <v>Garage 135</v>
      </c>
    </row>
    <row r="3642" spans="28:32" x14ac:dyDescent="0.25">
      <c r="AB3642" t="str">
        <f t="shared" ref="AB3642:AC3642" si="3795">AB3621</f>
        <v>External Scaffolding</v>
      </c>
      <c r="AC3642" t="str">
        <f t="shared" si="3795"/>
        <v>Lift 3</v>
      </c>
      <c r="AD3642" t="b">
        <f t="shared" ca="1" si="3766"/>
        <v>1</v>
      </c>
      <c r="AE3642" s="1" t="str">
        <f t="shared" ca="1" si="3787"/>
        <v>Garage 135</v>
      </c>
      <c r="AF3642" t="str">
        <f t="shared" ca="1" si="3764"/>
        <v>Garage 135</v>
      </c>
    </row>
    <row r="3643" spans="28:32" x14ac:dyDescent="0.25">
      <c r="AB3643" t="str">
        <f t="shared" ref="AB3643:AC3643" si="3796">AB3622</f>
        <v>External Scaffolding</v>
      </c>
      <c r="AC3643" t="str">
        <f t="shared" si="3796"/>
        <v>Lift 4</v>
      </c>
      <c r="AD3643" t="b">
        <f t="shared" ca="1" si="3766"/>
        <v>0</v>
      </c>
      <c r="AE3643" s="1" t="str">
        <f t="shared" ca="1" si="3787"/>
        <v>Garage 135</v>
      </c>
      <c r="AF3643" t="str">
        <f t="shared" ca="1" si="3764"/>
        <v>Garage 135</v>
      </c>
    </row>
    <row r="3644" spans="28:32" x14ac:dyDescent="0.25">
      <c r="AB3644" t="str">
        <f t="shared" ref="AB3644:AC3644" si="3797">AB3623</f>
        <v>External Scaffolding</v>
      </c>
      <c r="AC3644" t="str">
        <f t="shared" si="3797"/>
        <v>Lift 5</v>
      </c>
      <c r="AD3644" t="b">
        <f t="shared" ca="1" si="3766"/>
        <v>0</v>
      </c>
      <c r="AE3644" s="1" t="str">
        <f t="shared" ca="1" si="3787"/>
        <v>Garage 135</v>
      </c>
      <c r="AF3644" t="str">
        <f t="shared" ca="1" si="3764"/>
        <v>Garage 135</v>
      </c>
    </row>
    <row r="3645" spans="28:32" x14ac:dyDescent="0.25">
      <c r="AB3645" t="str">
        <f t="shared" ref="AB3645:AC3645" si="3798">AB3624</f>
        <v>External Scaffolding</v>
      </c>
      <c r="AC3645" t="str">
        <f t="shared" si="3798"/>
        <v>Lift 6</v>
      </c>
      <c r="AD3645" t="b">
        <f t="shared" ca="1" si="3766"/>
        <v>0</v>
      </c>
      <c r="AE3645" s="1" t="str">
        <f t="shared" ca="1" si="3787"/>
        <v>Garage 135</v>
      </c>
      <c r="AF3645" t="str">
        <f t="shared" ca="1" si="3764"/>
        <v>Garage 135</v>
      </c>
    </row>
    <row r="3646" spans="28:32" x14ac:dyDescent="0.25">
      <c r="AB3646" t="str">
        <f t="shared" ref="AB3646:AC3646" si="3799">AB3625</f>
        <v>Loading Bay</v>
      </c>
      <c r="AC3646" t="str">
        <f t="shared" si="3799"/>
        <v>Lift 1</v>
      </c>
      <c r="AD3646" t="b">
        <f t="shared" ca="1" si="3766"/>
        <v>1</v>
      </c>
      <c r="AE3646" s="1" t="str">
        <f t="shared" ca="1" si="3787"/>
        <v>Garage 135</v>
      </c>
      <c r="AF3646" t="str">
        <f t="shared" ca="1" si="3764"/>
        <v>Garage 135</v>
      </c>
    </row>
    <row r="3647" spans="28:32" x14ac:dyDescent="0.25">
      <c r="AB3647" t="str">
        <f t="shared" ref="AB3647:AC3647" si="3800">AB3626</f>
        <v>Loading Bay</v>
      </c>
      <c r="AC3647" t="str">
        <f t="shared" si="3800"/>
        <v>Lift 2</v>
      </c>
      <c r="AD3647" t="b">
        <f t="shared" ca="1" si="3766"/>
        <v>1</v>
      </c>
      <c r="AE3647" s="1" t="str">
        <f t="shared" ca="1" si="3787"/>
        <v>Garage 135</v>
      </c>
      <c r="AF3647" t="str">
        <f t="shared" ca="1" si="3764"/>
        <v>Garage 135</v>
      </c>
    </row>
    <row r="3648" spans="28:32" x14ac:dyDescent="0.25">
      <c r="AB3648" t="str">
        <f t="shared" ref="AB3648:AC3648" si="3801">AB3627</f>
        <v>Loading Bay</v>
      </c>
      <c r="AC3648" t="str">
        <f t="shared" si="3801"/>
        <v>Lift 3</v>
      </c>
      <c r="AD3648" t="b">
        <f t="shared" ca="1" si="3766"/>
        <v>1</v>
      </c>
      <c r="AE3648" s="1" t="str">
        <f t="shared" ca="1" si="3787"/>
        <v>Garage 135</v>
      </c>
      <c r="AF3648" t="str">
        <f t="shared" ca="1" si="3764"/>
        <v>Garage 135</v>
      </c>
    </row>
    <row r="3649" spans="28:32" x14ac:dyDescent="0.25">
      <c r="AB3649" t="str">
        <f t="shared" ref="AB3649:AC3649" si="3802">AB3628</f>
        <v>Loading Bay</v>
      </c>
      <c r="AC3649" t="str">
        <f t="shared" si="3802"/>
        <v>Lift 4</v>
      </c>
      <c r="AD3649" t="b">
        <f t="shared" ca="1" si="3766"/>
        <v>0</v>
      </c>
      <c r="AE3649" s="1" t="str">
        <f t="shared" ca="1" si="3787"/>
        <v>Garage 135</v>
      </c>
      <c r="AF3649" t="str">
        <f t="shared" ca="1" si="3764"/>
        <v>Garage 135</v>
      </c>
    </row>
    <row r="3650" spans="28:32" x14ac:dyDescent="0.25">
      <c r="AB3650" t="str">
        <f t="shared" ref="AB3650:AC3650" si="3803">AB3629</f>
        <v>Loading Bay</v>
      </c>
      <c r="AC3650" t="str">
        <f t="shared" si="3803"/>
        <v>Lift 5</v>
      </c>
      <c r="AD3650" t="b">
        <f t="shared" ca="1" si="3766"/>
        <v>0</v>
      </c>
      <c r="AE3650" s="1" t="str">
        <f t="shared" ca="1" si="3787"/>
        <v>Garage 135</v>
      </c>
      <c r="AF3650" t="str">
        <f t="shared" ca="1" si="3764"/>
        <v>Garage 135</v>
      </c>
    </row>
    <row r="3651" spans="28:32" x14ac:dyDescent="0.25">
      <c r="AB3651" t="str">
        <f t="shared" ref="AB3651:AC3651" si="3804">AB3630</f>
        <v>Loading Bay</v>
      </c>
      <c r="AC3651" t="str">
        <f t="shared" si="3804"/>
        <v>Lift 6</v>
      </c>
      <c r="AD3651" t="b">
        <f t="shared" ca="1" si="3766"/>
        <v>0</v>
      </c>
      <c r="AE3651" s="1" t="str">
        <f t="shared" ca="1" si="3787"/>
        <v>Garage 135</v>
      </c>
      <c r="AF3651" t="str">
        <f t="shared" ca="1" si="3764"/>
        <v>Garage 135</v>
      </c>
    </row>
    <row r="3652" spans="28:32" x14ac:dyDescent="0.25">
      <c r="AB3652" t="str">
        <f t="shared" ref="AB3652:AC3652" si="3805">AB3631</f>
        <v>Scaffolding Platform</v>
      </c>
      <c r="AC3652" t="str">
        <f t="shared" si="3805"/>
        <v>Ground Floor</v>
      </c>
      <c r="AD3652" t="b">
        <f t="shared" ca="1" si="3766"/>
        <v>1</v>
      </c>
      <c r="AE3652" s="1" t="str">
        <f t="shared" ca="1" si="3787"/>
        <v>Garage 135</v>
      </c>
      <c r="AF3652" t="str">
        <f t="shared" ca="1" si="3764"/>
        <v>Garage 135</v>
      </c>
    </row>
    <row r="3653" spans="28:32" x14ac:dyDescent="0.25">
      <c r="AB3653" t="str">
        <f t="shared" ref="AB3653:AC3653" si="3806">AB3632</f>
        <v>Scaffolding Platform</v>
      </c>
      <c r="AC3653" t="str">
        <f t="shared" si="3806"/>
        <v>First Floor</v>
      </c>
      <c r="AD3653" t="b">
        <f t="shared" ca="1" si="3766"/>
        <v>0</v>
      </c>
      <c r="AE3653" s="1" t="str">
        <f t="shared" ca="1" si="3787"/>
        <v>Garage 135</v>
      </c>
      <c r="AF3653" t="str">
        <f t="shared" ca="1" si="3764"/>
        <v>Garage 135</v>
      </c>
    </row>
    <row r="3654" spans="28:32" x14ac:dyDescent="0.25">
      <c r="AB3654" t="str">
        <f t="shared" ref="AB3654:AC3654" si="3807">AB3633</f>
        <v>Scaffolding Platform</v>
      </c>
      <c r="AC3654" t="str">
        <f t="shared" si="3807"/>
        <v>Second Floor</v>
      </c>
      <c r="AD3654" t="b">
        <f t="shared" ca="1" si="3766"/>
        <v>0</v>
      </c>
      <c r="AE3654" s="1" t="str">
        <f t="shared" ca="1" si="3787"/>
        <v>Garage 135</v>
      </c>
      <c r="AF3654" t="str">
        <f t="shared" ca="1" si="3764"/>
        <v>Garage 135</v>
      </c>
    </row>
    <row r="3655" spans="28:32" x14ac:dyDescent="0.25">
      <c r="AB3655" t="str">
        <f t="shared" ref="AB3655:AC3655" si="3808">AB3634</f>
        <v>Supporting Scaffold</v>
      </c>
      <c r="AC3655" t="str">
        <f t="shared" si="3808"/>
        <v>Ground Floor Prop.</v>
      </c>
      <c r="AD3655" t="str">
        <f t="shared" ca="1" si="3766"/>
        <v>FALSE</v>
      </c>
      <c r="AE3655" s="1" t="str">
        <f t="shared" ca="1" si="3787"/>
        <v>Garage 135</v>
      </c>
      <c r="AF3655" t="str">
        <f t="shared" ca="1" si="3764"/>
        <v>Garage 135</v>
      </c>
    </row>
    <row r="3656" spans="28:32" x14ac:dyDescent="0.25">
      <c r="AB3656" t="str">
        <f t="shared" ref="AB3656:AC3656" si="3809">AB3635</f>
        <v>Supporting Scaffold</v>
      </c>
      <c r="AC3656" t="str">
        <f t="shared" si="3809"/>
        <v>First Floor Prop.</v>
      </c>
      <c r="AD3656" t="str">
        <f t="shared" ca="1" si="3766"/>
        <v>FALSE</v>
      </c>
      <c r="AE3656" s="1" t="str">
        <f t="shared" ca="1" si="3787"/>
        <v>Garage 135</v>
      </c>
      <c r="AF3656" t="str">
        <f t="shared" ca="1" si="3764"/>
        <v>Garage 135</v>
      </c>
    </row>
    <row r="3657" spans="28:32" x14ac:dyDescent="0.25">
      <c r="AB3657" t="str">
        <f t="shared" ref="AB3657:AC3657" si="3810">AB3636</f>
        <v>Supporting Scaffold</v>
      </c>
      <c r="AC3657" t="str">
        <f t="shared" si="3810"/>
        <v>Second Floor Prop.</v>
      </c>
      <c r="AD3657" t="str">
        <f t="shared" ca="1" si="3766"/>
        <v>FALSE</v>
      </c>
      <c r="AE3657" s="1" t="str">
        <f t="shared" ca="1" si="3787"/>
        <v>Garage 135</v>
      </c>
      <c r="AF3657" t="str">
        <f t="shared" ca="1" si="3764"/>
        <v>Garage 135</v>
      </c>
    </row>
    <row r="3658" spans="28:32" x14ac:dyDescent="0.25">
      <c r="AB3658" t="str">
        <f t="shared" ref="AB3658:AC3658" si="3811">AB3637</f>
        <v>External Scaffolding</v>
      </c>
      <c r="AC3658" t="str">
        <f t="shared" si="3811"/>
        <v>Hop-ups</v>
      </c>
      <c r="AD3658" t="b">
        <f t="shared" ca="1" si="3766"/>
        <v>1</v>
      </c>
      <c r="AE3658" s="1" t="str">
        <f t="shared" ca="1" si="3787"/>
        <v>Garage 135</v>
      </c>
      <c r="AF3658" t="str">
        <f t="shared" ca="1" si="3764"/>
        <v>Garage 135</v>
      </c>
    </row>
    <row r="3659" spans="28:32" x14ac:dyDescent="0.25">
      <c r="AB3659" t="str">
        <f t="shared" ref="AB3659:AC3659" si="3812">AB3638</f>
        <v>External Scaffolding</v>
      </c>
      <c r="AC3659" t="str">
        <f t="shared" si="3812"/>
        <v>Adaptions</v>
      </c>
      <c r="AD3659" t="b">
        <f t="shared" ca="1" si="3766"/>
        <v>1</v>
      </c>
      <c r="AE3659" s="1" t="str">
        <f t="shared" ca="1" si="3787"/>
        <v>Garage 135</v>
      </c>
      <c r="AF3659" t="str">
        <f t="shared" ca="1" si="3764"/>
        <v>Garage 135</v>
      </c>
    </row>
    <row r="3660" spans="28:32" x14ac:dyDescent="0.25">
      <c r="AB3660" t="str">
        <f t="shared" ref="AB3660:AC3660" si="3813">AB3639</f>
        <v>External Scaffolding</v>
      </c>
      <c r="AC3660" t="str">
        <f t="shared" si="3813"/>
        <v>Adaption Tower</v>
      </c>
      <c r="AD3660" t="b">
        <f t="shared" ca="1" si="3766"/>
        <v>1</v>
      </c>
      <c r="AE3660" s="1" t="str">
        <f t="shared" ca="1" si="3787"/>
        <v>Garage 135</v>
      </c>
      <c r="AF3660" t="str">
        <f t="shared" ca="1" si="3764"/>
        <v>Garage 135</v>
      </c>
    </row>
    <row r="3661" spans="28:32" x14ac:dyDescent="0.25">
      <c r="AB3661" t="str">
        <f t="shared" ref="AB3661:AC3661" si="3814">AB3640</f>
        <v>External Scaffolding</v>
      </c>
      <c r="AC3661" t="str">
        <f t="shared" si="3814"/>
        <v>Lift 1</v>
      </c>
      <c r="AD3661" t="b">
        <f t="shared" ca="1" si="3766"/>
        <v>1</v>
      </c>
      <c r="AE3661" s="1" t="str">
        <f t="shared" ca="1" si="3787"/>
        <v>Garage 136-137</v>
      </c>
      <c r="AF3661" t="str">
        <f t="shared" ca="1" si="3764"/>
        <v>Garage 136-137</v>
      </c>
    </row>
    <row r="3662" spans="28:32" x14ac:dyDescent="0.25">
      <c r="AB3662" t="str">
        <f t="shared" ref="AB3662:AC3662" si="3815">AB3641</f>
        <v>External Scaffolding</v>
      </c>
      <c r="AC3662" t="str">
        <f t="shared" si="3815"/>
        <v>Lift 2</v>
      </c>
      <c r="AD3662" t="b">
        <f t="shared" ca="1" si="3766"/>
        <v>1</v>
      </c>
      <c r="AE3662" s="1" t="str">
        <f t="shared" ca="1" si="3787"/>
        <v>Garage 136-137</v>
      </c>
      <c r="AF3662" t="str">
        <f t="shared" ca="1" si="3764"/>
        <v>Garage 136-137</v>
      </c>
    </row>
    <row r="3663" spans="28:32" x14ac:dyDescent="0.25">
      <c r="AB3663" t="str">
        <f t="shared" ref="AB3663:AC3663" si="3816">AB3642</f>
        <v>External Scaffolding</v>
      </c>
      <c r="AC3663" t="str">
        <f t="shared" si="3816"/>
        <v>Lift 3</v>
      </c>
      <c r="AD3663" t="b">
        <f t="shared" ca="1" si="3766"/>
        <v>1</v>
      </c>
      <c r="AE3663" s="1" t="str">
        <f t="shared" ca="1" si="3787"/>
        <v>Garage 136-137</v>
      </c>
      <c r="AF3663" t="str">
        <f t="shared" ca="1" si="3764"/>
        <v>Garage 136-137</v>
      </c>
    </row>
    <row r="3664" spans="28:32" x14ac:dyDescent="0.25">
      <c r="AB3664" t="str">
        <f t="shared" ref="AB3664:AC3664" si="3817">AB3643</f>
        <v>External Scaffolding</v>
      </c>
      <c r="AC3664" t="str">
        <f t="shared" si="3817"/>
        <v>Lift 4</v>
      </c>
      <c r="AD3664" t="b">
        <f t="shared" ca="1" si="3766"/>
        <v>0</v>
      </c>
      <c r="AE3664" s="1" t="str">
        <f t="shared" ca="1" si="3787"/>
        <v>Garage 136-137</v>
      </c>
      <c r="AF3664" t="str">
        <f t="shared" ca="1" si="3764"/>
        <v>Garage 136-137</v>
      </c>
    </row>
    <row r="3665" spans="28:32" x14ac:dyDescent="0.25">
      <c r="AB3665" t="str">
        <f t="shared" ref="AB3665:AC3665" si="3818">AB3644</f>
        <v>External Scaffolding</v>
      </c>
      <c r="AC3665" t="str">
        <f t="shared" si="3818"/>
        <v>Lift 5</v>
      </c>
      <c r="AD3665" t="b">
        <f t="shared" ca="1" si="3766"/>
        <v>0</v>
      </c>
      <c r="AE3665" s="1" t="str">
        <f t="shared" ca="1" si="3787"/>
        <v>Garage 136-137</v>
      </c>
      <c r="AF3665" t="str">
        <f t="shared" ca="1" si="3764"/>
        <v>Garage 136-137</v>
      </c>
    </row>
    <row r="3666" spans="28:32" x14ac:dyDescent="0.25">
      <c r="AB3666" t="str">
        <f t="shared" ref="AB3666:AC3666" si="3819">AB3645</f>
        <v>External Scaffolding</v>
      </c>
      <c r="AC3666" t="str">
        <f t="shared" si="3819"/>
        <v>Lift 6</v>
      </c>
      <c r="AD3666" t="b">
        <f t="shared" ca="1" si="3766"/>
        <v>0</v>
      </c>
      <c r="AE3666" s="1" t="str">
        <f t="shared" ca="1" si="3787"/>
        <v>Garage 136-137</v>
      </c>
      <c r="AF3666" t="str">
        <f t="shared" ca="1" si="3764"/>
        <v>Garage 136-137</v>
      </c>
    </row>
    <row r="3667" spans="28:32" x14ac:dyDescent="0.25">
      <c r="AB3667" t="str">
        <f t="shared" ref="AB3667:AC3667" si="3820">AB3646</f>
        <v>Loading Bay</v>
      </c>
      <c r="AC3667" t="str">
        <f t="shared" si="3820"/>
        <v>Lift 1</v>
      </c>
      <c r="AD3667" t="b">
        <f t="shared" ca="1" si="3766"/>
        <v>1</v>
      </c>
      <c r="AE3667" s="1" t="str">
        <f t="shared" ca="1" si="3787"/>
        <v>Garage 136-137</v>
      </c>
      <c r="AF3667" t="str">
        <f t="shared" ca="1" si="3764"/>
        <v>Garage 136-137</v>
      </c>
    </row>
    <row r="3668" spans="28:32" x14ac:dyDescent="0.25">
      <c r="AB3668" t="str">
        <f t="shared" ref="AB3668:AC3668" si="3821">AB3647</f>
        <v>Loading Bay</v>
      </c>
      <c r="AC3668" t="str">
        <f t="shared" si="3821"/>
        <v>Lift 2</v>
      </c>
      <c r="AD3668" t="b">
        <f t="shared" ca="1" si="3766"/>
        <v>1</v>
      </c>
      <c r="AE3668" s="1" t="str">
        <f t="shared" ca="1" si="3787"/>
        <v>Garage 136-137</v>
      </c>
      <c r="AF3668" t="str">
        <f t="shared" ca="1" si="3764"/>
        <v>Garage 136-137</v>
      </c>
    </row>
    <row r="3669" spans="28:32" x14ac:dyDescent="0.25">
      <c r="AB3669" t="str">
        <f t="shared" ref="AB3669:AC3669" si="3822">AB3648</f>
        <v>Loading Bay</v>
      </c>
      <c r="AC3669" t="str">
        <f t="shared" si="3822"/>
        <v>Lift 3</v>
      </c>
      <c r="AD3669" t="b">
        <f t="shared" ca="1" si="3766"/>
        <v>1</v>
      </c>
      <c r="AE3669" s="1" t="str">
        <f t="shared" ca="1" si="3787"/>
        <v>Garage 136-137</v>
      </c>
      <c r="AF3669" t="str">
        <f t="shared" ca="1" si="3764"/>
        <v>Garage 136-137</v>
      </c>
    </row>
    <row r="3670" spans="28:32" x14ac:dyDescent="0.25">
      <c r="AB3670" t="str">
        <f t="shared" ref="AB3670:AC3670" si="3823">AB3649</f>
        <v>Loading Bay</v>
      </c>
      <c r="AC3670" t="str">
        <f t="shared" si="3823"/>
        <v>Lift 4</v>
      </c>
      <c r="AD3670" t="b">
        <f t="shared" ca="1" si="3766"/>
        <v>0</v>
      </c>
      <c r="AE3670" s="1" t="str">
        <f t="shared" ca="1" si="3787"/>
        <v>Garage 136-137</v>
      </c>
      <c r="AF3670" t="str">
        <f t="shared" ca="1" si="3764"/>
        <v>Garage 136-137</v>
      </c>
    </row>
    <row r="3671" spans="28:32" x14ac:dyDescent="0.25">
      <c r="AB3671" t="str">
        <f t="shared" ref="AB3671:AC3671" si="3824">AB3650</f>
        <v>Loading Bay</v>
      </c>
      <c r="AC3671" t="str">
        <f t="shared" si="3824"/>
        <v>Lift 5</v>
      </c>
      <c r="AD3671" t="b">
        <f t="shared" ca="1" si="3766"/>
        <v>0</v>
      </c>
      <c r="AE3671" s="1" t="str">
        <f t="shared" ca="1" si="3787"/>
        <v>Garage 136-137</v>
      </c>
      <c r="AF3671" t="str">
        <f t="shared" ca="1" si="3764"/>
        <v>Garage 136-137</v>
      </c>
    </row>
    <row r="3672" spans="28:32" x14ac:dyDescent="0.25">
      <c r="AB3672" t="str">
        <f t="shared" ref="AB3672:AC3672" si="3825">AB3651</f>
        <v>Loading Bay</v>
      </c>
      <c r="AC3672" t="str">
        <f t="shared" si="3825"/>
        <v>Lift 6</v>
      </c>
      <c r="AD3672" t="b">
        <f t="shared" ca="1" si="3766"/>
        <v>0</v>
      </c>
      <c r="AE3672" s="1" t="str">
        <f t="shared" ca="1" si="3787"/>
        <v>Garage 136-137</v>
      </c>
      <c r="AF3672" t="str">
        <f t="shared" ca="1" si="3764"/>
        <v>Garage 136-137</v>
      </c>
    </row>
    <row r="3673" spans="28:32" x14ac:dyDescent="0.25">
      <c r="AB3673" t="str">
        <f t="shared" ref="AB3673:AC3673" si="3826">AB3652</f>
        <v>Scaffolding Platform</v>
      </c>
      <c r="AC3673" t="str">
        <f t="shared" si="3826"/>
        <v>Ground Floor</v>
      </c>
      <c r="AD3673" t="b">
        <f t="shared" ca="1" si="3766"/>
        <v>1</v>
      </c>
      <c r="AE3673" s="1" t="str">
        <f t="shared" ca="1" si="3787"/>
        <v>Garage 136-137</v>
      </c>
      <c r="AF3673" t="str">
        <f t="shared" ca="1" si="3764"/>
        <v>Garage 136-137</v>
      </c>
    </row>
    <row r="3674" spans="28:32" x14ac:dyDescent="0.25">
      <c r="AB3674" t="str">
        <f t="shared" ref="AB3674:AC3674" si="3827">AB3653</f>
        <v>Scaffolding Platform</v>
      </c>
      <c r="AC3674" t="str">
        <f t="shared" si="3827"/>
        <v>First Floor</v>
      </c>
      <c r="AD3674" t="b">
        <f t="shared" ca="1" si="3766"/>
        <v>0</v>
      </c>
      <c r="AE3674" s="1" t="str">
        <f t="shared" ca="1" si="3787"/>
        <v>Garage 136-137</v>
      </c>
      <c r="AF3674" t="str">
        <f t="shared" ca="1" si="3764"/>
        <v>Garage 136-137</v>
      </c>
    </row>
    <row r="3675" spans="28:32" x14ac:dyDescent="0.25">
      <c r="AB3675" t="str">
        <f t="shared" ref="AB3675:AC3675" si="3828">AB3654</f>
        <v>Scaffolding Platform</v>
      </c>
      <c r="AC3675" t="str">
        <f t="shared" si="3828"/>
        <v>Second Floor</v>
      </c>
      <c r="AD3675" t="b">
        <f t="shared" ca="1" si="3766"/>
        <v>0</v>
      </c>
      <c r="AE3675" s="1" t="str">
        <f t="shared" ca="1" si="3787"/>
        <v>Garage 136-137</v>
      </c>
      <c r="AF3675" t="str">
        <f t="shared" ca="1" si="3764"/>
        <v>Garage 136-137</v>
      </c>
    </row>
    <row r="3676" spans="28:32" x14ac:dyDescent="0.25">
      <c r="AB3676" t="str">
        <f t="shared" ref="AB3676:AC3676" si="3829">AB3655</f>
        <v>Supporting Scaffold</v>
      </c>
      <c r="AC3676" t="str">
        <f t="shared" si="3829"/>
        <v>Ground Floor Prop.</v>
      </c>
      <c r="AD3676" t="str">
        <f t="shared" ca="1" si="3766"/>
        <v>FALSE</v>
      </c>
      <c r="AE3676" s="1" t="str">
        <f t="shared" ca="1" si="3787"/>
        <v>Garage 136-137</v>
      </c>
      <c r="AF3676" t="str">
        <f t="shared" ca="1" si="3764"/>
        <v>Garage 136-137</v>
      </c>
    </row>
    <row r="3677" spans="28:32" x14ac:dyDescent="0.25">
      <c r="AB3677" t="str">
        <f t="shared" ref="AB3677:AC3677" si="3830">AB3656</f>
        <v>Supporting Scaffold</v>
      </c>
      <c r="AC3677" t="str">
        <f t="shared" si="3830"/>
        <v>First Floor Prop.</v>
      </c>
      <c r="AD3677" t="str">
        <f t="shared" ca="1" si="3766"/>
        <v>FALSE</v>
      </c>
      <c r="AE3677" s="1" t="str">
        <f t="shared" ca="1" si="3787"/>
        <v>Garage 136-137</v>
      </c>
      <c r="AF3677" t="str">
        <f t="shared" ref="AF3677:AF3740" ca="1" si="3831">IF(LEFT(AE3677,1)="G",AE3677,"Plot "&amp;AE3677)</f>
        <v>Garage 136-137</v>
      </c>
    </row>
    <row r="3678" spans="28:32" x14ac:dyDescent="0.25">
      <c r="AB3678" t="str">
        <f t="shared" ref="AB3678:AC3678" si="3832">AB3657</f>
        <v>Supporting Scaffold</v>
      </c>
      <c r="AC3678" t="str">
        <f t="shared" si="3832"/>
        <v>Second Floor Prop.</v>
      </c>
      <c r="AD3678" t="str">
        <f t="shared" ref="AD3678:AD3741" ca="1" si="3833">INDEX($AC$1:$JH$22,MATCH(AC3678,$AC$1:$AC$22,0),MATCH(AE3678,$AC$1:$JH$1,0))</f>
        <v>FALSE</v>
      </c>
      <c r="AE3678" s="1" t="str">
        <f t="shared" ca="1" si="3787"/>
        <v>Garage 136-137</v>
      </c>
      <c r="AF3678" t="str">
        <f t="shared" ca="1" si="3831"/>
        <v>Garage 136-137</v>
      </c>
    </row>
    <row r="3679" spans="28:32" x14ac:dyDescent="0.25">
      <c r="AB3679" t="str">
        <f t="shared" ref="AB3679:AC3679" si="3834">AB3658</f>
        <v>External Scaffolding</v>
      </c>
      <c r="AC3679" t="str">
        <f t="shared" si="3834"/>
        <v>Hop-ups</v>
      </c>
      <c r="AD3679" t="b">
        <f t="shared" ca="1" si="3833"/>
        <v>1</v>
      </c>
      <c r="AE3679" s="1" t="str">
        <f t="shared" ca="1" si="3787"/>
        <v>Garage 136-137</v>
      </c>
      <c r="AF3679" t="str">
        <f t="shared" ca="1" si="3831"/>
        <v>Garage 136-137</v>
      </c>
    </row>
    <row r="3680" spans="28:32" x14ac:dyDescent="0.25">
      <c r="AB3680" t="str">
        <f t="shared" ref="AB3680:AC3680" si="3835">AB3659</f>
        <v>External Scaffolding</v>
      </c>
      <c r="AC3680" t="str">
        <f t="shared" si="3835"/>
        <v>Adaptions</v>
      </c>
      <c r="AD3680" t="b">
        <f t="shared" ca="1" si="3833"/>
        <v>1</v>
      </c>
      <c r="AE3680" s="1" t="str">
        <f t="shared" ca="1" si="3787"/>
        <v>Garage 136-137</v>
      </c>
      <c r="AF3680" t="str">
        <f t="shared" ca="1" si="3831"/>
        <v>Garage 136-137</v>
      </c>
    </row>
    <row r="3681" spans="28:32" x14ac:dyDescent="0.25">
      <c r="AB3681" t="str">
        <f t="shared" ref="AB3681:AC3681" si="3836">AB3660</f>
        <v>External Scaffolding</v>
      </c>
      <c r="AC3681" t="str">
        <f t="shared" si="3836"/>
        <v>Adaption Tower</v>
      </c>
      <c r="AD3681" t="b">
        <f t="shared" ca="1" si="3833"/>
        <v>1</v>
      </c>
      <c r="AE3681" s="1" t="str">
        <f t="shared" ca="1" si="3787"/>
        <v>Garage 136-137</v>
      </c>
      <c r="AF3681" t="str">
        <f t="shared" ca="1" si="3831"/>
        <v>Garage 136-137</v>
      </c>
    </row>
    <row r="3682" spans="28:32" x14ac:dyDescent="0.25">
      <c r="AB3682" t="str">
        <f t="shared" ref="AB3682:AC3682" si="3837">AB3661</f>
        <v>External Scaffolding</v>
      </c>
      <c r="AC3682" t="str">
        <f t="shared" si="3837"/>
        <v>Lift 1</v>
      </c>
      <c r="AD3682" t="b">
        <f t="shared" ca="1" si="3833"/>
        <v>1</v>
      </c>
      <c r="AE3682" s="1" t="str">
        <f t="shared" ca="1" si="3787"/>
        <v>Garage 138</v>
      </c>
      <c r="AF3682" t="str">
        <f t="shared" ca="1" si="3831"/>
        <v>Garage 138</v>
      </c>
    </row>
    <row r="3683" spans="28:32" x14ac:dyDescent="0.25">
      <c r="AB3683" t="str">
        <f t="shared" ref="AB3683:AC3683" si="3838">AB3662</f>
        <v>External Scaffolding</v>
      </c>
      <c r="AC3683" t="str">
        <f t="shared" si="3838"/>
        <v>Lift 2</v>
      </c>
      <c r="AD3683" t="b">
        <f t="shared" ca="1" si="3833"/>
        <v>1</v>
      </c>
      <c r="AE3683" s="1" t="str">
        <f t="shared" ca="1" si="3787"/>
        <v>Garage 138</v>
      </c>
      <c r="AF3683" t="str">
        <f t="shared" ca="1" si="3831"/>
        <v>Garage 138</v>
      </c>
    </row>
    <row r="3684" spans="28:32" x14ac:dyDescent="0.25">
      <c r="AB3684" t="str">
        <f t="shared" ref="AB3684:AC3684" si="3839">AB3663</f>
        <v>External Scaffolding</v>
      </c>
      <c r="AC3684" t="str">
        <f t="shared" si="3839"/>
        <v>Lift 3</v>
      </c>
      <c r="AD3684" t="b">
        <f t="shared" ca="1" si="3833"/>
        <v>1</v>
      </c>
      <c r="AE3684" s="1" t="str">
        <f t="shared" ca="1" si="3787"/>
        <v>Garage 138</v>
      </c>
      <c r="AF3684" t="str">
        <f t="shared" ca="1" si="3831"/>
        <v>Garage 138</v>
      </c>
    </row>
    <row r="3685" spans="28:32" x14ac:dyDescent="0.25">
      <c r="AB3685" t="str">
        <f t="shared" ref="AB3685:AC3685" si="3840">AB3664</f>
        <v>External Scaffolding</v>
      </c>
      <c r="AC3685" t="str">
        <f t="shared" si="3840"/>
        <v>Lift 4</v>
      </c>
      <c r="AD3685" t="b">
        <f t="shared" ca="1" si="3833"/>
        <v>0</v>
      </c>
      <c r="AE3685" s="1" t="str">
        <f t="shared" ca="1" si="3787"/>
        <v>Garage 138</v>
      </c>
      <c r="AF3685" t="str">
        <f t="shared" ca="1" si="3831"/>
        <v>Garage 138</v>
      </c>
    </row>
    <row r="3686" spans="28:32" x14ac:dyDescent="0.25">
      <c r="AB3686" t="str">
        <f t="shared" ref="AB3686:AC3686" si="3841">AB3665</f>
        <v>External Scaffolding</v>
      </c>
      <c r="AC3686" t="str">
        <f t="shared" si="3841"/>
        <v>Lift 5</v>
      </c>
      <c r="AD3686" t="b">
        <f t="shared" ca="1" si="3833"/>
        <v>0</v>
      </c>
      <c r="AE3686" s="1" t="str">
        <f t="shared" ca="1" si="3787"/>
        <v>Garage 138</v>
      </c>
      <c r="AF3686" t="str">
        <f t="shared" ca="1" si="3831"/>
        <v>Garage 138</v>
      </c>
    </row>
    <row r="3687" spans="28:32" x14ac:dyDescent="0.25">
      <c r="AB3687" t="str">
        <f t="shared" ref="AB3687:AC3687" si="3842">AB3666</f>
        <v>External Scaffolding</v>
      </c>
      <c r="AC3687" t="str">
        <f t="shared" si="3842"/>
        <v>Lift 6</v>
      </c>
      <c r="AD3687" t="b">
        <f t="shared" ca="1" si="3833"/>
        <v>0</v>
      </c>
      <c r="AE3687" s="1" t="str">
        <f t="shared" ca="1" si="3787"/>
        <v>Garage 138</v>
      </c>
      <c r="AF3687" t="str">
        <f t="shared" ca="1" si="3831"/>
        <v>Garage 138</v>
      </c>
    </row>
    <row r="3688" spans="28:32" x14ac:dyDescent="0.25">
      <c r="AB3688" t="str">
        <f t="shared" ref="AB3688:AC3688" si="3843">AB3667</f>
        <v>Loading Bay</v>
      </c>
      <c r="AC3688" t="str">
        <f t="shared" si="3843"/>
        <v>Lift 1</v>
      </c>
      <c r="AD3688" t="b">
        <f t="shared" ca="1" si="3833"/>
        <v>1</v>
      </c>
      <c r="AE3688" s="1" t="str">
        <f t="shared" ca="1" si="3787"/>
        <v>Garage 138</v>
      </c>
      <c r="AF3688" t="str">
        <f t="shared" ca="1" si="3831"/>
        <v>Garage 138</v>
      </c>
    </row>
    <row r="3689" spans="28:32" x14ac:dyDescent="0.25">
      <c r="AB3689" t="str">
        <f t="shared" ref="AB3689:AC3689" si="3844">AB3668</f>
        <v>Loading Bay</v>
      </c>
      <c r="AC3689" t="str">
        <f t="shared" si="3844"/>
        <v>Lift 2</v>
      </c>
      <c r="AD3689" t="b">
        <f t="shared" ca="1" si="3833"/>
        <v>1</v>
      </c>
      <c r="AE3689" s="1" t="str">
        <f t="shared" ca="1" si="3787"/>
        <v>Garage 138</v>
      </c>
      <c r="AF3689" t="str">
        <f t="shared" ca="1" si="3831"/>
        <v>Garage 138</v>
      </c>
    </row>
    <row r="3690" spans="28:32" x14ac:dyDescent="0.25">
      <c r="AB3690" t="str">
        <f t="shared" ref="AB3690:AC3690" si="3845">AB3669</f>
        <v>Loading Bay</v>
      </c>
      <c r="AC3690" t="str">
        <f t="shared" si="3845"/>
        <v>Lift 3</v>
      </c>
      <c r="AD3690" t="b">
        <f t="shared" ca="1" si="3833"/>
        <v>1</v>
      </c>
      <c r="AE3690" s="1" t="str">
        <f t="shared" ca="1" si="3787"/>
        <v>Garage 138</v>
      </c>
      <c r="AF3690" t="str">
        <f t="shared" ca="1" si="3831"/>
        <v>Garage 138</v>
      </c>
    </row>
    <row r="3691" spans="28:32" x14ac:dyDescent="0.25">
      <c r="AB3691" t="str">
        <f t="shared" ref="AB3691:AC3691" si="3846">AB3670</f>
        <v>Loading Bay</v>
      </c>
      <c r="AC3691" t="str">
        <f t="shared" si="3846"/>
        <v>Lift 4</v>
      </c>
      <c r="AD3691" t="b">
        <f t="shared" ca="1" si="3833"/>
        <v>0</v>
      </c>
      <c r="AE3691" s="1" t="str">
        <f t="shared" ca="1" si="3787"/>
        <v>Garage 138</v>
      </c>
      <c r="AF3691" t="str">
        <f t="shared" ca="1" si="3831"/>
        <v>Garage 138</v>
      </c>
    </row>
    <row r="3692" spans="28:32" x14ac:dyDescent="0.25">
      <c r="AB3692" t="str">
        <f t="shared" ref="AB3692:AC3692" si="3847">AB3671</f>
        <v>Loading Bay</v>
      </c>
      <c r="AC3692" t="str">
        <f t="shared" si="3847"/>
        <v>Lift 5</v>
      </c>
      <c r="AD3692" t="b">
        <f t="shared" ca="1" si="3833"/>
        <v>0</v>
      </c>
      <c r="AE3692" s="1" t="str">
        <f t="shared" ca="1" si="3787"/>
        <v>Garage 138</v>
      </c>
      <c r="AF3692" t="str">
        <f t="shared" ca="1" si="3831"/>
        <v>Garage 138</v>
      </c>
    </row>
    <row r="3693" spans="28:32" x14ac:dyDescent="0.25">
      <c r="AB3693" t="str">
        <f t="shared" ref="AB3693:AC3693" si="3848">AB3672</f>
        <v>Loading Bay</v>
      </c>
      <c r="AC3693" t="str">
        <f t="shared" si="3848"/>
        <v>Lift 6</v>
      </c>
      <c r="AD3693" t="b">
        <f t="shared" ca="1" si="3833"/>
        <v>0</v>
      </c>
      <c r="AE3693" s="1" t="str">
        <f t="shared" ca="1" si="3787"/>
        <v>Garage 138</v>
      </c>
      <c r="AF3693" t="str">
        <f t="shared" ca="1" si="3831"/>
        <v>Garage 138</v>
      </c>
    </row>
    <row r="3694" spans="28:32" x14ac:dyDescent="0.25">
      <c r="AB3694" t="str">
        <f t="shared" ref="AB3694:AC3694" si="3849">AB3673</f>
        <v>Scaffolding Platform</v>
      </c>
      <c r="AC3694" t="str">
        <f t="shared" si="3849"/>
        <v>Ground Floor</v>
      </c>
      <c r="AD3694" t="b">
        <f t="shared" ca="1" si="3833"/>
        <v>1</v>
      </c>
      <c r="AE3694" s="1" t="str">
        <f t="shared" ca="1" si="3787"/>
        <v>Garage 138</v>
      </c>
      <c r="AF3694" t="str">
        <f t="shared" ca="1" si="3831"/>
        <v>Garage 138</v>
      </c>
    </row>
    <row r="3695" spans="28:32" x14ac:dyDescent="0.25">
      <c r="AB3695" t="str">
        <f t="shared" ref="AB3695:AC3695" si="3850">AB3674</f>
        <v>Scaffolding Platform</v>
      </c>
      <c r="AC3695" t="str">
        <f t="shared" si="3850"/>
        <v>First Floor</v>
      </c>
      <c r="AD3695" t="b">
        <f t="shared" ca="1" si="3833"/>
        <v>0</v>
      </c>
      <c r="AE3695" s="1" t="str">
        <f t="shared" ca="1" si="3787"/>
        <v>Garage 138</v>
      </c>
      <c r="AF3695" t="str">
        <f t="shared" ca="1" si="3831"/>
        <v>Garage 138</v>
      </c>
    </row>
    <row r="3696" spans="28:32" x14ac:dyDescent="0.25">
      <c r="AB3696" t="str">
        <f t="shared" ref="AB3696:AC3696" si="3851">AB3675</f>
        <v>Scaffolding Platform</v>
      </c>
      <c r="AC3696" t="str">
        <f t="shared" si="3851"/>
        <v>Second Floor</v>
      </c>
      <c r="AD3696" t="b">
        <f t="shared" ca="1" si="3833"/>
        <v>0</v>
      </c>
      <c r="AE3696" s="1" t="str">
        <f t="shared" ca="1" si="3787"/>
        <v>Garage 138</v>
      </c>
      <c r="AF3696" t="str">
        <f t="shared" ca="1" si="3831"/>
        <v>Garage 138</v>
      </c>
    </row>
    <row r="3697" spans="28:32" x14ac:dyDescent="0.25">
      <c r="AB3697" t="str">
        <f t="shared" ref="AB3697:AC3697" si="3852">AB3676</f>
        <v>Supporting Scaffold</v>
      </c>
      <c r="AC3697" t="str">
        <f t="shared" si="3852"/>
        <v>Ground Floor Prop.</v>
      </c>
      <c r="AD3697" t="str">
        <f t="shared" ca="1" si="3833"/>
        <v>FALSE</v>
      </c>
      <c r="AE3697" s="1" t="str">
        <f t="shared" ca="1" si="3787"/>
        <v>Garage 138</v>
      </c>
      <c r="AF3697" t="str">
        <f t="shared" ca="1" si="3831"/>
        <v>Garage 138</v>
      </c>
    </row>
    <row r="3698" spans="28:32" x14ac:dyDescent="0.25">
      <c r="AB3698" t="str">
        <f t="shared" ref="AB3698:AC3698" si="3853">AB3677</f>
        <v>Supporting Scaffold</v>
      </c>
      <c r="AC3698" t="str">
        <f t="shared" si="3853"/>
        <v>First Floor Prop.</v>
      </c>
      <c r="AD3698" t="str">
        <f t="shared" ca="1" si="3833"/>
        <v>FALSE</v>
      </c>
      <c r="AE3698" s="1" t="str">
        <f t="shared" ref="AE3698:AE3761" ca="1" si="3854">OFFSET($AD$1,0,FLOOR(ROW(B3670)/21,1))</f>
        <v>Garage 138</v>
      </c>
      <c r="AF3698" t="str">
        <f t="shared" ca="1" si="3831"/>
        <v>Garage 138</v>
      </c>
    </row>
    <row r="3699" spans="28:32" x14ac:dyDescent="0.25">
      <c r="AB3699" t="str">
        <f t="shared" ref="AB3699:AC3699" si="3855">AB3678</f>
        <v>Supporting Scaffold</v>
      </c>
      <c r="AC3699" t="str">
        <f t="shared" si="3855"/>
        <v>Second Floor Prop.</v>
      </c>
      <c r="AD3699" t="str">
        <f t="shared" ca="1" si="3833"/>
        <v>FALSE</v>
      </c>
      <c r="AE3699" s="1" t="str">
        <f t="shared" ca="1" si="3854"/>
        <v>Garage 138</v>
      </c>
      <c r="AF3699" t="str">
        <f t="shared" ca="1" si="3831"/>
        <v>Garage 138</v>
      </c>
    </row>
    <row r="3700" spans="28:32" x14ac:dyDescent="0.25">
      <c r="AB3700" t="str">
        <f t="shared" ref="AB3700:AC3700" si="3856">AB3679</f>
        <v>External Scaffolding</v>
      </c>
      <c r="AC3700" t="str">
        <f t="shared" si="3856"/>
        <v>Hop-ups</v>
      </c>
      <c r="AD3700" t="b">
        <f t="shared" ca="1" si="3833"/>
        <v>1</v>
      </c>
      <c r="AE3700" s="1" t="str">
        <f t="shared" ca="1" si="3854"/>
        <v>Garage 138</v>
      </c>
      <c r="AF3700" t="str">
        <f t="shared" ca="1" si="3831"/>
        <v>Garage 138</v>
      </c>
    </row>
    <row r="3701" spans="28:32" x14ac:dyDescent="0.25">
      <c r="AB3701" t="str">
        <f t="shared" ref="AB3701:AC3701" si="3857">AB3680</f>
        <v>External Scaffolding</v>
      </c>
      <c r="AC3701" t="str">
        <f t="shared" si="3857"/>
        <v>Adaptions</v>
      </c>
      <c r="AD3701" t="b">
        <f t="shared" ca="1" si="3833"/>
        <v>1</v>
      </c>
      <c r="AE3701" s="1" t="str">
        <f t="shared" ca="1" si="3854"/>
        <v>Garage 138</v>
      </c>
      <c r="AF3701" t="str">
        <f t="shared" ca="1" si="3831"/>
        <v>Garage 138</v>
      </c>
    </row>
    <row r="3702" spans="28:32" x14ac:dyDescent="0.25">
      <c r="AB3702" t="str">
        <f t="shared" ref="AB3702:AC3702" si="3858">AB3681</f>
        <v>External Scaffolding</v>
      </c>
      <c r="AC3702" t="str">
        <f t="shared" si="3858"/>
        <v>Adaption Tower</v>
      </c>
      <c r="AD3702" t="b">
        <f t="shared" ca="1" si="3833"/>
        <v>1</v>
      </c>
      <c r="AE3702" s="1" t="str">
        <f t="shared" ca="1" si="3854"/>
        <v>Garage 138</v>
      </c>
      <c r="AF3702" t="str">
        <f t="shared" ca="1" si="3831"/>
        <v>Garage 138</v>
      </c>
    </row>
    <row r="3703" spans="28:32" x14ac:dyDescent="0.25">
      <c r="AB3703" t="str">
        <f t="shared" ref="AB3703:AC3703" si="3859">AB3682</f>
        <v>External Scaffolding</v>
      </c>
      <c r="AC3703" t="str">
        <f t="shared" si="3859"/>
        <v>Lift 1</v>
      </c>
      <c r="AD3703" t="b">
        <f t="shared" ca="1" si="3833"/>
        <v>1</v>
      </c>
      <c r="AE3703" s="1" t="str">
        <f t="shared" ca="1" si="3854"/>
        <v>Garage 141</v>
      </c>
      <c r="AF3703" t="str">
        <f t="shared" ca="1" si="3831"/>
        <v>Garage 141</v>
      </c>
    </row>
    <row r="3704" spans="28:32" x14ac:dyDescent="0.25">
      <c r="AB3704" t="str">
        <f t="shared" ref="AB3704:AC3704" si="3860">AB3683</f>
        <v>External Scaffolding</v>
      </c>
      <c r="AC3704" t="str">
        <f t="shared" si="3860"/>
        <v>Lift 2</v>
      </c>
      <c r="AD3704" t="b">
        <f t="shared" ca="1" si="3833"/>
        <v>1</v>
      </c>
      <c r="AE3704" s="1" t="str">
        <f t="shared" ca="1" si="3854"/>
        <v>Garage 141</v>
      </c>
      <c r="AF3704" t="str">
        <f t="shared" ca="1" si="3831"/>
        <v>Garage 141</v>
      </c>
    </row>
    <row r="3705" spans="28:32" x14ac:dyDescent="0.25">
      <c r="AB3705" t="str">
        <f t="shared" ref="AB3705:AC3705" si="3861">AB3684</f>
        <v>External Scaffolding</v>
      </c>
      <c r="AC3705" t="str">
        <f t="shared" si="3861"/>
        <v>Lift 3</v>
      </c>
      <c r="AD3705" t="b">
        <f t="shared" ca="1" si="3833"/>
        <v>1</v>
      </c>
      <c r="AE3705" s="1" t="str">
        <f t="shared" ca="1" si="3854"/>
        <v>Garage 141</v>
      </c>
      <c r="AF3705" t="str">
        <f t="shared" ca="1" si="3831"/>
        <v>Garage 141</v>
      </c>
    </row>
    <row r="3706" spans="28:32" x14ac:dyDescent="0.25">
      <c r="AB3706" t="str">
        <f t="shared" ref="AB3706:AC3706" si="3862">AB3685</f>
        <v>External Scaffolding</v>
      </c>
      <c r="AC3706" t="str">
        <f t="shared" si="3862"/>
        <v>Lift 4</v>
      </c>
      <c r="AD3706" t="b">
        <f t="shared" ca="1" si="3833"/>
        <v>0</v>
      </c>
      <c r="AE3706" s="1" t="str">
        <f t="shared" ca="1" si="3854"/>
        <v>Garage 141</v>
      </c>
      <c r="AF3706" t="str">
        <f t="shared" ca="1" si="3831"/>
        <v>Garage 141</v>
      </c>
    </row>
    <row r="3707" spans="28:32" x14ac:dyDescent="0.25">
      <c r="AB3707" t="str">
        <f t="shared" ref="AB3707:AC3707" si="3863">AB3686</f>
        <v>External Scaffolding</v>
      </c>
      <c r="AC3707" t="str">
        <f t="shared" si="3863"/>
        <v>Lift 5</v>
      </c>
      <c r="AD3707" t="b">
        <f t="shared" ca="1" si="3833"/>
        <v>0</v>
      </c>
      <c r="AE3707" s="1" t="str">
        <f t="shared" ca="1" si="3854"/>
        <v>Garage 141</v>
      </c>
      <c r="AF3707" t="str">
        <f t="shared" ca="1" si="3831"/>
        <v>Garage 141</v>
      </c>
    </row>
    <row r="3708" spans="28:32" x14ac:dyDescent="0.25">
      <c r="AB3708" t="str">
        <f t="shared" ref="AB3708:AC3708" si="3864">AB3687</f>
        <v>External Scaffolding</v>
      </c>
      <c r="AC3708" t="str">
        <f t="shared" si="3864"/>
        <v>Lift 6</v>
      </c>
      <c r="AD3708" t="b">
        <f t="shared" ca="1" si="3833"/>
        <v>0</v>
      </c>
      <c r="AE3708" s="1" t="str">
        <f t="shared" ca="1" si="3854"/>
        <v>Garage 141</v>
      </c>
      <c r="AF3708" t="str">
        <f t="shared" ca="1" si="3831"/>
        <v>Garage 141</v>
      </c>
    </row>
    <row r="3709" spans="28:32" x14ac:dyDescent="0.25">
      <c r="AB3709" t="str">
        <f t="shared" ref="AB3709:AC3709" si="3865">AB3688</f>
        <v>Loading Bay</v>
      </c>
      <c r="AC3709" t="str">
        <f t="shared" si="3865"/>
        <v>Lift 1</v>
      </c>
      <c r="AD3709" t="b">
        <f t="shared" ca="1" si="3833"/>
        <v>1</v>
      </c>
      <c r="AE3709" s="1" t="str">
        <f t="shared" ca="1" si="3854"/>
        <v>Garage 141</v>
      </c>
      <c r="AF3709" t="str">
        <f t="shared" ca="1" si="3831"/>
        <v>Garage 141</v>
      </c>
    </row>
    <row r="3710" spans="28:32" x14ac:dyDescent="0.25">
      <c r="AB3710" t="str">
        <f t="shared" ref="AB3710:AC3710" si="3866">AB3689</f>
        <v>Loading Bay</v>
      </c>
      <c r="AC3710" t="str">
        <f t="shared" si="3866"/>
        <v>Lift 2</v>
      </c>
      <c r="AD3710" t="b">
        <f t="shared" ca="1" si="3833"/>
        <v>1</v>
      </c>
      <c r="AE3710" s="1" t="str">
        <f t="shared" ca="1" si="3854"/>
        <v>Garage 141</v>
      </c>
      <c r="AF3710" t="str">
        <f t="shared" ca="1" si="3831"/>
        <v>Garage 141</v>
      </c>
    </row>
    <row r="3711" spans="28:32" x14ac:dyDescent="0.25">
      <c r="AB3711" t="str">
        <f t="shared" ref="AB3711:AC3711" si="3867">AB3690</f>
        <v>Loading Bay</v>
      </c>
      <c r="AC3711" t="str">
        <f t="shared" si="3867"/>
        <v>Lift 3</v>
      </c>
      <c r="AD3711" t="b">
        <f t="shared" ca="1" si="3833"/>
        <v>1</v>
      </c>
      <c r="AE3711" s="1" t="str">
        <f t="shared" ca="1" si="3854"/>
        <v>Garage 141</v>
      </c>
      <c r="AF3711" t="str">
        <f t="shared" ca="1" si="3831"/>
        <v>Garage 141</v>
      </c>
    </row>
    <row r="3712" spans="28:32" x14ac:dyDescent="0.25">
      <c r="AB3712" t="str">
        <f t="shared" ref="AB3712:AC3712" si="3868">AB3691</f>
        <v>Loading Bay</v>
      </c>
      <c r="AC3712" t="str">
        <f t="shared" si="3868"/>
        <v>Lift 4</v>
      </c>
      <c r="AD3712" t="b">
        <f t="shared" ca="1" si="3833"/>
        <v>0</v>
      </c>
      <c r="AE3712" s="1" t="str">
        <f t="shared" ca="1" si="3854"/>
        <v>Garage 141</v>
      </c>
      <c r="AF3712" t="str">
        <f t="shared" ca="1" si="3831"/>
        <v>Garage 141</v>
      </c>
    </row>
    <row r="3713" spans="28:32" x14ac:dyDescent="0.25">
      <c r="AB3713" t="str">
        <f t="shared" ref="AB3713:AC3713" si="3869">AB3692</f>
        <v>Loading Bay</v>
      </c>
      <c r="AC3713" t="str">
        <f t="shared" si="3869"/>
        <v>Lift 5</v>
      </c>
      <c r="AD3713" t="b">
        <f t="shared" ca="1" si="3833"/>
        <v>0</v>
      </c>
      <c r="AE3713" s="1" t="str">
        <f t="shared" ca="1" si="3854"/>
        <v>Garage 141</v>
      </c>
      <c r="AF3713" t="str">
        <f t="shared" ca="1" si="3831"/>
        <v>Garage 141</v>
      </c>
    </row>
    <row r="3714" spans="28:32" x14ac:dyDescent="0.25">
      <c r="AB3714" t="str">
        <f t="shared" ref="AB3714:AC3714" si="3870">AB3693</f>
        <v>Loading Bay</v>
      </c>
      <c r="AC3714" t="str">
        <f t="shared" si="3870"/>
        <v>Lift 6</v>
      </c>
      <c r="AD3714" t="b">
        <f t="shared" ca="1" si="3833"/>
        <v>0</v>
      </c>
      <c r="AE3714" s="1" t="str">
        <f t="shared" ca="1" si="3854"/>
        <v>Garage 141</v>
      </c>
      <c r="AF3714" t="str">
        <f t="shared" ca="1" si="3831"/>
        <v>Garage 141</v>
      </c>
    </row>
    <row r="3715" spans="28:32" x14ac:dyDescent="0.25">
      <c r="AB3715" t="str">
        <f t="shared" ref="AB3715:AC3715" si="3871">AB3694</f>
        <v>Scaffolding Platform</v>
      </c>
      <c r="AC3715" t="str">
        <f t="shared" si="3871"/>
        <v>Ground Floor</v>
      </c>
      <c r="AD3715" t="b">
        <f t="shared" ca="1" si="3833"/>
        <v>1</v>
      </c>
      <c r="AE3715" s="1" t="str">
        <f t="shared" ca="1" si="3854"/>
        <v>Garage 141</v>
      </c>
      <c r="AF3715" t="str">
        <f t="shared" ca="1" si="3831"/>
        <v>Garage 141</v>
      </c>
    </row>
    <row r="3716" spans="28:32" x14ac:dyDescent="0.25">
      <c r="AB3716" t="str">
        <f t="shared" ref="AB3716:AC3716" si="3872">AB3695</f>
        <v>Scaffolding Platform</v>
      </c>
      <c r="AC3716" t="str">
        <f t="shared" si="3872"/>
        <v>First Floor</v>
      </c>
      <c r="AD3716" t="b">
        <f t="shared" ca="1" si="3833"/>
        <v>0</v>
      </c>
      <c r="AE3716" s="1" t="str">
        <f t="shared" ca="1" si="3854"/>
        <v>Garage 141</v>
      </c>
      <c r="AF3716" t="str">
        <f t="shared" ca="1" si="3831"/>
        <v>Garage 141</v>
      </c>
    </row>
    <row r="3717" spans="28:32" x14ac:dyDescent="0.25">
      <c r="AB3717" t="str">
        <f t="shared" ref="AB3717:AC3717" si="3873">AB3696</f>
        <v>Scaffolding Platform</v>
      </c>
      <c r="AC3717" t="str">
        <f t="shared" si="3873"/>
        <v>Second Floor</v>
      </c>
      <c r="AD3717" t="b">
        <f t="shared" ca="1" si="3833"/>
        <v>0</v>
      </c>
      <c r="AE3717" s="1" t="str">
        <f t="shared" ca="1" si="3854"/>
        <v>Garage 141</v>
      </c>
      <c r="AF3717" t="str">
        <f t="shared" ca="1" si="3831"/>
        <v>Garage 141</v>
      </c>
    </row>
    <row r="3718" spans="28:32" x14ac:dyDescent="0.25">
      <c r="AB3718" t="str">
        <f t="shared" ref="AB3718:AC3718" si="3874">AB3697</f>
        <v>Supporting Scaffold</v>
      </c>
      <c r="AC3718" t="str">
        <f t="shared" si="3874"/>
        <v>Ground Floor Prop.</v>
      </c>
      <c r="AD3718" t="str">
        <f t="shared" ca="1" si="3833"/>
        <v>FALSE</v>
      </c>
      <c r="AE3718" s="1" t="str">
        <f t="shared" ca="1" si="3854"/>
        <v>Garage 141</v>
      </c>
      <c r="AF3718" t="str">
        <f t="shared" ca="1" si="3831"/>
        <v>Garage 141</v>
      </c>
    </row>
    <row r="3719" spans="28:32" x14ac:dyDescent="0.25">
      <c r="AB3719" t="str">
        <f t="shared" ref="AB3719:AC3719" si="3875">AB3698</f>
        <v>Supporting Scaffold</v>
      </c>
      <c r="AC3719" t="str">
        <f t="shared" si="3875"/>
        <v>First Floor Prop.</v>
      </c>
      <c r="AD3719" t="str">
        <f t="shared" ca="1" si="3833"/>
        <v>FALSE</v>
      </c>
      <c r="AE3719" s="1" t="str">
        <f t="shared" ca="1" si="3854"/>
        <v>Garage 141</v>
      </c>
      <c r="AF3719" t="str">
        <f t="shared" ca="1" si="3831"/>
        <v>Garage 141</v>
      </c>
    </row>
    <row r="3720" spans="28:32" x14ac:dyDescent="0.25">
      <c r="AB3720" t="str">
        <f t="shared" ref="AB3720:AC3720" si="3876">AB3699</f>
        <v>Supporting Scaffold</v>
      </c>
      <c r="AC3720" t="str">
        <f t="shared" si="3876"/>
        <v>Second Floor Prop.</v>
      </c>
      <c r="AD3720" t="str">
        <f t="shared" ca="1" si="3833"/>
        <v>FALSE</v>
      </c>
      <c r="AE3720" s="1" t="str">
        <f t="shared" ca="1" si="3854"/>
        <v>Garage 141</v>
      </c>
      <c r="AF3720" t="str">
        <f t="shared" ca="1" si="3831"/>
        <v>Garage 141</v>
      </c>
    </row>
    <row r="3721" spans="28:32" x14ac:dyDescent="0.25">
      <c r="AB3721" t="str">
        <f t="shared" ref="AB3721:AC3721" si="3877">AB3700</f>
        <v>External Scaffolding</v>
      </c>
      <c r="AC3721" t="str">
        <f t="shared" si="3877"/>
        <v>Hop-ups</v>
      </c>
      <c r="AD3721" t="b">
        <f t="shared" ca="1" si="3833"/>
        <v>1</v>
      </c>
      <c r="AE3721" s="1" t="str">
        <f t="shared" ca="1" si="3854"/>
        <v>Garage 141</v>
      </c>
      <c r="AF3721" t="str">
        <f t="shared" ca="1" si="3831"/>
        <v>Garage 141</v>
      </c>
    </row>
    <row r="3722" spans="28:32" x14ac:dyDescent="0.25">
      <c r="AB3722" t="str">
        <f t="shared" ref="AB3722:AC3722" si="3878">AB3701</f>
        <v>External Scaffolding</v>
      </c>
      <c r="AC3722" t="str">
        <f t="shared" si="3878"/>
        <v>Adaptions</v>
      </c>
      <c r="AD3722" t="b">
        <f t="shared" ca="1" si="3833"/>
        <v>1</v>
      </c>
      <c r="AE3722" s="1" t="str">
        <f t="shared" ca="1" si="3854"/>
        <v>Garage 141</v>
      </c>
      <c r="AF3722" t="str">
        <f t="shared" ca="1" si="3831"/>
        <v>Garage 141</v>
      </c>
    </row>
    <row r="3723" spans="28:32" x14ac:dyDescent="0.25">
      <c r="AB3723" t="str">
        <f t="shared" ref="AB3723:AC3723" si="3879">AB3702</f>
        <v>External Scaffolding</v>
      </c>
      <c r="AC3723" t="str">
        <f t="shared" si="3879"/>
        <v>Adaption Tower</v>
      </c>
      <c r="AD3723" t="b">
        <f t="shared" ca="1" si="3833"/>
        <v>1</v>
      </c>
      <c r="AE3723" s="1" t="str">
        <f t="shared" ca="1" si="3854"/>
        <v>Garage 141</v>
      </c>
      <c r="AF3723" t="str">
        <f t="shared" ca="1" si="3831"/>
        <v>Garage 141</v>
      </c>
    </row>
    <row r="3724" spans="28:32" x14ac:dyDescent="0.25">
      <c r="AB3724" t="str">
        <f t="shared" ref="AB3724:AC3724" si="3880">AB3703</f>
        <v>External Scaffolding</v>
      </c>
      <c r="AC3724" t="str">
        <f t="shared" si="3880"/>
        <v>Lift 1</v>
      </c>
      <c r="AD3724" t="b">
        <f t="shared" ca="1" si="3833"/>
        <v>1</v>
      </c>
      <c r="AE3724" s="1" t="str">
        <f t="shared" ca="1" si="3854"/>
        <v>Garage 142-143</v>
      </c>
      <c r="AF3724" t="str">
        <f t="shared" ca="1" si="3831"/>
        <v>Garage 142-143</v>
      </c>
    </row>
    <row r="3725" spans="28:32" x14ac:dyDescent="0.25">
      <c r="AB3725" t="str">
        <f t="shared" ref="AB3725:AC3725" si="3881">AB3704</f>
        <v>External Scaffolding</v>
      </c>
      <c r="AC3725" t="str">
        <f t="shared" si="3881"/>
        <v>Lift 2</v>
      </c>
      <c r="AD3725" t="b">
        <f t="shared" ca="1" si="3833"/>
        <v>1</v>
      </c>
      <c r="AE3725" s="1" t="str">
        <f t="shared" ca="1" si="3854"/>
        <v>Garage 142-143</v>
      </c>
      <c r="AF3725" t="str">
        <f t="shared" ca="1" si="3831"/>
        <v>Garage 142-143</v>
      </c>
    </row>
    <row r="3726" spans="28:32" x14ac:dyDescent="0.25">
      <c r="AB3726" t="str">
        <f t="shared" ref="AB3726:AC3726" si="3882">AB3705</f>
        <v>External Scaffolding</v>
      </c>
      <c r="AC3726" t="str">
        <f t="shared" si="3882"/>
        <v>Lift 3</v>
      </c>
      <c r="AD3726" t="b">
        <f t="shared" ca="1" si="3833"/>
        <v>1</v>
      </c>
      <c r="AE3726" s="1" t="str">
        <f t="shared" ca="1" si="3854"/>
        <v>Garage 142-143</v>
      </c>
      <c r="AF3726" t="str">
        <f t="shared" ca="1" si="3831"/>
        <v>Garage 142-143</v>
      </c>
    </row>
    <row r="3727" spans="28:32" x14ac:dyDescent="0.25">
      <c r="AB3727" t="str">
        <f t="shared" ref="AB3727:AC3727" si="3883">AB3706</f>
        <v>External Scaffolding</v>
      </c>
      <c r="AC3727" t="str">
        <f t="shared" si="3883"/>
        <v>Lift 4</v>
      </c>
      <c r="AD3727" t="b">
        <f t="shared" ca="1" si="3833"/>
        <v>0</v>
      </c>
      <c r="AE3727" s="1" t="str">
        <f t="shared" ca="1" si="3854"/>
        <v>Garage 142-143</v>
      </c>
      <c r="AF3727" t="str">
        <f t="shared" ca="1" si="3831"/>
        <v>Garage 142-143</v>
      </c>
    </row>
    <row r="3728" spans="28:32" x14ac:dyDescent="0.25">
      <c r="AB3728" t="str">
        <f t="shared" ref="AB3728:AC3728" si="3884">AB3707</f>
        <v>External Scaffolding</v>
      </c>
      <c r="AC3728" t="str">
        <f t="shared" si="3884"/>
        <v>Lift 5</v>
      </c>
      <c r="AD3728" t="b">
        <f t="shared" ca="1" si="3833"/>
        <v>0</v>
      </c>
      <c r="AE3728" s="1" t="str">
        <f t="shared" ca="1" si="3854"/>
        <v>Garage 142-143</v>
      </c>
      <c r="AF3728" t="str">
        <f t="shared" ca="1" si="3831"/>
        <v>Garage 142-143</v>
      </c>
    </row>
    <row r="3729" spans="28:32" x14ac:dyDescent="0.25">
      <c r="AB3729" t="str">
        <f t="shared" ref="AB3729:AC3729" si="3885">AB3708</f>
        <v>External Scaffolding</v>
      </c>
      <c r="AC3729" t="str">
        <f t="shared" si="3885"/>
        <v>Lift 6</v>
      </c>
      <c r="AD3729" t="b">
        <f t="shared" ca="1" si="3833"/>
        <v>0</v>
      </c>
      <c r="AE3729" s="1" t="str">
        <f t="shared" ca="1" si="3854"/>
        <v>Garage 142-143</v>
      </c>
      <c r="AF3729" t="str">
        <f t="shared" ca="1" si="3831"/>
        <v>Garage 142-143</v>
      </c>
    </row>
    <row r="3730" spans="28:32" x14ac:dyDescent="0.25">
      <c r="AB3730" t="str">
        <f t="shared" ref="AB3730:AC3730" si="3886">AB3709</f>
        <v>Loading Bay</v>
      </c>
      <c r="AC3730" t="str">
        <f t="shared" si="3886"/>
        <v>Lift 1</v>
      </c>
      <c r="AD3730" t="b">
        <f t="shared" ca="1" si="3833"/>
        <v>1</v>
      </c>
      <c r="AE3730" s="1" t="str">
        <f t="shared" ca="1" si="3854"/>
        <v>Garage 142-143</v>
      </c>
      <c r="AF3730" t="str">
        <f t="shared" ca="1" si="3831"/>
        <v>Garage 142-143</v>
      </c>
    </row>
    <row r="3731" spans="28:32" x14ac:dyDescent="0.25">
      <c r="AB3731" t="str">
        <f t="shared" ref="AB3731:AC3731" si="3887">AB3710</f>
        <v>Loading Bay</v>
      </c>
      <c r="AC3731" t="str">
        <f t="shared" si="3887"/>
        <v>Lift 2</v>
      </c>
      <c r="AD3731" t="b">
        <f t="shared" ca="1" si="3833"/>
        <v>1</v>
      </c>
      <c r="AE3731" s="1" t="str">
        <f t="shared" ca="1" si="3854"/>
        <v>Garage 142-143</v>
      </c>
      <c r="AF3731" t="str">
        <f t="shared" ca="1" si="3831"/>
        <v>Garage 142-143</v>
      </c>
    </row>
    <row r="3732" spans="28:32" x14ac:dyDescent="0.25">
      <c r="AB3732" t="str">
        <f t="shared" ref="AB3732:AC3732" si="3888">AB3711</f>
        <v>Loading Bay</v>
      </c>
      <c r="AC3732" t="str">
        <f t="shared" si="3888"/>
        <v>Lift 3</v>
      </c>
      <c r="AD3732" t="b">
        <f t="shared" ca="1" si="3833"/>
        <v>1</v>
      </c>
      <c r="AE3732" s="1" t="str">
        <f t="shared" ca="1" si="3854"/>
        <v>Garage 142-143</v>
      </c>
      <c r="AF3732" t="str">
        <f t="shared" ca="1" si="3831"/>
        <v>Garage 142-143</v>
      </c>
    </row>
    <row r="3733" spans="28:32" x14ac:dyDescent="0.25">
      <c r="AB3733" t="str">
        <f t="shared" ref="AB3733:AC3733" si="3889">AB3712</f>
        <v>Loading Bay</v>
      </c>
      <c r="AC3733" t="str">
        <f t="shared" si="3889"/>
        <v>Lift 4</v>
      </c>
      <c r="AD3733" t="b">
        <f t="shared" ca="1" si="3833"/>
        <v>0</v>
      </c>
      <c r="AE3733" s="1" t="str">
        <f t="shared" ca="1" si="3854"/>
        <v>Garage 142-143</v>
      </c>
      <c r="AF3733" t="str">
        <f t="shared" ca="1" si="3831"/>
        <v>Garage 142-143</v>
      </c>
    </row>
    <row r="3734" spans="28:32" x14ac:dyDescent="0.25">
      <c r="AB3734" t="str">
        <f t="shared" ref="AB3734:AC3734" si="3890">AB3713</f>
        <v>Loading Bay</v>
      </c>
      <c r="AC3734" t="str">
        <f t="shared" si="3890"/>
        <v>Lift 5</v>
      </c>
      <c r="AD3734" t="b">
        <f t="shared" ca="1" si="3833"/>
        <v>0</v>
      </c>
      <c r="AE3734" s="1" t="str">
        <f t="shared" ca="1" si="3854"/>
        <v>Garage 142-143</v>
      </c>
      <c r="AF3734" t="str">
        <f t="shared" ca="1" si="3831"/>
        <v>Garage 142-143</v>
      </c>
    </row>
    <row r="3735" spans="28:32" x14ac:dyDescent="0.25">
      <c r="AB3735" t="str">
        <f t="shared" ref="AB3735:AC3735" si="3891">AB3714</f>
        <v>Loading Bay</v>
      </c>
      <c r="AC3735" t="str">
        <f t="shared" si="3891"/>
        <v>Lift 6</v>
      </c>
      <c r="AD3735" t="b">
        <f t="shared" ca="1" si="3833"/>
        <v>0</v>
      </c>
      <c r="AE3735" s="1" t="str">
        <f t="shared" ca="1" si="3854"/>
        <v>Garage 142-143</v>
      </c>
      <c r="AF3735" t="str">
        <f t="shared" ca="1" si="3831"/>
        <v>Garage 142-143</v>
      </c>
    </row>
    <row r="3736" spans="28:32" x14ac:dyDescent="0.25">
      <c r="AB3736" t="str">
        <f t="shared" ref="AB3736:AC3736" si="3892">AB3715</f>
        <v>Scaffolding Platform</v>
      </c>
      <c r="AC3736" t="str">
        <f t="shared" si="3892"/>
        <v>Ground Floor</v>
      </c>
      <c r="AD3736" t="b">
        <f t="shared" ca="1" si="3833"/>
        <v>1</v>
      </c>
      <c r="AE3736" s="1" t="str">
        <f t="shared" ca="1" si="3854"/>
        <v>Garage 142-143</v>
      </c>
      <c r="AF3736" t="str">
        <f t="shared" ca="1" si="3831"/>
        <v>Garage 142-143</v>
      </c>
    </row>
    <row r="3737" spans="28:32" x14ac:dyDescent="0.25">
      <c r="AB3737" t="str">
        <f t="shared" ref="AB3737:AC3737" si="3893">AB3716</f>
        <v>Scaffolding Platform</v>
      </c>
      <c r="AC3737" t="str">
        <f t="shared" si="3893"/>
        <v>First Floor</v>
      </c>
      <c r="AD3737" t="b">
        <f t="shared" ca="1" si="3833"/>
        <v>0</v>
      </c>
      <c r="AE3737" s="1" t="str">
        <f t="shared" ca="1" si="3854"/>
        <v>Garage 142-143</v>
      </c>
      <c r="AF3737" t="str">
        <f t="shared" ca="1" si="3831"/>
        <v>Garage 142-143</v>
      </c>
    </row>
    <row r="3738" spans="28:32" x14ac:dyDescent="0.25">
      <c r="AB3738" t="str">
        <f t="shared" ref="AB3738:AC3738" si="3894">AB3717</f>
        <v>Scaffolding Platform</v>
      </c>
      <c r="AC3738" t="str">
        <f t="shared" si="3894"/>
        <v>Second Floor</v>
      </c>
      <c r="AD3738" t="b">
        <f t="shared" ca="1" si="3833"/>
        <v>0</v>
      </c>
      <c r="AE3738" s="1" t="str">
        <f t="shared" ca="1" si="3854"/>
        <v>Garage 142-143</v>
      </c>
      <c r="AF3738" t="str">
        <f t="shared" ca="1" si="3831"/>
        <v>Garage 142-143</v>
      </c>
    </row>
    <row r="3739" spans="28:32" x14ac:dyDescent="0.25">
      <c r="AB3739" t="str">
        <f t="shared" ref="AB3739:AC3739" si="3895">AB3718</f>
        <v>Supporting Scaffold</v>
      </c>
      <c r="AC3739" t="str">
        <f t="shared" si="3895"/>
        <v>Ground Floor Prop.</v>
      </c>
      <c r="AD3739" t="str">
        <f t="shared" ca="1" si="3833"/>
        <v>FALSE</v>
      </c>
      <c r="AE3739" s="1" t="str">
        <f t="shared" ca="1" si="3854"/>
        <v>Garage 142-143</v>
      </c>
      <c r="AF3739" t="str">
        <f t="shared" ca="1" si="3831"/>
        <v>Garage 142-143</v>
      </c>
    </row>
    <row r="3740" spans="28:32" x14ac:dyDescent="0.25">
      <c r="AB3740" t="str">
        <f t="shared" ref="AB3740:AC3740" si="3896">AB3719</f>
        <v>Supporting Scaffold</v>
      </c>
      <c r="AC3740" t="str">
        <f t="shared" si="3896"/>
        <v>First Floor Prop.</v>
      </c>
      <c r="AD3740" t="str">
        <f t="shared" ca="1" si="3833"/>
        <v>FALSE</v>
      </c>
      <c r="AE3740" s="1" t="str">
        <f t="shared" ca="1" si="3854"/>
        <v>Garage 142-143</v>
      </c>
      <c r="AF3740" t="str">
        <f t="shared" ca="1" si="3831"/>
        <v>Garage 142-143</v>
      </c>
    </row>
    <row r="3741" spans="28:32" x14ac:dyDescent="0.25">
      <c r="AB3741" t="str">
        <f t="shared" ref="AB3741:AC3741" si="3897">AB3720</f>
        <v>Supporting Scaffold</v>
      </c>
      <c r="AC3741" t="str">
        <f t="shared" si="3897"/>
        <v>Second Floor Prop.</v>
      </c>
      <c r="AD3741" t="str">
        <f t="shared" ca="1" si="3833"/>
        <v>FALSE</v>
      </c>
      <c r="AE3741" s="1" t="str">
        <f t="shared" ca="1" si="3854"/>
        <v>Garage 142-143</v>
      </c>
      <c r="AF3741" t="str">
        <f t="shared" ref="AF3741:AF3804" ca="1" si="3898">IF(LEFT(AE3741,1)="G",AE3741,"Plot "&amp;AE3741)</f>
        <v>Garage 142-143</v>
      </c>
    </row>
    <row r="3742" spans="28:32" x14ac:dyDescent="0.25">
      <c r="AB3742" t="str">
        <f t="shared" ref="AB3742:AC3742" si="3899">AB3721</f>
        <v>External Scaffolding</v>
      </c>
      <c r="AC3742" t="str">
        <f t="shared" si="3899"/>
        <v>Hop-ups</v>
      </c>
      <c r="AD3742" t="b">
        <f t="shared" ref="AD3742:AD3805" ca="1" si="3900">INDEX($AC$1:$JH$22,MATCH(AC3742,$AC$1:$AC$22,0),MATCH(AE3742,$AC$1:$JH$1,0))</f>
        <v>1</v>
      </c>
      <c r="AE3742" s="1" t="str">
        <f t="shared" ca="1" si="3854"/>
        <v>Garage 142-143</v>
      </c>
      <c r="AF3742" t="str">
        <f t="shared" ca="1" si="3898"/>
        <v>Garage 142-143</v>
      </c>
    </row>
    <row r="3743" spans="28:32" x14ac:dyDescent="0.25">
      <c r="AB3743" t="str">
        <f t="shared" ref="AB3743:AC3743" si="3901">AB3722</f>
        <v>External Scaffolding</v>
      </c>
      <c r="AC3743" t="str">
        <f t="shared" si="3901"/>
        <v>Adaptions</v>
      </c>
      <c r="AD3743" t="b">
        <f t="shared" ca="1" si="3900"/>
        <v>1</v>
      </c>
      <c r="AE3743" s="1" t="str">
        <f t="shared" ca="1" si="3854"/>
        <v>Garage 142-143</v>
      </c>
      <c r="AF3743" t="str">
        <f t="shared" ca="1" si="3898"/>
        <v>Garage 142-143</v>
      </c>
    </row>
    <row r="3744" spans="28:32" x14ac:dyDescent="0.25">
      <c r="AB3744" t="str">
        <f t="shared" ref="AB3744:AC3744" si="3902">AB3723</f>
        <v>External Scaffolding</v>
      </c>
      <c r="AC3744" t="str">
        <f t="shared" si="3902"/>
        <v>Adaption Tower</v>
      </c>
      <c r="AD3744" t="b">
        <f t="shared" ca="1" si="3900"/>
        <v>1</v>
      </c>
      <c r="AE3744" s="1" t="str">
        <f t="shared" ca="1" si="3854"/>
        <v>Garage 142-143</v>
      </c>
      <c r="AF3744" t="str">
        <f t="shared" ca="1" si="3898"/>
        <v>Garage 142-143</v>
      </c>
    </row>
    <row r="3745" spans="28:32" x14ac:dyDescent="0.25">
      <c r="AB3745" t="str">
        <f t="shared" ref="AB3745:AC3745" si="3903">AB3724</f>
        <v>External Scaffolding</v>
      </c>
      <c r="AC3745" t="str">
        <f t="shared" si="3903"/>
        <v>Lift 1</v>
      </c>
      <c r="AD3745" t="b">
        <f t="shared" ca="1" si="3900"/>
        <v>1</v>
      </c>
      <c r="AE3745" s="1" t="str">
        <f t="shared" ca="1" si="3854"/>
        <v>Garage 144</v>
      </c>
      <c r="AF3745" t="str">
        <f t="shared" ca="1" si="3898"/>
        <v>Garage 144</v>
      </c>
    </row>
    <row r="3746" spans="28:32" x14ac:dyDescent="0.25">
      <c r="AB3746" t="str">
        <f t="shared" ref="AB3746:AC3746" si="3904">AB3725</f>
        <v>External Scaffolding</v>
      </c>
      <c r="AC3746" t="str">
        <f t="shared" si="3904"/>
        <v>Lift 2</v>
      </c>
      <c r="AD3746" t="b">
        <f t="shared" ca="1" si="3900"/>
        <v>1</v>
      </c>
      <c r="AE3746" s="1" t="str">
        <f t="shared" ca="1" si="3854"/>
        <v>Garage 144</v>
      </c>
      <c r="AF3746" t="str">
        <f t="shared" ca="1" si="3898"/>
        <v>Garage 144</v>
      </c>
    </row>
    <row r="3747" spans="28:32" x14ac:dyDescent="0.25">
      <c r="AB3747" t="str">
        <f t="shared" ref="AB3747:AC3747" si="3905">AB3726</f>
        <v>External Scaffolding</v>
      </c>
      <c r="AC3747" t="str">
        <f t="shared" si="3905"/>
        <v>Lift 3</v>
      </c>
      <c r="AD3747" t="b">
        <f t="shared" ca="1" si="3900"/>
        <v>1</v>
      </c>
      <c r="AE3747" s="1" t="str">
        <f t="shared" ca="1" si="3854"/>
        <v>Garage 144</v>
      </c>
      <c r="AF3747" t="str">
        <f t="shared" ca="1" si="3898"/>
        <v>Garage 144</v>
      </c>
    </row>
    <row r="3748" spans="28:32" x14ac:dyDescent="0.25">
      <c r="AB3748" t="str">
        <f t="shared" ref="AB3748:AC3748" si="3906">AB3727</f>
        <v>External Scaffolding</v>
      </c>
      <c r="AC3748" t="str">
        <f t="shared" si="3906"/>
        <v>Lift 4</v>
      </c>
      <c r="AD3748" t="b">
        <f t="shared" ca="1" si="3900"/>
        <v>0</v>
      </c>
      <c r="AE3748" s="1" t="str">
        <f t="shared" ca="1" si="3854"/>
        <v>Garage 144</v>
      </c>
      <c r="AF3748" t="str">
        <f t="shared" ca="1" si="3898"/>
        <v>Garage 144</v>
      </c>
    </row>
    <row r="3749" spans="28:32" x14ac:dyDescent="0.25">
      <c r="AB3749" t="str">
        <f t="shared" ref="AB3749:AC3749" si="3907">AB3728</f>
        <v>External Scaffolding</v>
      </c>
      <c r="AC3749" t="str">
        <f t="shared" si="3907"/>
        <v>Lift 5</v>
      </c>
      <c r="AD3749" t="b">
        <f t="shared" ca="1" si="3900"/>
        <v>0</v>
      </c>
      <c r="AE3749" s="1" t="str">
        <f t="shared" ca="1" si="3854"/>
        <v>Garage 144</v>
      </c>
      <c r="AF3749" t="str">
        <f t="shared" ca="1" si="3898"/>
        <v>Garage 144</v>
      </c>
    </row>
    <row r="3750" spans="28:32" x14ac:dyDescent="0.25">
      <c r="AB3750" t="str">
        <f t="shared" ref="AB3750:AC3750" si="3908">AB3729</f>
        <v>External Scaffolding</v>
      </c>
      <c r="AC3750" t="str">
        <f t="shared" si="3908"/>
        <v>Lift 6</v>
      </c>
      <c r="AD3750" t="b">
        <f t="shared" ca="1" si="3900"/>
        <v>0</v>
      </c>
      <c r="AE3750" s="1" t="str">
        <f t="shared" ca="1" si="3854"/>
        <v>Garage 144</v>
      </c>
      <c r="AF3750" t="str">
        <f t="shared" ca="1" si="3898"/>
        <v>Garage 144</v>
      </c>
    </row>
    <row r="3751" spans="28:32" x14ac:dyDescent="0.25">
      <c r="AB3751" t="str">
        <f t="shared" ref="AB3751:AC3751" si="3909">AB3730</f>
        <v>Loading Bay</v>
      </c>
      <c r="AC3751" t="str">
        <f t="shared" si="3909"/>
        <v>Lift 1</v>
      </c>
      <c r="AD3751" t="b">
        <f t="shared" ca="1" si="3900"/>
        <v>1</v>
      </c>
      <c r="AE3751" s="1" t="str">
        <f t="shared" ca="1" si="3854"/>
        <v>Garage 144</v>
      </c>
      <c r="AF3751" t="str">
        <f t="shared" ca="1" si="3898"/>
        <v>Garage 144</v>
      </c>
    </row>
    <row r="3752" spans="28:32" x14ac:dyDescent="0.25">
      <c r="AB3752" t="str">
        <f t="shared" ref="AB3752:AC3752" si="3910">AB3731</f>
        <v>Loading Bay</v>
      </c>
      <c r="AC3752" t="str">
        <f t="shared" si="3910"/>
        <v>Lift 2</v>
      </c>
      <c r="AD3752" t="b">
        <f t="shared" ca="1" si="3900"/>
        <v>1</v>
      </c>
      <c r="AE3752" s="1" t="str">
        <f t="shared" ca="1" si="3854"/>
        <v>Garage 144</v>
      </c>
      <c r="AF3752" t="str">
        <f t="shared" ca="1" si="3898"/>
        <v>Garage 144</v>
      </c>
    </row>
    <row r="3753" spans="28:32" x14ac:dyDescent="0.25">
      <c r="AB3753" t="str">
        <f t="shared" ref="AB3753:AC3753" si="3911">AB3732</f>
        <v>Loading Bay</v>
      </c>
      <c r="AC3753" t="str">
        <f t="shared" si="3911"/>
        <v>Lift 3</v>
      </c>
      <c r="AD3753" t="b">
        <f t="shared" ca="1" si="3900"/>
        <v>1</v>
      </c>
      <c r="AE3753" s="1" t="str">
        <f t="shared" ca="1" si="3854"/>
        <v>Garage 144</v>
      </c>
      <c r="AF3753" t="str">
        <f t="shared" ca="1" si="3898"/>
        <v>Garage 144</v>
      </c>
    </row>
    <row r="3754" spans="28:32" x14ac:dyDescent="0.25">
      <c r="AB3754" t="str">
        <f t="shared" ref="AB3754:AC3754" si="3912">AB3733</f>
        <v>Loading Bay</v>
      </c>
      <c r="AC3754" t="str">
        <f t="shared" si="3912"/>
        <v>Lift 4</v>
      </c>
      <c r="AD3754" t="b">
        <f t="shared" ca="1" si="3900"/>
        <v>0</v>
      </c>
      <c r="AE3754" s="1" t="str">
        <f t="shared" ca="1" si="3854"/>
        <v>Garage 144</v>
      </c>
      <c r="AF3754" t="str">
        <f t="shared" ca="1" si="3898"/>
        <v>Garage 144</v>
      </c>
    </row>
    <row r="3755" spans="28:32" x14ac:dyDescent="0.25">
      <c r="AB3755" t="str">
        <f t="shared" ref="AB3755:AC3755" si="3913">AB3734</f>
        <v>Loading Bay</v>
      </c>
      <c r="AC3755" t="str">
        <f t="shared" si="3913"/>
        <v>Lift 5</v>
      </c>
      <c r="AD3755" t="b">
        <f t="shared" ca="1" si="3900"/>
        <v>0</v>
      </c>
      <c r="AE3755" s="1" t="str">
        <f t="shared" ca="1" si="3854"/>
        <v>Garage 144</v>
      </c>
      <c r="AF3755" t="str">
        <f t="shared" ca="1" si="3898"/>
        <v>Garage 144</v>
      </c>
    </row>
    <row r="3756" spans="28:32" x14ac:dyDescent="0.25">
      <c r="AB3756" t="str">
        <f t="shared" ref="AB3756:AC3756" si="3914">AB3735</f>
        <v>Loading Bay</v>
      </c>
      <c r="AC3756" t="str">
        <f t="shared" si="3914"/>
        <v>Lift 6</v>
      </c>
      <c r="AD3756" t="b">
        <f t="shared" ca="1" si="3900"/>
        <v>0</v>
      </c>
      <c r="AE3756" s="1" t="str">
        <f t="shared" ca="1" si="3854"/>
        <v>Garage 144</v>
      </c>
      <c r="AF3756" t="str">
        <f t="shared" ca="1" si="3898"/>
        <v>Garage 144</v>
      </c>
    </row>
    <row r="3757" spans="28:32" x14ac:dyDescent="0.25">
      <c r="AB3757" t="str">
        <f t="shared" ref="AB3757:AC3757" si="3915">AB3736</f>
        <v>Scaffolding Platform</v>
      </c>
      <c r="AC3757" t="str">
        <f t="shared" si="3915"/>
        <v>Ground Floor</v>
      </c>
      <c r="AD3757" t="b">
        <f t="shared" ca="1" si="3900"/>
        <v>1</v>
      </c>
      <c r="AE3757" s="1" t="str">
        <f t="shared" ca="1" si="3854"/>
        <v>Garage 144</v>
      </c>
      <c r="AF3757" t="str">
        <f t="shared" ca="1" si="3898"/>
        <v>Garage 144</v>
      </c>
    </row>
    <row r="3758" spans="28:32" x14ac:dyDescent="0.25">
      <c r="AB3758" t="str">
        <f t="shared" ref="AB3758:AC3758" si="3916">AB3737</f>
        <v>Scaffolding Platform</v>
      </c>
      <c r="AC3758" t="str">
        <f t="shared" si="3916"/>
        <v>First Floor</v>
      </c>
      <c r="AD3758" t="b">
        <f t="shared" ca="1" si="3900"/>
        <v>0</v>
      </c>
      <c r="AE3758" s="1" t="str">
        <f t="shared" ca="1" si="3854"/>
        <v>Garage 144</v>
      </c>
      <c r="AF3758" t="str">
        <f t="shared" ca="1" si="3898"/>
        <v>Garage 144</v>
      </c>
    </row>
    <row r="3759" spans="28:32" x14ac:dyDescent="0.25">
      <c r="AB3759" t="str">
        <f t="shared" ref="AB3759:AC3759" si="3917">AB3738</f>
        <v>Scaffolding Platform</v>
      </c>
      <c r="AC3759" t="str">
        <f t="shared" si="3917"/>
        <v>Second Floor</v>
      </c>
      <c r="AD3759" t="b">
        <f t="shared" ca="1" si="3900"/>
        <v>0</v>
      </c>
      <c r="AE3759" s="1" t="str">
        <f t="shared" ca="1" si="3854"/>
        <v>Garage 144</v>
      </c>
      <c r="AF3759" t="str">
        <f t="shared" ca="1" si="3898"/>
        <v>Garage 144</v>
      </c>
    </row>
    <row r="3760" spans="28:32" x14ac:dyDescent="0.25">
      <c r="AB3760" t="str">
        <f t="shared" ref="AB3760:AC3760" si="3918">AB3739</f>
        <v>Supporting Scaffold</v>
      </c>
      <c r="AC3760" t="str">
        <f t="shared" si="3918"/>
        <v>Ground Floor Prop.</v>
      </c>
      <c r="AD3760" t="str">
        <f t="shared" ca="1" si="3900"/>
        <v>FALSE</v>
      </c>
      <c r="AE3760" s="1" t="str">
        <f t="shared" ca="1" si="3854"/>
        <v>Garage 144</v>
      </c>
      <c r="AF3760" t="str">
        <f t="shared" ca="1" si="3898"/>
        <v>Garage 144</v>
      </c>
    </row>
    <row r="3761" spans="28:32" x14ac:dyDescent="0.25">
      <c r="AB3761" t="str">
        <f t="shared" ref="AB3761:AC3761" si="3919">AB3740</f>
        <v>Supporting Scaffold</v>
      </c>
      <c r="AC3761" t="str">
        <f t="shared" si="3919"/>
        <v>First Floor Prop.</v>
      </c>
      <c r="AD3761" t="str">
        <f t="shared" ca="1" si="3900"/>
        <v>FALSE</v>
      </c>
      <c r="AE3761" s="1" t="str">
        <f t="shared" ca="1" si="3854"/>
        <v>Garage 144</v>
      </c>
      <c r="AF3761" t="str">
        <f t="shared" ca="1" si="3898"/>
        <v>Garage 144</v>
      </c>
    </row>
    <row r="3762" spans="28:32" x14ac:dyDescent="0.25">
      <c r="AB3762" t="str">
        <f t="shared" ref="AB3762:AC3762" si="3920">AB3741</f>
        <v>Supporting Scaffold</v>
      </c>
      <c r="AC3762" t="str">
        <f t="shared" si="3920"/>
        <v>Second Floor Prop.</v>
      </c>
      <c r="AD3762" t="str">
        <f t="shared" ca="1" si="3900"/>
        <v>FALSE</v>
      </c>
      <c r="AE3762" s="1" t="str">
        <f t="shared" ref="AE3762:AE3825" ca="1" si="3921">OFFSET($AD$1,0,FLOOR(ROW(B3734)/21,1))</f>
        <v>Garage 144</v>
      </c>
      <c r="AF3762" t="str">
        <f t="shared" ca="1" si="3898"/>
        <v>Garage 144</v>
      </c>
    </row>
    <row r="3763" spans="28:32" x14ac:dyDescent="0.25">
      <c r="AB3763" t="str">
        <f t="shared" ref="AB3763:AC3763" si="3922">AB3742</f>
        <v>External Scaffolding</v>
      </c>
      <c r="AC3763" t="str">
        <f t="shared" si="3922"/>
        <v>Hop-ups</v>
      </c>
      <c r="AD3763" t="b">
        <f t="shared" ca="1" si="3900"/>
        <v>1</v>
      </c>
      <c r="AE3763" s="1" t="str">
        <f t="shared" ca="1" si="3921"/>
        <v>Garage 144</v>
      </c>
      <c r="AF3763" t="str">
        <f t="shared" ca="1" si="3898"/>
        <v>Garage 144</v>
      </c>
    </row>
    <row r="3764" spans="28:32" x14ac:dyDescent="0.25">
      <c r="AB3764" t="str">
        <f t="shared" ref="AB3764:AC3764" si="3923">AB3743</f>
        <v>External Scaffolding</v>
      </c>
      <c r="AC3764" t="str">
        <f t="shared" si="3923"/>
        <v>Adaptions</v>
      </c>
      <c r="AD3764" t="b">
        <f t="shared" ca="1" si="3900"/>
        <v>1</v>
      </c>
      <c r="AE3764" s="1" t="str">
        <f t="shared" ca="1" si="3921"/>
        <v>Garage 144</v>
      </c>
      <c r="AF3764" t="str">
        <f t="shared" ca="1" si="3898"/>
        <v>Garage 144</v>
      </c>
    </row>
    <row r="3765" spans="28:32" x14ac:dyDescent="0.25">
      <c r="AB3765" t="str">
        <f t="shared" ref="AB3765:AC3765" si="3924">AB3744</f>
        <v>External Scaffolding</v>
      </c>
      <c r="AC3765" t="str">
        <f t="shared" si="3924"/>
        <v>Adaption Tower</v>
      </c>
      <c r="AD3765" t="b">
        <f t="shared" ca="1" si="3900"/>
        <v>1</v>
      </c>
      <c r="AE3765" s="1" t="str">
        <f t="shared" ca="1" si="3921"/>
        <v>Garage 144</v>
      </c>
      <c r="AF3765" t="str">
        <f t="shared" ca="1" si="3898"/>
        <v>Garage 144</v>
      </c>
    </row>
    <row r="3766" spans="28:32" x14ac:dyDescent="0.25">
      <c r="AB3766" t="str">
        <f t="shared" ref="AB3766:AC3766" si="3925">AB3745</f>
        <v>External Scaffolding</v>
      </c>
      <c r="AC3766" t="str">
        <f t="shared" si="3925"/>
        <v>Lift 1</v>
      </c>
      <c r="AD3766" t="b">
        <f t="shared" ca="1" si="3900"/>
        <v>1</v>
      </c>
      <c r="AE3766" s="1" t="str">
        <f t="shared" ca="1" si="3921"/>
        <v>Garage 145-146</v>
      </c>
      <c r="AF3766" t="str">
        <f t="shared" ca="1" si="3898"/>
        <v>Garage 145-146</v>
      </c>
    </row>
    <row r="3767" spans="28:32" x14ac:dyDescent="0.25">
      <c r="AB3767" t="str">
        <f t="shared" ref="AB3767:AC3767" si="3926">AB3746</f>
        <v>External Scaffolding</v>
      </c>
      <c r="AC3767" t="str">
        <f t="shared" si="3926"/>
        <v>Lift 2</v>
      </c>
      <c r="AD3767" t="b">
        <f t="shared" ca="1" si="3900"/>
        <v>1</v>
      </c>
      <c r="AE3767" s="1" t="str">
        <f t="shared" ca="1" si="3921"/>
        <v>Garage 145-146</v>
      </c>
      <c r="AF3767" t="str">
        <f t="shared" ca="1" si="3898"/>
        <v>Garage 145-146</v>
      </c>
    </row>
    <row r="3768" spans="28:32" x14ac:dyDescent="0.25">
      <c r="AB3768" t="str">
        <f t="shared" ref="AB3768:AC3768" si="3927">AB3747</f>
        <v>External Scaffolding</v>
      </c>
      <c r="AC3768" t="str">
        <f t="shared" si="3927"/>
        <v>Lift 3</v>
      </c>
      <c r="AD3768" t="b">
        <f t="shared" ca="1" si="3900"/>
        <v>1</v>
      </c>
      <c r="AE3768" s="1" t="str">
        <f t="shared" ca="1" si="3921"/>
        <v>Garage 145-146</v>
      </c>
      <c r="AF3768" t="str">
        <f t="shared" ca="1" si="3898"/>
        <v>Garage 145-146</v>
      </c>
    </row>
    <row r="3769" spans="28:32" x14ac:dyDescent="0.25">
      <c r="AB3769" t="str">
        <f t="shared" ref="AB3769:AC3769" si="3928">AB3748</f>
        <v>External Scaffolding</v>
      </c>
      <c r="AC3769" t="str">
        <f t="shared" si="3928"/>
        <v>Lift 4</v>
      </c>
      <c r="AD3769" t="b">
        <f t="shared" ca="1" si="3900"/>
        <v>0</v>
      </c>
      <c r="AE3769" s="1" t="str">
        <f t="shared" ca="1" si="3921"/>
        <v>Garage 145-146</v>
      </c>
      <c r="AF3769" t="str">
        <f t="shared" ca="1" si="3898"/>
        <v>Garage 145-146</v>
      </c>
    </row>
    <row r="3770" spans="28:32" x14ac:dyDescent="0.25">
      <c r="AB3770" t="str">
        <f t="shared" ref="AB3770:AC3770" si="3929">AB3749</f>
        <v>External Scaffolding</v>
      </c>
      <c r="AC3770" t="str">
        <f t="shared" si="3929"/>
        <v>Lift 5</v>
      </c>
      <c r="AD3770" t="b">
        <f t="shared" ca="1" si="3900"/>
        <v>0</v>
      </c>
      <c r="AE3770" s="1" t="str">
        <f t="shared" ca="1" si="3921"/>
        <v>Garage 145-146</v>
      </c>
      <c r="AF3770" t="str">
        <f t="shared" ca="1" si="3898"/>
        <v>Garage 145-146</v>
      </c>
    </row>
    <row r="3771" spans="28:32" x14ac:dyDescent="0.25">
      <c r="AB3771" t="str">
        <f t="shared" ref="AB3771:AC3771" si="3930">AB3750</f>
        <v>External Scaffolding</v>
      </c>
      <c r="AC3771" t="str">
        <f t="shared" si="3930"/>
        <v>Lift 6</v>
      </c>
      <c r="AD3771" t="b">
        <f t="shared" ca="1" si="3900"/>
        <v>0</v>
      </c>
      <c r="AE3771" s="1" t="str">
        <f t="shared" ca="1" si="3921"/>
        <v>Garage 145-146</v>
      </c>
      <c r="AF3771" t="str">
        <f t="shared" ca="1" si="3898"/>
        <v>Garage 145-146</v>
      </c>
    </row>
    <row r="3772" spans="28:32" x14ac:dyDescent="0.25">
      <c r="AB3772" t="str">
        <f t="shared" ref="AB3772:AC3772" si="3931">AB3751</f>
        <v>Loading Bay</v>
      </c>
      <c r="AC3772" t="str">
        <f t="shared" si="3931"/>
        <v>Lift 1</v>
      </c>
      <c r="AD3772" t="b">
        <f t="shared" ca="1" si="3900"/>
        <v>1</v>
      </c>
      <c r="AE3772" s="1" t="str">
        <f t="shared" ca="1" si="3921"/>
        <v>Garage 145-146</v>
      </c>
      <c r="AF3772" t="str">
        <f t="shared" ca="1" si="3898"/>
        <v>Garage 145-146</v>
      </c>
    </row>
    <row r="3773" spans="28:32" x14ac:dyDescent="0.25">
      <c r="AB3773" t="str">
        <f t="shared" ref="AB3773:AC3773" si="3932">AB3752</f>
        <v>Loading Bay</v>
      </c>
      <c r="AC3773" t="str">
        <f t="shared" si="3932"/>
        <v>Lift 2</v>
      </c>
      <c r="AD3773" t="b">
        <f t="shared" ca="1" si="3900"/>
        <v>1</v>
      </c>
      <c r="AE3773" s="1" t="str">
        <f t="shared" ca="1" si="3921"/>
        <v>Garage 145-146</v>
      </c>
      <c r="AF3773" t="str">
        <f t="shared" ca="1" si="3898"/>
        <v>Garage 145-146</v>
      </c>
    </row>
    <row r="3774" spans="28:32" x14ac:dyDescent="0.25">
      <c r="AB3774" t="str">
        <f t="shared" ref="AB3774:AC3774" si="3933">AB3753</f>
        <v>Loading Bay</v>
      </c>
      <c r="AC3774" t="str">
        <f t="shared" si="3933"/>
        <v>Lift 3</v>
      </c>
      <c r="AD3774" t="b">
        <f t="shared" ca="1" si="3900"/>
        <v>1</v>
      </c>
      <c r="AE3774" s="1" t="str">
        <f t="shared" ca="1" si="3921"/>
        <v>Garage 145-146</v>
      </c>
      <c r="AF3774" t="str">
        <f t="shared" ca="1" si="3898"/>
        <v>Garage 145-146</v>
      </c>
    </row>
    <row r="3775" spans="28:32" x14ac:dyDescent="0.25">
      <c r="AB3775" t="str">
        <f t="shared" ref="AB3775:AC3775" si="3934">AB3754</f>
        <v>Loading Bay</v>
      </c>
      <c r="AC3775" t="str">
        <f t="shared" si="3934"/>
        <v>Lift 4</v>
      </c>
      <c r="AD3775" t="b">
        <f t="shared" ca="1" si="3900"/>
        <v>0</v>
      </c>
      <c r="AE3775" s="1" t="str">
        <f t="shared" ca="1" si="3921"/>
        <v>Garage 145-146</v>
      </c>
      <c r="AF3775" t="str">
        <f t="shared" ca="1" si="3898"/>
        <v>Garage 145-146</v>
      </c>
    </row>
    <row r="3776" spans="28:32" x14ac:dyDescent="0.25">
      <c r="AB3776" t="str">
        <f t="shared" ref="AB3776:AC3776" si="3935">AB3755</f>
        <v>Loading Bay</v>
      </c>
      <c r="AC3776" t="str">
        <f t="shared" si="3935"/>
        <v>Lift 5</v>
      </c>
      <c r="AD3776" t="b">
        <f t="shared" ca="1" si="3900"/>
        <v>0</v>
      </c>
      <c r="AE3776" s="1" t="str">
        <f t="shared" ca="1" si="3921"/>
        <v>Garage 145-146</v>
      </c>
      <c r="AF3776" t="str">
        <f t="shared" ca="1" si="3898"/>
        <v>Garage 145-146</v>
      </c>
    </row>
    <row r="3777" spans="28:32" x14ac:dyDescent="0.25">
      <c r="AB3777" t="str">
        <f t="shared" ref="AB3777:AC3777" si="3936">AB3756</f>
        <v>Loading Bay</v>
      </c>
      <c r="AC3777" t="str">
        <f t="shared" si="3936"/>
        <v>Lift 6</v>
      </c>
      <c r="AD3777" t="b">
        <f t="shared" ca="1" si="3900"/>
        <v>0</v>
      </c>
      <c r="AE3777" s="1" t="str">
        <f t="shared" ca="1" si="3921"/>
        <v>Garage 145-146</v>
      </c>
      <c r="AF3777" t="str">
        <f t="shared" ca="1" si="3898"/>
        <v>Garage 145-146</v>
      </c>
    </row>
    <row r="3778" spans="28:32" x14ac:dyDescent="0.25">
      <c r="AB3778" t="str">
        <f t="shared" ref="AB3778:AC3778" si="3937">AB3757</f>
        <v>Scaffolding Platform</v>
      </c>
      <c r="AC3778" t="str">
        <f t="shared" si="3937"/>
        <v>Ground Floor</v>
      </c>
      <c r="AD3778" t="b">
        <f t="shared" ca="1" si="3900"/>
        <v>1</v>
      </c>
      <c r="AE3778" s="1" t="str">
        <f t="shared" ca="1" si="3921"/>
        <v>Garage 145-146</v>
      </c>
      <c r="AF3778" t="str">
        <f t="shared" ca="1" si="3898"/>
        <v>Garage 145-146</v>
      </c>
    </row>
    <row r="3779" spans="28:32" x14ac:dyDescent="0.25">
      <c r="AB3779" t="str">
        <f t="shared" ref="AB3779:AC3779" si="3938">AB3758</f>
        <v>Scaffolding Platform</v>
      </c>
      <c r="AC3779" t="str">
        <f t="shared" si="3938"/>
        <v>First Floor</v>
      </c>
      <c r="AD3779" t="b">
        <f t="shared" ca="1" si="3900"/>
        <v>0</v>
      </c>
      <c r="AE3779" s="1" t="str">
        <f t="shared" ca="1" si="3921"/>
        <v>Garage 145-146</v>
      </c>
      <c r="AF3779" t="str">
        <f t="shared" ca="1" si="3898"/>
        <v>Garage 145-146</v>
      </c>
    </row>
    <row r="3780" spans="28:32" x14ac:dyDescent="0.25">
      <c r="AB3780" t="str">
        <f t="shared" ref="AB3780:AC3780" si="3939">AB3759</f>
        <v>Scaffolding Platform</v>
      </c>
      <c r="AC3780" t="str">
        <f t="shared" si="3939"/>
        <v>Second Floor</v>
      </c>
      <c r="AD3780" t="b">
        <f t="shared" ca="1" si="3900"/>
        <v>0</v>
      </c>
      <c r="AE3780" s="1" t="str">
        <f t="shared" ca="1" si="3921"/>
        <v>Garage 145-146</v>
      </c>
      <c r="AF3780" t="str">
        <f t="shared" ca="1" si="3898"/>
        <v>Garage 145-146</v>
      </c>
    </row>
    <row r="3781" spans="28:32" x14ac:dyDescent="0.25">
      <c r="AB3781" t="str">
        <f t="shared" ref="AB3781:AC3781" si="3940">AB3760</f>
        <v>Supporting Scaffold</v>
      </c>
      <c r="AC3781" t="str">
        <f t="shared" si="3940"/>
        <v>Ground Floor Prop.</v>
      </c>
      <c r="AD3781" t="str">
        <f t="shared" ca="1" si="3900"/>
        <v>FALSE</v>
      </c>
      <c r="AE3781" s="1" t="str">
        <f t="shared" ca="1" si="3921"/>
        <v>Garage 145-146</v>
      </c>
      <c r="AF3781" t="str">
        <f t="shared" ca="1" si="3898"/>
        <v>Garage 145-146</v>
      </c>
    </row>
    <row r="3782" spans="28:32" x14ac:dyDescent="0.25">
      <c r="AB3782" t="str">
        <f t="shared" ref="AB3782:AC3782" si="3941">AB3761</f>
        <v>Supporting Scaffold</v>
      </c>
      <c r="AC3782" t="str">
        <f t="shared" si="3941"/>
        <v>First Floor Prop.</v>
      </c>
      <c r="AD3782" t="str">
        <f t="shared" ca="1" si="3900"/>
        <v>FALSE</v>
      </c>
      <c r="AE3782" s="1" t="str">
        <f t="shared" ca="1" si="3921"/>
        <v>Garage 145-146</v>
      </c>
      <c r="AF3782" t="str">
        <f t="shared" ca="1" si="3898"/>
        <v>Garage 145-146</v>
      </c>
    </row>
    <row r="3783" spans="28:32" x14ac:dyDescent="0.25">
      <c r="AB3783" t="str">
        <f t="shared" ref="AB3783:AC3783" si="3942">AB3762</f>
        <v>Supporting Scaffold</v>
      </c>
      <c r="AC3783" t="str">
        <f t="shared" si="3942"/>
        <v>Second Floor Prop.</v>
      </c>
      <c r="AD3783" t="str">
        <f t="shared" ca="1" si="3900"/>
        <v>FALSE</v>
      </c>
      <c r="AE3783" s="1" t="str">
        <f t="shared" ca="1" si="3921"/>
        <v>Garage 145-146</v>
      </c>
      <c r="AF3783" t="str">
        <f t="shared" ca="1" si="3898"/>
        <v>Garage 145-146</v>
      </c>
    </row>
    <row r="3784" spans="28:32" x14ac:dyDescent="0.25">
      <c r="AB3784" t="str">
        <f t="shared" ref="AB3784:AC3784" si="3943">AB3763</f>
        <v>External Scaffolding</v>
      </c>
      <c r="AC3784" t="str">
        <f t="shared" si="3943"/>
        <v>Hop-ups</v>
      </c>
      <c r="AD3784" t="b">
        <f t="shared" ca="1" si="3900"/>
        <v>1</v>
      </c>
      <c r="AE3784" s="1" t="str">
        <f t="shared" ca="1" si="3921"/>
        <v>Garage 145-146</v>
      </c>
      <c r="AF3784" t="str">
        <f t="shared" ca="1" si="3898"/>
        <v>Garage 145-146</v>
      </c>
    </row>
    <row r="3785" spans="28:32" x14ac:dyDescent="0.25">
      <c r="AB3785" t="str">
        <f t="shared" ref="AB3785:AC3785" si="3944">AB3764</f>
        <v>External Scaffolding</v>
      </c>
      <c r="AC3785" t="str">
        <f t="shared" si="3944"/>
        <v>Adaptions</v>
      </c>
      <c r="AD3785" t="b">
        <f t="shared" ca="1" si="3900"/>
        <v>1</v>
      </c>
      <c r="AE3785" s="1" t="str">
        <f t="shared" ca="1" si="3921"/>
        <v>Garage 145-146</v>
      </c>
      <c r="AF3785" t="str">
        <f t="shared" ca="1" si="3898"/>
        <v>Garage 145-146</v>
      </c>
    </row>
    <row r="3786" spans="28:32" x14ac:dyDescent="0.25">
      <c r="AB3786" t="str">
        <f t="shared" ref="AB3786:AC3786" si="3945">AB3765</f>
        <v>External Scaffolding</v>
      </c>
      <c r="AC3786" t="str">
        <f t="shared" si="3945"/>
        <v>Adaption Tower</v>
      </c>
      <c r="AD3786" t="b">
        <f t="shared" ca="1" si="3900"/>
        <v>1</v>
      </c>
      <c r="AE3786" s="1" t="str">
        <f t="shared" ca="1" si="3921"/>
        <v>Garage 145-146</v>
      </c>
      <c r="AF3786" t="str">
        <f t="shared" ca="1" si="3898"/>
        <v>Garage 145-146</v>
      </c>
    </row>
    <row r="3787" spans="28:32" x14ac:dyDescent="0.25">
      <c r="AB3787" t="str">
        <f t="shared" ref="AB3787:AC3787" si="3946">AB3766</f>
        <v>External Scaffolding</v>
      </c>
      <c r="AC3787" t="str">
        <f t="shared" si="3946"/>
        <v>Lift 1</v>
      </c>
      <c r="AD3787" t="b">
        <f t="shared" ca="1" si="3900"/>
        <v>1</v>
      </c>
      <c r="AE3787" s="1" t="str">
        <f t="shared" ca="1" si="3921"/>
        <v>Garage 147</v>
      </c>
      <c r="AF3787" t="str">
        <f t="shared" ca="1" si="3898"/>
        <v>Garage 147</v>
      </c>
    </row>
    <row r="3788" spans="28:32" x14ac:dyDescent="0.25">
      <c r="AB3788" t="str">
        <f t="shared" ref="AB3788:AC3788" si="3947">AB3767</f>
        <v>External Scaffolding</v>
      </c>
      <c r="AC3788" t="str">
        <f t="shared" si="3947"/>
        <v>Lift 2</v>
      </c>
      <c r="AD3788" t="b">
        <f t="shared" ca="1" si="3900"/>
        <v>1</v>
      </c>
      <c r="AE3788" s="1" t="str">
        <f t="shared" ca="1" si="3921"/>
        <v>Garage 147</v>
      </c>
      <c r="AF3788" t="str">
        <f t="shared" ca="1" si="3898"/>
        <v>Garage 147</v>
      </c>
    </row>
    <row r="3789" spans="28:32" x14ac:dyDescent="0.25">
      <c r="AB3789" t="str">
        <f t="shared" ref="AB3789:AC3789" si="3948">AB3768</f>
        <v>External Scaffolding</v>
      </c>
      <c r="AC3789" t="str">
        <f t="shared" si="3948"/>
        <v>Lift 3</v>
      </c>
      <c r="AD3789" t="b">
        <f t="shared" ca="1" si="3900"/>
        <v>1</v>
      </c>
      <c r="AE3789" s="1" t="str">
        <f t="shared" ca="1" si="3921"/>
        <v>Garage 147</v>
      </c>
      <c r="AF3789" t="str">
        <f t="shared" ca="1" si="3898"/>
        <v>Garage 147</v>
      </c>
    </row>
    <row r="3790" spans="28:32" x14ac:dyDescent="0.25">
      <c r="AB3790" t="str">
        <f t="shared" ref="AB3790:AC3790" si="3949">AB3769</f>
        <v>External Scaffolding</v>
      </c>
      <c r="AC3790" t="str">
        <f t="shared" si="3949"/>
        <v>Lift 4</v>
      </c>
      <c r="AD3790" t="b">
        <f t="shared" ca="1" si="3900"/>
        <v>0</v>
      </c>
      <c r="AE3790" s="1" t="str">
        <f t="shared" ca="1" si="3921"/>
        <v>Garage 147</v>
      </c>
      <c r="AF3790" t="str">
        <f t="shared" ca="1" si="3898"/>
        <v>Garage 147</v>
      </c>
    </row>
    <row r="3791" spans="28:32" x14ac:dyDescent="0.25">
      <c r="AB3791" t="str">
        <f t="shared" ref="AB3791:AC3791" si="3950">AB3770</f>
        <v>External Scaffolding</v>
      </c>
      <c r="AC3791" t="str">
        <f t="shared" si="3950"/>
        <v>Lift 5</v>
      </c>
      <c r="AD3791" t="b">
        <f t="shared" ca="1" si="3900"/>
        <v>0</v>
      </c>
      <c r="AE3791" s="1" t="str">
        <f t="shared" ca="1" si="3921"/>
        <v>Garage 147</v>
      </c>
      <c r="AF3791" t="str">
        <f t="shared" ca="1" si="3898"/>
        <v>Garage 147</v>
      </c>
    </row>
    <row r="3792" spans="28:32" x14ac:dyDescent="0.25">
      <c r="AB3792" t="str">
        <f t="shared" ref="AB3792:AC3792" si="3951">AB3771</f>
        <v>External Scaffolding</v>
      </c>
      <c r="AC3792" t="str">
        <f t="shared" si="3951"/>
        <v>Lift 6</v>
      </c>
      <c r="AD3792" t="b">
        <f t="shared" ca="1" si="3900"/>
        <v>0</v>
      </c>
      <c r="AE3792" s="1" t="str">
        <f t="shared" ca="1" si="3921"/>
        <v>Garage 147</v>
      </c>
      <c r="AF3792" t="str">
        <f t="shared" ca="1" si="3898"/>
        <v>Garage 147</v>
      </c>
    </row>
    <row r="3793" spans="28:32" x14ac:dyDescent="0.25">
      <c r="AB3793" t="str">
        <f t="shared" ref="AB3793:AC3793" si="3952">AB3772</f>
        <v>Loading Bay</v>
      </c>
      <c r="AC3793" t="str">
        <f t="shared" si="3952"/>
        <v>Lift 1</v>
      </c>
      <c r="AD3793" t="b">
        <f t="shared" ca="1" si="3900"/>
        <v>1</v>
      </c>
      <c r="AE3793" s="1" t="str">
        <f t="shared" ca="1" si="3921"/>
        <v>Garage 147</v>
      </c>
      <c r="AF3793" t="str">
        <f t="shared" ca="1" si="3898"/>
        <v>Garage 147</v>
      </c>
    </row>
    <row r="3794" spans="28:32" x14ac:dyDescent="0.25">
      <c r="AB3794" t="str">
        <f t="shared" ref="AB3794:AC3794" si="3953">AB3773</f>
        <v>Loading Bay</v>
      </c>
      <c r="AC3794" t="str">
        <f t="shared" si="3953"/>
        <v>Lift 2</v>
      </c>
      <c r="AD3794" t="b">
        <f t="shared" ca="1" si="3900"/>
        <v>1</v>
      </c>
      <c r="AE3794" s="1" t="str">
        <f t="shared" ca="1" si="3921"/>
        <v>Garage 147</v>
      </c>
      <c r="AF3794" t="str">
        <f t="shared" ca="1" si="3898"/>
        <v>Garage 147</v>
      </c>
    </row>
    <row r="3795" spans="28:32" x14ac:dyDescent="0.25">
      <c r="AB3795" t="str">
        <f t="shared" ref="AB3795:AC3795" si="3954">AB3774</f>
        <v>Loading Bay</v>
      </c>
      <c r="AC3795" t="str">
        <f t="shared" si="3954"/>
        <v>Lift 3</v>
      </c>
      <c r="AD3795" t="b">
        <f t="shared" ca="1" si="3900"/>
        <v>1</v>
      </c>
      <c r="AE3795" s="1" t="str">
        <f t="shared" ca="1" si="3921"/>
        <v>Garage 147</v>
      </c>
      <c r="AF3795" t="str">
        <f t="shared" ca="1" si="3898"/>
        <v>Garage 147</v>
      </c>
    </row>
    <row r="3796" spans="28:32" x14ac:dyDescent="0.25">
      <c r="AB3796" t="str">
        <f t="shared" ref="AB3796:AC3796" si="3955">AB3775</f>
        <v>Loading Bay</v>
      </c>
      <c r="AC3796" t="str">
        <f t="shared" si="3955"/>
        <v>Lift 4</v>
      </c>
      <c r="AD3796" t="b">
        <f t="shared" ca="1" si="3900"/>
        <v>0</v>
      </c>
      <c r="AE3796" s="1" t="str">
        <f t="shared" ca="1" si="3921"/>
        <v>Garage 147</v>
      </c>
      <c r="AF3796" t="str">
        <f t="shared" ca="1" si="3898"/>
        <v>Garage 147</v>
      </c>
    </row>
    <row r="3797" spans="28:32" x14ac:dyDescent="0.25">
      <c r="AB3797" t="str">
        <f t="shared" ref="AB3797:AC3797" si="3956">AB3776</f>
        <v>Loading Bay</v>
      </c>
      <c r="AC3797" t="str">
        <f t="shared" si="3956"/>
        <v>Lift 5</v>
      </c>
      <c r="AD3797" t="b">
        <f t="shared" ca="1" si="3900"/>
        <v>0</v>
      </c>
      <c r="AE3797" s="1" t="str">
        <f t="shared" ca="1" si="3921"/>
        <v>Garage 147</v>
      </c>
      <c r="AF3797" t="str">
        <f t="shared" ca="1" si="3898"/>
        <v>Garage 147</v>
      </c>
    </row>
    <row r="3798" spans="28:32" x14ac:dyDescent="0.25">
      <c r="AB3798" t="str">
        <f t="shared" ref="AB3798:AC3798" si="3957">AB3777</f>
        <v>Loading Bay</v>
      </c>
      <c r="AC3798" t="str">
        <f t="shared" si="3957"/>
        <v>Lift 6</v>
      </c>
      <c r="AD3798" t="b">
        <f t="shared" ca="1" si="3900"/>
        <v>0</v>
      </c>
      <c r="AE3798" s="1" t="str">
        <f t="shared" ca="1" si="3921"/>
        <v>Garage 147</v>
      </c>
      <c r="AF3798" t="str">
        <f t="shared" ca="1" si="3898"/>
        <v>Garage 147</v>
      </c>
    </row>
    <row r="3799" spans="28:32" x14ac:dyDescent="0.25">
      <c r="AB3799" t="str">
        <f t="shared" ref="AB3799:AC3799" si="3958">AB3778</f>
        <v>Scaffolding Platform</v>
      </c>
      <c r="AC3799" t="str">
        <f t="shared" si="3958"/>
        <v>Ground Floor</v>
      </c>
      <c r="AD3799" t="b">
        <f t="shared" ca="1" si="3900"/>
        <v>1</v>
      </c>
      <c r="AE3799" s="1" t="str">
        <f t="shared" ca="1" si="3921"/>
        <v>Garage 147</v>
      </c>
      <c r="AF3799" t="str">
        <f t="shared" ca="1" si="3898"/>
        <v>Garage 147</v>
      </c>
    </row>
    <row r="3800" spans="28:32" x14ac:dyDescent="0.25">
      <c r="AB3800" t="str">
        <f t="shared" ref="AB3800:AC3800" si="3959">AB3779</f>
        <v>Scaffolding Platform</v>
      </c>
      <c r="AC3800" t="str">
        <f t="shared" si="3959"/>
        <v>First Floor</v>
      </c>
      <c r="AD3800" t="b">
        <f t="shared" ca="1" si="3900"/>
        <v>0</v>
      </c>
      <c r="AE3800" s="1" t="str">
        <f t="shared" ca="1" si="3921"/>
        <v>Garage 147</v>
      </c>
      <c r="AF3800" t="str">
        <f t="shared" ca="1" si="3898"/>
        <v>Garage 147</v>
      </c>
    </row>
    <row r="3801" spans="28:32" x14ac:dyDescent="0.25">
      <c r="AB3801" t="str">
        <f t="shared" ref="AB3801:AC3801" si="3960">AB3780</f>
        <v>Scaffolding Platform</v>
      </c>
      <c r="AC3801" t="str">
        <f t="shared" si="3960"/>
        <v>Second Floor</v>
      </c>
      <c r="AD3801" t="b">
        <f t="shared" ca="1" si="3900"/>
        <v>0</v>
      </c>
      <c r="AE3801" s="1" t="str">
        <f t="shared" ca="1" si="3921"/>
        <v>Garage 147</v>
      </c>
      <c r="AF3801" t="str">
        <f t="shared" ca="1" si="3898"/>
        <v>Garage 147</v>
      </c>
    </row>
    <row r="3802" spans="28:32" x14ac:dyDescent="0.25">
      <c r="AB3802" t="str">
        <f t="shared" ref="AB3802:AC3802" si="3961">AB3781</f>
        <v>Supporting Scaffold</v>
      </c>
      <c r="AC3802" t="str">
        <f t="shared" si="3961"/>
        <v>Ground Floor Prop.</v>
      </c>
      <c r="AD3802" t="str">
        <f t="shared" ca="1" si="3900"/>
        <v>FALSE</v>
      </c>
      <c r="AE3802" s="1" t="str">
        <f t="shared" ca="1" si="3921"/>
        <v>Garage 147</v>
      </c>
      <c r="AF3802" t="str">
        <f t="shared" ca="1" si="3898"/>
        <v>Garage 147</v>
      </c>
    </row>
    <row r="3803" spans="28:32" x14ac:dyDescent="0.25">
      <c r="AB3803" t="str">
        <f t="shared" ref="AB3803:AC3803" si="3962">AB3782</f>
        <v>Supporting Scaffold</v>
      </c>
      <c r="AC3803" t="str">
        <f t="shared" si="3962"/>
        <v>First Floor Prop.</v>
      </c>
      <c r="AD3803" t="str">
        <f t="shared" ca="1" si="3900"/>
        <v>FALSE</v>
      </c>
      <c r="AE3803" s="1" t="str">
        <f t="shared" ca="1" si="3921"/>
        <v>Garage 147</v>
      </c>
      <c r="AF3803" t="str">
        <f t="shared" ca="1" si="3898"/>
        <v>Garage 147</v>
      </c>
    </row>
    <row r="3804" spans="28:32" x14ac:dyDescent="0.25">
      <c r="AB3804" t="str">
        <f t="shared" ref="AB3804:AC3804" si="3963">AB3783</f>
        <v>Supporting Scaffold</v>
      </c>
      <c r="AC3804" t="str">
        <f t="shared" si="3963"/>
        <v>Second Floor Prop.</v>
      </c>
      <c r="AD3804" t="str">
        <f t="shared" ca="1" si="3900"/>
        <v>FALSE</v>
      </c>
      <c r="AE3804" s="1" t="str">
        <f t="shared" ca="1" si="3921"/>
        <v>Garage 147</v>
      </c>
      <c r="AF3804" t="str">
        <f t="shared" ca="1" si="3898"/>
        <v>Garage 147</v>
      </c>
    </row>
    <row r="3805" spans="28:32" x14ac:dyDescent="0.25">
      <c r="AB3805" t="str">
        <f t="shared" ref="AB3805:AC3805" si="3964">AB3784</f>
        <v>External Scaffolding</v>
      </c>
      <c r="AC3805" t="str">
        <f t="shared" si="3964"/>
        <v>Hop-ups</v>
      </c>
      <c r="AD3805" t="b">
        <f t="shared" ca="1" si="3900"/>
        <v>1</v>
      </c>
      <c r="AE3805" s="1" t="str">
        <f t="shared" ca="1" si="3921"/>
        <v>Garage 147</v>
      </c>
      <c r="AF3805" t="str">
        <f t="shared" ref="AF3805:AF3868" ca="1" si="3965">IF(LEFT(AE3805,1)="G",AE3805,"Plot "&amp;AE3805)</f>
        <v>Garage 147</v>
      </c>
    </row>
    <row r="3806" spans="28:32" x14ac:dyDescent="0.25">
      <c r="AB3806" t="str">
        <f t="shared" ref="AB3806:AC3806" si="3966">AB3785</f>
        <v>External Scaffolding</v>
      </c>
      <c r="AC3806" t="str">
        <f t="shared" si="3966"/>
        <v>Adaptions</v>
      </c>
      <c r="AD3806" t="b">
        <f t="shared" ref="AD3806:AD3869" ca="1" si="3967">INDEX($AC$1:$JH$22,MATCH(AC3806,$AC$1:$AC$22,0),MATCH(AE3806,$AC$1:$JH$1,0))</f>
        <v>1</v>
      </c>
      <c r="AE3806" s="1" t="str">
        <f t="shared" ca="1" si="3921"/>
        <v>Garage 147</v>
      </c>
      <c r="AF3806" t="str">
        <f t="shared" ca="1" si="3965"/>
        <v>Garage 147</v>
      </c>
    </row>
    <row r="3807" spans="28:32" x14ac:dyDescent="0.25">
      <c r="AB3807" t="str">
        <f t="shared" ref="AB3807:AC3807" si="3968">AB3786</f>
        <v>External Scaffolding</v>
      </c>
      <c r="AC3807" t="str">
        <f t="shared" si="3968"/>
        <v>Adaption Tower</v>
      </c>
      <c r="AD3807" t="b">
        <f t="shared" ca="1" si="3967"/>
        <v>1</v>
      </c>
      <c r="AE3807" s="1" t="str">
        <f t="shared" ca="1" si="3921"/>
        <v>Garage 147</v>
      </c>
      <c r="AF3807" t="str">
        <f t="shared" ca="1" si="3965"/>
        <v>Garage 147</v>
      </c>
    </row>
    <row r="3808" spans="28:32" x14ac:dyDescent="0.25">
      <c r="AB3808" t="str">
        <f t="shared" ref="AB3808:AC3808" si="3969">AB3787</f>
        <v>External Scaffolding</v>
      </c>
      <c r="AC3808" t="str">
        <f t="shared" si="3969"/>
        <v>Lift 1</v>
      </c>
      <c r="AD3808" t="b">
        <f t="shared" ca="1" si="3967"/>
        <v>1</v>
      </c>
      <c r="AE3808" s="1" t="str">
        <f t="shared" ca="1" si="3921"/>
        <v>Garage 150</v>
      </c>
      <c r="AF3808" t="str">
        <f t="shared" ca="1" si="3965"/>
        <v>Garage 150</v>
      </c>
    </row>
    <row r="3809" spans="28:32" x14ac:dyDescent="0.25">
      <c r="AB3809" t="str">
        <f t="shared" ref="AB3809:AC3809" si="3970">AB3788</f>
        <v>External Scaffolding</v>
      </c>
      <c r="AC3809" t="str">
        <f t="shared" si="3970"/>
        <v>Lift 2</v>
      </c>
      <c r="AD3809" t="b">
        <f t="shared" ca="1" si="3967"/>
        <v>1</v>
      </c>
      <c r="AE3809" s="1" t="str">
        <f t="shared" ca="1" si="3921"/>
        <v>Garage 150</v>
      </c>
      <c r="AF3809" t="str">
        <f t="shared" ca="1" si="3965"/>
        <v>Garage 150</v>
      </c>
    </row>
    <row r="3810" spans="28:32" x14ac:dyDescent="0.25">
      <c r="AB3810" t="str">
        <f t="shared" ref="AB3810:AC3810" si="3971">AB3789</f>
        <v>External Scaffolding</v>
      </c>
      <c r="AC3810" t="str">
        <f t="shared" si="3971"/>
        <v>Lift 3</v>
      </c>
      <c r="AD3810" t="b">
        <f t="shared" ca="1" si="3967"/>
        <v>1</v>
      </c>
      <c r="AE3810" s="1" t="str">
        <f t="shared" ca="1" si="3921"/>
        <v>Garage 150</v>
      </c>
      <c r="AF3810" t="str">
        <f t="shared" ca="1" si="3965"/>
        <v>Garage 150</v>
      </c>
    </row>
    <row r="3811" spans="28:32" x14ac:dyDescent="0.25">
      <c r="AB3811" t="str">
        <f t="shared" ref="AB3811:AC3811" si="3972">AB3790</f>
        <v>External Scaffolding</v>
      </c>
      <c r="AC3811" t="str">
        <f t="shared" si="3972"/>
        <v>Lift 4</v>
      </c>
      <c r="AD3811" t="b">
        <f t="shared" ca="1" si="3967"/>
        <v>0</v>
      </c>
      <c r="AE3811" s="1" t="str">
        <f t="shared" ca="1" si="3921"/>
        <v>Garage 150</v>
      </c>
      <c r="AF3811" t="str">
        <f t="shared" ca="1" si="3965"/>
        <v>Garage 150</v>
      </c>
    </row>
    <row r="3812" spans="28:32" x14ac:dyDescent="0.25">
      <c r="AB3812" t="str">
        <f t="shared" ref="AB3812:AC3812" si="3973">AB3791</f>
        <v>External Scaffolding</v>
      </c>
      <c r="AC3812" t="str">
        <f t="shared" si="3973"/>
        <v>Lift 5</v>
      </c>
      <c r="AD3812" t="b">
        <f t="shared" ca="1" si="3967"/>
        <v>0</v>
      </c>
      <c r="AE3812" s="1" t="str">
        <f t="shared" ca="1" si="3921"/>
        <v>Garage 150</v>
      </c>
      <c r="AF3812" t="str">
        <f t="shared" ca="1" si="3965"/>
        <v>Garage 150</v>
      </c>
    </row>
    <row r="3813" spans="28:32" x14ac:dyDescent="0.25">
      <c r="AB3813" t="str">
        <f t="shared" ref="AB3813:AC3813" si="3974">AB3792</f>
        <v>External Scaffolding</v>
      </c>
      <c r="AC3813" t="str">
        <f t="shared" si="3974"/>
        <v>Lift 6</v>
      </c>
      <c r="AD3813" t="b">
        <f t="shared" ca="1" si="3967"/>
        <v>0</v>
      </c>
      <c r="AE3813" s="1" t="str">
        <f t="shared" ca="1" si="3921"/>
        <v>Garage 150</v>
      </c>
      <c r="AF3813" t="str">
        <f t="shared" ca="1" si="3965"/>
        <v>Garage 150</v>
      </c>
    </row>
    <row r="3814" spans="28:32" x14ac:dyDescent="0.25">
      <c r="AB3814" t="str">
        <f t="shared" ref="AB3814:AC3814" si="3975">AB3793</f>
        <v>Loading Bay</v>
      </c>
      <c r="AC3814" t="str">
        <f t="shared" si="3975"/>
        <v>Lift 1</v>
      </c>
      <c r="AD3814" t="b">
        <f t="shared" ca="1" si="3967"/>
        <v>1</v>
      </c>
      <c r="AE3814" s="1" t="str">
        <f t="shared" ca="1" si="3921"/>
        <v>Garage 150</v>
      </c>
      <c r="AF3814" t="str">
        <f t="shared" ca="1" si="3965"/>
        <v>Garage 150</v>
      </c>
    </row>
    <row r="3815" spans="28:32" x14ac:dyDescent="0.25">
      <c r="AB3815" t="str">
        <f t="shared" ref="AB3815:AC3815" si="3976">AB3794</f>
        <v>Loading Bay</v>
      </c>
      <c r="AC3815" t="str">
        <f t="shared" si="3976"/>
        <v>Lift 2</v>
      </c>
      <c r="AD3815" t="b">
        <f t="shared" ca="1" si="3967"/>
        <v>1</v>
      </c>
      <c r="AE3815" s="1" t="str">
        <f t="shared" ca="1" si="3921"/>
        <v>Garage 150</v>
      </c>
      <c r="AF3815" t="str">
        <f t="shared" ca="1" si="3965"/>
        <v>Garage 150</v>
      </c>
    </row>
    <row r="3816" spans="28:32" x14ac:dyDescent="0.25">
      <c r="AB3816" t="str">
        <f t="shared" ref="AB3816:AC3816" si="3977">AB3795</f>
        <v>Loading Bay</v>
      </c>
      <c r="AC3816" t="str">
        <f t="shared" si="3977"/>
        <v>Lift 3</v>
      </c>
      <c r="AD3816" t="b">
        <f t="shared" ca="1" si="3967"/>
        <v>1</v>
      </c>
      <c r="AE3816" s="1" t="str">
        <f t="shared" ca="1" si="3921"/>
        <v>Garage 150</v>
      </c>
      <c r="AF3816" t="str">
        <f t="shared" ca="1" si="3965"/>
        <v>Garage 150</v>
      </c>
    </row>
    <row r="3817" spans="28:32" x14ac:dyDescent="0.25">
      <c r="AB3817" t="str">
        <f t="shared" ref="AB3817:AC3817" si="3978">AB3796</f>
        <v>Loading Bay</v>
      </c>
      <c r="AC3817" t="str">
        <f t="shared" si="3978"/>
        <v>Lift 4</v>
      </c>
      <c r="AD3817" t="b">
        <f t="shared" ca="1" si="3967"/>
        <v>0</v>
      </c>
      <c r="AE3817" s="1" t="str">
        <f t="shared" ca="1" si="3921"/>
        <v>Garage 150</v>
      </c>
      <c r="AF3817" t="str">
        <f t="shared" ca="1" si="3965"/>
        <v>Garage 150</v>
      </c>
    </row>
    <row r="3818" spans="28:32" x14ac:dyDescent="0.25">
      <c r="AB3818" t="str">
        <f t="shared" ref="AB3818:AC3818" si="3979">AB3797</f>
        <v>Loading Bay</v>
      </c>
      <c r="AC3818" t="str">
        <f t="shared" si="3979"/>
        <v>Lift 5</v>
      </c>
      <c r="AD3818" t="b">
        <f t="shared" ca="1" si="3967"/>
        <v>0</v>
      </c>
      <c r="AE3818" s="1" t="str">
        <f t="shared" ca="1" si="3921"/>
        <v>Garage 150</v>
      </c>
      <c r="AF3818" t="str">
        <f t="shared" ca="1" si="3965"/>
        <v>Garage 150</v>
      </c>
    </row>
    <row r="3819" spans="28:32" x14ac:dyDescent="0.25">
      <c r="AB3819" t="str">
        <f t="shared" ref="AB3819:AC3819" si="3980">AB3798</f>
        <v>Loading Bay</v>
      </c>
      <c r="AC3819" t="str">
        <f t="shared" si="3980"/>
        <v>Lift 6</v>
      </c>
      <c r="AD3819" t="b">
        <f t="shared" ca="1" si="3967"/>
        <v>0</v>
      </c>
      <c r="AE3819" s="1" t="str">
        <f t="shared" ca="1" si="3921"/>
        <v>Garage 150</v>
      </c>
      <c r="AF3819" t="str">
        <f t="shared" ca="1" si="3965"/>
        <v>Garage 150</v>
      </c>
    </row>
    <row r="3820" spans="28:32" x14ac:dyDescent="0.25">
      <c r="AB3820" t="str">
        <f t="shared" ref="AB3820:AC3820" si="3981">AB3799</f>
        <v>Scaffolding Platform</v>
      </c>
      <c r="AC3820" t="str">
        <f t="shared" si="3981"/>
        <v>Ground Floor</v>
      </c>
      <c r="AD3820" t="b">
        <f t="shared" ca="1" si="3967"/>
        <v>1</v>
      </c>
      <c r="AE3820" s="1" t="str">
        <f t="shared" ca="1" si="3921"/>
        <v>Garage 150</v>
      </c>
      <c r="AF3820" t="str">
        <f t="shared" ca="1" si="3965"/>
        <v>Garage 150</v>
      </c>
    </row>
    <row r="3821" spans="28:32" x14ac:dyDescent="0.25">
      <c r="AB3821" t="str">
        <f t="shared" ref="AB3821:AC3821" si="3982">AB3800</f>
        <v>Scaffolding Platform</v>
      </c>
      <c r="AC3821" t="str">
        <f t="shared" si="3982"/>
        <v>First Floor</v>
      </c>
      <c r="AD3821" t="b">
        <f t="shared" ca="1" si="3967"/>
        <v>0</v>
      </c>
      <c r="AE3821" s="1" t="str">
        <f t="shared" ca="1" si="3921"/>
        <v>Garage 150</v>
      </c>
      <c r="AF3821" t="str">
        <f t="shared" ca="1" si="3965"/>
        <v>Garage 150</v>
      </c>
    </row>
    <row r="3822" spans="28:32" x14ac:dyDescent="0.25">
      <c r="AB3822" t="str">
        <f t="shared" ref="AB3822:AC3822" si="3983">AB3801</f>
        <v>Scaffolding Platform</v>
      </c>
      <c r="AC3822" t="str">
        <f t="shared" si="3983"/>
        <v>Second Floor</v>
      </c>
      <c r="AD3822" t="b">
        <f t="shared" ca="1" si="3967"/>
        <v>0</v>
      </c>
      <c r="AE3822" s="1" t="str">
        <f t="shared" ca="1" si="3921"/>
        <v>Garage 150</v>
      </c>
      <c r="AF3822" t="str">
        <f t="shared" ca="1" si="3965"/>
        <v>Garage 150</v>
      </c>
    </row>
    <row r="3823" spans="28:32" x14ac:dyDescent="0.25">
      <c r="AB3823" t="str">
        <f t="shared" ref="AB3823:AC3823" si="3984">AB3802</f>
        <v>Supporting Scaffold</v>
      </c>
      <c r="AC3823" t="str">
        <f t="shared" si="3984"/>
        <v>Ground Floor Prop.</v>
      </c>
      <c r="AD3823" t="str">
        <f t="shared" ca="1" si="3967"/>
        <v>FALSE</v>
      </c>
      <c r="AE3823" s="1" t="str">
        <f t="shared" ca="1" si="3921"/>
        <v>Garage 150</v>
      </c>
      <c r="AF3823" t="str">
        <f t="shared" ca="1" si="3965"/>
        <v>Garage 150</v>
      </c>
    </row>
    <row r="3824" spans="28:32" x14ac:dyDescent="0.25">
      <c r="AB3824" t="str">
        <f t="shared" ref="AB3824:AC3824" si="3985">AB3803</f>
        <v>Supporting Scaffold</v>
      </c>
      <c r="AC3824" t="str">
        <f t="shared" si="3985"/>
        <v>First Floor Prop.</v>
      </c>
      <c r="AD3824" t="str">
        <f t="shared" ca="1" si="3967"/>
        <v>FALSE</v>
      </c>
      <c r="AE3824" s="1" t="str">
        <f t="shared" ca="1" si="3921"/>
        <v>Garage 150</v>
      </c>
      <c r="AF3824" t="str">
        <f t="shared" ca="1" si="3965"/>
        <v>Garage 150</v>
      </c>
    </row>
    <row r="3825" spans="28:32" x14ac:dyDescent="0.25">
      <c r="AB3825" t="str">
        <f t="shared" ref="AB3825:AC3825" si="3986">AB3804</f>
        <v>Supporting Scaffold</v>
      </c>
      <c r="AC3825" t="str">
        <f t="shared" si="3986"/>
        <v>Second Floor Prop.</v>
      </c>
      <c r="AD3825" t="str">
        <f t="shared" ca="1" si="3967"/>
        <v>FALSE</v>
      </c>
      <c r="AE3825" s="1" t="str">
        <f t="shared" ca="1" si="3921"/>
        <v>Garage 150</v>
      </c>
      <c r="AF3825" t="str">
        <f t="shared" ca="1" si="3965"/>
        <v>Garage 150</v>
      </c>
    </row>
    <row r="3826" spans="28:32" x14ac:dyDescent="0.25">
      <c r="AB3826" t="str">
        <f t="shared" ref="AB3826:AC3826" si="3987">AB3805</f>
        <v>External Scaffolding</v>
      </c>
      <c r="AC3826" t="str">
        <f t="shared" si="3987"/>
        <v>Hop-ups</v>
      </c>
      <c r="AD3826" t="b">
        <f t="shared" ca="1" si="3967"/>
        <v>1</v>
      </c>
      <c r="AE3826" s="1" t="str">
        <f t="shared" ref="AE3826:AE3889" ca="1" si="3988">OFFSET($AD$1,0,FLOOR(ROW(B3798)/21,1))</f>
        <v>Garage 150</v>
      </c>
      <c r="AF3826" t="str">
        <f t="shared" ca="1" si="3965"/>
        <v>Garage 150</v>
      </c>
    </row>
    <row r="3827" spans="28:32" x14ac:dyDescent="0.25">
      <c r="AB3827" t="str">
        <f t="shared" ref="AB3827:AC3827" si="3989">AB3806</f>
        <v>External Scaffolding</v>
      </c>
      <c r="AC3827" t="str">
        <f t="shared" si="3989"/>
        <v>Adaptions</v>
      </c>
      <c r="AD3827" t="b">
        <f t="shared" ca="1" si="3967"/>
        <v>1</v>
      </c>
      <c r="AE3827" s="1" t="str">
        <f t="shared" ca="1" si="3988"/>
        <v>Garage 150</v>
      </c>
      <c r="AF3827" t="str">
        <f t="shared" ca="1" si="3965"/>
        <v>Garage 150</v>
      </c>
    </row>
    <row r="3828" spans="28:32" x14ac:dyDescent="0.25">
      <c r="AB3828" t="str">
        <f t="shared" ref="AB3828:AC3828" si="3990">AB3807</f>
        <v>External Scaffolding</v>
      </c>
      <c r="AC3828" t="str">
        <f t="shared" si="3990"/>
        <v>Adaption Tower</v>
      </c>
      <c r="AD3828" t="b">
        <f t="shared" ca="1" si="3967"/>
        <v>1</v>
      </c>
      <c r="AE3828" s="1" t="str">
        <f t="shared" ca="1" si="3988"/>
        <v>Garage 150</v>
      </c>
      <c r="AF3828" t="str">
        <f t="shared" ca="1" si="3965"/>
        <v>Garage 150</v>
      </c>
    </row>
    <row r="3829" spans="28:32" x14ac:dyDescent="0.25">
      <c r="AB3829" t="str">
        <f t="shared" ref="AB3829:AC3829" si="3991">AB3808</f>
        <v>External Scaffolding</v>
      </c>
      <c r="AC3829" t="str">
        <f t="shared" si="3991"/>
        <v>Lift 1</v>
      </c>
      <c r="AD3829" t="b">
        <f t="shared" ca="1" si="3967"/>
        <v>1</v>
      </c>
      <c r="AE3829" s="1" t="str">
        <f t="shared" ca="1" si="3988"/>
        <v>Garage 151</v>
      </c>
      <c r="AF3829" t="str">
        <f t="shared" ca="1" si="3965"/>
        <v>Garage 151</v>
      </c>
    </row>
    <row r="3830" spans="28:32" x14ac:dyDescent="0.25">
      <c r="AB3830" t="str">
        <f t="shared" ref="AB3830:AC3830" si="3992">AB3809</f>
        <v>External Scaffolding</v>
      </c>
      <c r="AC3830" t="str">
        <f t="shared" si="3992"/>
        <v>Lift 2</v>
      </c>
      <c r="AD3830" t="b">
        <f t="shared" ca="1" si="3967"/>
        <v>1</v>
      </c>
      <c r="AE3830" s="1" t="str">
        <f t="shared" ca="1" si="3988"/>
        <v>Garage 151</v>
      </c>
      <c r="AF3830" t="str">
        <f t="shared" ca="1" si="3965"/>
        <v>Garage 151</v>
      </c>
    </row>
    <row r="3831" spans="28:32" x14ac:dyDescent="0.25">
      <c r="AB3831" t="str">
        <f t="shared" ref="AB3831:AC3831" si="3993">AB3810</f>
        <v>External Scaffolding</v>
      </c>
      <c r="AC3831" t="str">
        <f t="shared" si="3993"/>
        <v>Lift 3</v>
      </c>
      <c r="AD3831" t="b">
        <f t="shared" ca="1" si="3967"/>
        <v>1</v>
      </c>
      <c r="AE3831" s="1" t="str">
        <f t="shared" ca="1" si="3988"/>
        <v>Garage 151</v>
      </c>
      <c r="AF3831" t="str">
        <f t="shared" ca="1" si="3965"/>
        <v>Garage 151</v>
      </c>
    </row>
    <row r="3832" spans="28:32" x14ac:dyDescent="0.25">
      <c r="AB3832" t="str">
        <f t="shared" ref="AB3832:AC3832" si="3994">AB3811</f>
        <v>External Scaffolding</v>
      </c>
      <c r="AC3832" t="str">
        <f t="shared" si="3994"/>
        <v>Lift 4</v>
      </c>
      <c r="AD3832" t="b">
        <f t="shared" ca="1" si="3967"/>
        <v>0</v>
      </c>
      <c r="AE3832" s="1" t="str">
        <f t="shared" ca="1" si="3988"/>
        <v>Garage 151</v>
      </c>
      <c r="AF3832" t="str">
        <f t="shared" ca="1" si="3965"/>
        <v>Garage 151</v>
      </c>
    </row>
    <row r="3833" spans="28:32" x14ac:dyDescent="0.25">
      <c r="AB3833" t="str">
        <f t="shared" ref="AB3833:AC3833" si="3995">AB3812</f>
        <v>External Scaffolding</v>
      </c>
      <c r="AC3833" t="str">
        <f t="shared" si="3995"/>
        <v>Lift 5</v>
      </c>
      <c r="AD3833" t="b">
        <f t="shared" ca="1" si="3967"/>
        <v>0</v>
      </c>
      <c r="AE3833" s="1" t="str">
        <f t="shared" ca="1" si="3988"/>
        <v>Garage 151</v>
      </c>
      <c r="AF3833" t="str">
        <f t="shared" ca="1" si="3965"/>
        <v>Garage 151</v>
      </c>
    </row>
    <row r="3834" spans="28:32" x14ac:dyDescent="0.25">
      <c r="AB3834" t="str">
        <f t="shared" ref="AB3834:AC3834" si="3996">AB3813</f>
        <v>External Scaffolding</v>
      </c>
      <c r="AC3834" t="str">
        <f t="shared" si="3996"/>
        <v>Lift 6</v>
      </c>
      <c r="AD3834" t="b">
        <f t="shared" ca="1" si="3967"/>
        <v>0</v>
      </c>
      <c r="AE3834" s="1" t="str">
        <f t="shared" ca="1" si="3988"/>
        <v>Garage 151</v>
      </c>
      <c r="AF3834" t="str">
        <f t="shared" ca="1" si="3965"/>
        <v>Garage 151</v>
      </c>
    </row>
    <row r="3835" spans="28:32" x14ac:dyDescent="0.25">
      <c r="AB3835" t="str">
        <f t="shared" ref="AB3835:AC3835" si="3997">AB3814</f>
        <v>Loading Bay</v>
      </c>
      <c r="AC3835" t="str">
        <f t="shared" si="3997"/>
        <v>Lift 1</v>
      </c>
      <c r="AD3835" t="b">
        <f t="shared" ca="1" si="3967"/>
        <v>1</v>
      </c>
      <c r="AE3835" s="1" t="str">
        <f t="shared" ca="1" si="3988"/>
        <v>Garage 151</v>
      </c>
      <c r="AF3835" t="str">
        <f t="shared" ca="1" si="3965"/>
        <v>Garage 151</v>
      </c>
    </row>
    <row r="3836" spans="28:32" x14ac:dyDescent="0.25">
      <c r="AB3836" t="str">
        <f t="shared" ref="AB3836:AC3836" si="3998">AB3815</f>
        <v>Loading Bay</v>
      </c>
      <c r="AC3836" t="str">
        <f t="shared" si="3998"/>
        <v>Lift 2</v>
      </c>
      <c r="AD3836" t="b">
        <f t="shared" ca="1" si="3967"/>
        <v>1</v>
      </c>
      <c r="AE3836" s="1" t="str">
        <f t="shared" ca="1" si="3988"/>
        <v>Garage 151</v>
      </c>
      <c r="AF3836" t="str">
        <f t="shared" ca="1" si="3965"/>
        <v>Garage 151</v>
      </c>
    </row>
    <row r="3837" spans="28:32" x14ac:dyDescent="0.25">
      <c r="AB3837" t="str">
        <f t="shared" ref="AB3837:AC3837" si="3999">AB3816</f>
        <v>Loading Bay</v>
      </c>
      <c r="AC3837" t="str">
        <f t="shared" si="3999"/>
        <v>Lift 3</v>
      </c>
      <c r="AD3837" t="b">
        <f t="shared" ca="1" si="3967"/>
        <v>1</v>
      </c>
      <c r="AE3837" s="1" t="str">
        <f t="shared" ca="1" si="3988"/>
        <v>Garage 151</v>
      </c>
      <c r="AF3837" t="str">
        <f t="shared" ca="1" si="3965"/>
        <v>Garage 151</v>
      </c>
    </row>
    <row r="3838" spans="28:32" x14ac:dyDescent="0.25">
      <c r="AB3838" t="str">
        <f t="shared" ref="AB3838:AC3838" si="4000">AB3817</f>
        <v>Loading Bay</v>
      </c>
      <c r="AC3838" t="str">
        <f t="shared" si="4000"/>
        <v>Lift 4</v>
      </c>
      <c r="AD3838" t="b">
        <f t="shared" ca="1" si="3967"/>
        <v>0</v>
      </c>
      <c r="AE3838" s="1" t="str">
        <f t="shared" ca="1" si="3988"/>
        <v>Garage 151</v>
      </c>
      <c r="AF3838" t="str">
        <f t="shared" ca="1" si="3965"/>
        <v>Garage 151</v>
      </c>
    </row>
    <row r="3839" spans="28:32" x14ac:dyDescent="0.25">
      <c r="AB3839" t="str">
        <f t="shared" ref="AB3839:AC3839" si="4001">AB3818</f>
        <v>Loading Bay</v>
      </c>
      <c r="AC3839" t="str">
        <f t="shared" si="4001"/>
        <v>Lift 5</v>
      </c>
      <c r="AD3839" t="b">
        <f t="shared" ca="1" si="3967"/>
        <v>0</v>
      </c>
      <c r="AE3839" s="1" t="str">
        <f t="shared" ca="1" si="3988"/>
        <v>Garage 151</v>
      </c>
      <c r="AF3839" t="str">
        <f t="shared" ca="1" si="3965"/>
        <v>Garage 151</v>
      </c>
    </row>
    <row r="3840" spans="28:32" x14ac:dyDescent="0.25">
      <c r="AB3840" t="str">
        <f t="shared" ref="AB3840:AC3840" si="4002">AB3819</f>
        <v>Loading Bay</v>
      </c>
      <c r="AC3840" t="str">
        <f t="shared" si="4002"/>
        <v>Lift 6</v>
      </c>
      <c r="AD3840" t="b">
        <f t="shared" ca="1" si="3967"/>
        <v>0</v>
      </c>
      <c r="AE3840" s="1" t="str">
        <f t="shared" ca="1" si="3988"/>
        <v>Garage 151</v>
      </c>
      <c r="AF3840" t="str">
        <f t="shared" ca="1" si="3965"/>
        <v>Garage 151</v>
      </c>
    </row>
    <row r="3841" spans="28:32" x14ac:dyDescent="0.25">
      <c r="AB3841" t="str">
        <f t="shared" ref="AB3841:AC3841" si="4003">AB3820</f>
        <v>Scaffolding Platform</v>
      </c>
      <c r="AC3841" t="str">
        <f t="shared" si="4003"/>
        <v>Ground Floor</v>
      </c>
      <c r="AD3841" t="b">
        <f t="shared" ca="1" si="3967"/>
        <v>1</v>
      </c>
      <c r="AE3841" s="1" t="str">
        <f t="shared" ca="1" si="3988"/>
        <v>Garage 151</v>
      </c>
      <c r="AF3841" t="str">
        <f t="shared" ca="1" si="3965"/>
        <v>Garage 151</v>
      </c>
    </row>
    <row r="3842" spans="28:32" x14ac:dyDescent="0.25">
      <c r="AB3842" t="str">
        <f t="shared" ref="AB3842:AC3842" si="4004">AB3821</f>
        <v>Scaffolding Platform</v>
      </c>
      <c r="AC3842" t="str">
        <f t="shared" si="4004"/>
        <v>First Floor</v>
      </c>
      <c r="AD3842" t="b">
        <f t="shared" ca="1" si="3967"/>
        <v>0</v>
      </c>
      <c r="AE3842" s="1" t="str">
        <f t="shared" ca="1" si="3988"/>
        <v>Garage 151</v>
      </c>
      <c r="AF3842" t="str">
        <f t="shared" ca="1" si="3965"/>
        <v>Garage 151</v>
      </c>
    </row>
    <row r="3843" spans="28:32" x14ac:dyDescent="0.25">
      <c r="AB3843" t="str">
        <f t="shared" ref="AB3843:AC3843" si="4005">AB3822</f>
        <v>Scaffolding Platform</v>
      </c>
      <c r="AC3843" t="str">
        <f t="shared" si="4005"/>
        <v>Second Floor</v>
      </c>
      <c r="AD3843" t="b">
        <f t="shared" ca="1" si="3967"/>
        <v>0</v>
      </c>
      <c r="AE3843" s="1" t="str">
        <f t="shared" ca="1" si="3988"/>
        <v>Garage 151</v>
      </c>
      <c r="AF3843" t="str">
        <f t="shared" ca="1" si="3965"/>
        <v>Garage 151</v>
      </c>
    </row>
    <row r="3844" spans="28:32" x14ac:dyDescent="0.25">
      <c r="AB3844" t="str">
        <f t="shared" ref="AB3844:AC3844" si="4006">AB3823</f>
        <v>Supporting Scaffold</v>
      </c>
      <c r="AC3844" t="str">
        <f t="shared" si="4006"/>
        <v>Ground Floor Prop.</v>
      </c>
      <c r="AD3844" t="str">
        <f t="shared" ca="1" si="3967"/>
        <v>FALSE</v>
      </c>
      <c r="AE3844" s="1" t="str">
        <f t="shared" ca="1" si="3988"/>
        <v>Garage 151</v>
      </c>
      <c r="AF3844" t="str">
        <f t="shared" ca="1" si="3965"/>
        <v>Garage 151</v>
      </c>
    </row>
    <row r="3845" spans="28:32" x14ac:dyDescent="0.25">
      <c r="AB3845" t="str">
        <f t="shared" ref="AB3845:AC3845" si="4007">AB3824</f>
        <v>Supporting Scaffold</v>
      </c>
      <c r="AC3845" t="str">
        <f t="shared" si="4007"/>
        <v>First Floor Prop.</v>
      </c>
      <c r="AD3845" t="str">
        <f t="shared" ca="1" si="3967"/>
        <v>FALSE</v>
      </c>
      <c r="AE3845" s="1" t="str">
        <f t="shared" ca="1" si="3988"/>
        <v>Garage 151</v>
      </c>
      <c r="AF3845" t="str">
        <f t="shared" ca="1" si="3965"/>
        <v>Garage 151</v>
      </c>
    </row>
    <row r="3846" spans="28:32" x14ac:dyDescent="0.25">
      <c r="AB3846" t="str">
        <f t="shared" ref="AB3846:AC3846" si="4008">AB3825</f>
        <v>Supporting Scaffold</v>
      </c>
      <c r="AC3846" t="str">
        <f t="shared" si="4008"/>
        <v>Second Floor Prop.</v>
      </c>
      <c r="AD3846" t="str">
        <f t="shared" ca="1" si="3967"/>
        <v>FALSE</v>
      </c>
      <c r="AE3846" s="1" t="str">
        <f t="shared" ca="1" si="3988"/>
        <v>Garage 151</v>
      </c>
      <c r="AF3846" t="str">
        <f t="shared" ca="1" si="3965"/>
        <v>Garage 151</v>
      </c>
    </row>
    <row r="3847" spans="28:32" x14ac:dyDescent="0.25">
      <c r="AB3847" t="str">
        <f t="shared" ref="AB3847:AC3847" si="4009">AB3826</f>
        <v>External Scaffolding</v>
      </c>
      <c r="AC3847" t="str">
        <f t="shared" si="4009"/>
        <v>Hop-ups</v>
      </c>
      <c r="AD3847" t="b">
        <f t="shared" ca="1" si="3967"/>
        <v>1</v>
      </c>
      <c r="AE3847" s="1" t="str">
        <f t="shared" ca="1" si="3988"/>
        <v>Garage 151</v>
      </c>
      <c r="AF3847" t="str">
        <f t="shared" ca="1" si="3965"/>
        <v>Garage 151</v>
      </c>
    </row>
    <row r="3848" spans="28:32" x14ac:dyDescent="0.25">
      <c r="AB3848" t="str">
        <f t="shared" ref="AB3848:AC3848" si="4010">AB3827</f>
        <v>External Scaffolding</v>
      </c>
      <c r="AC3848" t="str">
        <f t="shared" si="4010"/>
        <v>Adaptions</v>
      </c>
      <c r="AD3848" t="b">
        <f t="shared" ca="1" si="3967"/>
        <v>1</v>
      </c>
      <c r="AE3848" s="1" t="str">
        <f t="shared" ca="1" si="3988"/>
        <v>Garage 151</v>
      </c>
      <c r="AF3848" t="str">
        <f t="shared" ca="1" si="3965"/>
        <v>Garage 151</v>
      </c>
    </row>
    <row r="3849" spans="28:32" x14ac:dyDescent="0.25">
      <c r="AB3849" t="str">
        <f t="shared" ref="AB3849:AC3849" si="4011">AB3828</f>
        <v>External Scaffolding</v>
      </c>
      <c r="AC3849" t="str">
        <f t="shared" si="4011"/>
        <v>Adaption Tower</v>
      </c>
      <c r="AD3849" t="b">
        <f t="shared" ca="1" si="3967"/>
        <v>1</v>
      </c>
      <c r="AE3849" s="1" t="str">
        <f t="shared" ca="1" si="3988"/>
        <v>Garage 151</v>
      </c>
      <c r="AF3849" t="str">
        <f t="shared" ca="1" si="3965"/>
        <v>Garage 151</v>
      </c>
    </row>
    <row r="3850" spans="28:32" x14ac:dyDescent="0.25">
      <c r="AB3850" t="str">
        <f t="shared" ref="AB3850:AC3850" si="4012">AB3829</f>
        <v>External Scaffolding</v>
      </c>
      <c r="AC3850" t="str">
        <f t="shared" si="4012"/>
        <v>Lift 1</v>
      </c>
      <c r="AD3850" t="b">
        <f t="shared" ca="1" si="3967"/>
        <v>1</v>
      </c>
      <c r="AE3850" s="1" t="str">
        <f t="shared" ca="1" si="3988"/>
        <v>Garage 152</v>
      </c>
      <c r="AF3850" t="str">
        <f t="shared" ca="1" si="3965"/>
        <v>Garage 152</v>
      </c>
    </row>
    <row r="3851" spans="28:32" x14ac:dyDescent="0.25">
      <c r="AB3851" t="str">
        <f t="shared" ref="AB3851:AC3851" si="4013">AB3830</f>
        <v>External Scaffolding</v>
      </c>
      <c r="AC3851" t="str">
        <f t="shared" si="4013"/>
        <v>Lift 2</v>
      </c>
      <c r="AD3851" t="b">
        <f t="shared" ca="1" si="3967"/>
        <v>1</v>
      </c>
      <c r="AE3851" s="1" t="str">
        <f t="shared" ca="1" si="3988"/>
        <v>Garage 152</v>
      </c>
      <c r="AF3851" t="str">
        <f t="shared" ca="1" si="3965"/>
        <v>Garage 152</v>
      </c>
    </row>
    <row r="3852" spans="28:32" x14ac:dyDescent="0.25">
      <c r="AB3852" t="str">
        <f t="shared" ref="AB3852:AC3852" si="4014">AB3831</f>
        <v>External Scaffolding</v>
      </c>
      <c r="AC3852" t="str">
        <f t="shared" si="4014"/>
        <v>Lift 3</v>
      </c>
      <c r="AD3852" t="b">
        <f t="shared" ca="1" si="3967"/>
        <v>1</v>
      </c>
      <c r="AE3852" s="1" t="str">
        <f t="shared" ca="1" si="3988"/>
        <v>Garage 152</v>
      </c>
      <c r="AF3852" t="str">
        <f t="shared" ca="1" si="3965"/>
        <v>Garage 152</v>
      </c>
    </row>
    <row r="3853" spans="28:32" x14ac:dyDescent="0.25">
      <c r="AB3853" t="str">
        <f t="shared" ref="AB3853:AC3853" si="4015">AB3832</f>
        <v>External Scaffolding</v>
      </c>
      <c r="AC3853" t="str">
        <f t="shared" si="4015"/>
        <v>Lift 4</v>
      </c>
      <c r="AD3853" t="b">
        <f t="shared" ca="1" si="3967"/>
        <v>0</v>
      </c>
      <c r="AE3853" s="1" t="str">
        <f t="shared" ca="1" si="3988"/>
        <v>Garage 152</v>
      </c>
      <c r="AF3853" t="str">
        <f t="shared" ca="1" si="3965"/>
        <v>Garage 152</v>
      </c>
    </row>
    <row r="3854" spans="28:32" x14ac:dyDescent="0.25">
      <c r="AB3854" t="str">
        <f t="shared" ref="AB3854:AC3854" si="4016">AB3833</f>
        <v>External Scaffolding</v>
      </c>
      <c r="AC3854" t="str">
        <f t="shared" si="4016"/>
        <v>Lift 5</v>
      </c>
      <c r="AD3854" t="b">
        <f t="shared" ca="1" si="3967"/>
        <v>0</v>
      </c>
      <c r="AE3854" s="1" t="str">
        <f t="shared" ca="1" si="3988"/>
        <v>Garage 152</v>
      </c>
      <c r="AF3854" t="str">
        <f t="shared" ca="1" si="3965"/>
        <v>Garage 152</v>
      </c>
    </row>
    <row r="3855" spans="28:32" x14ac:dyDescent="0.25">
      <c r="AB3855" t="str">
        <f t="shared" ref="AB3855:AC3855" si="4017">AB3834</f>
        <v>External Scaffolding</v>
      </c>
      <c r="AC3855" t="str">
        <f t="shared" si="4017"/>
        <v>Lift 6</v>
      </c>
      <c r="AD3855" t="b">
        <f t="shared" ca="1" si="3967"/>
        <v>0</v>
      </c>
      <c r="AE3855" s="1" t="str">
        <f t="shared" ca="1" si="3988"/>
        <v>Garage 152</v>
      </c>
      <c r="AF3855" t="str">
        <f t="shared" ca="1" si="3965"/>
        <v>Garage 152</v>
      </c>
    </row>
    <row r="3856" spans="28:32" x14ac:dyDescent="0.25">
      <c r="AB3856" t="str">
        <f t="shared" ref="AB3856:AC3856" si="4018">AB3835</f>
        <v>Loading Bay</v>
      </c>
      <c r="AC3856" t="str">
        <f t="shared" si="4018"/>
        <v>Lift 1</v>
      </c>
      <c r="AD3856" t="b">
        <f t="shared" ca="1" si="3967"/>
        <v>1</v>
      </c>
      <c r="AE3856" s="1" t="str">
        <f t="shared" ca="1" si="3988"/>
        <v>Garage 152</v>
      </c>
      <c r="AF3856" t="str">
        <f t="shared" ca="1" si="3965"/>
        <v>Garage 152</v>
      </c>
    </row>
    <row r="3857" spans="28:32" x14ac:dyDescent="0.25">
      <c r="AB3857" t="str">
        <f t="shared" ref="AB3857:AC3857" si="4019">AB3836</f>
        <v>Loading Bay</v>
      </c>
      <c r="AC3857" t="str">
        <f t="shared" si="4019"/>
        <v>Lift 2</v>
      </c>
      <c r="AD3857" t="b">
        <f t="shared" ca="1" si="3967"/>
        <v>1</v>
      </c>
      <c r="AE3857" s="1" t="str">
        <f t="shared" ca="1" si="3988"/>
        <v>Garage 152</v>
      </c>
      <c r="AF3857" t="str">
        <f t="shared" ca="1" si="3965"/>
        <v>Garage 152</v>
      </c>
    </row>
    <row r="3858" spans="28:32" x14ac:dyDescent="0.25">
      <c r="AB3858" t="str">
        <f t="shared" ref="AB3858:AC3858" si="4020">AB3837</f>
        <v>Loading Bay</v>
      </c>
      <c r="AC3858" t="str">
        <f t="shared" si="4020"/>
        <v>Lift 3</v>
      </c>
      <c r="AD3858" t="b">
        <f t="shared" ca="1" si="3967"/>
        <v>1</v>
      </c>
      <c r="AE3858" s="1" t="str">
        <f t="shared" ca="1" si="3988"/>
        <v>Garage 152</v>
      </c>
      <c r="AF3858" t="str">
        <f t="shared" ca="1" si="3965"/>
        <v>Garage 152</v>
      </c>
    </row>
    <row r="3859" spans="28:32" x14ac:dyDescent="0.25">
      <c r="AB3859" t="str">
        <f t="shared" ref="AB3859:AC3859" si="4021">AB3838</f>
        <v>Loading Bay</v>
      </c>
      <c r="AC3859" t="str">
        <f t="shared" si="4021"/>
        <v>Lift 4</v>
      </c>
      <c r="AD3859" t="b">
        <f t="shared" ca="1" si="3967"/>
        <v>0</v>
      </c>
      <c r="AE3859" s="1" t="str">
        <f t="shared" ca="1" si="3988"/>
        <v>Garage 152</v>
      </c>
      <c r="AF3859" t="str">
        <f t="shared" ca="1" si="3965"/>
        <v>Garage 152</v>
      </c>
    </row>
    <row r="3860" spans="28:32" x14ac:dyDescent="0.25">
      <c r="AB3860" t="str">
        <f t="shared" ref="AB3860:AC3860" si="4022">AB3839</f>
        <v>Loading Bay</v>
      </c>
      <c r="AC3860" t="str">
        <f t="shared" si="4022"/>
        <v>Lift 5</v>
      </c>
      <c r="AD3860" t="b">
        <f t="shared" ca="1" si="3967"/>
        <v>0</v>
      </c>
      <c r="AE3860" s="1" t="str">
        <f t="shared" ca="1" si="3988"/>
        <v>Garage 152</v>
      </c>
      <c r="AF3860" t="str">
        <f t="shared" ca="1" si="3965"/>
        <v>Garage 152</v>
      </c>
    </row>
    <row r="3861" spans="28:32" x14ac:dyDescent="0.25">
      <c r="AB3861" t="str">
        <f t="shared" ref="AB3861:AC3861" si="4023">AB3840</f>
        <v>Loading Bay</v>
      </c>
      <c r="AC3861" t="str">
        <f t="shared" si="4023"/>
        <v>Lift 6</v>
      </c>
      <c r="AD3861" t="b">
        <f t="shared" ca="1" si="3967"/>
        <v>0</v>
      </c>
      <c r="AE3861" s="1" t="str">
        <f t="shared" ca="1" si="3988"/>
        <v>Garage 152</v>
      </c>
      <c r="AF3861" t="str">
        <f t="shared" ca="1" si="3965"/>
        <v>Garage 152</v>
      </c>
    </row>
    <row r="3862" spans="28:32" x14ac:dyDescent="0.25">
      <c r="AB3862" t="str">
        <f t="shared" ref="AB3862:AC3862" si="4024">AB3841</f>
        <v>Scaffolding Platform</v>
      </c>
      <c r="AC3862" t="str">
        <f t="shared" si="4024"/>
        <v>Ground Floor</v>
      </c>
      <c r="AD3862" t="b">
        <f t="shared" ca="1" si="3967"/>
        <v>1</v>
      </c>
      <c r="AE3862" s="1" t="str">
        <f t="shared" ca="1" si="3988"/>
        <v>Garage 152</v>
      </c>
      <c r="AF3862" t="str">
        <f t="shared" ca="1" si="3965"/>
        <v>Garage 152</v>
      </c>
    </row>
    <row r="3863" spans="28:32" x14ac:dyDescent="0.25">
      <c r="AB3863" t="str">
        <f t="shared" ref="AB3863:AC3863" si="4025">AB3842</f>
        <v>Scaffolding Platform</v>
      </c>
      <c r="AC3863" t="str">
        <f t="shared" si="4025"/>
        <v>First Floor</v>
      </c>
      <c r="AD3863" t="b">
        <f t="shared" ca="1" si="3967"/>
        <v>0</v>
      </c>
      <c r="AE3863" s="1" t="str">
        <f t="shared" ca="1" si="3988"/>
        <v>Garage 152</v>
      </c>
      <c r="AF3863" t="str">
        <f t="shared" ca="1" si="3965"/>
        <v>Garage 152</v>
      </c>
    </row>
    <row r="3864" spans="28:32" x14ac:dyDescent="0.25">
      <c r="AB3864" t="str">
        <f t="shared" ref="AB3864:AC3864" si="4026">AB3843</f>
        <v>Scaffolding Platform</v>
      </c>
      <c r="AC3864" t="str">
        <f t="shared" si="4026"/>
        <v>Second Floor</v>
      </c>
      <c r="AD3864" t="b">
        <f t="shared" ca="1" si="3967"/>
        <v>0</v>
      </c>
      <c r="AE3864" s="1" t="str">
        <f t="shared" ca="1" si="3988"/>
        <v>Garage 152</v>
      </c>
      <c r="AF3864" t="str">
        <f t="shared" ca="1" si="3965"/>
        <v>Garage 152</v>
      </c>
    </row>
    <row r="3865" spans="28:32" x14ac:dyDescent="0.25">
      <c r="AB3865" t="str">
        <f t="shared" ref="AB3865:AC3865" si="4027">AB3844</f>
        <v>Supporting Scaffold</v>
      </c>
      <c r="AC3865" t="str">
        <f t="shared" si="4027"/>
        <v>Ground Floor Prop.</v>
      </c>
      <c r="AD3865" t="str">
        <f t="shared" ca="1" si="3967"/>
        <v>FALSE</v>
      </c>
      <c r="AE3865" s="1" t="str">
        <f t="shared" ca="1" si="3988"/>
        <v>Garage 152</v>
      </c>
      <c r="AF3865" t="str">
        <f t="shared" ca="1" si="3965"/>
        <v>Garage 152</v>
      </c>
    </row>
    <row r="3866" spans="28:32" x14ac:dyDescent="0.25">
      <c r="AB3866" t="str">
        <f t="shared" ref="AB3866:AC3866" si="4028">AB3845</f>
        <v>Supporting Scaffold</v>
      </c>
      <c r="AC3866" t="str">
        <f t="shared" si="4028"/>
        <v>First Floor Prop.</v>
      </c>
      <c r="AD3866" t="str">
        <f t="shared" ca="1" si="3967"/>
        <v>FALSE</v>
      </c>
      <c r="AE3866" s="1" t="str">
        <f t="shared" ca="1" si="3988"/>
        <v>Garage 152</v>
      </c>
      <c r="AF3866" t="str">
        <f t="shared" ca="1" si="3965"/>
        <v>Garage 152</v>
      </c>
    </row>
    <row r="3867" spans="28:32" x14ac:dyDescent="0.25">
      <c r="AB3867" t="str">
        <f t="shared" ref="AB3867:AC3867" si="4029">AB3846</f>
        <v>Supporting Scaffold</v>
      </c>
      <c r="AC3867" t="str">
        <f t="shared" si="4029"/>
        <v>Second Floor Prop.</v>
      </c>
      <c r="AD3867" t="str">
        <f t="shared" ca="1" si="3967"/>
        <v>FALSE</v>
      </c>
      <c r="AE3867" s="1" t="str">
        <f t="shared" ca="1" si="3988"/>
        <v>Garage 152</v>
      </c>
      <c r="AF3867" t="str">
        <f t="shared" ca="1" si="3965"/>
        <v>Garage 152</v>
      </c>
    </row>
    <row r="3868" spans="28:32" x14ac:dyDescent="0.25">
      <c r="AB3868" t="str">
        <f t="shared" ref="AB3868:AC3868" si="4030">AB3847</f>
        <v>External Scaffolding</v>
      </c>
      <c r="AC3868" t="str">
        <f t="shared" si="4030"/>
        <v>Hop-ups</v>
      </c>
      <c r="AD3868" t="b">
        <f t="shared" ca="1" si="3967"/>
        <v>1</v>
      </c>
      <c r="AE3868" s="1" t="str">
        <f t="shared" ca="1" si="3988"/>
        <v>Garage 152</v>
      </c>
      <c r="AF3868" t="str">
        <f t="shared" ca="1" si="3965"/>
        <v>Garage 152</v>
      </c>
    </row>
    <row r="3869" spans="28:32" x14ac:dyDescent="0.25">
      <c r="AB3869" t="str">
        <f t="shared" ref="AB3869:AC3869" si="4031">AB3848</f>
        <v>External Scaffolding</v>
      </c>
      <c r="AC3869" t="str">
        <f t="shared" si="4031"/>
        <v>Adaptions</v>
      </c>
      <c r="AD3869" t="b">
        <f t="shared" ca="1" si="3967"/>
        <v>1</v>
      </c>
      <c r="AE3869" s="1" t="str">
        <f t="shared" ca="1" si="3988"/>
        <v>Garage 152</v>
      </c>
      <c r="AF3869" t="str">
        <f t="shared" ref="AF3869:AF3932" ca="1" si="4032">IF(LEFT(AE3869,1)="G",AE3869,"Plot "&amp;AE3869)</f>
        <v>Garage 152</v>
      </c>
    </row>
    <row r="3870" spans="28:32" x14ac:dyDescent="0.25">
      <c r="AB3870" t="str">
        <f t="shared" ref="AB3870:AC3870" si="4033">AB3849</f>
        <v>External Scaffolding</v>
      </c>
      <c r="AC3870" t="str">
        <f t="shared" si="4033"/>
        <v>Adaption Tower</v>
      </c>
      <c r="AD3870" t="b">
        <f t="shared" ref="AD3870:AD3933" ca="1" si="4034">INDEX($AC$1:$JH$22,MATCH(AC3870,$AC$1:$AC$22,0),MATCH(AE3870,$AC$1:$JH$1,0))</f>
        <v>1</v>
      </c>
      <c r="AE3870" s="1" t="str">
        <f t="shared" ca="1" si="3988"/>
        <v>Garage 152</v>
      </c>
      <c r="AF3870" t="str">
        <f t="shared" ca="1" si="4032"/>
        <v>Garage 152</v>
      </c>
    </row>
    <row r="3871" spans="28:32" x14ac:dyDescent="0.25">
      <c r="AB3871" t="str">
        <f t="shared" ref="AB3871:AC3871" si="4035">AB3850</f>
        <v>External Scaffolding</v>
      </c>
      <c r="AC3871" t="str">
        <f t="shared" si="4035"/>
        <v>Lift 1</v>
      </c>
      <c r="AD3871" t="b">
        <f t="shared" ca="1" si="4034"/>
        <v>1</v>
      </c>
      <c r="AE3871" s="1" t="str">
        <f t="shared" ca="1" si="3988"/>
        <v>Garage 153</v>
      </c>
      <c r="AF3871" t="str">
        <f t="shared" ca="1" si="4032"/>
        <v>Garage 153</v>
      </c>
    </row>
    <row r="3872" spans="28:32" x14ac:dyDescent="0.25">
      <c r="AB3872" t="str">
        <f t="shared" ref="AB3872:AC3872" si="4036">AB3851</f>
        <v>External Scaffolding</v>
      </c>
      <c r="AC3872" t="str">
        <f t="shared" si="4036"/>
        <v>Lift 2</v>
      </c>
      <c r="AD3872" t="b">
        <f t="shared" ca="1" si="4034"/>
        <v>1</v>
      </c>
      <c r="AE3872" s="1" t="str">
        <f t="shared" ca="1" si="3988"/>
        <v>Garage 153</v>
      </c>
      <c r="AF3872" t="str">
        <f t="shared" ca="1" si="4032"/>
        <v>Garage 153</v>
      </c>
    </row>
    <row r="3873" spans="28:32" x14ac:dyDescent="0.25">
      <c r="AB3873" t="str">
        <f t="shared" ref="AB3873:AC3873" si="4037">AB3852</f>
        <v>External Scaffolding</v>
      </c>
      <c r="AC3873" t="str">
        <f t="shared" si="4037"/>
        <v>Lift 3</v>
      </c>
      <c r="AD3873" t="b">
        <f t="shared" ca="1" si="4034"/>
        <v>1</v>
      </c>
      <c r="AE3873" s="1" t="str">
        <f t="shared" ca="1" si="3988"/>
        <v>Garage 153</v>
      </c>
      <c r="AF3873" t="str">
        <f t="shared" ca="1" si="4032"/>
        <v>Garage 153</v>
      </c>
    </row>
    <row r="3874" spans="28:32" x14ac:dyDescent="0.25">
      <c r="AB3874" t="str">
        <f t="shared" ref="AB3874:AC3874" si="4038">AB3853</f>
        <v>External Scaffolding</v>
      </c>
      <c r="AC3874" t="str">
        <f t="shared" si="4038"/>
        <v>Lift 4</v>
      </c>
      <c r="AD3874" t="b">
        <f t="shared" ca="1" si="4034"/>
        <v>0</v>
      </c>
      <c r="AE3874" s="1" t="str">
        <f t="shared" ca="1" si="3988"/>
        <v>Garage 153</v>
      </c>
      <c r="AF3874" t="str">
        <f t="shared" ca="1" si="4032"/>
        <v>Garage 153</v>
      </c>
    </row>
    <row r="3875" spans="28:32" x14ac:dyDescent="0.25">
      <c r="AB3875" t="str">
        <f t="shared" ref="AB3875:AC3875" si="4039">AB3854</f>
        <v>External Scaffolding</v>
      </c>
      <c r="AC3875" t="str">
        <f t="shared" si="4039"/>
        <v>Lift 5</v>
      </c>
      <c r="AD3875" t="b">
        <f t="shared" ca="1" si="4034"/>
        <v>0</v>
      </c>
      <c r="AE3875" s="1" t="str">
        <f t="shared" ca="1" si="3988"/>
        <v>Garage 153</v>
      </c>
      <c r="AF3875" t="str">
        <f t="shared" ca="1" si="4032"/>
        <v>Garage 153</v>
      </c>
    </row>
    <row r="3876" spans="28:32" x14ac:dyDescent="0.25">
      <c r="AB3876" t="str">
        <f t="shared" ref="AB3876:AC3876" si="4040">AB3855</f>
        <v>External Scaffolding</v>
      </c>
      <c r="AC3876" t="str">
        <f t="shared" si="4040"/>
        <v>Lift 6</v>
      </c>
      <c r="AD3876" t="b">
        <f t="shared" ca="1" si="4034"/>
        <v>0</v>
      </c>
      <c r="AE3876" s="1" t="str">
        <f t="shared" ca="1" si="3988"/>
        <v>Garage 153</v>
      </c>
      <c r="AF3876" t="str">
        <f t="shared" ca="1" si="4032"/>
        <v>Garage 153</v>
      </c>
    </row>
    <row r="3877" spans="28:32" x14ac:dyDescent="0.25">
      <c r="AB3877" t="str">
        <f t="shared" ref="AB3877:AC3877" si="4041">AB3856</f>
        <v>Loading Bay</v>
      </c>
      <c r="AC3877" t="str">
        <f t="shared" si="4041"/>
        <v>Lift 1</v>
      </c>
      <c r="AD3877" t="b">
        <f t="shared" ca="1" si="4034"/>
        <v>1</v>
      </c>
      <c r="AE3877" s="1" t="str">
        <f t="shared" ca="1" si="3988"/>
        <v>Garage 153</v>
      </c>
      <c r="AF3877" t="str">
        <f t="shared" ca="1" si="4032"/>
        <v>Garage 153</v>
      </c>
    </row>
    <row r="3878" spans="28:32" x14ac:dyDescent="0.25">
      <c r="AB3878" t="str">
        <f t="shared" ref="AB3878:AC3878" si="4042">AB3857</f>
        <v>Loading Bay</v>
      </c>
      <c r="AC3878" t="str">
        <f t="shared" si="4042"/>
        <v>Lift 2</v>
      </c>
      <c r="AD3878" t="b">
        <f t="shared" ca="1" si="4034"/>
        <v>1</v>
      </c>
      <c r="AE3878" s="1" t="str">
        <f t="shared" ca="1" si="3988"/>
        <v>Garage 153</v>
      </c>
      <c r="AF3878" t="str">
        <f t="shared" ca="1" si="4032"/>
        <v>Garage 153</v>
      </c>
    </row>
    <row r="3879" spans="28:32" x14ac:dyDescent="0.25">
      <c r="AB3879" t="str">
        <f t="shared" ref="AB3879:AC3879" si="4043">AB3858</f>
        <v>Loading Bay</v>
      </c>
      <c r="AC3879" t="str">
        <f t="shared" si="4043"/>
        <v>Lift 3</v>
      </c>
      <c r="AD3879" t="b">
        <f t="shared" ca="1" si="4034"/>
        <v>1</v>
      </c>
      <c r="AE3879" s="1" t="str">
        <f t="shared" ca="1" si="3988"/>
        <v>Garage 153</v>
      </c>
      <c r="AF3879" t="str">
        <f t="shared" ca="1" si="4032"/>
        <v>Garage 153</v>
      </c>
    </row>
    <row r="3880" spans="28:32" x14ac:dyDescent="0.25">
      <c r="AB3880" t="str">
        <f t="shared" ref="AB3880:AC3880" si="4044">AB3859</f>
        <v>Loading Bay</v>
      </c>
      <c r="AC3880" t="str">
        <f t="shared" si="4044"/>
        <v>Lift 4</v>
      </c>
      <c r="AD3880" t="b">
        <f t="shared" ca="1" si="4034"/>
        <v>0</v>
      </c>
      <c r="AE3880" s="1" t="str">
        <f t="shared" ca="1" si="3988"/>
        <v>Garage 153</v>
      </c>
      <c r="AF3880" t="str">
        <f t="shared" ca="1" si="4032"/>
        <v>Garage 153</v>
      </c>
    </row>
    <row r="3881" spans="28:32" x14ac:dyDescent="0.25">
      <c r="AB3881" t="str">
        <f t="shared" ref="AB3881:AC3881" si="4045">AB3860</f>
        <v>Loading Bay</v>
      </c>
      <c r="AC3881" t="str">
        <f t="shared" si="4045"/>
        <v>Lift 5</v>
      </c>
      <c r="AD3881" t="b">
        <f t="shared" ca="1" si="4034"/>
        <v>0</v>
      </c>
      <c r="AE3881" s="1" t="str">
        <f t="shared" ca="1" si="3988"/>
        <v>Garage 153</v>
      </c>
      <c r="AF3881" t="str">
        <f t="shared" ca="1" si="4032"/>
        <v>Garage 153</v>
      </c>
    </row>
    <row r="3882" spans="28:32" x14ac:dyDescent="0.25">
      <c r="AB3882" t="str">
        <f t="shared" ref="AB3882:AC3882" si="4046">AB3861</f>
        <v>Loading Bay</v>
      </c>
      <c r="AC3882" t="str">
        <f t="shared" si="4046"/>
        <v>Lift 6</v>
      </c>
      <c r="AD3882" t="b">
        <f t="shared" ca="1" si="4034"/>
        <v>0</v>
      </c>
      <c r="AE3882" s="1" t="str">
        <f t="shared" ca="1" si="3988"/>
        <v>Garage 153</v>
      </c>
      <c r="AF3882" t="str">
        <f t="shared" ca="1" si="4032"/>
        <v>Garage 153</v>
      </c>
    </row>
    <row r="3883" spans="28:32" x14ac:dyDescent="0.25">
      <c r="AB3883" t="str">
        <f t="shared" ref="AB3883:AC3883" si="4047">AB3862</f>
        <v>Scaffolding Platform</v>
      </c>
      <c r="AC3883" t="str">
        <f t="shared" si="4047"/>
        <v>Ground Floor</v>
      </c>
      <c r="AD3883" t="b">
        <f t="shared" ca="1" si="4034"/>
        <v>1</v>
      </c>
      <c r="AE3883" s="1" t="str">
        <f t="shared" ca="1" si="3988"/>
        <v>Garage 153</v>
      </c>
      <c r="AF3883" t="str">
        <f t="shared" ca="1" si="4032"/>
        <v>Garage 153</v>
      </c>
    </row>
    <row r="3884" spans="28:32" x14ac:dyDescent="0.25">
      <c r="AB3884" t="str">
        <f t="shared" ref="AB3884:AC3884" si="4048">AB3863</f>
        <v>Scaffolding Platform</v>
      </c>
      <c r="AC3884" t="str">
        <f t="shared" si="4048"/>
        <v>First Floor</v>
      </c>
      <c r="AD3884" t="b">
        <f t="shared" ca="1" si="4034"/>
        <v>0</v>
      </c>
      <c r="AE3884" s="1" t="str">
        <f t="shared" ca="1" si="3988"/>
        <v>Garage 153</v>
      </c>
      <c r="AF3884" t="str">
        <f t="shared" ca="1" si="4032"/>
        <v>Garage 153</v>
      </c>
    </row>
    <row r="3885" spans="28:32" x14ac:dyDescent="0.25">
      <c r="AB3885" t="str">
        <f t="shared" ref="AB3885:AC3885" si="4049">AB3864</f>
        <v>Scaffolding Platform</v>
      </c>
      <c r="AC3885" t="str">
        <f t="shared" si="4049"/>
        <v>Second Floor</v>
      </c>
      <c r="AD3885" t="b">
        <f t="shared" ca="1" si="4034"/>
        <v>0</v>
      </c>
      <c r="AE3885" s="1" t="str">
        <f t="shared" ca="1" si="3988"/>
        <v>Garage 153</v>
      </c>
      <c r="AF3885" t="str">
        <f t="shared" ca="1" si="4032"/>
        <v>Garage 153</v>
      </c>
    </row>
    <row r="3886" spans="28:32" x14ac:dyDescent="0.25">
      <c r="AB3886" t="str">
        <f t="shared" ref="AB3886:AC3886" si="4050">AB3865</f>
        <v>Supporting Scaffold</v>
      </c>
      <c r="AC3886" t="str">
        <f t="shared" si="4050"/>
        <v>Ground Floor Prop.</v>
      </c>
      <c r="AD3886" t="str">
        <f t="shared" ca="1" si="4034"/>
        <v>FALSE</v>
      </c>
      <c r="AE3886" s="1" t="str">
        <f t="shared" ca="1" si="3988"/>
        <v>Garage 153</v>
      </c>
      <c r="AF3886" t="str">
        <f t="shared" ca="1" si="4032"/>
        <v>Garage 153</v>
      </c>
    </row>
    <row r="3887" spans="28:32" x14ac:dyDescent="0.25">
      <c r="AB3887" t="str">
        <f t="shared" ref="AB3887:AC3887" si="4051">AB3866</f>
        <v>Supporting Scaffold</v>
      </c>
      <c r="AC3887" t="str">
        <f t="shared" si="4051"/>
        <v>First Floor Prop.</v>
      </c>
      <c r="AD3887" t="str">
        <f t="shared" ca="1" si="4034"/>
        <v>FALSE</v>
      </c>
      <c r="AE3887" s="1" t="str">
        <f t="shared" ca="1" si="3988"/>
        <v>Garage 153</v>
      </c>
      <c r="AF3887" t="str">
        <f t="shared" ca="1" si="4032"/>
        <v>Garage 153</v>
      </c>
    </row>
    <row r="3888" spans="28:32" x14ac:dyDescent="0.25">
      <c r="AB3888" t="str">
        <f t="shared" ref="AB3888:AC3888" si="4052">AB3867</f>
        <v>Supporting Scaffold</v>
      </c>
      <c r="AC3888" t="str">
        <f t="shared" si="4052"/>
        <v>Second Floor Prop.</v>
      </c>
      <c r="AD3888" t="str">
        <f t="shared" ca="1" si="4034"/>
        <v>FALSE</v>
      </c>
      <c r="AE3888" s="1" t="str">
        <f t="shared" ca="1" si="3988"/>
        <v>Garage 153</v>
      </c>
      <c r="AF3888" t="str">
        <f t="shared" ca="1" si="4032"/>
        <v>Garage 153</v>
      </c>
    </row>
    <row r="3889" spans="28:32" x14ac:dyDescent="0.25">
      <c r="AB3889" t="str">
        <f t="shared" ref="AB3889:AC3889" si="4053">AB3868</f>
        <v>External Scaffolding</v>
      </c>
      <c r="AC3889" t="str">
        <f t="shared" si="4053"/>
        <v>Hop-ups</v>
      </c>
      <c r="AD3889" t="b">
        <f t="shared" ca="1" si="4034"/>
        <v>1</v>
      </c>
      <c r="AE3889" s="1" t="str">
        <f t="shared" ca="1" si="3988"/>
        <v>Garage 153</v>
      </c>
      <c r="AF3889" t="str">
        <f t="shared" ca="1" si="4032"/>
        <v>Garage 153</v>
      </c>
    </row>
    <row r="3890" spans="28:32" x14ac:dyDescent="0.25">
      <c r="AB3890" t="str">
        <f t="shared" ref="AB3890:AC3890" si="4054">AB3869</f>
        <v>External Scaffolding</v>
      </c>
      <c r="AC3890" t="str">
        <f t="shared" si="4054"/>
        <v>Adaptions</v>
      </c>
      <c r="AD3890" t="b">
        <f t="shared" ca="1" si="4034"/>
        <v>1</v>
      </c>
      <c r="AE3890" s="1" t="str">
        <f t="shared" ref="AE3890:AE3953" ca="1" si="4055">OFFSET($AD$1,0,FLOOR(ROW(B3862)/21,1))</f>
        <v>Garage 153</v>
      </c>
      <c r="AF3890" t="str">
        <f t="shared" ca="1" si="4032"/>
        <v>Garage 153</v>
      </c>
    </row>
    <row r="3891" spans="28:32" x14ac:dyDescent="0.25">
      <c r="AB3891" t="str">
        <f t="shared" ref="AB3891:AC3891" si="4056">AB3870</f>
        <v>External Scaffolding</v>
      </c>
      <c r="AC3891" t="str">
        <f t="shared" si="4056"/>
        <v>Adaption Tower</v>
      </c>
      <c r="AD3891" t="b">
        <f t="shared" ca="1" si="4034"/>
        <v>1</v>
      </c>
      <c r="AE3891" s="1" t="str">
        <f t="shared" ca="1" si="4055"/>
        <v>Garage 153</v>
      </c>
      <c r="AF3891" t="str">
        <f t="shared" ca="1" si="4032"/>
        <v>Garage 153</v>
      </c>
    </row>
    <row r="3892" spans="28:32" x14ac:dyDescent="0.25">
      <c r="AB3892" t="str">
        <f t="shared" ref="AB3892:AC3892" si="4057">AB3871</f>
        <v>External Scaffolding</v>
      </c>
      <c r="AC3892" t="str">
        <f t="shared" si="4057"/>
        <v>Lift 1</v>
      </c>
      <c r="AD3892" t="b">
        <f t="shared" ca="1" si="4034"/>
        <v>1</v>
      </c>
      <c r="AE3892" s="1" t="str">
        <f t="shared" ca="1" si="4055"/>
        <v>Garage 154</v>
      </c>
      <c r="AF3892" t="str">
        <f t="shared" ca="1" si="4032"/>
        <v>Garage 154</v>
      </c>
    </row>
    <row r="3893" spans="28:32" x14ac:dyDescent="0.25">
      <c r="AB3893" t="str">
        <f t="shared" ref="AB3893:AC3893" si="4058">AB3872</f>
        <v>External Scaffolding</v>
      </c>
      <c r="AC3893" t="str">
        <f t="shared" si="4058"/>
        <v>Lift 2</v>
      </c>
      <c r="AD3893" t="b">
        <f t="shared" ca="1" si="4034"/>
        <v>1</v>
      </c>
      <c r="AE3893" s="1" t="str">
        <f t="shared" ca="1" si="4055"/>
        <v>Garage 154</v>
      </c>
      <c r="AF3893" t="str">
        <f t="shared" ca="1" si="4032"/>
        <v>Garage 154</v>
      </c>
    </row>
    <row r="3894" spans="28:32" x14ac:dyDescent="0.25">
      <c r="AB3894" t="str">
        <f t="shared" ref="AB3894:AC3894" si="4059">AB3873</f>
        <v>External Scaffolding</v>
      </c>
      <c r="AC3894" t="str">
        <f t="shared" si="4059"/>
        <v>Lift 3</v>
      </c>
      <c r="AD3894" t="b">
        <f t="shared" ca="1" si="4034"/>
        <v>1</v>
      </c>
      <c r="AE3894" s="1" t="str">
        <f t="shared" ca="1" si="4055"/>
        <v>Garage 154</v>
      </c>
      <c r="AF3894" t="str">
        <f t="shared" ca="1" si="4032"/>
        <v>Garage 154</v>
      </c>
    </row>
    <row r="3895" spans="28:32" x14ac:dyDescent="0.25">
      <c r="AB3895" t="str">
        <f t="shared" ref="AB3895:AC3895" si="4060">AB3874</f>
        <v>External Scaffolding</v>
      </c>
      <c r="AC3895" t="str">
        <f t="shared" si="4060"/>
        <v>Lift 4</v>
      </c>
      <c r="AD3895" t="b">
        <f t="shared" ca="1" si="4034"/>
        <v>0</v>
      </c>
      <c r="AE3895" s="1" t="str">
        <f t="shared" ca="1" si="4055"/>
        <v>Garage 154</v>
      </c>
      <c r="AF3895" t="str">
        <f t="shared" ca="1" si="4032"/>
        <v>Garage 154</v>
      </c>
    </row>
    <row r="3896" spans="28:32" x14ac:dyDescent="0.25">
      <c r="AB3896" t="str">
        <f t="shared" ref="AB3896:AC3896" si="4061">AB3875</f>
        <v>External Scaffolding</v>
      </c>
      <c r="AC3896" t="str">
        <f t="shared" si="4061"/>
        <v>Lift 5</v>
      </c>
      <c r="AD3896" t="b">
        <f t="shared" ca="1" si="4034"/>
        <v>0</v>
      </c>
      <c r="AE3896" s="1" t="str">
        <f t="shared" ca="1" si="4055"/>
        <v>Garage 154</v>
      </c>
      <c r="AF3896" t="str">
        <f t="shared" ca="1" si="4032"/>
        <v>Garage 154</v>
      </c>
    </row>
    <row r="3897" spans="28:32" x14ac:dyDescent="0.25">
      <c r="AB3897" t="str">
        <f t="shared" ref="AB3897:AC3897" si="4062">AB3876</f>
        <v>External Scaffolding</v>
      </c>
      <c r="AC3897" t="str">
        <f t="shared" si="4062"/>
        <v>Lift 6</v>
      </c>
      <c r="AD3897" t="b">
        <f t="shared" ca="1" si="4034"/>
        <v>0</v>
      </c>
      <c r="AE3897" s="1" t="str">
        <f t="shared" ca="1" si="4055"/>
        <v>Garage 154</v>
      </c>
      <c r="AF3897" t="str">
        <f t="shared" ca="1" si="4032"/>
        <v>Garage 154</v>
      </c>
    </row>
    <row r="3898" spans="28:32" x14ac:dyDescent="0.25">
      <c r="AB3898" t="str">
        <f t="shared" ref="AB3898:AC3898" si="4063">AB3877</f>
        <v>Loading Bay</v>
      </c>
      <c r="AC3898" t="str">
        <f t="shared" si="4063"/>
        <v>Lift 1</v>
      </c>
      <c r="AD3898" t="b">
        <f t="shared" ca="1" si="4034"/>
        <v>1</v>
      </c>
      <c r="AE3898" s="1" t="str">
        <f t="shared" ca="1" si="4055"/>
        <v>Garage 154</v>
      </c>
      <c r="AF3898" t="str">
        <f t="shared" ca="1" si="4032"/>
        <v>Garage 154</v>
      </c>
    </row>
    <row r="3899" spans="28:32" x14ac:dyDescent="0.25">
      <c r="AB3899" t="str">
        <f t="shared" ref="AB3899:AC3899" si="4064">AB3878</f>
        <v>Loading Bay</v>
      </c>
      <c r="AC3899" t="str">
        <f t="shared" si="4064"/>
        <v>Lift 2</v>
      </c>
      <c r="AD3899" t="b">
        <f t="shared" ca="1" si="4034"/>
        <v>1</v>
      </c>
      <c r="AE3899" s="1" t="str">
        <f t="shared" ca="1" si="4055"/>
        <v>Garage 154</v>
      </c>
      <c r="AF3899" t="str">
        <f t="shared" ca="1" si="4032"/>
        <v>Garage 154</v>
      </c>
    </row>
    <row r="3900" spans="28:32" x14ac:dyDescent="0.25">
      <c r="AB3900" t="str">
        <f t="shared" ref="AB3900:AC3900" si="4065">AB3879</f>
        <v>Loading Bay</v>
      </c>
      <c r="AC3900" t="str">
        <f t="shared" si="4065"/>
        <v>Lift 3</v>
      </c>
      <c r="AD3900" t="b">
        <f t="shared" ca="1" si="4034"/>
        <v>1</v>
      </c>
      <c r="AE3900" s="1" t="str">
        <f t="shared" ca="1" si="4055"/>
        <v>Garage 154</v>
      </c>
      <c r="AF3900" t="str">
        <f t="shared" ca="1" si="4032"/>
        <v>Garage 154</v>
      </c>
    </row>
    <row r="3901" spans="28:32" x14ac:dyDescent="0.25">
      <c r="AB3901" t="str">
        <f t="shared" ref="AB3901:AC3901" si="4066">AB3880</f>
        <v>Loading Bay</v>
      </c>
      <c r="AC3901" t="str">
        <f t="shared" si="4066"/>
        <v>Lift 4</v>
      </c>
      <c r="AD3901" t="b">
        <f t="shared" ca="1" si="4034"/>
        <v>0</v>
      </c>
      <c r="AE3901" s="1" t="str">
        <f t="shared" ca="1" si="4055"/>
        <v>Garage 154</v>
      </c>
      <c r="AF3901" t="str">
        <f t="shared" ca="1" si="4032"/>
        <v>Garage 154</v>
      </c>
    </row>
    <row r="3902" spans="28:32" x14ac:dyDescent="0.25">
      <c r="AB3902" t="str">
        <f t="shared" ref="AB3902:AC3902" si="4067">AB3881</f>
        <v>Loading Bay</v>
      </c>
      <c r="AC3902" t="str">
        <f t="shared" si="4067"/>
        <v>Lift 5</v>
      </c>
      <c r="AD3902" t="b">
        <f t="shared" ca="1" si="4034"/>
        <v>0</v>
      </c>
      <c r="AE3902" s="1" t="str">
        <f t="shared" ca="1" si="4055"/>
        <v>Garage 154</v>
      </c>
      <c r="AF3902" t="str">
        <f t="shared" ca="1" si="4032"/>
        <v>Garage 154</v>
      </c>
    </row>
    <row r="3903" spans="28:32" x14ac:dyDescent="0.25">
      <c r="AB3903" t="str">
        <f t="shared" ref="AB3903:AC3903" si="4068">AB3882</f>
        <v>Loading Bay</v>
      </c>
      <c r="AC3903" t="str">
        <f t="shared" si="4068"/>
        <v>Lift 6</v>
      </c>
      <c r="AD3903" t="b">
        <f t="shared" ca="1" si="4034"/>
        <v>0</v>
      </c>
      <c r="AE3903" s="1" t="str">
        <f t="shared" ca="1" si="4055"/>
        <v>Garage 154</v>
      </c>
      <c r="AF3903" t="str">
        <f t="shared" ca="1" si="4032"/>
        <v>Garage 154</v>
      </c>
    </row>
    <row r="3904" spans="28:32" x14ac:dyDescent="0.25">
      <c r="AB3904" t="str">
        <f t="shared" ref="AB3904:AC3904" si="4069">AB3883</f>
        <v>Scaffolding Platform</v>
      </c>
      <c r="AC3904" t="str">
        <f t="shared" si="4069"/>
        <v>Ground Floor</v>
      </c>
      <c r="AD3904" t="b">
        <f t="shared" ca="1" si="4034"/>
        <v>1</v>
      </c>
      <c r="AE3904" s="1" t="str">
        <f t="shared" ca="1" si="4055"/>
        <v>Garage 154</v>
      </c>
      <c r="AF3904" t="str">
        <f t="shared" ca="1" si="4032"/>
        <v>Garage 154</v>
      </c>
    </row>
    <row r="3905" spans="28:32" x14ac:dyDescent="0.25">
      <c r="AB3905" t="str">
        <f t="shared" ref="AB3905:AC3905" si="4070">AB3884</f>
        <v>Scaffolding Platform</v>
      </c>
      <c r="AC3905" t="str">
        <f t="shared" si="4070"/>
        <v>First Floor</v>
      </c>
      <c r="AD3905" t="b">
        <f t="shared" ca="1" si="4034"/>
        <v>0</v>
      </c>
      <c r="AE3905" s="1" t="str">
        <f t="shared" ca="1" si="4055"/>
        <v>Garage 154</v>
      </c>
      <c r="AF3905" t="str">
        <f t="shared" ca="1" si="4032"/>
        <v>Garage 154</v>
      </c>
    </row>
    <row r="3906" spans="28:32" x14ac:dyDescent="0.25">
      <c r="AB3906" t="str">
        <f t="shared" ref="AB3906:AC3906" si="4071">AB3885</f>
        <v>Scaffolding Platform</v>
      </c>
      <c r="AC3906" t="str">
        <f t="shared" si="4071"/>
        <v>Second Floor</v>
      </c>
      <c r="AD3906" t="b">
        <f t="shared" ca="1" si="4034"/>
        <v>0</v>
      </c>
      <c r="AE3906" s="1" t="str">
        <f t="shared" ca="1" si="4055"/>
        <v>Garage 154</v>
      </c>
      <c r="AF3906" t="str">
        <f t="shared" ca="1" si="4032"/>
        <v>Garage 154</v>
      </c>
    </row>
    <row r="3907" spans="28:32" x14ac:dyDescent="0.25">
      <c r="AB3907" t="str">
        <f t="shared" ref="AB3907:AC3907" si="4072">AB3886</f>
        <v>Supporting Scaffold</v>
      </c>
      <c r="AC3907" t="str">
        <f t="shared" si="4072"/>
        <v>Ground Floor Prop.</v>
      </c>
      <c r="AD3907" t="str">
        <f t="shared" ca="1" si="4034"/>
        <v>FALSE</v>
      </c>
      <c r="AE3907" s="1" t="str">
        <f t="shared" ca="1" si="4055"/>
        <v>Garage 154</v>
      </c>
      <c r="AF3907" t="str">
        <f t="shared" ca="1" si="4032"/>
        <v>Garage 154</v>
      </c>
    </row>
    <row r="3908" spans="28:32" x14ac:dyDescent="0.25">
      <c r="AB3908" t="str">
        <f t="shared" ref="AB3908:AC3908" si="4073">AB3887</f>
        <v>Supporting Scaffold</v>
      </c>
      <c r="AC3908" t="str">
        <f t="shared" si="4073"/>
        <v>First Floor Prop.</v>
      </c>
      <c r="AD3908" t="str">
        <f t="shared" ca="1" si="4034"/>
        <v>FALSE</v>
      </c>
      <c r="AE3908" s="1" t="str">
        <f t="shared" ca="1" si="4055"/>
        <v>Garage 154</v>
      </c>
      <c r="AF3908" t="str">
        <f t="shared" ca="1" si="4032"/>
        <v>Garage 154</v>
      </c>
    </row>
    <row r="3909" spans="28:32" x14ac:dyDescent="0.25">
      <c r="AB3909" t="str">
        <f t="shared" ref="AB3909:AC3909" si="4074">AB3888</f>
        <v>Supporting Scaffold</v>
      </c>
      <c r="AC3909" t="str">
        <f t="shared" si="4074"/>
        <v>Second Floor Prop.</v>
      </c>
      <c r="AD3909" t="str">
        <f t="shared" ca="1" si="4034"/>
        <v>FALSE</v>
      </c>
      <c r="AE3909" s="1" t="str">
        <f t="shared" ca="1" si="4055"/>
        <v>Garage 154</v>
      </c>
      <c r="AF3909" t="str">
        <f t="shared" ca="1" si="4032"/>
        <v>Garage 154</v>
      </c>
    </row>
    <row r="3910" spans="28:32" x14ac:dyDescent="0.25">
      <c r="AB3910" t="str">
        <f t="shared" ref="AB3910:AC3910" si="4075">AB3889</f>
        <v>External Scaffolding</v>
      </c>
      <c r="AC3910" t="str">
        <f t="shared" si="4075"/>
        <v>Hop-ups</v>
      </c>
      <c r="AD3910" t="b">
        <f t="shared" ca="1" si="4034"/>
        <v>1</v>
      </c>
      <c r="AE3910" s="1" t="str">
        <f t="shared" ca="1" si="4055"/>
        <v>Garage 154</v>
      </c>
      <c r="AF3910" t="str">
        <f t="shared" ca="1" si="4032"/>
        <v>Garage 154</v>
      </c>
    </row>
    <row r="3911" spans="28:32" x14ac:dyDescent="0.25">
      <c r="AB3911" t="str">
        <f t="shared" ref="AB3911:AC3911" si="4076">AB3890</f>
        <v>External Scaffolding</v>
      </c>
      <c r="AC3911" t="str">
        <f t="shared" si="4076"/>
        <v>Adaptions</v>
      </c>
      <c r="AD3911" t="b">
        <f t="shared" ca="1" si="4034"/>
        <v>1</v>
      </c>
      <c r="AE3911" s="1" t="str">
        <f t="shared" ca="1" si="4055"/>
        <v>Garage 154</v>
      </c>
      <c r="AF3911" t="str">
        <f t="shared" ca="1" si="4032"/>
        <v>Garage 154</v>
      </c>
    </row>
    <row r="3912" spans="28:32" x14ac:dyDescent="0.25">
      <c r="AB3912" t="str">
        <f t="shared" ref="AB3912:AC3912" si="4077">AB3891</f>
        <v>External Scaffolding</v>
      </c>
      <c r="AC3912" t="str">
        <f t="shared" si="4077"/>
        <v>Adaption Tower</v>
      </c>
      <c r="AD3912" t="b">
        <f t="shared" ca="1" si="4034"/>
        <v>1</v>
      </c>
      <c r="AE3912" s="1" t="str">
        <f t="shared" ca="1" si="4055"/>
        <v>Garage 154</v>
      </c>
      <c r="AF3912" t="str">
        <f t="shared" ca="1" si="4032"/>
        <v>Garage 154</v>
      </c>
    </row>
    <row r="3913" spans="28:32" x14ac:dyDescent="0.25">
      <c r="AB3913" t="str">
        <f t="shared" ref="AB3913:AC3913" si="4078">AB3892</f>
        <v>External Scaffolding</v>
      </c>
      <c r="AC3913" t="str">
        <f t="shared" si="4078"/>
        <v>Lift 1</v>
      </c>
      <c r="AD3913" t="b">
        <f t="shared" ca="1" si="4034"/>
        <v>1</v>
      </c>
      <c r="AE3913" s="1" t="str">
        <f t="shared" ca="1" si="4055"/>
        <v>Garage 157</v>
      </c>
      <c r="AF3913" t="str">
        <f t="shared" ca="1" si="4032"/>
        <v>Garage 157</v>
      </c>
    </row>
    <row r="3914" spans="28:32" x14ac:dyDescent="0.25">
      <c r="AB3914" t="str">
        <f t="shared" ref="AB3914:AC3914" si="4079">AB3893</f>
        <v>External Scaffolding</v>
      </c>
      <c r="AC3914" t="str">
        <f t="shared" si="4079"/>
        <v>Lift 2</v>
      </c>
      <c r="AD3914" t="b">
        <f t="shared" ca="1" si="4034"/>
        <v>1</v>
      </c>
      <c r="AE3914" s="1" t="str">
        <f t="shared" ca="1" si="4055"/>
        <v>Garage 157</v>
      </c>
      <c r="AF3914" t="str">
        <f t="shared" ca="1" si="4032"/>
        <v>Garage 157</v>
      </c>
    </row>
    <row r="3915" spans="28:32" x14ac:dyDescent="0.25">
      <c r="AB3915" t="str">
        <f t="shared" ref="AB3915:AC3915" si="4080">AB3894</f>
        <v>External Scaffolding</v>
      </c>
      <c r="AC3915" t="str">
        <f t="shared" si="4080"/>
        <v>Lift 3</v>
      </c>
      <c r="AD3915" t="b">
        <f t="shared" ca="1" si="4034"/>
        <v>1</v>
      </c>
      <c r="AE3915" s="1" t="str">
        <f t="shared" ca="1" si="4055"/>
        <v>Garage 157</v>
      </c>
      <c r="AF3915" t="str">
        <f t="shared" ca="1" si="4032"/>
        <v>Garage 157</v>
      </c>
    </row>
    <row r="3916" spans="28:32" x14ac:dyDescent="0.25">
      <c r="AB3916" t="str">
        <f t="shared" ref="AB3916:AC3916" si="4081">AB3895</f>
        <v>External Scaffolding</v>
      </c>
      <c r="AC3916" t="str">
        <f t="shared" si="4081"/>
        <v>Lift 4</v>
      </c>
      <c r="AD3916" t="b">
        <f t="shared" ca="1" si="4034"/>
        <v>0</v>
      </c>
      <c r="AE3916" s="1" t="str">
        <f t="shared" ca="1" si="4055"/>
        <v>Garage 157</v>
      </c>
      <c r="AF3916" t="str">
        <f t="shared" ca="1" si="4032"/>
        <v>Garage 157</v>
      </c>
    </row>
    <row r="3917" spans="28:32" x14ac:dyDescent="0.25">
      <c r="AB3917" t="str">
        <f t="shared" ref="AB3917:AC3917" si="4082">AB3896</f>
        <v>External Scaffolding</v>
      </c>
      <c r="AC3917" t="str">
        <f t="shared" si="4082"/>
        <v>Lift 5</v>
      </c>
      <c r="AD3917" t="b">
        <f t="shared" ca="1" si="4034"/>
        <v>0</v>
      </c>
      <c r="AE3917" s="1" t="str">
        <f t="shared" ca="1" si="4055"/>
        <v>Garage 157</v>
      </c>
      <c r="AF3917" t="str">
        <f t="shared" ca="1" si="4032"/>
        <v>Garage 157</v>
      </c>
    </row>
    <row r="3918" spans="28:32" x14ac:dyDescent="0.25">
      <c r="AB3918" t="str">
        <f t="shared" ref="AB3918:AC3918" si="4083">AB3897</f>
        <v>External Scaffolding</v>
      </c>
      <c r="AC3918" t="str">
        <f t="shared" si="4083"/>
        <v>Lift 6</v>
      </c>
      <c r="AD3918" t="b">
        <f t="shared" ca="1" si="4034"/>
        <v>0</v>
      </c>
      <c r="AE3918" s="1" t="str">
        <f t="shared" ca="1" si="4055"/>
        <v>Garage 157</v>
      </c>
      <c r="AF3918" t="str">
        <f t="shared" ca="1" si="4032"/>
        <v>Garage 157</v>
      </c>
    </row>
    <row r="3919" spans="28:32" x14ac:dyDescent="0.25">
      <c r="AB3919" t="str">
        <f t="shared" ref="AB3919:AC3919" si="4084">AB3898</f>
        <v>Loading Bay</v>
      </c>
      <c r="AC3919" t="str">
        <f t="shared" si="4084"/>
        <v>Lift 1</v>
      </c>
      <c r="AD3919" t="b">
        <f t="shared" ca="1" si="4034"/>
        <v>1</v>
      </c>
      <c r="AE3919" s="1" t="str">
        <f t="shared" ca="1" si="4055"/>
        <v>Garage 157</v>
      </c>
      <c r="AF3919" t="str">
        <f t="shared" ca="1" si="4032"/>
        <v>Garage 157</v>
      </c>
    </row>
    <row r="3920" spans="28:32" x14ac:dyDescent="0.25">
      <c r="AB3920" t="str">
        <f t="shared" ref="AB3920:AC3920" si="4085">AB3899</f>
        <v>Loading Bay</v>
      </c>
      <c r="AC3920" t="str">
        <f t="shared" si="4085"/>
        <v>Lift 2</v>
      </c>
      <c r="AD3920" t="b">
        <f t="shared" ca="1" si="4034"/>
        <v>1</v>
      </c>
      <c r="AE3920" s="1" t="str">
        <f t="shared" ca="1" si="4055"/>
        <v>Garage 157</v>
      </c>
      <c r="AF3920" t="str">
        <f t="shared" ca="1" si="4032"/>
        <v>Garage 157</v>
      </c>
    </row>
    <row r="3921" spans="28:32" x14ac:dyDescent="0.25">
      <c r="AB3921" t="str">
        <f t="shared" ref="AB3921:AC3921" si="4086">AB3900</f>
        <v>Loading Bay</v>
      </c>
      <c r="AC3921" t="str">
        <f t="shared" si="4086"/>
        <v>Lift 3</v>
      </c>
      <c r="AD3921" t="b">
        <f t="shared" ca="1" si="4034"/>
        <v>1</v>
      </c>
      <c r="AE3921" s="1" t="str">
        <f t="shared" ca="1" si="4055"/>
        <v>Garage 157</v>
      </c>
      <c r="AF3921" t="str">
        <f t="shared" ca="1" si="4032"/>
        <v>Garage 157</v>
      </c>
    </row>
    <row r="3922" spans="28:32" x14ac:dyDescent="0.25">
      <c r="AB3922" t="str">
        <f t="shared" ref="AB3922:AC3922" si="4087">AB3901</f>
        <v>Loading Bay</v>
      </c>
      <c r="AC3922" t="str">
        <f t="shared" si="4087"/>
        <v>Lift 4</v>
      </c>
      <c r="AD3922" t="b">
        <f t="shared" ca="1" si="4034"/>
        <v>0</v>
      </c>
      <c r="AE3922" s="1" t="str">
        <f t="shared" ca="1" si="4055"/>
        <v>Garage 157</v>
      </c>
      <c r="AF3922" t="str">
        <f t="shared" ca="1" si="4032"/>
        <v>Garage 157</v>
      </c>
    </row>
    <row r="3923" spans="28:32" x14ac:dyDescent="0.25">
      <c r="AB3923" t="str">
        <f t="shared" ref="AB3923:AC3923" si="4088">AB3902</f>
        <v>Loading Bay</v>
      </c>
      <c r="AC3923" t="str">
        <f t="shared" si="4088"/>
        <v>Lift 5</v>
      </c>
      <c r="AD3923" t="b">
        <f t="shared" ca="1" si="4034"/>
        <v>0</v>
      </c>
      <c r="AE3923" s="1" t="str">
        <f t="shared" ca="1" si="4055"/>
        <v>Garage 157</v>
      </c>
      <c r="AF3923" t="str">
        <f t="shared" ca="1" si="4032"/>
        <v>Garage 157</v>
      </c>
    </row>
    <row r="3924" spans="28:32" x14ac:dyDescent="0.25">
      <c r="AB3924" t="str">
        <f t="shared" ref="AB3924:AC3924" si="4089">AB3903</f>
        <v>Loading Bay</v>
      </c>
      <c r="AC3924" t="str">
        <f t="shared" si="4089"/>
        <v>Lift 6</v>
      </c>
      <c r="AD3924" t="b">
        <f t="shared" ca="1" si="4034"/>
        <v>0</v>
      </c>
      <c r="AE3924" s="1" t="str">
        <f t="shared" ca="1" si="4055"/>
        <v>Garage 157</v>
      </c>
      <c r="AF3924" t="str">
        <f t="shared" ca="1" si="4032"/>
        <v>Garage 157</v>
      </c>
    </row>
    <row r="3925" spans="28:32" x14ac:dyDescent="0.25">
      <c r="AB3925" t="str">
        <f t="shared" ref="AB3925:AC3925" si="4090">AB3904</f>
        <v>Scaffolding Platform</v>
      </c>
      <c r="AC3925" t="str">
        <f t="shared" si="4090"/>
        <v>Ground Floor</v>
      </c>
      <c r="AD3925" t="b">
        <f t="shared" ca="1" si="4034"/>
        <v>1</v>
      </c>
      <c r="AE3925" s="1" t="str">
        <f t="shared" ca="1" si="4055"/>
        <v>Garage 157</v>
      </c>
      <c r="AF3925" t="str">
        <f t="shared" ca="1" si="4032"/>
        <v>Garage 157</v>
      </c>
    </row>
    <row r="3926" spans="28:32" x14ac:dyDescent="0.25">
      <c r="AB3926" t="str">
        <f t="shared" ref="AB3926:AC3926" si="4091">AB3905</f>
        <v>Scaffolding Platform</v>
      </c>
      <c r="AC3926" t="str">
        <f t="shared" si="4091"/>
        <v>First Floor</v>
      </c>
      <c r="AD3926" t="b">
        <f t="shared" ca="1" si="4034"/>
        <v>0</v>
      </c>
      <c r="AE3926" s="1" t="str">
        <f t="shared" ca="1" si="4055"/>
        <v>Garage 157</v>
      </c>
      <c r="AF3926" t="str">
        <f t="shared" ca="1" si="4032"/>
        <v>Garage 157</v>
      </c>
    </row>
    <row r="3927" spans="28:32" x14ac:dyDescent="0.25">
      <c r="AB3927" t="str">
        <f t="shared" ref="AB3927:AC3927" si="4092">AB3906</f>
        <v>Scaffolding Platform</v>
      </c>
      <c r="AC3927" t="str">
        <f t="shared" si="4092"/>
        <v>Second Floor</v>
      </c>
      <c r="AD3927" t="b">
        <f t="shared" ca="1" si="4034"/>
        <v>0</v>
      </c>
      <c r="AE3927" s="1" t="str">
        <f t="shared" ca="1" si="4055"/>
        <v>Garage 157</v>
      </c>
      <c r="AF3927" t="str">
        <f t="shared" ca="1" si="4032"/>
        <v>Garage 157</v>
      </c>
    </row>
    <row r="3928" spans="28:32" x14ac:dyDescent="0.25">
      <c r="AB3928" t="str">
        <f t="shared" ref="AB3928:AC3928" si="4093">AB3907</f>
        <v>Supporting Scaffold</v>
      </c>
      <c r="AC3928" t="str">
        <f t="shared" si="4093"/>
        <v>Ground Floor Prop.</v>
      </c>
      <c r="AD3928" t="str">
        <f t="shared" ca="1" si="4034"/>
        <v>FALSE</v>
      </c>
      <c r="AE3928" s="1" t="str">
        <f t="shared" ca="1" si="4055"/>
        <v>Garage 157</v>
      </c>
      <c r="AF3928" t="str">
        <f t="shared" ca="1" si="4032"/>
        <v>Garage 157</v>
      </c>
    </row>
    <row r="3929" spans="28:32" x14ac:dyDescent="0.25">
      <c r="AB3929" t="str">
        <f t="shared" ref="AB3929:AC3929" si="4094">AB3908</f>
        <v>Supporting Scaffold</v>
      </c>
      <c r="AC3929" t="str">
        <f t="shared" si="4094"/>
        <v>First Floor Prop.</v>
      </c>
      <c r="AD3929" t="str">
        <f t="shared" ca="1" si="4034"/>
        <v>FALSE</v>
      </c>
      <c r="AE3929" s="1" t="str">
        <f t="shared" ca="1" si="4055"/>
        <v>Garage 157</v>
      </c>
      <c r="AF3929" t="str">
        <f t="shared" ca="1" si="4032"/>
        <v>Garage 157</v>
      </c>
    </row>
    <row r="3930" spans="28:32" x14ac:dyDescent="0.25">
      <c r="AB3930" t="str">
        <f t="shared" ref="AB3930:AC3930" si="4095">AB3909</f>
        <v>Supporting Scaffold</v>
      </c>
      <c r="AC3930" t="str">
        <f t="shared" si="4095"/>
        <v>Second Floor Prop.</v>
      </c>
      <c r="AD3930" t="str">
        <f t="shared" ca="1" si="4034"/>
        <v>FALSE</v>
      </c>
      <c r="AE3930" s="1" t="str">
        <f t="shared" ca="1" si="4055"/>
        <v>Garage 157</v>
      </c>
      <c r="AF3930" t="str">
        <f t="shared" ca="1" si="4032"/>
        <v>Garage 157</v>
      </c>
    </row>
    <row r="3931" spans="28:32" x14ac:dyDescent="0.25">
      <c r="AB3931" t="str">
        <f t="shared" ref="AB3931:AC3931" si="4096">AB3910</f>
        <v>External Scaffolding</v>
      </c>
      <c r="AC3931" t="str">
        <f t="shared" si="4096"/>
        <v>Hop-ups</v>
      </c>
      <c r="AD3931" t="b">
        <f t="shared" ca="1" si="4034"/>
        <v>1</v>
      </c>
      <c r="AE3931" s="1" t="str">
        <f t="shared" ca="1" si="4055"/>
        <v>Garage 157</v>
      </c>
      <c r="AF3931" t="str">
        <f t="shared" ca="1" si="4032"/>
        <v>Garage 157</v>
      </c>
    </row>
    <row r="3932" spans="28:32" x14ac:dyDescent="0.25">
      <c r="AB3932" t="str">
        <f t="shared" ref="AB3932:AC3932" si="4097">AB3911</f>
        <v>External Scaffolding</v>
      </c>
      <c r="AC3932" t="str">
        <f t="shared" si="4097"/>
        <v>Adaptions</v>
      </c>
      <c r="AD3932" t="b">
        <f t="shared" ca="1" si="4034"/>
        <v>1</v>
      </c>
      <c r="AE3932" s="1" t="str">
        <f t="shared" ca="1" si="4055"/>
        <v>Garage 157</v>
      </c>
      <c r="AF3932" t="str">
        <f t="shared" ca="1" si="4032"/>
        <v>Garage 157</v>
      </c>
    </row>
    <row r="3933" spans="28:32" x14ac:dyDescent="0.25">
      <c r="AB3933" t="str">
        <f t="shared" ref="AB3933:AC3933" si="4098">AB3912</f>
        <v>External Scaffolding</v>
      </c>
      <c r="AC3933" t="str">
        <f t="shared" si="4098"/>
        <v>Adaption Tower</v>
      </c>
      <c r="AD3933" t="b">
        <f t="shared" ca="1" si="4034"/>
        <v>1</v>
      </c>
      <c r="AE3933" s="1" t="str">
        <f t="shared" ca="1" si="4055"/>
        <v>Garage 157</v>
      </c>
      <c r="AF3933" t="str">
        <f t="shared" ref="AF3933:AF3996" ca="1" si="4099">IF(LEFT(AE3933,1)="G",AE3933,"Plot "&amp;AE3933)</f>
        <v>Garage 157</v>
      </c>
    </row>
    <row r="3934" spans="28:32" x14ac:dyDescent="0.25">
      <c r="AB3934" t="str">
        <f t="shared" ref="AB3934:AC3934" si="4100">AB3913</f>
        <v>External Scaffolding</v>
      </c>
      <c r="AC3934" t="str">
        <f t="shared" si="4100"/>
        <v>Lift 1</v>
      </c>
      <c r="AD3934" t="b">
        <f t="shared" ref="AD3934:AD3997" ca="1" si="4101">INDEX($AC$1:$JH$22,MATCH(AC3934,$AC$1:$AC$22,0),MATCH(AE3934,$AC$1:$JH$1,0))</f>
        <v>1</v>
      </c>
      <c r="AE3934" s="1" t="str">
        <f t="shared" ca="1" si="4055"/>
        <v>Garage 158-159</v>
      </c>
      <c r="AF3934" t="str">
        <f t="shared" ca="1" si="4099"/>
        <v>Garage 158-159</v>
      </c>
    </row>
    <row r="3935" spans="28:32" x14ac:dyDescent="0.25">
      <c r="AB3935" t="str">
        <f t="shared" ref="AB3935:AC3935" si="4102">AB3914</f>
        <v>External Scaffolding</v>
      </c>
      <c r="AC3935" t="str">
        <f t="shared" si="4102"/>
        <v>Lift 2</v>
      </c>
      <c r="AD3935" t="b">
        <f t="shared" ca="1" si="4101"/>
        <v>1</v>
      </c>
      <c r="AE3935" s="1" t="str">
        <f t="shared" ca="1" si="4055"/>
        <v>Garage 158-159</v>
      </c>
      <c r="AF3935" t="str">
        <f t="shared" ca="1" si="4099"/>
        <v>Garage 158-159</v>
      </c>
    </row>
    <row r="3936" spans="28:32" x14ac:dyDescent="0.25">
      <c r="AB3936" t="str">
        <f t="shared" ref="AB3936:AC3936" si="4103">AB3915</f>
        <v>External Scaffolding</v>
      </c>
      <c r="AC3936" t="str">
        <f t="shared" si="4103"/>
        <v>Lift 3</v>
      </c>
      <c r="AD3936" t="b">
        <f t="shared" ca="1" si="4101"/>
        <v>1</v>
      </c>
      <c r="AE3936" s="1" t="str">
        <f t="shared" ca="1" si="4055"/>
        <v>Garage 158-159</v>
      </c>
      <c r="AF3936" t="str">
        <f t="shared" ca="1" si="4099"/>
        <v>Garage 158-159</v>
      </c>
    </row>
    <row r="3937" spans="28:32" x14ac:dyDescent="0.25">
      <c r="AB3937" t="str">
        <f t="shared" ref="AB3937:AC3937" si="4104">AB3916</f>
        <v>External Scaffolding</v>
      </c>
      <c r="AC3937" t="str">
        <f t="shared" si="4104"/>
        <v>Lift 4</v>
      </c>
      <c r="AD3937" t="b">
        <f t="shared" ca="1" si="4101"/>
        <v>0</v>
      </c>
      <c r="AE3937" s="1" t="str">
        <f t="shared" ca="1" si="4055"/>
        <v>Garage 158-159</v>
      </c>
      <c r="AF3937" t="str">
        <f t="shared" ca="1" si="4099"/>
        <v>Garage 158-159</v>
      </c>
    </row>
    <row r="3938" spans="28:32" x14ac:dyDescent="0.25">
      <c r="AB3938" t="str">
        <f t="shared" ref="AB3938:AC3938" si="4105">AB3917</f>
        <v>External Scaffolding</v>
      </c>
      <c r="AC3938" t="str">
        <f t="shared" si="4105"/>
        <v>Lift 5</v>
      </c>
      <c r="AD3938" t="b">
        <f t="shared" ca="1" si="4101"/>
        <v>0</v>
      </c>
      <c r="AE3938" s="1" t="str">
        <f t="shared" ca="1" si="4055"/>
        <v>Garage 158-159</v>
      </c>
      <c r="AF3938" t="str">
        <f t="shared" ca="1" si="4099"/>
        <v>Garage 158-159</v>
      </c>
    </row>
    <row r="3939" spans="28:32" x14ac:dyDescent="0.25">
      <c r="AB3939" t="str">
        <f t="shared" ref="AB3939:AC3939" si="4106">AB3918</f>
        <v>External Scaffolding</v>
      </c>
      <c r="AC3939" t="str">
        <f t="shared" si="4106"/>
        <v>Lift 6</v>
      </c>
      <c r="AD3939" t="b">
        <f t="shared" ca="1" si="4101"/>
        <v>0</v>
      </c>
      <c r="AE3939" s="1" t="str">
        <f t="shared" ca="1" si="4055"/>
        <v>Garage 158-159</v>
      </c>
      <c r="AF3939" t="str">
        <f t="shared" ca="1" si="4099"/>
        <v>Garage 158-159</v>
      </c>
    </row>
    <row r="3940" spans="28:32" x14ac:dyDescent="0.25">
      <c r="AB3940" t="str">
        <f t="shared" ref="AB3940:AC3940" si="4107">AB3919</f>
        <v>Loading Bay</v>
      </c>
      <c r="AC3940" t="str">
        <f t="shared" si="4107"/>
        <v>Lift 1</v>
      </c>
      <c r="AD3940" t="b">
        <f t="shared" ca="1" si="4101"/>
        <v>1</v>
      </c>
      <c r="AE3940" s="1" t="str">
        <f t="shared" ca="1" si="4055"/>
        <v>Garage 158-159</v>
      </c>
      <c r="AF3940" t="str">
        <f t="shared" ca="1" si="4099"/>
        <v>Garage 158-159</v>
      </c>
    </row>
    <row r="3941" spans="28:32" x14ac:dyDescent="0.25">
      <c r="AB3941" t="str">
        <f t="shared" ref="AB3941:AC3941" si="4108">AB3920</f>
        <v>Loading Bay</v>
      </c>
      <c r="AC3941" t="str">
        <f t="shared" si="4108"/>
        <v>Lift 2</v>
      </c>
      <c r="AD3941" t="b">
        <f t="shared" ca="1" si="4101"/>
        <v>1</v>
      </c>
      <c r="AE3941" s="1" t="str">
        <f t="shared" ca="1" si="4055"/>
        <v>Garage 158-159</v>
      </c>
      <c r="AF3941" t="str">
        <f t="shared" ca="1" si="4099"/>
        <v>Garage 158-159</v>
      </c>
    </row>
    <row r="3942" spans="28:32" x14ac:dyDescent="0.25">
      <c r="AB3942" t="str">
        <f t="shared" ref="AB3942:AC3942" si="4109">AB3921</f>
        <v>Loading Bay</v>
      </c>
      <c r="AC3942" t="str">
        <f t="shared" si="4109"/>
        <v>Lift 3</v>
      </c>
      <c r="AD3942" t="b">
        <f t="shared" ca="1" si="4101"/>
        <v>1</v>
      </c>
      <c r="AE3942" s="1" t="str">
        <f t="shared" ca="1" si="4055"/>
        <v>Garage 158-159</v>
      </c>
      <c r="AF3942" t="str">
        <f t="shared" ca="1" si="4099"/>
        <v>Garage 158-159</v>
      </c>
    </row>
    <row r="3943" spans="28:32" x14ac:dyDescent="0.25">
      <c r="AB3943" t="str">
        <f t="shared" ref="AB3943:AC3943" si="4110">AB3922</f>
        <v>Loading Bay</v>
      </c>
      <c r="AC3943" t="str">
        <f t="shared" si="4110"/>
        <v>Lift 4</v>
      </c>
      <c r="AD3943" t="b">
        <f t="shared" ca="1" si="4101"/>
        <v>0</v>
      </c>
      <c r="AE3943" s="1" t="str">
        <f t="shared" ca="1" si="4055"/>
        <v>Garage 158-159</v>
      </c>
      <c r="AF3943" t="str">
        <f t="shared" ca="1" si="4099"/>
        <v>Garage 158-159</v>
      </c>
    </row>
    <row r="3944" spans="28:32" x14ac:dyDescent="0.25">
      <c r="AB3944" t="str">
        <f t="shared" ref="AB3944:AC3944" si="4111">AB3923</f>
        <v>Loading Bay</v>
      </c>
      <c r="AC3944" t="str">
        <f t="shared" si="4111"/>
        <v>Lift 5</v>
      </c>
      <c r="AD3944" t="b">
        <f t="shared" ca="1" si="4101"/>
        <v>0</v>
      </c>
      <c r="AE3944" s="1" t="str">
        <f t="shared" ca="1" si="4055"/>
        <v>Garage 158-159</v>
      </c>
      <c r="AF3944" t="str">
        <f t="shared" ca="1" si="4099"/>
        <v>Garage 158-159</v>
      </c>
    </row>
    <row r="3945" spans="28:32" x14ac:dyDescent="0.25">
      <c r="AB3945" t="str">
        <f t="shared" ref="AB3945:AC3945" si="4112">AB3924</f>
        <v>Loading Bay</v>
      </c>
      <c r="AC3945" t="str">
        <f t="shared" si="4112"/>
        <v>Lift 6</v>
      </c>
      <c r="AD3945" t="b">
        <f t="shared" ca="1" si="4101"/>
        <v>0</v>
      </c>
      <c r="AE3945" s="1" t="str">
        <f t="shared" ca="1" si="4055"/>
        <v>Garage 158-159</v>
      </c>
      <c r="AF3945" t="str">
        <f t="shared" ca="1" si="4099"/>
        <v>Garage 158-159</v>
      </c>
    </row>
    <row r="3946" spans="28:32" x14ac:dyDescent="0.25">
      <c r="AB3946" t="str">
        <f t="shared" ref="AB3946:AC3946" si="4113">AB3925</f>
        <v>Scaffolding Platform</v>
      </c>
      <c r="AC3946" t="str">
        <f t="shared" si="4113"/>
        <v>Ground Floor</v>
      </c>
      <c r="AD3946" t="b">
        <f t="shared" ca="1" si="4101"/>
        <v>1</v>
      </c>
      <c r="AE3946" s="1" t="str">
        <f t="shared" ca="1" si="4055"/>
        <v>Garage 158-159</v>
      </c>
      <c r="AF3946" t="str">
        <f t="shared" ca="1" si="4099"/>
        <v>Garage 158-159</v>
      </c>
    </row>
    <row r="3947" spans="28:32" x14ac:dyDescent="0.25">
      <c r="AB3947" t="str">
        <f t="shared" ref="AB3947:AC3947" si="4114">AB3926</f>
        <v>Scaffolding Platform</v>
      </c>
      <c r="AC3947" t="str">
        <f t="shared" si="4114"/>
        <v>First Floor</v>
      </c>
      <c r="AD3947" t="b">
        <f t="shared" ca="1" si="4101"/>
        <v>0</v>
      </c>
      <c r="AE3947" s="1" t="str">
        <f t="shared" ca="1" si="4055"/>
        <v>Garage 158-159</v>
      </c>
      <c r="AF3947" t="str">
        <f t="shared" ca="1" si="4099"/>
        <v>Garage 158-159</v>
      </c>
    </row>
    <row r="3948" spans="28:32" x14ac:dyDescent="0.25">
      <c r="AB3948" t="str">
        <f t="shared" ref="AB3948:AC3948" si="4115">AB3927</f>
        <v>Scaffolding Platform</v>
      </c>
      <c r="AC3948" t="str">
        <f t="shared" si="4115"/>
        <v>Second Floor</v>
      </c>
      <c r="AD3948" t="b">
        <f t="shared" ca="1" si="4101"/>
        <v>0</v>
      </c>
      <c r="AE3948" s="1" t="str">
        <f t="shared" ca="1" si="4055"/>
        <v>Garage 158-159</v>
      </c>
      <c r="AF3948" t="str">
        <f t="shared" ca="1" si="4099"/>
        <v>Garage 158-159</v>
      </c>
    </row>
    <row r="3949" spans="28:32" x14ac:dyDescent="0.25">
      <c r="AB3949" t="str">
        <f t="shared" ref="AB3949:AC3949" si="4116">AB3928</f>
        <v>Supporting Scaffold</v>
      </c>
      <c r="AC3949" t="str">
        <f t="shared" si="4116"/>
        <v>Ground Floor Prop.</v>
      </c>
      <c r="AD3949" t="str">
        <f t="shared" ca="1" si="4101"/>
        <v>FALSE</v>
      </c>
      <c r="AE3949" s="1" t="str">
        <f t="shared" ca="1" si="4055"/>
        <v>Garage 158-159</v>
      </c>
      <c r="AF3949" t="str">
        <f t="shared" ca="1" si="4099"/>
        <v>Garage 158-159</v>
      </c>
    </row>
    <row r="3950" spans="28:32" x14ac:dyDescent="0.25">
      <c r="AB3950" t="str">
        <f t="shared" ref="AB3950:AC3950" si="4117">AB3929</f>
        <v>Supporting Scaffold</v>
      </c>
      <c r="AC3950" t="str">
        <f t="shared" si="4117"/>
        <v>First Floor Prop.</v>
      </c>
      <c r="AD3950" t="str">
        <f t="shared" ca="1" si="4101"/>
        <v>FALSE</v>
      </c>
      <c r="AE3950" s="1" t="str">
        <f t="shared" ca="1" si="4055"/>
        <v>Garage 158-159</v>
      </c>
      <c r="AF3950" t="str">
        <f t="shared" ca="1" si="4099"/>
        <v>Garage 158-159</v>
      </c>
    </row>
    <row r="3951" spans="28:32" x14ac:dyDescent="0.25">
      <c r="AB3951" t="str">
        <f t="shared" ref="AB3951:AC3951" si="4118">AB3930</f>
        <v>Supporting Scaffold</v>
      </c>
      <c r="AC3951" t="str">
        <f t="shared" si="4118"/>
        <v>Second Floor Prop.</v>
      </c>
      <c r="AD3951" t="str">
        <f t="shared" ca="1" si="4101"/>
        <v>FALSE</v>
      </c>
      <c r="AE3951" s="1" t="str">
        <f t="shared" ca="1" si="4055"/>
        <v>Garage 158-159</v>
      </c>
      <c r="AF3951" t="str">
        <f t="shared" ca="1" si="4099"/>
        <v>Garage 158-159</v>
      </c>
    </row>
    <row r="3952" spans="28:32" x14ac:dyDescent="0.25">
      <c r="AB3952" t="str">
        <f t="shared" ref="AB3952:AC3952" si="4119">AB3931</f>
        <v>External Scaffolding</v>
      </c>
      <c r="AC3952" t="str">
        <f t="shared" si="4119"/>
        <v>Hop-ups</v>
      </c>
      <c r="AD3952" t="b">
        <f t="shared" ca="1" si="4101"/>
        <v>1</v>
      </c>
      <c r="AE3952" s="1" t="str">
        <f t="shared" ca="1" si="4055"/>
        <v>Garage 158-159</v>
      </c>
      <c r="AF3952" t="str">
        <f t="shared" ca="1" si="4099"/>
        <v>Garage 158-159</v>
      </c>
    </row>
    <row r="3953" spans="28:32" x14ac:dyDescent="0.25">
      <c r="AB3953" t="str">
        <f t="shared" ref="AB3953:AC3953" si="4120">AB3932</f>
        <v>External Scaffolding</v>
      </c>
      <c r="AC3953" t="str">
        <f t="shared" si="4120"/>
        <v>Adaptions</v>
      </c>
      <c r="AD3953" t="b">
        <f t="shared" ca="1" si="4101"/>
        <v>1</v>
      </c>
      <c r="AE3953" s="1" t="str">
        <f t="shared" ca="1" si="4055"/>
        <v>Garage 158-159</v>
      </c>
      <c r="AF3953" t="str">
        <f t="shared" ca="1" si="4099"/>
        <v>Garage 158-159</v>
      </c>
    </row>
    <row r="3954" spans="28:32" x14ac:dyDescent="0.25">
      <c r="AB3954" t="str">
        <f t="shared" ref="AB3954:AC3954" si="4121">AB3933</f>
        <v>External Scaffolding</v>
      </c>
      <c r="AC3954" t="str">
        <f t="shared" si="4121"/>
        <v>Adaption Tower</v>
      </c>
      <c r="AD3954" t="b">
        <f t="shared" ca="1" si="4101"/>
        <v>1</v>
      </c>
      <c r="AE3954" s="1" t="str">
        <f t="shared" ref="AE3954:AE4017" ca="1" si="4122">OFFSET($AD$1,0,FLOOR(ROW(B3926)/21,1))</f>
        <v>Garage 158-159</v>
      </c>
      <c r="AF3954" t="str">
        <f t="shared" ca="1" si="4099"/>
        <v>Garage 158-159</v>
      </c>
    </row>
    <row r="3955" spans="28:32" x14ac:dyDescent="0.25">
      <c r="AB3955" t="str">
        <f t="shared" ref="AB3955:AC3955" si="4123">AB3934</f>
        <v>External Scaffolding</v>
      </c>
      <c r="AC3955" t="str">
        <f t="shared" si="4123"/>
        <v>Lift 1</v>
      </c>
      <c r="AD3955" t="b">
        <f t="shared" ca="1" si="4101"/>
        <v>1</v>
      </c>
      <c r="AE3955" s="1" t="str">
        <f t="shared" ca="1" si="4122"/>
        <v>Garage 164-165</v>
      </c>
      <c r="AF3955" t="str">
        <f t="shared" ca="1" si="4099"/>
        <v>Garage 164-165</v>
      </c>
    </row>
    <row r="3956" spans="28:32" x14ac:dyDescent="0.25">
      <c r="AB3956" t="str">
        <f t="shared" ref="AB3956:AC3956" si="4124">AB3935</f>
        <v>External Scaffolding</v>
      </c>
      <c r="AC3956" t="str">
        <f t="shared" si="4124"/>
        <v>Lift 2</v>
      </c>
      <c r="AD3956" t="b">
        <f t="shared" ca="1" si="4101"/>
        <v>1</v>
      </c>
      <c r="AE3956" s="1" t="str">
        <f t="shared" ca="1" si="4122"/>
        <v>Garage 164-165</v>
      </c>
      <c r="AF3956" t="str">
        <f t="shared" ca="1" si="4099"/>
        <v>Garage 164-165</v>
      </c>
    </row>
    <row r="3957" spans="28:32" x14ac:dyDescent="0.25">
      <c r="AB3957" t="str">
        <f t="shared" ref="AB3957:AC3957" si="4125">AB3936</f>
        <v>External Scaffolding</v>
      </c>
      <c r="AC3957" t="str">
        <f t="shared" si="4125"/>
        <v>Lift 3</v>
      </c>
      <c r="AD3957" t="b">
        <f t="shared" ca="1" si="4101"/>
        <v>1</v>
      </c>
      <c r="AE3957" s="1" t="str">
        <f t="shared" ca="1" si="4122"/>
        <v>Garage 164-165</v>
      </c>
      <c r="AF3957" t="str">
        <f t="shared" ca="1" si="4099"/>
        <v>Garage 164-165</v>
      </c>
    </row>
    <row r="3958" spans="28:32" x14ac:dyDescent="0.25">
      <c r="AB3958" t="str">
        <f t="shared" ref="AB3958:AC3958" si="4126">AB3937</f>
        <v>External Scaffolding</v>
      </c>
      <c r="AC3958" t="str">
        <f t="shared" si="4126"/>
        <v>Lift 4</v>
      </c>
      <c r="AD3958" t="b">
        <f t="shared" ca="1" si="4101"/>
        <v>0</v>
      </c>
      <c r="AE3958" s="1" t="str">
        <f t="shared" ca="1" si="4122"/>
        <v>Garage 164-165</v>
      </c>
      <c r="AF3958" t="str">
        <f t="shared" ca="1" si="4099"/>
        <v>Garage 164-165</v>
      </c>
    </row>
    <row r="3959" spans="28:32" x14ac:dyDescent="0.25">
      <c r="AB3959" t="str">
        <f t="shared" ref="AB3959:AC3959" si="4127">AB3938</f>
        <v>External Scaffolding</v>
      </c>
      <c r="AC3959" t="str">
        <f t="shared" si="4127"/>
        <v>Lift 5</v>
      </c>
      <c r="AD3959" t="b">
        <f t="shared" ca="1" si="4101"/>
        <v>0</v>
      </c>
      <c r="AE3959" s="1" t="str">
        <f t="shared" ca="1" si="4122"/>
        <v>Garage 164-165</v>
      </c>
      <c r="AF3959" t="str">
        <f t="shared" ca="1" si="4099"/>
        <v>Garage 164-165</v>
      </c>
    </row>
    <row r="3960" spans="28:32" x14ac:dyDescent="0.25">
      <c r="AB3960" t="str">
        <f t="shared" ref="AB3960:AC3960" si="4128">AB3939</f>
        <v>External Scaffolding</v>
      </c>
      <c r="AC3960" t="str">
        <f t="shared" si="4128"/>
        <v>Lift 6</v>
      </c>
      <c r="AD3960" t="b">
        <f t="shared" ca="1" si="4101"/>
        <v>0</v>
      </c>
      <c r="AE3960" s="1" t="str">
        <f t="shared" ca="1" si="4122"/>
        <v>Garage 164-165</v>
      </c>
      <c r="AF3960" t="str">
        <f t="shared" ca="1" si="4099"/>
        <v>Garage 164-165</v>
      </c>
    </row>
    <row r="3961" spans="28:32" x14ac:dyDescent="0.25">
      <c r="AB3961" t="str">
        <f t="shared" ref="AB3961:AC3961" si="4129">AB3940</f>
        <v>Loading Bay</v>
      </c>
      <c r="AC3961" t="str">
        <f t="shared" si="4129"/>
        <v>Lift 1</v>
      </c>
      <c r="AD3961" t="b">
        <f t="shared" ca="1" si="4101"/>
        <v>1</v>
      </c>
      <c r="AE3961" s="1" t="str">
        <f t="shared" ca="1" si="4122"/>
        <v>Garage 164-165</v>
      </c>
      <c r="AF3961" t="str">
        <f t="shared" ca="1" si="4099"/>
        <v>Garage 164-165</v>
      </c>
    </row>
    <row r="3962" spans="28:32" x14ac:dyDescent="0.25">
      <c r="AB3962" t="str">
        <f t="shared" ref="AB3962:AC3962" si="4130">AB3941</f>
        <v>Loading Bay</v>
      </c>
      <c r="AC3962" t="str">
        <f t="shared" si="4130"/>
        <v>Lift 2</v>
      </c>
      <c r="AD3962" t="b">
        <f t="shared" ca="1" si="4101"/>
        <v>1</v>
      </c>
      <c r="AE3962" s="1" t="str">
        <f t="shared" ca="1" si="4122"/>
        <v>Garage 164-165</v>
      </c>
      <c r="AF3962" t="str">
        <f t="shared" ca="1" si="4099"/>
        <v>Garage 164-165</v>
      </c>
    </row>
    <row r="3963" spans="28:32" x14ac:dyDescent="0.25">
      <c r="AB3963" t="str">
        <f t="shared" ref="AB3963:AC3963" si="4131">AB3942</f>
        <v>Loading Bay</v>
      </c>
      <c r="AC3963" t="str">
        <f t="shared" si="4131"/>
        <v>Lift 3</v>
      </c>
      <c r="AD3963" t="b">
        <f t="shared" ca="1" si="4101"/>
        <v>1</v>
      </c>
      <c r="AE3963" s="1" t="str">
        <f t="shared" ca="1" si="4122"/>
        <v>Garage 164-165</v>
      </c>
      <c r="AF3963" t="str">
        <f t="shared" ca="1" si="4099"/>
        <v>Garage 164-165</v>
      </c>
    </row>
    <row r="3964" spans="28:32" x14ac:dyDescent="0.25">
      <c r="AB3964" t="str">
        <f t="shared" ref="AB3964:AC3964" si="4132">AB3943</f>
        <v>Loading Bay</v>
      </c>
      <c r="AC3964" t="str">
        <f t="shared" si="4132"/>
        <v>Lift 4</v>
      </c>
      <c r="AD3964" t="b">
        <f t="shared" ca="1" si="4101"/>
        <v>0</v>
      </c>
      <c r="AE3964" s="1" t="str">
        <f t="shared" ca="1" si="4122"/>
        <v>Garage 164-165</v>
      </c>
      <c r="AF3964" t="str">
        <f t="shared" ca="1" si="4099"/>
        <v>Garage 164-165</v>
      </c>
    </row>
    <row r="3965" spans="28:32" x14ac:dyDescent="0.25">
      <c r="AB3965" t="str">
        <f t="shared" ref="AB3965:AC3965" si="4133">AB3944</f>
        <v>Loading Bay</v>
      </c>
      <c r="AC3965" t="str">
        <f t="shared" si="4133"/>
        <v>Lift 5</v>
      </c>
      <c r="AD3965" t="b">
        <f t="shared" ca="1" si="4101"/>
        <v>0</v>
      </c>
      <c r="AE3965" s="1" t="str">
        <f t="shared" ca="1" si="4122"/>
        <v>Garage 164-165</v>
      </c>
      <c r="AF3965" t="str">
        <f t="shared" ca="1" si="4099"/>
        <v>Garage 164-165</v>
      </c>
    </row>
    <row r="3966" spans="28:32" x14ac:dyDescent="0.25">
      <c r="AB3966" t="str">
        <f t="shared" ref="AB3966:AC3966" si="4134">AB3945</f>
        <v>Loading Bay</v>
      </c>
      <c r="AC3966" t="str">
        <f t="shared" si="4134"/>
        <v>Lift 6</v>
      </c>
      <c r="AD3966" t="b">
        <f t="shared" ca="1" si="4101"/>
        <v>0</v>
      </c>
      <c r="AE3966" s="1" t="str">
        <f t="shared" ca="1" si="4122"/>
        <v>Garage 164-165</v>
      </c>
      <c r="AF3966" t="str">
        <f t="shared" ca="1" si="4099"/>
        <v>Garage 164-165</v>
      </c>
    </row>
    <row r="3967" spans="28:32" x14ac:dyDescent="0.25">
      <c r="AB3967" t="str">
        <f t="shared" ref="AB3967:AC3967" si="4135">AB3946</f>
        <v>Scaffolding Platform</v>
      </c>
      <c r="AC3967" t="str">
        <f t="shared" si="4135"/>
        <v>Ground Floor</v>
      </c>
      <c r="AD3967" t="b">
        <f t="shared" ca="1" si="4101"/>
        <v>1</v>
      </c>
      <c r="AE3967" s="1" t="str">
        <f t="shared" ca="1" si="4122"/>
        <v>Garage 164-165</v>
      </c>
      <c r="AF3967" t="str">
        <f t="shared" ca="1" si="4099"/>
        <v>Garage 164-165</v>
      </c>
    </row>
    <row r="3968" spans="28:32" x14ac:dyDescent="0.25">
      <c r="AB3968" t="str">
        <f t="shared" ref="AB3968:AC3968" si="4136">AB3947</f>
        <v>Scaffolding Platform</v>
      </c>
      <c r="AC3968" t="str">
        <f t="shared" si="4136"/>
        <v>First Floor</v>
      </c>
      <c r="AD3968" t="b">
        <f t="shared" ca="1" si="4101"/>
        <v>0</v>
      </c>
      <c r="AE3968" s="1" t="str">
        <f t="shared" ca="1" si="4122"/>
        <v>Garage 164-165</v>
      </c>
      <c r="AF3968" t="str">
        <f t="shared" ca="1" si="4099"/>
        <v>Garage 164-165</v>
      </c>
    </row>
    <row r="3969" spans="28:32" x14ac:dyDescent="0.25">
      <c r="AB3969" t="str">
        <f t="shared" ref="AB3969:AC3969" si="4137">AB3948</f>
        <v>Scaffolding Platform</v>
      </c>
      <c r="AC3969" t="str">
        <f t="shared" si="4137"/>
        <v>Second Floor</v>
      </c>
      <c r="AD3969" t="b">
        <f t="shared" ca="1" si="4101"/>
        <v>0</v>
      </c>
      <c r="AE3969" s="1" t="str">
        <f t="shared" ca="1" si="4122"/>
        <v>Garage 164-165</v>
      </c>
      <c r="AF3969" t="str">
        <f t="shared" ca="1" si="4099"/>
        <v>Garage 164-165</v>
      </c>
    </row>
    <row r="3970" spans="28:32" x14ac:dyDescent="0.25">
      <c r="AB3970" t="str">
        <f t="shared" ref="AB3970:AC3970" si="4138">AB3949</f>
        <v>Supporting Scaffold</v>
      </c>
      <c r="AC3970" t="str">
        <f t="shared" si="4138"/>
        <v>Ground Floor Prop.</v>
      </c>
      <c r="AD3970" t="str">
        <f t="shared" ca="1" si="4101"/>
        <v>FALSE</v>
      </c>
      <c r="AE3970" s="1" t="str">
        <f t="shared" ca="1" si="4122"/>
        <v>Garage 164-165</v>
      </c>
      <c r="AF3970" t="str">
        <f t="shared" ca="1" si="4099"/>
        <v>Garage 164-165</v>
      </c>
    </row>
    <row r="3971" spans="28:32" x14ac:dyDescent="0.25">
      <c r="AB3971" t="str">
        <f t="shared" ref="AB3971:AC3971" si="4139">AB3950</f>
        <v>Supporting Scaffold</v>
      </c>
      <c r="AC3971" t="str">
        <f t="shared" si="4139"/>
        <v>First Floor Prop.</v>
      </c>
      <c r="AD3971" t="str">
        <f t="shared" ca="1" si="4101"/>
        <v>FALSE</v>
      </c>
      <c r="AE3971" s="1" t="str">
        <f t="shared" ca="1" si="4122"/>
        <v>Garage 164-165</v>
      </c>
      <c r="AF3971" t="str">
        <f t="shared" ca="1" si="4099"/>
        <v>Garage 164-165</v>
      </c>
    </row>
    <row r="3972" spans="28:32" x14ac:dyDescent="0.25">
      <c r="AB3972" t="str">
        <f t="shared" ref="AB3972:AC3972" si="4140">AB3951</f>
        <v>Supporting Scaffold</v>
      </c>
      <c r="AC3972" t="str">
        <f t="shared" si="4140"/>
        <v>Second Floor Prop.</v>
      </c>
      <c r="AD3972" t="str">
        <f t="shared" ca="1" si="4101"/>
        <v>FALSE</v>
      </c>
      <c r="AE3972" s="1" t="str">
        <f t="shared" ca="1" si="4122"/>
        <v>Garage 164-165</v>
      </c>
      <c r="AF3972" t="str">
        <f t="shared" ca="1" si="4099"/>
        <v>Garage 164-165</v>
      </c>
    </row>
    <row r="3973" spans="28:32" x14ac:dyDescent="0.25">
      <c r="AB3973" t="str">
        <f t="shared" ref="AB3973:AC3973" si="4141">AB3952</f>
        <v>External Scaffolding</v>
      </c>
      <c r="AC3973" t="str">
        <f t="shared" si="4141"/>
        <v>Hop-ups</v>
      </c>
      <c r="AD3973" t="b">
        <f t="shared" ca="1" si="4101"/>
        <v>1</v>
      </c>
      <c r="AE3973" s="1" t="str">
        <f t="shared" ca="1" si="4122"/>
        <v>Garage 164-165</v>
      </c>
      <c r="AF3973" t="str">
        <f t="shared" ca="1" si="4099"/>
        <v>Garage 164-165</v>
      </c>
    </row>
    <row r="3974" spans="28:32" x14ac:dyDescent="0.25">
      <c r="AB3974" t="str">
        <f t="shared" ref="AB3974:AC3974" si="4142">AB3953</f>
        <v>External Scaffolding</v>
      </c>
      <c r="AC3974" t="str">
        <f t="shared" si="4142"/>
        <v>Adaptions</v>
      </c>
      <c r="AD3974" t="b">
        <f t="shared" ca="1" si="4101"/>
        <v>1</v>
      </c>
      <c r="AE3974" s="1" t="str">
        <f t="shared" ca="1" si="4122"/>
        <v>Garage 164-165</v>
      </c>
      <c r="AF3974" t="str">
        <f t="shared" ca="1" si="4099"/>
        <v>Garage 164-165</v>
      </c>
    </row>
    <row r="3975" spans="28:32" x14ac:dyDescent="0.25">
      <c r="AB3975" t="str">
        <f t="shared" ref="AB3975:AC3975" si="4143">AB3954</f>
        <v>External Scaffolding</v>
      </c>
      <c r="AC3975" t="str">
        <f t="shared" si="4143"/>
        <v>Adaption Tower</v>
      </c>
      <c r="AD3975" t="b">
        <f t="shared" ca="1" si="4101"/>
        <v>1</v>
      </c>
      <c r="AE3975" s="1" t="str">
        <f t="shared" ca="1" si="4122"/>
        <v>Garage 164-165</v>
      </c>
      <c r="AF3975" t="str">
        <f t="shared" ca="1" si="4099"/>
        <v>Garage 164-165</v>
      </c>
    </row>
    <row r="3976" spans="28:32" x14ac:dyDescent="0.25">
      <c r="AB3976" t="str">
        <f t="shared" ref="AB3976:AC3976" si="4144">AB3955</f>
        <v>External Scaffolding</v>
      </c>
      <c r="AC3976" t="str">
        <f t="shared" si="4144"/>
        <v>Lift 1</v>
      </c>
      <c r="AD3976" t="b">
        <f t="shared" ca="1" si="4101"/>
        <v>1</v>
      </c>
      <c r="AE3976" s="1" t="str">
        <f t="shared" ca="1" si="4122"/>
        <v>Garage 168-169-172</v>
      </c>
      <c r="AF3976" t="str">
        <f t="shared" ca="1" si="4099"/>
        <v>Garage 168-169-172</v>
      </c>
    </row>
    <row r="3977" spans="28:32" x14ac:dyDescent="0.25">
      <c r="AB3977" t="str">
        <f t="shared" ref="AB3977:AC3977" si="4145">AB3956</f>
        <v>External Scaffolding</v>
      </c>
      <c r="AC3977" t="str">
        <f t="shared" si="4145"/>
        <v>Lift 2</v>
      </c>
      <c r="AD3977" t="b">
        <f t="shared" ca="1" si="4101"/>
        <v>1</v>
      </c>
      <c r="AE3977" s="1" t="str">
        <f t="shared" ca="1" si="4122"/>
        <v>Garage 168-169-172</v>
      </c>
      <c r="AF3977" t="str">
        <f t="shared" ca="1" si="4099"/>
        <v>Garage 168-169-172</v>
      </c>
    </row>
    <row r="3978" spans="28:32" x14ac:dyDescent="0.25">
      <c r="AB3978" t="str">
        <f t="shared" ref="AB3978:AC3978" si="4146">AB3957</f>
        <v>External Scaffolding</v>
      </c>
      <c r="AC3978" t="str">
        <f t="shared" si="4146"/>
        <v>Lift 3</v>
      </c>
      <c r="AD3978" t="b">
        <f t="shared" ca="1" si="4101"/>
        <v>1</v>
      </c>
      <c r="AE3978" s="1" t="str">
        <f t="shared" ca="1" si="4122"/>
        <v>Garage 168-169-172</v>
      </c>
      <c r="AF3978" t="str">
        <f t="shared" ca="1" si="4099"/>
        <v>Garage 168-169-172</v>
      </c>
    </row>
    <row r="3979" spans="28:32" x14ac:dyDescent="0.25">
      <c r="AB3979" t="str">
        <f t="shared" ref="AB3979:AC3979" si="4147">AB3958</f>
        <v>External Scaffolding</v>
      </c>
      <c r="AC3979" t="str">
        <f t="shared" si="4147"/>
        <v>Lift 4</v>
      </c>
      <c r="AD3979" t="b">
        <f t="shared" ca="1" si="4101"/>
        <v>0</v>
      </c>
      <c r="AE3979" s="1" t="str">
        <f t="shared" ca="1" si="4122"/>
        <v>Garage 168-169-172</v>
      </c>
      <c r="AF3979" t="str">
        <f t="shared" ca="1" si="4099"/>
        <v>Garage 168-169-172</v>
      </c>
    </row>
    <row r="3980" spans="28:32" x14ac:dyDescent="0.25">
      <c r="AB3980" t="str">
        <f t="shared" ref="AB3980:AC3980" si="4148">AB3959</f>
        <v>External Scaffolding</v>
      </c>
      <c r="AC3980" t="str">
        <f t="shared" si="4148"/>
        <v>Lift 5</v>
      </c>
      <c r="AD3980" t="b">
        <f t="shared" ca="1" si="4101"/>
        <v>0</v>
      </c>
      <c r="AE3980" s="1" t="str">
        <f t="shared" ca="1" si="4122"/>
        <v>Garage 168-169-172</v>
      </c>
      <c r="AF3980" t="str">
        <f t="shared" ca="1" si="4099"/>
        <v>Garage 168-169-172</v>
      </c>
    </row>
    <row r="3981" spans="28:32" x14ac:dyDescent="0.25">
      <c r="AB3981" t="str">
        <f t="shared" ref="AB3981:AC3981" si="4149">AB3960</f>
        <v>External Scaffolding</v>
      </c>
      <c r="AC3981" t="str">
        <f t="shared" si="4149"/>
        <v>Lift 6</v>
      </c>
      <c r="AD3981" t="b">
        <f t="shared" ca="1" si="4101"/>
        <v>0</v>
      </c>
      <c r="AE3981" s="1" t="str">
        <f t="shared" ca="1" si="4122"/>
        <v>Garage 168-169-172</v>
      </c>
      <c r="AF3981" t="str">
        <f t="shared" ca="1" si="4099"/>
        <v>Garage 168-169-172</v>
      </c>
    </row>
    <row r="3982" spans="28:32" x14ac:dyDescent="0.25">
      <c r="AB3982" t="str">
        <f t="shared" ref="AB3982:AC3982" si="4150">AB3961</f>
        <v>Loading Bay</v>
      </c>
      <c r="AC3982" t="str">
        <f t="shared" si="4150"/>
        <v>Lift 1</v>
      </c>
      <c r="AD3982" t="b">
        <f t="shared" ca="1" si="4101"/>
        <v>1</v>
      </c>
      <c r="AE3982" s="1" t="str">
        <f t="shared" ca="1" si="4122"/>
        <v>Garage 168-169-172</v>
      </c>
      <c r="AF3982" t="str">
        <f t="shared" ca="1" si="4099"/>
        <v>Garage 168-169-172</v>
      </c>
    </row>
    <row r="3983" spans="28:32" x14ac:dyDescent="0.25">
      <c r="AB3983" t="str">
        <f t="shared" ref="AB3983:AC3983" si="4151">AB3962</f>
        <v>Loading Bay</v>
      </c>
      <c r="AC3983" t="str">
        <f t="shared" si="4151"/>
        <v>Lift 2</v>
      </c>
      <c r="AD3983" t="b">
        <f t="shared" ca="1" si="4101"/>
        <v>1</v>
      </c>
      <c r="AE3983" s="1" t="str">
        <f t="shared" ca="1" si="4122"/>
        <v>Garage 168-169-172</v>
      </c>
      <c r="AF3983" t="str">
        <f t="shared" ca="1" si="4099"/>
        <v>Garage 168-169-172</v>
      </c>
    </row>
    <row r="3984" spans="28:32" x14ac:dyDescent="0.25">
      <c r="AB3984" t="str">
        <f t="shared" ref="AB3984:AC3984" si="4152">AB3963</f>
        <v>Loading Bay</v>
      </c>
      <c r="AC3984" t="str">
        <f t="shared" si="4152"/>
        <v>Lift 3</v>
      </c>
      <c r="AD3984" t="b">
        <f t="shared" ca="1" si="4101"/>
        <v>1</v>
      </c>
      <c r="AE3984" s="1" t="str">
        <f t="shared" ca="1" si="4122"/>
        <v>Garage 168-169-172</v>
      </c>
      <c r="AF3984" t="str">
        <f t="shared" ca="1" si="4099"/>
        <v>Garage 168-169-172</v>
      </c>
    </row>
    <row r="3985" spans="28:32" x14ac:dyDescent="0.25">
      <c r="AB3985" t="str">
        <f t="shared" ref="AB3985:AC3985" si="4153">AB3964</f>
        <v>Loading Bay</v>
      </c>
      <c r="AC3985" t="str">
        <f t="shared" si="4153"/>
        <v>Lift 4</v>
      </c>
      <c r="AD3985" t="b">
        <f t="shared" ca="1" si="4101"/>
        <v>0</v>
      </c>
      <c r="AE3985" s="1" t="str">
        <f t="shared" ca="1" si="4122"/>
        <v>Garage 168-169-172</v>
      </c>
      <c r="AF3985" t="str">
        <f t="shared" ca="1" si="4099"/>
        <v>Garage 168-169-172</v>
      </c>
    </row>
    <row r="3986" spans="28:32" x14ac:dyDescent="0.25">
      <c r="AB3986" t="str">
        <f t="shared" ref="AB3986:AC3986" si="4154">AB3965</f>
        <v>Loading Bay</v>
      </c>
      <c r="AC3986" t="str">
        <f t="shared" si="4154"/>
        <v>Lift 5</v>
      </c>
      <c r="AD3986" t="b">
        <f t="shared" ca="1" si="4101"/>
        <v>0</v>
      </c>
      <c r="AE3986" s="1" t="str">
        <f t="shared" ca="1" si="4122"/>
        <v>Garage 168-169-172</v>
      </c>
      <c r="AF3986" t="str">
        <f t="shared" ca="1" si="4099"/>
        <v>Garage 168-169-172</v>
      </c>
    </row>
    <row r="3987" spans="28:32" x14ac:dyDescent="0.25">
      <c r="AB3987" t="str">
        <f t="shared" ref="AB3987:AC3987" si="4155">AB3966</f>
        <v>Loading Bay</v>
      </c>
      <c r="AC3987" t="str">
        <f t="shared" si="4155"/>
        <v>Lift 6</v>
      </c>
      <c r="AD3987" t="b">
        <f t="shared" ca="1" si="4101"/>
        <v>0</v>
      </c>
      <c r="AE3987" s="1" t="str">
        <f t="shared" ca="1" si="4122"/>
        <v>Garage 168-169-172</v>
      </c>
      <c r="AF3987" t="str">
        <f t="shared" ca="1" si="4099"/>
        <v>Garage 168-169-172</v>
      </c>
    </row>
    <row r="3988" spans="28:32" x14ac:dyDescent="0.25">
      <c r="AB3988" t="str">
        <f t="shared" ref="AB3988:AC3988" si="4156">AB3967</f>
        <v>Scaffolding Platform</v>
      </c>
      <c r="AC3988" t="str">
        <f t="shared" si="4156"/>
        <v>Ground Floor</v>
      </c>
      <c r="AD3988" t="b">
        <f t="shared" ca="1" si="4101"/>
        <v>1</v>
      </c>
      <c r="AE3988" s="1" t="str">
        <f t="shared" ca="1" si="4122"/>
        <v>Garage 168-169-172</v>
      </c>
      <c r="AF3988" t="str">
        <f t="shared" ca="1" si="4099"/>
        <v>Garage 168-169-172</v>
      </c>
    </row>
    <row r="3989" spans="28:32" x14ac:dyDescent="0.25">
      <c r="AB3989" t="str">
        <f t="shared" ref="AB3989:AC3989" si="4157">AB3968</f>
        <v>Scaffolding Platform</v>
      </c>
      <c r="AC3989" t="str">
        <f t="shared" si="4157"/>
        <v>First Floor</v>
      </c>
      <c r="AD3989" t="b">
        <f t="shared" ca="1" si="4101"/>
        <v>0</v>
      </c>
      <c r="AE3989" s="1" t="str">
        <f t="shared" ca="1" si="4122"/>
        <v>Garage 168-169-172</v>
      </c>
      <c r="AF3989" t="str">
        <f t="shared" ca="1" si="4099"/>
        <v>Garage 168-169-172</v>
      </c>
    </row>
    <row r="3990" spans="28:32" x14ac:dyDescent="0.25">
      <c r="AB3990" t="str">
        <f t="shared" ref="AB3990:AC3990" si="4158">AB3969</f>
        <v>Scaffolding Platform</v>
      </c>
      <c r="AC3990" t="str">
        <f t="shared" si="4158"/>
        <v>Second Floor</v>
      </c>
      <c r="AD3990" t="b">
        <f t="shared" ca="1" si="4101"/>
        <v>0</v>
      </c>
      <c r="AE3990" s="1" t="str">
        <f t="shared" ca="1" si="4122"/>
        <v>Garage 168-169-172</v>
      </c>
      <c r="AF3990" t="str">
        <f t="shared" ca="1" si="4099"/>
        <v>Garage 168-169-172</v>
      </c>
    </row>
    <row r="3991" spans="28:32" x14ac:dyDescent="0.25">
      <c r="AB3991" t="str">
        <f t="shared" ref="AB3991:AC3991" si="4159">AB3970</f>
        <v>Supporting Scaffold</v>
      </c>
      <c r="AC3991" t="str">
        <f t="shared" si="4159"/>
        <v>Ground Floor Prop.</v>
      </c>
      <c r="AD3991" t="str">
        <f t="shared" ca="1" si="4101"/>
        <v>FALSE</v>
      </c>
      <c r="AE3991" s="1" t="str">
        <f t="shared" ca="1" si="4122"/>
        <v>Garage 168-169-172</v>
      </c>
      <c r="AF3991" t="str">
        <f t="shared" ca="1" si="4099"/>
        <v>Garage 168-169-172</v>
      </c>
    </row>
    <row r="3992" spans="28:32" x14ac:dyDescent="0.25">
      <c r="AB3992" t="str">
        <f t="shared" ref="AB3992:AC3992" si="4160">AB3971</f>
        <v>Supporting Scaffold</v>
      </c>
      <c r="AC3992" t="str">
        <f t="shared" si="4160"/>
        <v>First Floor Prop.</v>
      </c>
      <c r="AD3992" t="str">
        <f t="shared" ca="1" si="4101"/>
        <v>FALSE</v>
      </c>
      <c r="AE3992" s="1" t="str">
        <f t="shared" ca="1" si="4122"/>
        <v>Garage 168-169-172</v>
      </c>
      <c r="AF3992" t="str">
        <f t="shared" ca="1" si="4099"/>
        <v>Garage 168-169-172</v>
      </c>
    </row>
    <row r="3993" spans="28:32" x14ac:dyDescent="0.25">
      <c r="AB3993" t="str">
        <f t="shared" ref="AB3993:AC3993" si="4161">AB3972</f>
        <v>Supporting Scaffold</v>
      </c>
      <c r="AC3993" t="str">
        <f t="shared" si="4161"/>
        <v>Second Floor Prop.</v>
      </c>
      <c r="AD3993" t="str">
        <f t="shared" ca="1" si="4101"/>
        <v>FALSE</v>
      </c>
      <c r="AE3993" s="1" t="str">
        <f t="shared" ca="1" si="4122"/>
        <v>Garage 168-169-172</v>
      </c>
      <c r="AF3993" t="str">
        <f t="shared" ca="1" si="4099"/>
        <v>Garage 168-169-172</v>
      </c>
    </row>
    <row r="3994" spans="28:32" x14ac:dyDescent="0.25">
      <c r="AB3994" t="str">
        <f t="shared" ref="AB3994:AC3994" si="4162">AB3973</f>
        <v>External Scaffolding</v>
      </c>
      <c r="AC3994" t="str">
        <f t="shared" si="4162"/>
        <v>Hop-ups</v>
      </c>
      <c r="AD3994" t="b">
        <f t="shared" ca="1" si="4101"/>
        <v>1</v>
      </c>
      <c r="AE3994" s="1" t="str">
        <f t="shared" ca="1" si="4122"/>
        <v>Garage 168-169-172</v>
      </c>
      <c r="AF3994" t="str">
        <f t="shared" ca="1" si="4099"/>
        <v>Garage 168-169-172</v>
      </c>
    </row>
    <row r="3995" spans="28:32" x14ac:dyDescent="0.25">
      <c r="AB3995" t="str">
        <f t="shared" ref="AB3995:AC3995" si="4163">AB3974</f>
        <v>External Scaffolding</v>
      </c>
      <c r="AC3995" t="str">
        <f t="shared" si="4163"/>
        <v>Adaptions</v>
      </c>
      <c r="AD3995" t="b">
        <f t="shared" ca="1" si="4101"/>
        <v>1</v>
      </c>
      <c r="AE3995" s="1" t="str">
        <f t="shared" ca="1" si="4122"/>
        <v>Garage 168-169-172</v>
      </c>
      <c r="AF3995" t="str">
        <f t="shared" ca="1" si="4099"/>
        <v>Garage 168-169-172</v>
      </c>
    </row>
    <row r="3996" spans="28:32" x14ac:dyDescent="0.25">
      <c r="AB3996" t="str">
        <f t="shared" ref="AB3996:AC3996" si="4164">AB3975</f>
        <v>External Scaffolding</v>
      </c>
      <c r="AC3996" t="str">
        <f t="shared" si="4164"/>
        <v>Adaption Tower</v>
      </c>
      <c r="AD3996" t="b">
        <f t="shared" ca="1" si="4101"/>
        <v>1</v>
      </c>
      <c r="AE3996" s="1" t="str">
        <f t="shared" ca="1" si="4122"/>
        <v>Garage 168-169-172</v>
      </c>
      <c r="AF3996" t="str">
        <f t="shared" ca="1" si="4099"/>
        <v>Garage 168-169-172</v>
      </c>
    </row>
    <row r="3997" spans="28:32" x14ac:dyDescent="0.25">
      <c r="AB3997" t="str">
        <f t="shared" ref="AB3997:AC3997" si="4165">AB3976</f>
        <v>External Scaffolding</v>
      </c>
      <c r="AC3997" t="str">
        <f t="shared" si="4165"/>
        <v>Lift 1</v>
      </c>
      <c r="AD3997" t="b">
        <f t="shared" ca="1" si="4101"/>
        <v>1</v>
      </c>
      <c r="AE3997" s="1" t="str">
        <f t="shared" ca="1" si="4122"/>
        <v>Garage 170-171</v>
      </c>
      <c r="AF3997" t="str">
        <f t="shared" ref="AF3997:AF4060" ca="1" si="4166">IF(LEFT(AE3997,1)="G",AE3997,"Plot "&amp;AE3997)</f>
        <v>Garage 170-171</v>
      </c>
    </row>
    <row r="3998" spans="28:32" x14ac:dyDescent="0.25">
      <c r="AB3998" t="str">
        <f t="shared" ref="AB3998:AC3998" si="4167">AB3977</f>
        <v>External Scaffolding</v>
      </c>
      <c r="AC3998" t="str">
        <f t="shared" si="4167"/>
        <v>Lift 2</v>
      </c>
      <c r="AD3998" t="b">
        <f t="shared" ref="AD3998:AD4061" ca="1" si="4168">INDEX($AC$1:$JH$22,MATCH(AC3998,$AC$1:$AC$22,0),MATCH(AE3998,$AC$1:$JH$1,0))</f>
        <v>1</v>
      </c>
      <c r="AE3998" s="1" t="str">
        <f t="shared" ca="1" si="4122"/>
        <v>Garage 170-171</v>
      </c>
      <c r="AF3998" t="str">
        <f t="shared" ca="1" si="4166"/>
        <v>Garage 170-171</v>
      </c>
    </row>
    <row r="3999" spans="28:32" x14ac:dyDescent="0.25">
      <c r="AB3999" t="str">
        <f t="shared" ref="AB3999:AC3999" si="4169">AB3978</f>
        <v>External Scaffolding</v>
      </c>
      <c r="AC3999" t="str">
        <f t="shared" si="4169"/>
        <v>Lift 3</v>
      </c>
      <c r="AD3999" t="b">
        <f t="shared" ca="1" si="4168"/>
        <v>1</v>
      </c>
      <c r="AE3999" s="1" t="str">
        <f t="shared" ca="1" si="4122"/>
        <v>Garage 170-171</v>
      </c>
      <c r="AF3999" t="str">
        <f t="shared" ca="1" si="4166"/>
        <v>Garage 170-171</v>
      </c>
    </row>
    <row r="4000" spans="28:32" x14ac:dyDescent="0.25">
      <c r="AB4000" t="str">
        <f t="shared" ref="AB4000:AC4000" si="4170">AB3979</f>
        <v>External Scaffolding</v>
      </c>
      <c r="AC4000" t="str">
        <f t="shared" si="4170"/>
        <v>Lift 4</v>
      </c>
      <c r="AD4000" t="b">
        <f t="shared" ca="1" si="4168"/>
        <v>0</v>
      </c>
      <c r="AE4000" s="1" t="str">
        <f t="shared" ca="1" si="4122"/>
        <v>Garage 170-171</v>
      </c>
      <c r="AF4000" t="str">
        <f t="shared" ca="1" si="4166"/>
        <v>Garage 170-171</v>
      </c>
    </row>
    <row r="4001" spans="28:32" x14ac:dyDescent="0.25">
      <c r="AB4001" t="str">
        <f t="shared" ref="AB4001:AC4001" si="4171">AB3980</f>
        <v>External Scaffolding</v>
      </c>
      <c r="AC4001" t="str">
        <f t="shared" si="4171"/>
        <v>Lift 5</v>
      </c>
      <c r="AD4001" t="b">
        <f t="shared" ca="1" si="4168"/>
        <v>0</v>
      </c>
      <c r="AE4001" s="1" t="str">
        <f t="shared" ca="1" si="4122"/>
        <v>Garage 170-171</v>
      </c>
      <c r="AF4001" t="str">
        <f t="shared" ca="1" si="4166"/>
        <v>Garage 170-171</v>
      </c>
    </row>
    <row r="4002" spans="28:32" x14ac:dyDescent="0.25">
      <c r="AB4002" t="str">
        <f t="shared" ref="AB4002:AC4002" si="4172">AB3981</f>
        <v>External Scaffolding</v>
      </c>
      <c r="AC4002" t="str">
        <f t="shared" si="4172"/>
        <v>Lift 6</v>
      </c>
      <c r="AD4002" t="b">
        <f t="shared" ca="1" si="4168"/>
        <v>0</v>
      </c>
      <c r="AE4002" s="1" t="str">
        <f t="shared" ca="1" si="4122"/>
        <v>Garage 170-171</v>
      </c>
      <c r="AF4002" t="str">
        <f t="shared" ca="1" si="4166"/>
        <v>Garage 170-171</v>
      </c>
    </row>
    <row r="4003" spans="28:32" x14ac:dyDescent="0.25">
      <c r="AB4003" t="str">
        <f t="shared" ref="AB4003:AC4003" si="4173">AB3982</f>
        <v>Loading Bay</v>
      </c>
      <c r="AC4003" t="str">
        <f t="shared" si="4173"/>
        <v>Lift 1</v>
      </c>
      <c r="AD4003" t="b">
        <f t="shared" ca="1" si="4168"/>
        <v>1</v>
      </c>
      <c r="AE4003" s="1" t="str">
        <f t="shared" ca="1" si="4122"/>
        <v>Garage 170-171</v>
      </c>
      <c r="AF4003" t="str">
        <f t="shared" ca="1" si="4166"/>
        <v>Garage 170-171</v>
      </c>
    </row>
    <row r="4004" spans="28:32" x14ac:dyDescent="0.25">
      <c r="AB4004" t="str">
        <f t="shared" ref="AB4004:AC4004" si="4174">AB3983</f>
        <v>Loading Bay</v>
      </c>
      <c r="AC4004" t="str">
        <f t="shared" si="4174"/>
        <v>Lift 2</v>
      </c>
      <c r="AD4004" t="b">
        <f t="shared" ca="1" si="4168"/>
        <v>1</v>
      </c>
      <c r="AE4004" s="1" t="str">
        <f t="shared" ca="1" si="4122"/>
        <v>Garage 170-171</v>
      </c>
      <c r="AF4004" t="str">
        <f t="shared" ca="1" si="4166"/>
        <v>Garage 170-171</v>
      </c>
    </row>
    <row r="4005" spans="28:32" x14ac:dyDescent="0.25">
      <c r="AB4005" t="str">
        <f t="shared" ref="AB4005:AC4005" si="4175">AB3984</f>
        <v>Loading Bay</v>
      </c>
      <c r="AC4005" t="str">
        <f t="shared" si="4175"/>
        <v>Lift 3</v>
      </c>
      <c r="AD4005" t="b">
        <f t="shared" ca="1" si="4168"/>
        <v>1</v>
      </c>
      <c r="AE4005" s="1" t="str">
        <f t="shared" ca="1" si="4122"/>
        <v>Garage 170-171</v>
      </c>
      <c r="AF4005" t="str">
        <f t="shared" ca="1" si="4166"/>
        <v>Garage 170-171</v>
      </c>
    </row>
    <row r="4006" spans="28:32" x14ac:dyDescent="0.25">
      <c r="AB4006" t="str">
        <f t="shared" ref="AB4006:AC4006" si="4176">AB3985</f>
        <v>Loading Bay</v>
      </c>
      <c r="AC4006" t="str">
        <f t="shared" si="4176"/>
        <v>Lift 4</v>
      </c>
      <c r="AD4006" t="b">
        <f t="shared" ca="1" si="4168"/>
        <v>0</v>
      </c>
      <c r="AE4006" s="1" t="str">
        <f t="shared" ca="1" si="4122"/>
        <v>Garage 170-171</v>
      </c>
      <c r="AF4006" t="str">
        <f t="shared" ca="1" si="4166"/>
        <v>Garage 170-171</v>
      </c>
    </row>
    <row r="4007" spans="28:32" x14ac:dyDescent="0.25">
      <c r="AB4007" t="str">
        <f t="shared" ref="AB4007:AC4007" si="4177">AB3986</f>
        <v>Loading Bay</v>
      </c>
      <c r="AC4007" t="str">
        <f t="shared" si="4177"/>
        <v>Lift 5</v>
      </c>
      <c r="AD4007" t="b">
        <f t="shared" ca="1" si="4168"/>
        <v>0</v>
      </c>
      <c r="AE4007" s="1" t="str">
        <f t="shared" ca="1" si="4122"/>
        <v>Garage 170-171</v>
      </c>
      <c r="AF4007" t="str">
        <f t="shared" ca="1" si="4166"/>
        <v>Garage 170-171</v>
      </c>
    </row>
    <row r="4008" spans="28:32" x14ac:dyDescent="0.25">
      <c r="AB4008" t="str">
        <f t="shared" ref="AB4008:AC4008" si="4178">AB3987</f>
        <v>Loading Bay</v>
      </c>
      <c r="AC4008" t="str">
        <f t="shared" si="4178"/>
        <v>Lift 6</v>
      </c>
      <c r="AD4008" t="b">
        <f t="shared" ca="1" si="4168"/>
        <v>0</v>
      </c>
      <c r="AE4008" s="1" t="str">
        <f t="shared" ca="1" si="4122"/>
        <v>Garage 170-171</v>
      </c>
      <c r="AF4008" t="str">
        <f t="shared" ca="1" si="4166"/>
        <v>Garage 170-171</v>
      </c>
    </row>
    <row r="4009" spans="28:32" x14ac:dyDescent="0.25">
      <c r="AB4009" t="str">
        <f t="shared" ref="AB4009:AC4009" si="4179">AB3988</f>
        <v>Scaffolding Platform</v>
      </c>
      <c r="AC4009" t="str">
        <f t="shared" si="4179"/>
        <v>Ground Floor</v>
      </c>
      <c r="AD4009" t="b">
        <f t="shared" ca="1" si="4168"/>
        <v>1</v>
      </c>
      <c r="AE4009" s="1" t="str">
        <f t="shared" ca="1" si="4122"/>
        <v>Garage 170-171</v>
      </c>
      <c r="AF4009" t="str">
        <f t="shared" ca="1" si="4166"/>
        <v>Garage 170-171</v>
      </c>
    </row>
    <row r="4010" spans="28:32" x14ac:dyDescent="0.25">
      <c r="AB4010" t="str">
        <f t="shared" ref="AB4010:AC4010" si="4180">AB3989</f>
        <v>Scaffolding Platform</v>
      </c>
      <c r="AC4010" t="str">
        <f t="shared" si="4180"/>
        <v>First Floor</v>
      </c>
      <c r="AD4010" t="b">
        <f t="shared" ca="1" si="4168"/>
        <v>0</v>
      </c>
      <c r="AE4010" s="1" t="str">
        <f t="shared" ca="1" si="4122"/>
        <v>Garage 170-171</v>
      </c>
      <c r="AF4010" t="str">
        <f t="shared" ca="1" si="4166"/>
        <v>Garage 170-171</v>
      </c>
    </row>
    <row r="4011" spans="28:32" x14ac:dyDescent="0.25">
      <c r="AB4011" t="str">
        <f t="shared" ref="AB4011:AC4011" si="4181">AB3990</f>
        <v>Scaffolding Platform</v>
      </c>
      <c r="AC4011" t="str">
        <f t="shared" si="4181"/>
        <v>Second Floor</v>
      </c>
      <c r="AD4011" t="b">
        <f t="shared" ca="1" si="4168"/>
        <v>0</v>
      </c>
      <c r="AE4011" s="1" t="str">
        <f t="shared" ca="1" si="4122"/>
        <v>Garage 170-171</v>
      </c>
      <c r="AF4011" t="str">
        <f t="shared" ca="1" si="4166"/>
        <v>Garage 170-171</v>
      </c>
    </row>
    <row r="4012" spans="28:32" x14ac:dyDescent="0.25">
      <c r="AB4012" t="str">
        <f t="shared" ref="AB4012:AC4012" si="4182">AB3991</f>
        <v>Supporting Scaffold</v>
      </c>
      <c r="AC4012" t="str">
        <f t="shared" si="4182"/>
        <v>Ground Floor Prop.</v>
      </c>
      <c r="AD4012" t="str">
        <f t="shared" ca="1" si="4168"/>
        <v>FALSE</v>
      </c>
      <c r="AE4012" s="1" t="str">
        <f t="shared" ca="1" si="4122"/>
        <v>Garage 170-171</v>
      </c>
      <c r="AF4012" t="str">
        <f t="shared" ca="1" si="4166"/>
        <v>Garage 170-171</v>
      </c>
    </row>
    <row r="4013" spans="28:32" x14ac:dyDescent="0.25">
      <c r="AB4013" t="str">
        <f t="shared" ref="AB4013:AC4013" si="4183">AB3992</f>
        <v>Supporting Scaffold</v>
      </c>
      <c r="AC4013" t="str">
        <f t="shared" si="4183"/>
        <v>First Floor Prop.</v>
      </c>
      <c r="AD4013" t="str">
        <f t="shared" ca="1" si="4168"/>
        <v>FALSE</v>
      </c>
      <c r="AE4013" s="1" t="str">
        <f t="shared" ca="1" si="4122"/>
        <v>Garage 170-171</v>
      </c>
      <c r="AF4013" t="str">
        <f t="shared" ca="1" si="4166"/>
        <v>Garage 170-171</v>
      </c>
    </row>
    <row r="4014" spans="28:32" x14ac:dyDescent="0.25">
      <c r="AB4014" t="str">
        <f t="shared" ref="AB4014:AC4014" si="4184">AB3993</f>
        <v>Supporting Scaffold</v>
      </c>
      <c r="AC4014" t="str">
        <f t="shared" si="4184"/>
        <v>Second Floor Prop.</v>
      </c>
      <c r="AD4014" t="str">
        <f t="shared" ca="1" si="4168"/>
        <v>FALSE</v>
      </c>
      <c r="AE4014" s="1" t="str">
        <f t="shared" ca="1" si="4122"/>
        <v>Garage 170-171</v>
      </c>
      <c r="AF4014" t="str">
        <f t="shared" ca="1" si="4166"/>
        <v>Garage 170-171</v>
      </c>
    </row>
    <row r="4015" spans="28:32" x14ac:dyDescent="0.25">
      <c r="AB4015" t="str">
        <f t="shared" ref="AB4015:AC4015" si="4185">AB3994</f>
        <v>External Scaffolding</v>
      </c>
      <c r="AC4015" t="str">
        <f t="shared" si="4185"/>
        <v>Hop-ups</v>
      </c>
      <c r="AD4015" t="b">
        <f t="shared" ca="1" si="4168"/>
        <v>1</v>
      </c>
      <c r="AE4015" s="1" t="str">
        <f t="shared" ca="1" si="4122"/>
        <v>Garage 170-171</v>
      </c>
      <c r="AF4015" t="str">
        <f t="shared" ca="1" si="4166"/>
        <v>Garage 170-171</v>
      </c>
    </row>
    <row r="4016" spans="28:32" x14ac:dyDescent="0.25">
      <c r="AB4016" t="str">
        <f t="shared" ref="AB4016:AC4016" si="4186">AB3995</f>
        <v>External Scaffolding</v>
      </c>
      <c r="AC4016" t="str">
        <f t="shared" si="4186"/>
        <v>Adaptions</v>
      </c>
      <c r="AD4016" t="b">
        <f t="shared" ca="1" si="4168"/>
        <v>1</v>
      </c>
      <c r="AE4016" s="1" t="str">
        <f t="shared" ca="1" si="4122"/>
        <v>Garage 170-171</v>
      </c>
      <c r="AF4016" t="str">
        <f t="shared" ca="1" si="4166"/>
        <v>Garage 170-171</v>
      </c>
    </row>
    <row r="4017" spans="28:32" x14ac:dyDescent="0.25">
      <c r="AB4017" t="str">
        <f t="shared" ref="AB4017:AC4017" si="4187">AB3996</f>
        <v>External Scaffolding</v>
      </c>
      <c r="AC4017" t="str">
        <f t="shared" si="4187"/>
        <v>Adaption Tower</v>
      </c>
      <c r="AD4017" t="b">
        <f t="shared" ca="1" si="4168"/>
        <v>1</v>
      </c>
      <c r="AE4017" s="1" t="str">
        <f t="shared" ca="1" si="4122"/>
        <v>Garage 170-171</v>
      </c>
      <c r="AF4017" t="str">
        <f t="shared" ca="1" si="4166"/>
        <v>Garage 170-171</v>
      </c>
    </row>
    <row r="4018" spans="28:32" x14ac:dyDescent="0.25">
      <c r="AB4018" t="str">
        <f t="shared" ref="AB4018:AC4018" si="4188">AB3997</f>
        <v>External Scaffolding</v>
      </c>
      <c r="AC4018" t="str">
        <f t="shared" si="4188"/>
        <v>Lift 1</v>
      </c>
      <c r="AD4018" t="b">
        <f t="shared" ca="1" si="4168"/>
        <v>1</v>
      </c>
      <c r="AE4018" s="1" t="str">
        <f t="shared" ref="AE4018:AE4081" ca="1" si="4189">OFFSET($AD$1,0,FLOOR(ROW(B3990)/21,1))</f>
        <v>Garage 173</v>
      </c>
      <c r="AF4018" t="str">
        <f t="shared" ca="1" si="4166"/>
        <v>Garage 173</v>
      </c>
    </row>
    <row r="4019" spans="28:32" x14ac:dyDescent="0.25">
      <c r="AB4019" t="str">
        <f t="shared" ref="AB4019:AC4019" si="4190">AB3998</f>
        <v>External Scaffolding</v>
      </c>
      <c r="AC4019" t="str">
        <f t="shared" si="4190"/>
        <v>Lift 2</v>
      </c>
      <c r="AD4019" t="b">
        <f t="shared" ca="1" si="4168"/>
        <v>1</v>
      </c>
      <c r="AE4019" s="1" t="str">
        <f t="shared" ca="1" si="4189"/>
        <v>Garage 173</v>
      </c>
      <c r="AF4019" t="str">
        <f t="shared" ca="1" si="4166"/>
        <v>Garage 173</v>
      </c>
    </row>
    <row r="4020" spans="28:32" x14ac:dyDescent="0.25">
      <c r="AB4020" t="str">
        <f t="shared" ref="AB4020:AC4020" si="4191">AB3999</f>
        <v>External Scaffolding</v>
      </c>
      <c r="AC4020" t="str">
        <f t="shared" si="4191"/>
        <v>Lift 3</v>
      </c>
      <c r="AD4020" t="b">
        <f t="shared" ca="1" si="4168"/>
        <v>1</v>
      </c>
      <c r="AE4020" s="1" t="str">
        <f t="shared" ca="1" si="4189"/>
        <v>Garage 173</v>
      </c>
      <c r="AF4020" t="str">
        <f t="shared" ca="1" si="4166"/>
        <v>Garage 173</v>
      </c>
    </row>
    <row r="4021" spans="28:32" x14ac:dyDescent="0.25">
      <c r="AB4021" t="str">
        <f t="shared" ref="AB4021:AC4021" si="4192">AB4000</f>
        <v>External Scaffolding</v>
      </c>
      <c r="AC4021" t="str">
        <f t="shared" si="4192"/>
        <v>Lift 4</v>
      </c>
      <c r="AD4021" t="b">
        <f t="shared" ca="1" si="4168"/>
        <v>0</v>
      </c>
      <c r="AE4021" s="1" t="str">
        <f t="shared" ca="1" si="4189"/>
        <v>Garage 173</v>
      </c>
      <c r="AF4021" t="str">
        <f t="shared" ca="1" si="4166"/>
        <v>Garage 173</v>
      </c>
    </row>
    <row r="4022" spans="28:32" x14ac:dyDescent="0.25">
      <c r="AB4022" t="str">
        <f t="shared" ref="AB4022:AC4022" si="4193">AB4001</f>
        <v>External Scaffolding</v>
      </c>
      <c r="AC4022" t="str">
        <f t="shared" si="4193"/>
        <v>Lift 5</v>
      </c>
      <c r="AD4022" t="b">
        <f t="shared" ca="1" si="4168"/>
        <v>0</v>
      </c>
      <c r="AE4022" s="1" t="str">
        <f t="shared" ca="1" si="4189"/>
        <v>Garage 173</v>
      </c>
      <c r="AF4022" t="str">
        <f t="shared" ca="1" si="4166"/>
        <v>Garage 173</v>
      </c>
    </row>
    <row r="4023" spans="28:32" x14ac:dyDescent="0.25">
      <c r="AB4023" t="str">
        <f t="shared" ref="AB4023:AC4023" si="4194">AB4002</f>
        <v>External Scaffolding</v>
      </c>
      <c r="AC4023" t="str">
        <f t="shared" si="4194"/>
        <v>Lift 6</v>
      </c>
      <c r="AD4023" t="b">
        <f t="shared" ca="1" si="4168"/>
        <v>0</v>
      </c>
      <c r="AE4023" s="1" t="str">
        <f t="shared" ca="1" si="4189"/>
        <v>Garage 173</v>
      </c>
      <c r="AF4023" t="str">
        <f t="shared" ca="1" si="4166"/>
        <v>Garage 173</v>
      </c>
    </row>
    <row r="4024" spans="28:32" x14ac:dyDescent="0.25">
      <c r="AB4024" t="str">
        <f t="shared" ref="AB4024:AC4024" si="4195">AB4003</f>
        <v>Loading Bay</v>
      </c>
      <c r="AC4024" t="str">
        <f t="shared" si="4195"/>
        <v>Lift 1</v>
      </c>
      <c r="AD4024" t="b">
        <f t="shared" ca="1" si="4168"/>
        <v>1</v>
      </c>
      <c r="AE4024" s="1" t="str">
        <f t="shared" ca="1" si="4189"/>
        <v>Garage 173</v>
      </c>
      <c r="AF4024" t="str">
        <f t="shared" ca="1" si="4166"/>
        <v>Garage 173</v>
      </c>
    </row>
    <row r="4025" spans="28:32" x14ac:dyDescent="0.25">
      <c r="AB4025" t="str">
        <f t="shared" ref="AB4025:AC4025" si="4196">AB4004</f>
        <v>Loading Bay</v>
      </c>
      <c r="AC4025" t="str">
        <f t="shared" si="4196"/>
        <v>Lift 2</v>
      </c>
      <c r="AD4025" t="b">
        <f t="shared" ca="1" si="4168"/>
        <v>1</v>
      </c>
      <c r="AE4025" s="1" t="str">
        <f t="shared" ca="1" si="4189"/>
        <v>Garage 173</v>
      </c>
      <c r="AF4025" t="str">
        <f t="shared" ca="1" si="4166"/>
        <v>Garage 173</v>
      </c>
    </row>
    <row r="4026" spans="28:32" x14ac:dyDescent="0.25">
      <c r="AB4026" t="str">
        <f t="shared" ref="AB4026:AC4026" si="4197">AB4005</f>
        <v>Loading Bay</v>
      </c>
      <c r="AC4026" t="str">
        <f t="shared" si="4197"/>
        <v>Lift 3</v>
      </c>
      <c r="AD4026" t="b">
        <f t="shared" ca="1" si="4168"/>
        <v>1</v>
      </c>
      <c r="AE4026" s="1" t="str">
        <f t="shared" ca="1" si="4189"/>
        <v>Garage 173</v>
      </c>
      <c r="AF4026" t="str">
        <f t="shared" ca="1" si="4166"/>
        <v>Garage 173</v>
      </c>
    </row>
    <row r="4027" spans="28:32" x14ac:dyDescent="0.25">
      <c r="AB4027" t="str">
        <f t="shared" ref="AB4027:AC4027" si="4198">AB4006</f>
        <v>Loading Bay</v>
      </c>
      <c r="AC4027" t="str">
        <f t="shared" si="4198"/>
        <v>Lift 4</v>
      </c>
      <c r="AD4027" t="b">
        <f t="shared" ca="1" si="4168"/>
        <v>0</v>
      </c>
      <c r="AE4027" s="1" t="str">
        <f t="shared" ca="1" si="4189"/>
        <v>Garage 173</v>
      </c>
      <c r="AF4027" t="str">
        <f t="shared" ca="1" si="4166"/>
        <v>Garage 173</v>
      </c>
    </row>
    <row r="4028" spans="28:32" x14ac:dyDescent="0.25">
      <c r="AB4028" t="str">
        <f t="shared" ref="AB4028:AC4028" si="4199">AB4007</f>
        <v>Loading Bay</v>
      </c>
      <c r="AC4028" t="str">
        <f t="shared" si="4199"/>
        <v>Lift 5</v>
      </c>
      <c r="AD4028" t="b">
        <f t="shared" ca="1" si="4168"/>
        <v>0</v>
      </c>
      <c r="AE4028" s="1" t="str">
        <f t="shared" ca="1" si="4189"/>
        <v>Garage 173</v>
      </c>
      <c r="AF4028" t="str">
        <f t="shared" ca="1" si="4166"/>
        <v>Garage 173</v>
      </c>
    </row>
    <row r="4029" spans="28:32" x14ac:dyDescent="0.25">
      <c r="AB4029" t="str">
        <f t="shared" ref="AB4029:AC4029" si="4200">AB4008</f>
        <v>Loading Bay</v>
      </c>
      <c r="AC4029" t="str">
        <f t="shared" si="4200"/>
        <v>Lift 6</v>
      </c>
      <c r="AD4029" t="b">
        <f t="shared" ca="1" si="4168"/>
        <v>0</v>
      </c>
      <c r="AE4029" s="1" t="str">
        <f t="shared" ca="1" si="4189"/>
        <v>Garage 173</v>
      </c>
      <c r="AF4029" t="str">
        <f t="shared" ca="1" si="4166"/>
        <v>Garage 173</v>
      </c>
    </row>
    <row r="4030" spans="28:32" x14ac:dyDescent="0.25">
      <c r="AB4030" t="str">
        <f t="shared" ref="AB4030:AC4030" si="4201">AB4009</f>
        <v>Scaffolding Platform</v>
      </c>
      <c r="AC4030" t="str">
        <f t="shared" si="4201"/>
        <v>Ground Floor</v>
      </c>
      <c r="AD4030" t="b">
        <f t="shared" ca="1" si="4168"/>
        <v>1</v>
      </c>
      <c r="AE4030" s="1" t="str">
        <f t="shared" ca="1" si="4189"/>
        <v>Garage 173</v>
      </c>
      <c r="AF4030" t="str">
        <f t="shared" ca="1" si="4166"/>
        <v>Garage 173</v>
      </c>
    </row>
    <row r="4031" spans="28:32" x14ac:dyDescent="0.25">
      <c r="AB4031" t="str">
        <f t="shared" ref="AB4031:AC4031" si="4202">AB4010</f>
        <v>Scaffolding Platform</v>
      </c>
      <c r="AC4031" t="str">
        <f t="shared" si="4202"/>
        <v>First Floor</v>
      </c>
      <c r="AD4031" t="b">
        <f t="shared" ca="1" si="4168"/>
        <v>0</v>
      </c>
      <c r="AE4031" s="1" t="str">
        <f t="shared" ca="1" si="4189"/>
        <v>Garage 173</v>
      </c>
      <c r="AF4031" t="str">
        <f t="shared" ca="1" si="4166"/>
        <v>Garage 173</v>
      </c>
    </row>
    <row r="4032" spans="28:32" x14ac:dyDescent="0.25">
      <c r="AB4032" t="str">
        <f t="shared" ref="AB4032:AC4032" si="4203">AB4011</f>
        <v>Scaffolding Platform</v>
      </c>
      <c r="AC4032" t="str">
        <f t="shared" si="4203"/>
        <v>Second Floor</v>
      </c>
      <c r="AD4032" t="b">
        <f t="shared" ca="1" si="4168"/>
        <v>0</v>
      </c>
      <c r="AE4032" s="1" t="str">
        <f t="shared" ca="1" si="4189"/>
        <v>Garage 173</v>
      </c>
      <c r="AF4032" t="str">
        <f t="shared" ca="1" si="4166"/>
        <v>Garage 173</v>
      </c>
    </row>
    <row r="4033" spans="28:32" x14ac:dyDescent="0.25">
      <c r="AB4033" t="str">
        <f t="shared" ref="AB4033:AC4033" si="4204">AB4012</f>
        <v>Supporting Scaffold</v>
      </c>
      <c r="AC4033" t="str">
        <f t="shared" si="4204"/>
        <v>Ground Floor Prop.</v>
      </c>
      <c r="AD4033" t="str">
        <f t="shared" ca="1" si="4168"/>
        <v>FALSE</v>
      </c>
      <c r="AE4033" s="1" t="str">
        <f t="shared" ca="1" si="4189"/>
        <v>Garage 173</v>
      </c>
      <c r="AF4033" t="str">
        <f t="shared" ca="1" si="4166"/>
        <v>Garage 173</v>
      </c>
    </row>
    <row r="4034" spans="28:32" x14ac:dyDescent="0.25">
      <c r="AB4034" t="str">
        <f t="shared" ref="AB4034:AC4034" si="4205">AB4013</f>
        <v>Supporting Scaffold</v>
      </c>
      <c r="AC4034" t="str">
        <f t="shared" si="4205"/>
        <v>First Floor Prop.</v>
      </c>
      <c r="AD4034" t="str">
        <f t="shared" ca="1" si="4168"/>
        <v>FALSE</v>
      </c>
      <c r="AE4034" s="1" t="str">
        <f t="shared" ca="1" si="4189"/>
        <v>Garage 173</v>
      </c>
      <c r="AF4034" t="str">
        <f t="shared" ca="1" si="4166"/>
        <v>Garage 173</v>
      </c>
    </row>
    <row r="4035" spans="28:32" x14ac:dyDescent="0.25">
      <c r="AB4035" t="str">
        <f t="shared" ref="AB4035:AC4035" si="4206">AB4014</f>
        <v>Supporting Scaffold</v>
      </c>
      <c r="AC4035" t="str">
        <f t="shared" si="4206"/>
        <v>Second Floor Prop.</v>
      </c>
      <c r="AD4035" t="str">
        <f t="shared" ca="1" si="4168"/>
        <v>FALSE</v>
      </c>
      <c r="AE4035" s="1" t="str">
        <f t="shared" ca="1" si="4189"/>
        <v>Garage 173</v>
      </c>
      <c r="AF4035" t="str">
        <f t="shared" ca="1" si="4166"/>
        <v>Garage 173</v>
      </c>
    </row>
    <row r="4036" spans="28:32" x14ac:dyDescent="0.25">
      <c r="AB4036" t="str">
        <f t="shared" ref="AB4036:AC4036" si="4207">AB4015</f>
        <v>External Scaffolding</v>
      </c>
      <c r="AC4036" t="str">
        <f t="shared" si="4207"/>
        <v>Hop-ups</v>
      </c>
      <c r="AD4036" t="b">
        <f t="shared" ca="1" si="4168"/>
        <v>1</v>
      </c>
      <c r="AE4036" s="1" t="str">
        <f t="shared" ca="1" si="4189"/>
        <v>Garage 173</v>
      </c>
      <c r="AF4036" t="str">
        <f t="shared" ca="1" si="4166"/>
        <v>Garage 173</v>
      </c>
    </row>
    <row r="4037" spans="28:32" x14ac:dyDescent="0.25">
      <c r="AB4037" t="str">
        <f t="shared" ref="AB4037:AC4037" si="4208">AB4016</f>
        <v>External Scaffolding</v>
      </c>
      <c r="AC4037" t="str">
        <f t="shared" si="4208"/>
        <v>Adaptions</v>
      </c>
      <c r="AD4037" t="b">
        <f t="shared" ca="1" si="4168"/>
        <v>1</v>
      </c>
      <c r="AE4037" s="1" t="str">
        <f t="shared" ca="1" si="4189"/>
        <v>Garage 173</v>
      </c>
      <c r="AF4037" t="str">
        <f t="shared" ca="1" si="4166"/>
        <v>Garage 173</v>
      </c>
    </row>
    <row r="4038" spans="28:32" x14ac:dyDescent="0.25">
      <c r="AB4038" t="str">
        <f t="shared" ref="AB4038:AC4038" si="4209">AB4017</f>
        <v>External Scaffolding</v>
      </c>
      <c r="AC4038" t="str">
        <f t="shared" si="4209"/>
        <v>Adaption Tower</v>
      </c>
      <c r="AD4038" t="b">
        <f t="shared" ca="1" si="4168"/>
        <v>1</v>
      </c>
      <c r="AE4038" s="1" t="str">
        <f t="shared" ca="1" si="4189"/>
        <v>Garage 173</v>
      </c>
      <c r="AF4038" t="str">
        <f t="shared" ca="1" si="4166"/>
        <v>Garage 173</v>
      </c>
    </row>
    <row r="4039" spans="28:32" x14ac:dyDescent="0.25">
      <c r="AB4039" t="str">
        <f t="shared" ref="AB4039:AC4039" si="4210">AB4018</f>
        <v>External Scaffolding</v>
      </c>
      <c r="AC4039" t="str">
        <f t="shared" si="4210"/>
        <v>Lift 1</v>
      </c>
      <c r="AD4039" t="b">
        <f t="shared" ca="1" si="4168"/>
        <v>1</v>
      </c>
      <c r="AE4039" s="1" t="str">
        <f t="shared" ca="1" si="4189"/>
        <v>Garage 60</v>
      </c>
      <c r="AF4039" t="str">
        <f t="shared" ca="1" si="4166"/>
        <v>Garage 60</v>
      </c>
    </row>
    <row r="4040" spans="28:32" x14ac:dyDescent="0.25">
      <c r="AB4040" t="str">
        <f t="shared" ref="AB4040:AC4040" si="4211">AB4019</f>
        <v>External Scaffolding</v>
      </c>
      <c r="AC4040" t="str">
        <f t="shared" si="4211"/>
        <v>Lift 2</v>
      </c>
      <c r="AD4040" t="b">
        <f t="shared" ca="1" si="4168"/>
        <v>1</v>
      </c>
      <c r="AE4040" s="1" t="str">
        <f t="shared" ca="1" si="4189"/>
        <v>Garage 60</v>
      </c>
      <c r="AF4040" t="str">
        <f t="shared" ca="1" si="4166"/>
        <v>Garage 60</v>
      </c>
    </row>
    <row r="4041" spans="28:32" x14ac:dyDescent="0.25">
      <c r="AB4041" t="str">
        <f t="shared" ref="AB4041:AC4041" si="4212">AB4020</f>
        <v>External Scaffolding</v>
      </c>
      <c r="AC4041" t="str">
        <f t="shared" si="4212"/>
        <v>Lift 3</v>
      </c>
      <c r="AD4041" t="b">
        <f t="shared" ca="1" si="4168"/>
        <v>1</v>
      </c>
      <c r="AE4041" s="1" t="str">
        <f t="shared" ca="1" si="4189"/>
        <v>Garage 60</v>
      </c>
      <c r="AF4041" t="str">
        <f t="shared" ca="1" si="4166"/>
        <v>Garage 60</v>
      </c>
    </row>
    <row r="4042" spans="28:32" x14ac:dyDescent="0.25">
      <c r="AB4042" t="str">
        <f t="shared" ref="AB4042:AC4042" si="4213">AB4021</f>
        <v>External Scaffolding</v>
      </c>
      <c r="AC4042" t="str">
        <f t="shared" si="4213"/>
        <v>Lift 4</v>
      </c>
      <c r="AD4042" t="b">
        <f t="shared" ca="1" si="4168"/>
        <v>0</v>
      </c>
      <c r="AE4042" s="1" t="str">
        <f t="shared" ca="1" si="4189"/>
        <v>Garage 60</v>
      </c>
      <c r="AF4042" t="str">
        <f t="shared" ca="1" si="4166"/>
        <v>Garage 60</v>
      </c>
    </row>
    <row r="4043" spans="28:32" x14ac:dyDescent="0.25">
      <c r="AB4043" t="str">
        <f t="shared" ref="AB4043:AC4043" si="4214">AB4022</f>
        <v>External Scaffolding</v>
      </c>
      <c r="AC4043" t="str">
        <f t="shared" si="4214"/>
        <v>Lift 5</v>
      </c>
      <c r="AD4043" t="b">
        <f t="shared" ca="1" si="4168"/>
        <v>0</v>
      </c>
      <c r="AE4043" s="1" t="str">
        <f t="shared" ca="1" si="4189"/>
        <v>Garage 60</v>
      </c>
      <c r="AF4043" t="str">
        <f t="shared" ca="1" si="4166"/>
        <v>Garage 60</v>
      </c>
    </row>
    <row r="4044" spans="28:32" x14ac:dyDescent="0.25">
      <c r="AB4044" t="str">
        <f t="shared" ref="AB4044:AC4044" si="4215">AB4023</f>
        <v>External Scaffolding</v>
      </c>
      <c r="AC4044" t="str">
        <f t="shared" si="4215"/>
        <v>Lift 6</v>
      </c>
      <c r="AD4044" t="b">
        <f t="shared" ca="1" si="4168"/>
        <v>0</v>
      </c>
      <c r="AE4044" s="1" t="str">
        <f t="shared" ca="1" si="4189"/>
        <v>Garage 60</v>
      </c>
      <c r="AF4044" t="str">
        <f t="shared" ca="1" si="4166"/>
        <v>Garage 60</v>
      </c>
    </row>
    <row r="4045" spans="28:32" x14ac:dyDescent="0.25">
      <c r="AB4045" t="str">
        <f t="shared" ref="AB4045:AC4045" si="4216">AB4024</f>
        <v>Loading Bay</v>
      </c>
      <c r="AC4045" t="str">
        <f t="shared" si="4216"/>
        <v>Lift 1</v>
      </c>
      <c r="AD4045" t="b">
        <f t="shared" ca="1" si="4168"/>
        <v>1</v>
      </c>
      <c r="AE4045" s="1" t="str">
        <f t="shared" ca="1" si="4189"/>
        <v>Garage 60</v>
      </c>
      <c r="AF4045" t="str">
        <f t="shared" ca="1" si="4166"/>
        <v>Garage 60</v>
      </c>
    </row>
    <row r="4046" spans="28:32" x14ac:dyDescent="0.25">
      <c r="AB4046" t="str">
        <f t="shared" ref="AB4046:AC4046" si="4217">AB4025</f>
        <v>Loading Bay</v>
      </c>
      <c r="AC4046" t="str">
        <f t="shared" si="4217"/>
        <v>Lift 2</v>
      </c>
      <c r="AD4046" t="b">
        <f t="shared" ca="1" si="4168"/>
        <v>1</v>
      </c>
      <c r="AE4046" s="1" t="str">
        <f t="shared" ca="1" si="4189"/>
        <v>Garage 60</v>
      </c>
      <c r="AF4046" t="str">
        <f t="shared" ca="1" si="4166"/>
        <v>Garage 60</v>
      </c>
    </row>
    <row r="4047" spans="28:32" x14ac:dyDescent="0.25">
      <c r="AB4047" t="str">
        <f t="shared" ref="AB4047:AC4047" si="4218">AB4026</f>
        <v>Loading Bay</v>
      </c>
      <c r="AC4047" t="str">
        <f t="shared" si="4218"/>
        <v>Lift 3</v>
      </c>
      <c r="AD4047" t="b">
        <f t="shared" ca="1" si="4168"/>
        <v>1</v>
      </c>
      <c r="AE4047" s="1" t="str">
        <f t="shared" ca="1" si="4189"/>
        <v>Garage 60</v>
      </c>
      <c r="AF4047" t="str">
        <f t="shared" ca="1" si="4166"/>
        <v>Garage 60</v>
      </c>
    </row>
    <row r="4048" spans="28:32" x14ac:dyDescent="0.25">
      <c r="AB4048" t="str">
        <f t="shared" ref="AB4048:AC4048" si="4219">AB4027</f>
        <v>Loading Bay</v>
      </c>
      <c r="AC4048" t="str">
        <f t="shared" si="4219"/>
        <v>Lift 4</v>
      </c>
      <c r="AD4048" t="b">
        <f t="shared" ca="1" si="4168"/>
        <v>0</v>
      </c>
      <c r="AE4048" s="1" t="str">
        <f t="shared" ca="1" si="4189"/>
        <v>Garage 60</v>
      </c>
      <c r="AF4048" t="str">
        <f t="shared" ca="1" si="4166"/>
        <v>Garage 60</v>
      </c>
    </row>
    <row r="4049" spans="28:32" x14ac:dyDescent="0.25">
      <c r="AB4049" t="str">
        <f t="shared" ref="AB4049:AC4049" si="4220">AB4028</f>
        <v>Loading Bay</v>
      </c>
      <c r="AC4049" t="str">
        <f t="shared" si="4220"/>
        <v>Lift 5</v>
      </c>
      <c r="AD4049" t="b">
        <f t="shared" ca="1" si="4168"/>
        <v>0</v>
      </c>
      <c r="AE4049" s="1" t="str">
        <f t="shared" ca="1" si="4189"/>
        <v>Garage 60</v>
      </c>
      <c r="AF4049" t="str">
        <f t="shared" ca="1" si="4166"/>
        <v>Garage 60</v>
      </c>
    </row>
    <row r="4050" spans="28:32" x14ac:dyDescent="0.25">
      <c r="AB4050" t="str">
        <f t="shared" ref="AB4050:AC4050" si="4221">AB4029</f>
        <v>Loading Bay</v>
      </c>
      <c r="AC4050" t="str">
        <f t="shared" si="4221"/>
        <v>Lift 6</v>
      </c>
      <c r="AD4050" t="b">
        <f t="shared" ca="1" si="4168"/>
        <v>0</v>
      </c>
      <c r="AE4050" s="1" t="str">
        <f t="shared" ca="1" si="4189"/>
        <v>Garage 60</v>
      </c>
      <c r="AF4050" t="str">
        <f t="shared" ca="1" si="4166"/>
        <v>Garage 60</v>
      </c>
    </row>
    <row r="4051" spans="28:32" x14ac:dyDescent="0.25">
      <c r="AB4051" t="str">
        <f t="shared" ref="AB4051:AC4051" si="4222">AB4030</f>
        <v>Scaffolding Platform</v>
      </c>
      <c r="AC4051" t="str">
        <f t="shared" si="4222"/>
        <v>Ground Floor</v>
      </c>
      <c r="AD4051" t="b">
        <f t="shared" ca="1" si="4168"/>
        <v>1</v>
      </c>
      <c r="AE4051" s="1" t="str">
        <f t="shared" ca="1" si="4189"/>
        <v>Garage 60</v>
      </c>
      <c r="AF4051" t="str">
        <f t="shared" ca="1" si="4166"/>
        <v>Garage 60</v>
      </c>
    </row>
    <row r="4052" spans="28:32" x14ac:dyDescent="0.25">
      <c r="AB4052" t="str">
        <f t="shared" ref="AB4052:AC4052" si="4223">AB4031</f>
        <v>Scaffolding Platform</v>
      </c>
      <c r="AC4052" t="str">
        <f t="shared" si="4223"/>
        <v>First Floor</v>
      </c>
      <c r="AD4052" t="b">
        <f t="shared" ca="1" si="4168"/>
        <v>0</v>
      </c>
      <c r="AE4052" s="1" t="str">
        <f t="shared" ca="1" si="4189"/>
        <v>Garage 60</v>
      </c>
      <c r="AF4052" t="str">
        <f t="shared" ca="1" si="4166"/>
        <v>Garage 60</v>
      </c>
    </row>
    <row r="4053" spans="28:32" x14ac:dyDescent="0.25">
      <c r="AB4053" t="str">
        <f t="shared" ref="AB4053:AC4053" si="4224">AB4032</f>
        <v>Scaffolding Platform</v>
      </c>
      <c r="AC4053" t="str">
        <f t="shared" si="4224"/>
        <v>Second Floor</v>
      </c>
      <c r="AD4053" t="b">
        <f t="shared" ca="1" si="4168"/>
        <v>0</v>
      </c>
      <c r="AE4053" s="1" t="str">
        <f t="shared" ca="1" si="4189"/>
        <v>Garage 60</v>
      </c>
      <c r="AF4053" t="str">
        <f t="shared" ca="1" si="4166"/>
        <v>Garage 60</v>
      </c>
    </row>
    <row r="4054" spans="28:32" x14ac:dyDescent="0.25">
      <c r="AB4054" t="str">
        <f t="shared" ref="AB4054:AC4054" si="4225">AB4033</f>
        <v>Supporting Scaffold</v>
      </c>
      <c r="AC4054" t="str">
        <f t="shared" si="4225"/>
        <v>Ground Floor Prop.</v>
      </c>
      <c r="AD4054" t="str">
        <f t="shared" ca="1" si="4168"/>
        <v>FALSE</v>
      </c>
      <c r="AE4054" s="1" t="str">
        <f t="shared" ca="1" si="4189"/>
        <v>Garage 60</v>
      </c>
      <c r="AF4054" t="str">
        <f t="shared" ca="1" si="4166"/>
        <v>Garage 60</v>
      </c>
    </row>
    <row r="4055" spans="28:32" x14ac:dyDescent="0.25">
      <c r="AB4055" t="str">
        <f t="shared" ref="AB4055:AC4055" si="4226">AB4034</f>
        <v>Supporting Scaffold</v>
      </c>
      <c r="AC4055" t="str">
        <f t="shared" si="4226"/>
        <v>First Floor Prop.</v>
      </c>
      <c r="AD4055" t="str">
        <f t="shared" ca="1" si="4168"/>
        <v>FALSE</v>
      </c>
      <c r="AE4055" s="1" t="str">
        <f t="shared" ca="1" si="4189"/>
        <v>Garage 60</v>
      </c>
      <c r="AF4055" t="str">
        <f t="shared" ca="1" si="4166"/>
        <v>Garage 60</v>
      </c>
    </row>
    <row r="4056" spans="28:32" x14ac:dyDescent="0.25">
      <c r="AB4056" t="str">
        <f t="shared" ref="AB4056:AC4056" si="4227">AB4035</f>
        <v>Supporting Scaffold</v>
      </c>
      <c r="AC4056" t="str">
        <f t="shared" si="4227"/>
        <v>Second Floor Prop.</v>
      </c>
      <c r="AD4056" t="str">
        <f t="shared" ca="1" si="4168"/>
        <v>FALSE</v>
      </c>
      <c r="AE4056" s="1" t="str">
        <f t="shared" ca="1" si="4189"/>
        <v>Garage 60</v>
      </c>
      <c r="AF4056" t="str">
        <f t="shared" ca="1" si="4166"/>
        <v>Garage 60</v>
      </c>
    </row>
    <row r="4057" spans="28:32" x14ac:dyDescent="0.25">
      <c r="AB4057" t="str">
        <f t="shared" ref="AB4057:AC4057" si="4228">AB4036</f>
        <v>External Scaffolding</v>
      </c>
      <c r="AC4057" t="str">
        <f t="shared" si="4228"/>
        <v>Hop-ups</v>
      </c>
      <c r="AD4057" t="b">
        <f t="shared" ca="1" si="4168"/>
        <v>1</v>
      </c>
      <c r="AE4057" s="1" t="str">
        <f t="shared" ca="1" si="4189"/>
        <v>Garage 60</v>
      </c>
      <c r="AF4057" t="str">
        <f t="shared" ca="1" si="4166"/>
        <v>Garage 60</v>
      </c>
    </row>
    <row r="4058" spans="28:32" x14ac:dyDescent="0.25">
      <c r="AB4058" t="str">
        <f t="shared" ref="AB4058:AC4058" si="4229">AB4037</f>
        <v>External Scaffolding</v>
      </c>
      <c r="AC4058" t="str">
        <f t="shared" si="4229"/>
        <v>Adaptions</v>
      </c>
      <c r="AD4058" t="b">
        <f t="shared" ca="1" si="4168"/>
        <v>1</v>
      </c>
      <c r="AE4058" s="1" t="str">
        <f t="shared" ca="1" si="4189"/>
        <v>Garage 60</v>
      </c>
      <c r="AF4058" t="str">
        <f t="shared" ca="1" si="4166"/>
        <v>Garage 60</v>
      </c>
    </row>
    <row r="4059" spans="28:32" x14ac:dyDescent="0.25">
      <c r="AB4059" t="str">
        <f t="shared" ref="AB4059:AC4059" si="4230">AB4038</f>
        <v>External Scaffolding</v>
      </c>
      <c r="AC4059" t="str">
        <f t="shared" si="4230"/>
        <v>Adaption Tower</v>
      </c>
      <c r="AD4059" t="b">
        <f t="shared" ca="1" si="4168"/>
        <v>1</v>
      </c>
      <c r="AE4059" s="1" t="str">
        <f t="shared" ca="1" si="4189"/>
        <v>Garage 60</v>
      </c>
      <c r="AF4059" t="str">
        <f t="shared" ca="1" si="4166"/>
        <v>Garage 60</v>
      </c>
    </row>
    <row r="4060" spans="28:32" x14ac:dyDescent="0.25">
      <c r="AB4060" t="str">
        <f t="shared" ref="AB4060:AC4060" si="4231">AB4039</f>
        <v>External Scaffolding</v>
      </c>
      <c r="AC4060" t="str">
        <f t="shared" si="4231"/>
        <v>Lift 1</v>
      </c>
      <c r="AD4060" t="b">
        <f t="shared" ca="1" si="4168"/>
        <v>1</v>
      </c>
      <c r="AE4060" s="1" t="str">
        <f t="shared" ca="1" si="4189"/>
        <v>Garage 63</v>
      </c>
      <c r="AF4060" t="str">
        <f t="shared" ca="1" si="4166"/>
        <v>Garage 63</v>
      </c>
    </row>
    <row r="4061" spans="28:32" x14ac:dyDescent="0.25">
      <c r="AB4061" t="str">
        <f t="shared" ref="AB4061:AC4061" si="4232">AB4040</f>
        <v>External Scaffolding</v>
      </c>
      <c r="AC4061" t="str">
        <f t="shared" si="4232"/>
        <v>Lift 2</v>
      </c>
      <c r="AD4061" t="b">
        <f t="shared" ca="1" si="4168"/>
        <v>1</v>
      </c>
      <c r="AE4061" s="1" t="str">
        <f t="shared" ca="1" si="4189"/>
        <v>Garage 63</v>
      </c>
      <c r="AF4061" t="str">
        <f t="shared" ref="AF4061:AF4124" ca="1" si="4233">IF(LEFT(AE4061,1)="G",AE4061,"Plot "&amp;AE4061)</f>
        <v>Garage 63</v>
      </c>
    </row>
    <row r="4062" spans="28:32" x14ac:dyDescent="0.25">
      <c r="AB4062" t="str">
        <f t="shared" ref="AB4062:AC4062" si="4234">AB4041</f>
        <v>External Scaffolding</v>
      </c>
      <c r="AC4062" t="str">
        <f t="shared" si="4234"/>
        <v>Lift 3</v>
      </c>
      <c r="AD4062" t="b">
        <f t="shared" ref="AD4062:AD4125" ca="1" si="4235">INDEX($AC$1:$JH$22,MATCH(AC4062,$AC$1:$AC$22,0),MATCH(AE4062,$AC$1:$JH$1,0))</f>
        <v>1</v>
      </c>
      <c r="AE4062" s="1" t="str">
        <f t="shared" ca="1" si="4189"/>
        <v>Garage 63</v>
      </c>
      <c r="AF4062" t="str">
        <f t="shared" ca="1" si="4233"/>
        <v>Garage 63</v>
      </c>
    </row>
    <row r="4063" spans="28:32" x14ac:dyDescent="0.25">
      <c r="AB4063" t="str">
        <f t="shared" ref="AB4063:AC4063" si="4236">AB4042</f>
        <v>External Scaffolding</v>
      </c>
      <c r="AC4063" t="str">
        <f t="shared" si="4236"/>
        <v>Lift 4</v>
      </c>
      <c r="AD4063" t="b">
        <f t="shared" ca="1" si="4235"/>
        <v>0</v>
      </c>
      <c r="AE4063" s="1" t="str">
        <f t="shared" ca="1" si="4189"/>
        <v>Garage 63</v>
      </c>
      <c r="AF4063" t="str">
        <f t="shared" ca="1" si="4233"/>
        <v>Garage 63</v>
      </c>
    </row>
    <row r="4064" spans="28:32" x14ac:dyDescent="0.25">
      <c r="AB4064" t="str">
        <f t="shared" ref="AB4064:AC4064" si="4237">AB4043</f>
        <v>External Scaffolding</v>
      </c>
      <c r="AC4064" t="str">
        <f t="shared" si="4237"/>
        <v>Lift 5</v>
      </c>
      <c r="AD4064" t="b">
        <f t="shared" ca="1" si="4235"/>
        <v>0</v>
      </c>
      <c r="AE4064" s="1" t="str">
        <f t="shared" ca="1" si="4189"/>
        <v>Garage 63</v>
      </c>
      <c r="AF4064" t="str">
        <f t="shared" ca="1" si="4233"/>
        <v>Garage 63</v>
      </c>
    </row>
    <row r="4065" spans="28:32" x14ac:dyDescent="0.25">
      <c r="AB4065" t="str">
        <f t="shared" ref="AB4065:AC4065" si="4238">AB4044</f>
        <v>External Scaffolding</v>
      </c>
      <c r="AC4065" t="str">
        <f t="shared" si="4238"/>
        <v>Lift 6</v>
      </c>
      <c r="AD4065" t="b">
        <f t="shared" ca="1" si="4235"/>
        <v>0</v>
      </c>
      <c r="AE4065" s="1" t="str">
        <f t="shared" ca="1" si="4189"/>
        <v>Garage 63</v>
      </c>
      <c r="AF4065" t="str">
        <f t="shared" ca="1" si="4233"/>
        <v>Garage 63</v>
      </c>
    </row>
    <row r="4066" spans="28:32" x14ac:dyDescent="0.25">
      <c r="AB4066" t="str">
        <f t="shared" ref="AB4066:AC4066" si="4239">AB4045</f>
        <v>Loading Bay</v>
      </c>
      <c r="AC4066" t="str">
        <f t="shared" si="4239"/>
        <v>Lift 1</v>
      </c>
      <c r="AD4066" t="b">
        <f t="shared" ca="1" si="4235"/>
        <v>1</v>
      </c>
      <c r="AE4066" s="1" t="str">
        <f t="shared" ca="1" si="4189"/>
        <v>Garage 63</v>
      </c>
      <c r="AF4066" t="str">
        <f t="shared" ca="1" si="4233"/>
        <v>Garage 63</v>
      </c>
    </row>
    <row r="4067" spans="28:32" x14ac:dyDescent="0.25">
      <c r="AB4067" t="str">
        <f t="shared" ref="AB4067:AC4067" si="4240">AB4046</f>
        <v>Loading Bay</v>
      </c>
      <c r="AC4067" t="str">
        <f t="shared" si="4240"/>
        <v>Lift 2</v>
      </c>
      <c r="AD4067" t="b">
        <f t="shared" ca="1" si="4235"/>
        <v>1</v>
      </c>
      <c r="AE4067" s="1" t="str">
        <f t="shared" ca="1" si="4189"/>
        <v>Garage 63</v>
      </c>
      <c r="AF4067" t="str">
        <f t="shared" ca="1" si="4233"/>
        <v>Garage 63</v>
      </c>
    </row>
    <row r="4068" spans="28:32" x14ac:dyDescent="0.25">
      <c r="AB4068" t="str">
        <f t="shared" ref="AB4068:AC4068" si="4241">AB4047</f>
        <v>Loading Bay</v>
      </c>
      <c r="AC4068" t="str">
        <f t="shared" si="4241"/>
        <v>Lift 3</v>
      </c>
      <c r="AD4068" t="b">
        <f t="shared" ca="1" si="4235"/>
        <v>1</v>
      </c>
      <c r="AE4068" s="1" t="str">
        <f t="shared" ca="1" si="4189"/>
        <v>Garage 63</v>
      </c>
      <c r="AF4068" t="str">
        <f t="shared" ca="1" si="4233"/>
        <v>Garage 63</v>
      </c>
    </row>
    <row r="4069" spans="28:32" x14ac:dyDescent="0.25">
      <c r="AB4069" t="str">
        <f t="shared" ref="AB4069:AC4069" si="4242">AB4048</f>
        <v>Loading Bay</v>
      </c>
      <c r="AC4069" t="str">
        <f t="shared" si="4242"/>
        <v>Lift 4</v>
      </c>
      <c r="AD4069" t="b">
        <f t="shared" ca="1" si="4235"/>
        <v>0</v>
      </c>
      <c r="AE4069" s="1" t="str">
        <f t="shared" ca="1" si="4189"/>
        <v>Garage 63</v>
      </c>
      <c r="AF4069" t="str">
        <f t="shared" ca="1" si="4233"/>
        <v>Garage 63</v>
      </c>
    </row>
    <row r="4070" spans="28:32" x14ac:dyDescent="0.25">
      <c r="AB4070" t="str">
        <f t="shared" ref="AB4070:AC4070" si="4243">AB4049</f>
        <v>Loading Bay</v>
      </c>
      <c r="AC4070" t="str">
        <f t="shared" si="4243"/>
        <v>Lift 5</v>
      </c>
      <c r="AD4070" t="b">
        <f t="shared" ca="1" si="4235"/>
        <v>0</v>
      </c>
      <c r="AE4070" s="1" t="str">
        <f t="shared" ca="1" si="4189"/>
        <v>Garage 63</v>
      </c>
      <c r="AF4070" t="str">
        <f t="shared" ca="1" si="4233"/>
        <v>Garage 63</v>
      </c>
    </row>
    <row r="4071" spans="28:32" x14ac:dyDescent="0.25">
      <c r="AB4071" t="str">
        <f t="shared" ref="AB4071:AC4071" si="4244">AB4050</f>
        <v>Loading Bay</v>
      </c>
      <c r="AC4071" t="str">
        <f t="shared" si="4244"/>
        <v>Lift 6</v>
      </c>
      <c r="AD4071" t="b">
        <f t="shared" ca="1" si="4235"/>
        <v>0</v>
      </c>
      <c r="AE4071" s="1" t="str">
        <f t="shared" ca="1" si="4189"/>
        <v>Garage 63</v>
      </c>
      <c r="AF4071" t="str">
        <f t="shared" ca="1" si="4233"/>
        <v>Garage 63</v>
      </c>
    </row>
    <row r="4072" spans="28:32" x14ac:dyDescent="0.25">
      <c r="AB4072" t="str">
        <f t="shared" ref="AB4072:AC4072" si="4245">AB4051</f>
        <v>Scaffolding Platform</v>
      </c>
      <c r="AC4072" t="str">
        <f t="shared" si="4245"/>
        <v>Ground Floor</v>
      </c>
      <c r="AD4072" t="b">
        <f t="shared" ca="1" si="4235"/>
        <v>1</v>
      </c>
      <c r="AE4072" s="1" t="str">
        <f t="shared" ca="1" si="4189"/>
        <v>Garage 63</v>
      </c>
      <c r="AF4072" t="str">
        <f t="shared" ca="1" si="4233"/>
        <v>Garage 63</v>
      </c>
    </row>
    <row r="4073" spans="28:32" x14ac:dyDescent="0.25">
      <c r="AB4073" t="str">
        <f t="shared" ref="AB4073:AC4073" si="4246">AB4052</f>
        <v>Scaffolding Platform</v>
      </c>
      <c r="AC4073" t="str">
        <f t="shared" si="4246"/>
        <v>First Floor</v>
      </c>
      <c r="AD4073" t="b">
        <f t="shared" ca="1" si="4235"/>
        <v>0</v>
      </c>
      <c r="AE4073" s="1" t="str">
        <f t="shared" ca="1" si="4189"/>
        <v>Garage 63</v>
      </c>
      <c r="AF4073" t="str">
        <f t="shared" ca="1" si="4233"/>
        <v>Garage 63</v>
      </c>
    </row>
    <row r="4074" spans="28:32" x14ac:dyDescent="0.25">
      <c r="AB4074" t="str">
        <f t="shared" ref="AB4074:AC4074" si="4247">AB4053</f>
        <v>Scaffolding Platform</v>
      </c>
      <c r="AC4074" t="str">
        <f t="shared" si="4247"/>
        <v>Second Floor</v>
      </c>
      <c r="AD4074" t="b">
        <f t="shared" ca="1" si="4235"/>
        <v>0</v>
      </c>
      <c r="AE4074" s="1" t="str">
        <f t="shared" ca="1" si="4189"/>
        <v>Garage 63</v>
      </c>
      <c r="AF4074" t="str">
        <f t="shared" ca="1" si="4233"/>
        <v>Garage 63</v>
      </c>
    </row>
    <row r="4075" spans="28:32" x14ac:dyDescent="0.25">
      <c r="AB4075" t="str">
        <f t="shared" ref="AB4075:AC4075" si="4248">AB4054</f>
        <v>Supporting Scaffold</v>
      </c>
      <c r="AC4075" t="str">
        <f t="shared" si="4248"/>
        <v>Ground Floor Prop.</v>
      </c>
      <c r="AD4075" t="str">
        <f t="shared" ca="1" si="4235"/>
        <v>FALSE</v>
      </c>
      <c r="AE4075" s="1" t="str">
        <f t="shared" ca="1" si="4189"/>
        <v>Garage 63</v>
      </c>
      <c r="AF4075" t="str">
        <f t="shared" ca="1" si="4233"/>
        <v>Garage 63</v>
      </c>
    </row>
    <row r="4076" spans="28:32" x14ac:dyDescent="0.25">
      <c r="AB4076" t="str">
        <f t="shared" ref="AB4076:AC4076" si="4249">AB4055</f>
        <v>Supporting Scaffold</v>
      </c>
      <c r="AC4076" t="str">
        <f t="shared" si="4249"/>
        <v>First Floor Prop.</v>
      </c>
      <c r="AD4076" t="str">
        <f t="shared" ca="1" si="4235"/>
        <v>FALSE</v>
      </c>
      <c r="AE4076" s="1" t="str">
        <f t="shared" ca="1" si="4189"/>
        <v>Garage 63</v>
      </c>
      <c r="AF4076" t="str">
        <f t="shared" ca="1" si="4233"/>
        <v>Garage 63</v>
      </c>
    </row>
    <row r="4077" spans="28:32" x14ac:dyDescent="0.25">
      <c r="AB4077" t="str">
        <f t="shared" ref="AB4077:AC4077" si="4250">AB4056</f>
        <v>Supporting Scaffold</v>
      </c>
      <c r="AC4077" t="str">
        <f t="shared" si="4250"/>
        <v>Second Floor Prop.</v>
      </c>
      <c r="AD4077" t="str">
        <f t="shared" ca="1" si="4235"/>
        <v>FALSE</v>
      </c>
      <c r="AE4077" s="1" t="str">
        <f t="shared" ca="1" si="4189"/>
        <v>Garage 63</v>
      </c>
      <c r="AF4077" t="str">
        <f t="shared" ca="1" si="4233"/>
        <v>Garage 63</v>
      </c>
    </row>
    <row r="4078" spans="28:32" x14ac:dyDescent="0.25">
      <c r="AB4078" t="str">
        <f t="shared" ref="AB4078:AC4078" si="4251">AB4057</f>
        <v>External Scaffolding</v>
      </c>
      <c r="AC4078" t="str">
        <f t="shared" si="4251"/>
        <v>Hop-ups</v>
      </c>
      <c r="AD4078" t="b">
        <f t="shared" ca="1" si="4235"/>
        <v>1</v>
      </c>
      <c r="AE4078" s="1" t="str">
        <f t="shared" ca="1" si="4189"/>
        <v>Garage 63</v>
      </c>
      <c r="AF4078" t="str">
        <f t="shared" ca="1" si="4233"/>
        <v>Garage 63</v>
      </c>
    </row>
    <row r="4079" spans="28:32" x14ac:dyDescent="0.25">
      <c r="AB4079" t="str">
        <f t="shared" ref="AB4079:AC4079" si="4252">AB4058</f>
        <v>External Scaffolding</v>
      </c>
      <c r="AC4079" t="str">
        <f t="shared" si="4252"/>
        <v>Adaptions</v>
      </c>
      <c r="AD4079" t="b">
        <f t="shared" ca="1" si="4235"/>
        <v>1</v>
      </c>
      <c r="AE4079" s="1" t="str">
        <f t="shared" ca="1" si="4189"/>
        <v>Garage 63</v>
      </c>
      <c r="AF4079" t="str">
        <f t="shared" ca="1" si="4233"/>
        <v>Garage 63</v>
      </c>
    </row>
    <row r="4080" spans="28:32" x14ac:dyDescent="0.25">
      <c r="AB4080" t="str">
        <f t="shared" ref="AB4080:AC4080" si="4253">AB4059</f>
        <v>External Scaffolding</v>
      </c>
      <c r="AC4080" t="str">
        <f t="shared" si="4253"/>
        <v>Adaption Tower</v>
      </c>
      <c r="AD4080" t="b">
        <f t="shared" ca="1" si="4235"/>
        <v>1</v>
      </c>
      <c r="AE4080" s="1" t="str">
        <f t="shared" ca="1" si="4189"/>
        <v>Garage 63</v>
      </c>
      <c r="AF4080" t="str">
        <f t="shared" ca="1" si="4233"/>
        <v>Garage 63</v>
      </c>
    </row>
    <row r="4081" spans="28:32" x14ac:dyDescent="0.25">
      <c r="AB4081" t="str">
        <f t="shared" ref="AB4081:AC4081" si="4254">AB4060</f>
        <v>External Scaffolding</v>
      </c>
      <c r="AC4081" t="str">
        <f t="shared" si="4254"/>
        <v>Lift 1</v>
      </c>
      <c r="AD4081" t="b">
        <f t="shared" ca="1" si="4235"/>
        <v>1</v>
      </c>
      <c r="AE4081" s="1" t="str">
        <f t="shared" ca="1" si="4189"/>
        <v>Garage 64</v>
      </c>
      <c r="AF4081" t="str">
        <f t="shared" ca="1" si="4233"/>
        <v>Garage 64</v>
      </c>
    </row>
    <row r="4082" spans="28:32" x14ac:dyDescent="0.25">
      <c r="AB4082" t="str">
        <f t="shared" ref="AB4082:AC4082" si="4255">AB4061</f>
        <v>External Scaffolding</v>
      </c>
      <c r="AC4082" t="str">
        <f t="shared" si="4255"/>
        <v>Lift 2</v>
      </c>
      <c r="AD4082" t="b">
        <f t="shared" ca="1" si="4235"/>
        <v>1</v>
      </c>
      <c r="AE4082" s="1" t="str">
        <f t="shared" ref="AE4082:AE4145" ca="1" si="4256">OFFSET($AD$1,0,FLOOR(ROW(B4054)/21,1))</f>
        <v>Garage 64</v>
      </c>
      <c r="AF4082" t="str">
        <f t="shared" ca="1" si="4233"/>
        <v>Garage 64</v>
      </c>
    </row>
    <row r="4083" spans="28:32" x14ac:dyDescent="0.25">
      <c r="AB4083" t="str">
        <f t="shared" ref="AB4083:AC4083" si="4257">AB4062</f>
        <v>External Scaffolding</v>
      </c>
      <c r="AC4083" t="str">
        <f t="shared" si="4257"/>
        <v>Lift 3</v>
      </c>
      <c r="AD4083" t="b">
        <f t="shared" ca="1" si="4235"/>
        <v>1</v>
      </c>
      <c r="AE4083" s="1" t="str">
        <f t="shared" ca="1" si="4256"/>
        <v>Garage 64</v>
      </c>
      <c r="AF4083" t="str">
        <f t="shared" ca="1" si="4233"/>
        <v>Garage 64</v>
      </c>
    </row>
    <row r="4084" spans="28:32" x14ac:dyDescent="0.25">
      <c r="AB4084" t="str">
        <f t="shared" ref="AB4084:AC4084" si="4258">AB4063</f>
        <v>External Scaffolding</v>
      </c>
      <c r="AC4084" t="str">
        <f t="shared" si="4258"/>
        <v>Lift 4</v>
      </c>
      <c r="AD4084" t="b">
        <f t="shared" ca="1" si="4235"/>
        <v>0</v>
      </c>
      <c r="AE4084" s="1" t="str">
        <f t="shared" ca="1" si="4256"/>
        <v>Garage 64</v>
      </c>
      <c r="AF4084" t="str">
        <f t="shared" ca="1" si="4233"/>
        <v>Garage 64</v>
      </c>
    </row>
    <row r="4085" spans="28:32" x14ac:dyDescent="0.25">
      <c r="AB4085" t="str">
        <f t="shared" ref="AB4085:AC4085" si="4259">AB4064</f>
        <v>External Scaffolding</v>
      </c>
      <c r="AC4085" t="str">
        <f t="shared" si="4259"/>
        <v>Lift 5</v>
      </c>
      <c r="AD4085" t="b">
        <f t="shared" ca="1" si="4235"/>
        <v>0</v>
      </c>
      <c r="AE4085" s="1" t="str">
        <f t="shared" ca="1" si="4256"/>
        <v>Garage 64</v>
      </c>
      <c r="AF4085" t="str">
        <f t="shared" ca="1" si="4233"/>
        <v>Garage 64</v>
      </c>
    </row>
    <row r="4086" spans="28:32" x14ac:dyDescent="0.25">
      <c r="AB4086" t="str">
        <f t="shared" ref="AB4086:AC4086" si="4260">AB4065</f>
        <v>External Scaffolding</v>
      </c>
      <c r="AC4086" t="str">
        <f t="shared" si="4260"/>
        <v>Lift 6</v>
      </c>
      <c r="AD4086" t="b">
        <f t="shared" ca="1" si="4235"/>
        <v>0</v>
      </c>
      <c r="AE4086" s="1" t="str">
        <f t="shared" ca="1" si="4256"/>
        <v>Garage 64</v>
      </c>
      <c r="AF4086" t="str">
        <f t="shared" ca="1" si="4233"/>
        <v>Garage 64</v>
      </c>
    </row>
    <row r="4087" spans="28:32" x14ac:dyDescent="0.25">
      <c r="AB4087" t="str">
        <f t="shared" ref="AB4087:AC4087" si="4261">AB4066</f>
        <v>Loading Bay</v>
      </c>
      <c r="AC4087" t="str">
        <f t="shared" si="4261"/>
        <v>Lift 1</v>
      </c>
      <c r="AD4087" t="b">
        <f t="shared" ca="1" si="4235"/>
        <v>1</v>
      </c>
      <c r="AE4087" s="1" t="str">
        <f t="shared" ca="1" si="4256"/>
        <v>Garage 64</v>
      </c>
      <c r="AF4087" t="str">
        <f t="shared" ca="1" si="4233"/>
        <v>Garage 64</v>
      </c>
    </row>
    <row r="4088" spans="28:32" x14ac:dyDescent="0.25">
      <c r="AB4088" t="str">
        <f t="shared" ref="AB4088:AC4088" si="4262">AB4067</f>
        <v>Loading Bay</v>
      </c>
      <c r="AC4088" t="str">
        <f t="shared" si="4262"/>
        <v>Lift 2</v>
      </c>
      <c r="AD4088" t="b">
        <f t="shared" ca="1" si="4235"/>
        <v>1</v>
      </c>
      <c r="AE4088" s="1" t="str">
        <f t="shared" ca="1" si="4256"/>
        <v>Garage 64</v>
      </c>
      <c r="AF4088" t="str">
        <f t="shared" ca="1" si="4233"/>
        <v>Garage 64</v>
      </c>
    </row>
    <row r="4089" spans="28:32" x14ac:dyDescent="0.25">
      <c r="AB4089" t="str">
        <f t="shared" ref="AB4089:AC4089" si="4263">AB4068</f>
        <v>Loading Bay</v>
      </c>
      <c r="AC4089" t="str">
        <f t="shared" si="4263"/>
        <v>Lift 3</v>
      </c>
      <c r="AD4089" t="b">
        <f t="shared" ca="1" si="4235"/>
        <v>1</v>
      </c>
      <c r="AE4089" s="1" t="str">
        <f t="shared" ca="1" si="4256"/>
        <v>Garage 64</v>
      </c>
      <c r="AF4089" t="str">
        <f t="shared" ca="1" si="4233"/>
        <v>Garage 64</v>
      </c>
    </row>
    <row r="4090" spans="28:32" x14ac:dyDescent="0.25">
      <c r="AB4090" t="str">
        <f t="shared" ref="AB4090:AC4090" si="4264">AB4069</f>
        <v>Loading Bay</v>
      </c>
      <c r="AC4090" t="str">
        <f t="shared" si="4264"/>
        <v>Lift 4</v>
      </c>
      <c r="AD4090" t="b">
        <f t="shared" ca="1" si="4235"/>
        <v>0</v>
      </c>
      <c r="AE4090" s="1" t="str">
        <f t="shared" ca="1" si="4256"/>
        <v>Garage 64</v>
      </c>
      <c r="AF4090" t="str">
        <f t="shared" ca="1" si="4233"/>
        <v>Garage 64</v>
      </c>
    </row>
    <row r="4091" spans="28:32" x14ac:dyDescent="0.25">
      <c r="AB4091" t="str">
        <f t="shared" ref="AB4091:AC4091" si="4265">AB4070</f>
        <v>Loading Bay</v>
      </c>
      <c r="AC4091" t="str">
        <f t="shared" si="4265"/>
        <v>Lift 5</v>
      </c>
      <c r="AD4091" t="b">
        <f t="shared" ca="1" si="4235"/>
        <v>0</v>
      </c>
      <c r="AE4091" s="1" t="str">
        <f t="shared" ca="1" si="4256"/>
        <v>Garage 64</v>
      </c>
      <c r="AF4091" t="str">
        <f t="shared" ca="1" si="4233"/>
        <v>Garage 64</v>
      </c>
    </row>
    <row r="4092" spans="28:32" x14ac:dyDescent="0.25">
      <c r="AB4092" t="str">
        <f t="shared" ref="AB4092:AC4092" si="4266">AB4071</f>
        <v>Loading Bay</v>
      </c>
      <c r="AC4092" t="str">
        <f t="shared" si="4266"/>
        <v>Lift 6</v>
      </c>
      <c r="AD4092" t="b">
        <f t="shared" ca="1" si="4235"/>
        <v>0</v>
      </c>
      <c r="AE4092" s="1" t="str">
        <f t="shared" ca="1" si="4256"/>
        <v>Garage 64</v>
      </c>
      <c r="AF4092" t="str">
        <f t="shared" ca="1" si="4233"/>
        <v>Garage 64</v>
      </c>
    </row>
    <row r="4093" spans="28:32" x14ac:dyDescent="0.25">
      <c r="AB4093" t="str">
        <f t="shared" ref="AB4093:AC4093" si="4267">AB4072</f>
        <v>Scaffolding Platform</v>
      </c>
      <c r="AC4093" t="str">
        <f t="shared" si="4267"/>
        <v>Ground Floor</v>
      </c>
      <c r="AD4093" t="b">
        <f t="shared" ca="1" si="4235"/>
        <v>1</v>
      </c>
      <c r="AE4093" s="1" t="str">
        <f t="shared" ca="1" si="4256"/>
        <v>Garage 64</v>
      </c>
      <c r="AF4093" t="str">
        <f t="shared" ca="1" si="4233"/>
        <v>Garage 64</v>
      </c>
    </row>
    <row r="4094" spans="28:32" x14ac:dyDescent="0.25">
      <c r="AB4094" t="str">
        <f t="shared" ref="AB4094:AC4094" si="4268">AB4073</f>
        <v>Scaffolding Platform</v>
      </c>
      <c r="AC4094" t="str">
        <f t="shared" si="4268"/>
        <v>First Floor</v>
      </c>
      <c r="AD4094" t="b">
        <f t="shared" ca="1" si="4235"/>
        <v>0</v>
      </c>
      <c r="AE4094" s="1" t="str">
        <f t="shared" ca="1" si="4256"/>
        <v>Garage 64</v>
      </c>
      <c r="AF4094" t="str">
        <f t="shared" ca="1" si="4233"/>
        <v>Garage 64</v>
      </c>
    </row>
    <row r="4095" spans="28:32" x14ac:dyDescent="0.25">
      <c r="AB4095" t="str">
        <f t="shared" ref="AB4095:AC4095" si="4269">AB4074</f>
        <v>Scaffolding Platform</v>
      </c>
      <c r="AC4095" t="str">
        <f t="shared" si="4269"/>
        <v>Second Floor</v>
      </c>
      <c r="AD4095" t="b">
        <f t="shared" ca="1" si="4235"/>
        <v>0</v>
      </c>
      <c r="AE4095" s="1" t="str">
        <f t="shared" ca="1" si="4256"/>
        <v>Garage 64</v>
      </c>
      <c r="AF4095" t="str">
        <f t="shared" ca="1" si="4233"/>
        <v>Garage 64</v>
      </c>
    </row>
    <row r="4096" spans="28:32" x14ac:dyDescent="0.25">
      <c r="AB4096" t="str">
        <f t="shared" ref="AB4096:AC4096" si="4270">AB4075</f>
        <v>Supporting Scaffold</v>
      </c>
      <c r="AC4096" t="str">
        <f t="shared" si="4270"/>
        <v>Ground Floor Prop.</v>
      </c>
      <c r="AD4096" t="str">
        <f t="shared" ca="1" si="4235"/>
        <v>FALSE</v>
      </c>
      <c r="AE4096" s="1" t="str">
        <f t="shared" ca="1" si="4256"/>
        <v>Garage 64</v>
      </c>
      <c r="AF4096" t="str">
        <f t="shared" ca="1" si="4233"/>
        <v>Garage 64</v>
      </c>
    </row>
    <row r="4097" spans="28:32" x14ac:dyDescent="0.25">
      <c r="AB4097" t="str">
        <f t="shared" ref="AB4097:AC4097" si="4271">AB4076</f>
        <v>Supporting Scaffold</v>
      </c>
      <c r="AC4097" t="str">
        <f t="shared" si="4271"/>
        <v>First Floor Prop.</v>
      </c>
      <c r="AD4097" t="str">
        <f t="shared" ca="1" si="4235"/>
        <v>FALSE</v>
      </c>
      <c r="AE4097" s="1" t="str">
        <f t="shared" ca="1" si="4256"/>
        <v>Garage 64</v>
      </c>
      <c r="AF4097" t="str">
        <f t="shared" ca="1" si="4233"/>
        <v>Garage 64</v>
      </c>
    </row>
    <row r="4098" spans="28:32" x14ac:dyDescent="0.25">
      <c r="AB4098" t="str">
        <f t="shared" ref="AB4098:AC4098" si="4272">AB4077</f>
        <v>Supporting Scaffold</v>
      </c>
      <c r="AC4098" t="str">
        <f t="shared" si="4272"/>
        <v>Second Floor Prop.</v>
      </c>
      <c r="AD4098" t="str">
        <f t="shared" ca="1" si="4235"/>
        <v>FALSE</v>
      </c>
      <c r="AE4098" s="1" t="str">
        <f t="shared" ca="1" si="4256"/>
        <v>Garage 64</v>
      </c>
      <c r="AF4098" t="str">
        <f t="shared" ca="1" si="4233"/>
        <v>Garage 64</v>
      </c>
    </row>
    <row r="4099" spans="28:32" x14ac:dyDescent="0.25">
      <c r="AB4099" t="str">
        <f t="shared" ref="AB4099:AC4099" si="4273">AB4078</f>
        <v>External Scaffolding</v>
      </c>
      <c r="AC4099" t="str">
        <f t="shared" si="4273"/>
        <v>Hop-ups</v>
      </c>
      <c r="AD4099" t="b">
        <f t="shared" ca="1" si="4235"/>
        <v>1</v>
      </c>
      <c r="AE4099" s="1" t="str">
        <f t="shared" ca="1" si="4256"/>
        <v>Garage 64</v>
      </c>
      <c r="AF4099" t="str">
        <f t="shared" ca="1" si="4233"/>
        <v>Garage 64</v>
      </c>
    </row>
    <row r="4100" spans="28:32" x14ac:dyDescent="0.25">
      <c r="AB4100" t="str">
        <f t="shared" ref="AB4100:AC4100" si="4274">AB4079</f>
        <v>External Scaffolding</v>
      </c>
      <c r="AC4100" t="str">
        <f t="shared" si="4274"/>
        <v>Adaptions</v>
      </c>
      <c r="AD4100" t="b">
        <f t="shared" ca="1" si="4235"/>
        <v>1</v>
      </c>
      <c r="AE4100" s="1" t="str">
        <f t="shared" ca="1" si="4256"/>
        <v>Garage 64</v>
      </c>
      <c r="AF4100" t="str">
        <f t="shared" ca="1" si="4233"/>
        <v>Garage 64</v>
      </c>
    </row>
    <row r="4101" spans="28:32" x14ac:dyDescent="0.25">
      <c r="AB4101" t="str">
        <f t="shared" ref="AB4101:AC4101" si="4275">AB4080</f>
        <v>External Scaffolding</v>
      </c>
      <c r="AC4101" t="str">
        <f t="shared" si="4275"/>
        <v>Adaption Tower</v>
      </c>
      <c r="AD4101" t="b">
        <f t="shared" ca="1" si="4235"/>
        <v>1</v>
      </c>
      <c r="AE4101" s="1" t="str">
        <f t="shared" ca="1" si="4256"/>
        <v>Garage 64</v>
      </c>
      <c r="AF4101" t="str">
        <f t="shared" ca="1" si="4233"/>
        <v>Garage 64</v>
      </c>
    </row>
    <row r="4102" spans="28:32" x14ac:dyDescent="0.25">
      <c r="AB4102" t="str">
        <f t="shared" ref="AB4102:AC4102" si="4276">AB4081</f>
        <v>External Scaffolding</v>
      </c>
      <c r="AC4102" t="str">
        <f t="shared" si="4276"/>
        <v>Lift 1</v>
      </c>
      <c r="AD4102" t="b">
        <f t="shared" ca="1" si="4235"/>
        <v>1</v>
      </c>
      <c r="AE4102" s="1" t="str">
        <f t="shared" ca="1" si="4256"/>
        <v>Garage 65-72</v>
      </c>
      <c r="AF4102" t="str">
        <f t="shared" ca="1" si="4233"/>
        <v>Garage 65-72</v>
      </c>
    </row>
    <row r="4103" spans="28:32" x14ac:dyDescent="0.25">
      <c r="AB4103" t="str">
        <f t="shared" ref="AB4103:AC4103" si="4277">AB4082</f>
        <v>External Scaffolding</v>
      </c>
      <c r="AC4103" t="str">
        <f t="shared" si="4277"/>
        <v>Lift 2</v>
      </c>
      <c r="AD4103" t="b">
        <f t="shared" ca="1" si="4235"/>
        <v>1</v>
      </c>
      <c r="AE4103" s="1" t="str">
        <f t="shared" ca="1" si="4256"/>
        <v>Garage 65-72</v>
      </c>
      <c r="AF4103" t="str">
        <f t="shared" ca="1" si="4233"/>
        <v>Garage 65-72</v>
      </c>
    </row>
    <row r="4104" spans="28:32" x14ac:dyDescent="0.25">
      <c r="AB4104" t="str">
        <f t="shared" ref="AB4104:AC4104" si="4278">AB4083</f>
        <v>External Scaffolding</v>
      </c>
      <c r="AC4104" t="str">
        <f t="shared" si="4278"/>
        <v>Lift 3</v>
      </c>
      <c r="AD4104" t="b">
        <f t="shared" ca="1" si="4235"/>
        <v>1</v>
      </c>
      <c r="AE4104" s="1" t="str">
        <f t="shared" ca="1" si="4256"/>
        <v>Garage 65-72</v>
      </c>
      <c r="AF4104" t="str">
        <f t="shared" ca="1" si="4233"/>
        <v>Garage 65-72</v>
      </c>
    </row>
    <row r="4105" spans="28:32" x14ac:dyDescent="0.25">
      <c r="AB4105" t="str">
        <f t="shared" ref="AB4105:AC4105" si="4279">AB4084</f>
        <v>External Scaffolding</v>
      </c>
      <c r="AC4105" t="str">
        <f t="shared" si="4279"/>
        <v>Lift 4</v>
      </c>
      <c r="AD4105" t="b">
        <f t="shared" ca="1" si="4235"/>
        <v>0</v>
      </c>
      <c r="AE4105" s="1" t="str">
        <f t="shared" ca="1" si="4256"/>
        <v>Garage 65-72</v>
      </c>
      <c r="AF4105" t="str">
        <f t="shared" ca="1" si="4233"/>
        <v>Garage 65-72</v>
      </c>
    </row>
    <row r="4106" spans="28:32" x14ac:dyDescent="0.25">
      <c r="AB4106" t="str">
        <f t="shared" ref="AB4106:AC4106" si="4280">AB4085</f>
        <v>External Scaffolding</v>
      </c>
      <c r="AC4106" t="str">
        <f t="shared" si="4280"/>
        <v>Lift 5</v>
      </c>
      <c r="AD4106" t="b">
        <f t="shared" ca="1" si="4235"/>
        <v>0</v>
      </c>
      <c r="AE4106" s="1" t="str">
        <f t="shared" ca="1" si="4256"/>
        <v>Garage 65-72</v>
      </c>
      <c r="AF4106" t="str">
        <f t="shared" ca="1" si="4233"/>
        <v>Garage 65-72</v>
      </c>
    </row>
    <row r="4107" spans="28:32" x14ac:dyDescent="0.25">
      <c r="AB4107" t="str">
        <f t="shared" ref="AB4107:AC4107" si="4281">AB4086</f>
        <v>External Scaffolding</v>
      </c>
      <c r="AC4107" t="str">
        <f t="shared" si="4281"/>
        <v>Lift 6</v>
      </c>
      <c r="AD4107" t="b">
        <f t="shared" ca="1" si="4235"/>
        <v>0</v>
      </c>
      <c r="AE4107" s="1" t="str">
        <f t="shared" ca="1" si="4256"/>
        <v>Garage 65-72</v>
      </c>
      <c r="AF4107" t="str">
        <f t="shared" ca="1" si="4233"/>
        <v>Garage 65-72</v>
      </c>
    </row>
    <row r="4108" spans="28:32" x14ac:dyDescent="0.25">
      <c r="AB4108" t="str">
        <f t="shared" ref="AB4108:AC4108" si="4282">AB4087</f>
        <v>Loading Bay</v>
      </c>
      <c r="AC4108" t="str">
        <f t="shared" si="4282"/>
        <v>Lift 1</v>
      </c>
      <c r="AD4108" t="b">
        <f t="shared" ca="1" si="4235"/>
        <v>1</v>
      </c>
      <c r="AE4108" s="1" t="str">
        <f t="shared" ca="1" si="4256"/>
        <v>Garage 65-72</v>
      </c>
      <c r="AF4108" t="str">
        <f t="shared" ca="1" si="4233"/>
        <v>Garage 65-72</v>
      </c>
    </row>
    <row r="4109" spans="28:32" x14ac:dyDescent="0.25">
      <c r="AB4109" t="str">
        <f t="shared" ref="AB4109:AC4109" si="4283">AB4088</f>
        <v>Loading Bay</v>
      </c>
      <c r="AC4109" t="str">
        <f t="shared" si="4283"/>
        <v>Lift 2</v>
      </c>
      <c r="AD4109" t="b">
        <f t="shared" ca="1" si="4235"/>
        <v>1</v>
      </c>
      <c r="AE4109" s="1" t="str">
        <f t="shared" ca="1" si="4256"/>
        <v>Garage 65-72</v>
      </c>
      <c r="AF4109" t="str">
        <f t="shared" ca="1" si="4233"/>
        <v>Garage 65-72</v>
      </c>
    </row>
    <row r="4110" spans="28:32" x14ac:dyDescent="0.25">
      <c r="AB4110" t="str">
        <f t="shared" ref="AB4110:AC4110" si="4284">AB4089</f>
        <v>Loading Bay</v>
      </c>
      <c r="AC4110" t="str">
        <f t="shared" si="4284"/>
        <v>Lift 3</v>
      </c>
      <c r="AD4110" t="b">
        <f t="shared" ca="1" si="4235"/>
        <v>1</v>
      </c>
      <c r="AE4110" s="1" t="str">
        <f t="shared" ca="1" si="4256"/>
        <v>Garage 65-72</v>
      </c>
      <c r="AF4110" t="str">
        <f t="shared" ca="1" si="4233"/>
        <v>Garage 65-72</v>
      </c>
    </row>
    <row r="4111" spans="28:32" x14ac:dyDescent="0.25">
      <c r="AB4111" t="str">
        <f t="shared" ref="AB4111:AC4111" si="4285">AB4090</f>
        <v>Loading Bay</v>
      </c>
      <c r="AC4111" t="str">
        <f t="shared" si="4285"/>
        <v>Lift 4</v>
      </c>
      <c r="AD4111" t="b">
        <f t="shared" ca="1" si="4235"/>
        <v>0</v>
      </c>
      <c r="AE4111" s="1" t="str">
        <f t="shared" ca="1" si="4256"/>
        <v>Garage 65-72</v>
      </c>
      <c r="AF4111" t="str">
        <f t="shared" ca="1" si="4233"/>
        <v>Garage 65-72</v>
      </c>
    </row>
    <row r="4112" spans="28:32" x14ac:dyDescent="0.25">
      <c r="AB4112" t="str">
        <f t="shared" ref="AB4112:AC4112" si="4286">AB4091</f>
        <v>Loading Bay</v>
      </c>
      <c r="AC4112" t="str">
        <f t="shared" si="4286"/>
        <v>Lift 5</v>
      </c>
      <c r="AD4112" t="b">
        <f t="shared" ca="1" si="4235"/>
        <v>0</v>
      </c>
      <c r="AE4112" s="1" t="str">
        <f t="shared" ca="1" si="4256"/>
        <v>Garage 65-72</v>
      </c>
      <c r="AF4112" t="str">
        <f t="shared" ca="1" si="4233"/>
        <v>Garage 65-72</v>
      </c>
    </row>
    <row r="4113" spans="28:32" x14ac:dyDescent="0.25">
      <c r="AB4113" t="str">
        <f t="shared" ref="AB4113:AC4113" si="4287">AB4092</f>
        <v>Loading Bay</v>
      </c>
      <c r="AC4113" t="str">
        <f t="shared" si="4287"/>
        <v>Lift 6</v>
      </c>
      <c r="AD4113" t="b">
        <f t="shared" ca="1" si="4235"/>
        <v>0</v>
      </c>
      <c r="AE4113" s="1" t="str">
        <f t="shared" ca="1" si="4256"/>
        <v>Garage 65-72</v>
      </c>
      <c r="AF4113" t="str">
        <f t="shared" ca="1" si="4233"/>
        <v>Garage 65-72</v>
      </c>
    </row>
    <row r="4114" spans="28:32" x14ac:dyDescent="0.25">
      <c r="AB4114" t="str">
        <f t="shared" ref="AB4114:AC4114" si="4288">AB4093</f>
        <v>Scaffolding Platform</v>
      </c>
      <c r="AC4114" t="str">
        <f t="shared" si="4288"/>
        <v>Ground Floor</v>
      </c>
      <c r="AD4114" t="b">
        <f t="shared" ca="1" si="4235"/>
        <v>1</v>
      </c>
      <c r="AE4114" s="1" t="str">
        <f t="shared" ca="1" si="4256"/>
        <v>Garage 65-72</v>
      </c>
      <c r="AF4114" t="str">
        <f t="shared" ca="1" si="4233"/>
        <v>Garage 65-72</v>
      </c>
    </row>
    <row r="4115" spans="28:32" x14ac:dyDescent="0.25">
      <c r="AB4115" t="str">
        <f t="shared" ref="AB4115:AC4115" si="4289">AB4094</f>
        <v>Scaffolding Platform</v>
      </c>
      <c r="AC4115" t="str">
        <f t="shared" si="4289"/>
        <v>First Floor</v>
      </c>
      <c r="AD4115" t="b">
        <f t="shared" ca="1" si="4235"/>
        <v>0</v>
      </c>
      <c r="AE4115" s="1" t="str">
        <f t="shared" ca="1" si="4256"/>
        <v>Garage 65-72</v>
      </c>
      <c r="AF4115" t="str">
        <f t="shared" ca="1" si="4233"/>
        <v>Garage 65-72</v>
      </c>
    </row>
    <row r="4116" spans="28:32" x14ac:dyDescent="0.25">
      <c r="AB4116" t="str">
        <f t="shared" ref="AB4116:AC4116" si="4290">AB4095</f>
        <v>Scaffolding Platform</v>
      </c>
      <c r="AC4116" t="str">
        <f t="shared" si="4290"/>
        <v>Second Floor</v>
      </c>
      <c r="AD4116" t="b">
        <f t="shared" ca="1" si="4235"/>
        <v>0</v>
      </c>
      <c r="AE4116" s="1" t="str">
        <f t="shared" ca="1" si="4256"/>
        <v>Garage 65-72</v>
      </c>
      <c r="AF4116" t="str">
        <f t="shared" ca="1" si="4233"/>
        <v>Garage 65-72</v>
      </c>
    </row>
    <row r="4117" spans="28:32" x14ac:dyDescent="0.25">
      <c r="AB4117" t="str">
        <f t="shared" ref="AB4117:AC4117" si="4291">AB4096</f>
        <v>Supporting Scaffold</v>
      </c>
      <c r="AC4117" t="str">
        <f t="shared" si="4291"/>
        <v>Ground Floor Prop.</v>
      </c>
      <c r="AD4117" t="str">
        <f t="shared" ca="1" si="4235"/>
        <v>FALSE</v>
      </c>
      <c r="AE4117" s="1" t="str">
        <f t="shared" ca="1" si="4256"/>
        <v>Garage 65-72</v>
      </c>
      <c r="AF4117" t="str">
        <f t="shared" ca="1" si="4233"/>
        <v>Garage 65-72</v>
      </c>
    </row>
    <row r="4118" spans="28:32" x14ac:dyDescent="0.25">
      <c r="AB4118" t="str">
        <f t="shared" ref="AB4118:AC4118" si="4292">AB4097</f>
        <v>Supporting Scaffold</v>
      </c>
      <c r="AC4118" t="str">
        <f t="shared" si="4292"/>
        <v>First Floor Prop.</v>
      </c>
      <c r="AD4118" t="str">
        <f t="shared" ca="1" si="4235"/>
        <v>FALSE</v>
      </c>
      <c r="AE4118" s="1" t="str">
        <f t="shared" ca="1" si="4256"/>
        <v>Garage 65-72</v>
      </c>
      <c r="AF4118" t="str">
        <f t="shared" ca="1" si="4233"/>
        <v>Garage 65-72</v>
      </c>
    </row>
    <row r="4119" spans="28:32" x14ac:dyDescent="0.25">
      <c r="AB4119" t="str">
        <f t="shared" ref="AB4119:AC4119" si="4293">AB4098</f>
        <v>Supporting Scaffold</v>
      </c>
      <c r="AC4119" t="str">
        <f t="shared" si="4293"/>
        <v>Second Floor Prop.</v>
      </c>
      <c r="AD4119" t="str">
        <f t="shared" ca="1" si="4235"/>
        <v>FALSE</v>
      </c>
      <c r="AE4119" s="1" t="str">
        <f t="shared" ca="1" si="4256"/>
        <v>Garage 65-72</v>
      </c>
      <c r="AF4119" t="str">
        <f t="shared" ca="1" si="4233"/>
        <v>Garage 65-72</v>
      </c>
    </row>
    <row r="4120" spans="28:32" x14ac:dyDescent="0.25">
      <c r="AB4120" t="str">
        <f t="shared" ref="AB4120:AC4120" si="4294">AB4099</f>
        <v>External Scaffolding</v>
      </c>
      <c r="AC4120" t="str">
        <f t="shared" si="4294"/>
        <v>Hop-ups</v>
      </c>
      <c r="AD4120" t="b">
        <f t="shared" ca="1" si="4235"/>
        <v>1</v>
      </c>
      <c r="AE4120" s="1" t="str">
        <f t="shared" ca="1" si="4256"/>
        <v>Garage 65-72</v>
      </c>
      <c r="AF4120" t="str">
        <f t="shared" ca="1" si="4233"/>
        <v>Garage 65-72</v>
      </c>
    </row>
    <row r="4121" spans="28:32" x14ac:dyDescent="0.25">
      <c r="AB4121" t="str">
        <f t="shared" ref="AB4121:AC4121" si="4295">AB4100</f>
        <v>External Scaffolding</v>
      </c>
      <c r="AC4121" t="str">
        <f t="shared" si="4295"/>
        <v>Adaptions</v>
      </c>
      <c r="AD4121" t="b">
        <f t="shared" ca="1" si="4235"/>
        <v>1</v>
      </c>
      <c r="AE4121" s="1" t="str">
        <f t="shared" ca="1" si="4256"/>
        <v>Garage 65-72</v>
      </c>
      <c r="AF4121" t="str">
        <f t="shared" ca="1" si="4233"/>
        <v>Garage 65-72</v>
      </c>
    </row>
    <row r="4122" spans="28:32" x14ac:dyDescent="0.25">
      <c r="AB4122" t="str">
        <f t="shared" ref="AB4122:AC4122" si="4296">AB4101</f>
        <v>External Scaffolding</v>
      </c>
      <c r="AC4122" t="str">
        <f t="shared" si="4296"/>
        <v>Adaption Tower</v>
      </c>
      <c r="AD4122" t="b">
        <f t="shared" ca="1" si="4235"/>
        <v>1</v>
      </c>
      <c r="AE4122" s="1" t="str">
        <f t="shared" ca="1" si="4256"/>
        <v>Garage 65-72</v>
      </c>
      <c r="AF4122" t="str">
        <f t="shared" ca="1" si="4233"/>
        <v>Garage 65-72</v>
      </c>
    </row>
    <row r="4123" spans="28:32" x14ac:dyDescent="0.25">
      <c r="AB4123" t="str">
        <f t="shared" ref="AB4123:AC4123" si="4297">AB4102</f>
        <v>External Scaffolding</v>
      </c>
      <c r="AC4123" t="str">
        <f t="shared" si="4297"/>
        <v>Lift 1</v>
      </c>
      <c r="AD4123" t="b">
        <f t="shared" ca="1" si="4235"/>
        <v>1</v>
      </c>
      <c r="AE4123" s="1" t="str">
        <f t="shared" ca="1" si="4256"/>
        <v>Garage 66</v>
      </c>
      <c r="AF4123" t="str">
        <f t="shared" ca="1" si="4233"/>
        <v>Garage 66</v>
      </c>
    </row>
    <row r="4124" spans="28:32" x14ac:dyDescent="0.25">
      <c r="AB4124" t="str">
        <f t="shared" ref="AB4124:AC4124" si="4298">AB4103</f>
        <v>External Scaffolding</v>
      </c>
      <c r="AC4124" t="str">
        <f t="shared" si="4298"/>
        <v>Lift 2</v>
      </c>
      <c r="AD4124" t="b">
        <f t="shared" ca="1" si="4235"/>
        <v>1</v>
      </c>
      <c r="AE4124" s="1" t="str">
        <f t="shared" ca="1" si="4256"/>
        <v>Garage 66</v>
      </c>
      <c r="AF4124" t="str">
        <f t="shared" ca="1" si="4233"/>
        <v>Garage 66</v>
      </c>
    </row>
    <row r="4125" spans="28:32" x14ac:dyDescent="0.25">
      <c r="AB4125" t="str">
        <f t="shared" ref="AB4125:AC4125" si="4299">AB4104</f>
        <v>External Scaffolding</v>
      </c>
      <c r="AC4125" t="str">
        <f t="shared" si="4299"/>
        <v>Lift 3</v>
      </c>
      <c r="AD4125" t="b">
        <f t="shared" ca="1" si="4235"/>
        <v>1</v>
      </c>
      <c r="AE4125" s="1" t="str">
        <f t="shared" ca="1" si="4256"/>
        <v>Garage 66</v>
      </c>
      <c r="AF4125" t="str">
        <f t="shared" ref="AF4125:AF4188" ca="1" si="4300">IF(LEFT(AE4125,1)="G",AE4125,"Plot "&amp;AE4125)</f>
        <v>Garage 66</v>
      </c>
    </row>
    <row r="4126" spans="28:32" x14ac:dyDescent="0.25">
      <c r="AB4126" t="str">
        <f t="shared" ref="AB4126:AC4126" si="4301">AB4105</f>
        <v>External Scaffolding</v>
      </c>
      <c r="AC4126" t="str">
        <f t="shared" si="4301"/>
        <v>Lift 4</v>
      </c>
      <c r="AD4126" t="b">
        <f t="shared" ref="AD4126:AD4189" ca="1" si="4302">INDEX($AC$1:$JH$22,MATCH(AC4126,$AC$1:$AC$22,0),MATCH(AE4126,$AC$1:$JH$1,0))</f>
        <v>0</v>
      </c>
      <c r="AE4126" s="1" t="str">
        <f t="shared" ca="1" si="4256"/>
        <v>Garage 66</v>
      </c>
      <c r="AF4126" t="str">
        <f t="shared" ca="1" si="4300"/>
        <v>Garage 66</v>
      </c>
    </row>
    <row r="4127" spans="28:32" x14ac:dyDescent="0.25">
      <c r="AB4127" t="str">
        <f t="shared" ref="AB4127:AC4127" si="4303">AB4106</f>
        <v>External Scaffolding</v>
      </c>
      <c r="AC4127" t="str">
        <f t="shared" si="4303"/>
        <v>Lift 5</v>
      </c>
      <c r="AD4127" t="b">
        <f t="shared" ca="1" si="4302"/>
        <v>0</v>
      </c>
      <c r="AE4127" s="1" t="str">
        <f t="shared" ca="1" si="4256"/>
        <v>Garage 66</v>
      </c>
      <c r="AF4127" t="str">
        <f t="shared" ca="1" si="4300"/>
        <v>Garage 66</v>
      </c>
    </row>
    <row r="4128" spans="28:32" x14ac:dyDescent="0.25">
      <c r="AB4128" t="str">
        <f t="shared" ref="AB4128:AC4128" si="4304">AB4107</f>
        <v>External Scaffolding</v>
      </c>
      <c r="AC4128" t="str">
        <f t="shared" si="4304"/>
        <v>Lift 6</v>
      </c>
      <c r="AD4128" t="b">
        <f t="shared" ca="1" si="4302"/>
        <v>0</v>
      </c>
      <c r="AE4128" s="1" t="str">
        <f t="shared" ca="1" si="4256"/>
        <v>Garage 66</v>
      </c>
      <c r="AF4128" t="str">
        <f t="shared" ca="1" si="4300"/>
        <v>Garage 66</v>
      </c>
    </row>
    <row r="4129" spans="28:32" x14ac:dyDescent="0.25">
      <c r="AB4129" t="str">
        <f t="shared" ref="AB4129:AC4129" si="4305">AB4108</f>
        <v>Loading Bay</v>
      </c>
      <c r="AC4129" t="str">
        <f t="shared" si="4305"/>
        <v>Lift 1</v>
      </c>
      <c r="AD4129" t="b">
        <f t="shared" ca="1" si="4302"/>
        <v>1</v>
      </c>
      <c r="AE4129" s="1" t="str">
        <f t="shared" ca="1" si="4256"/>
        <v>Garage 66</v>
      </c>
      <c r="AF4129" t="str">
        <f t="shared" ca="1" si="4300"/>
        <v>Garage 66</v>
      </c>
    </row>
    <row r="4130" spans="28:32" x14ac:dyDescent="0.25">
      <c r="AB4130" t="str">
        <f t="shared" ref="AB4130:AC4130" si="4306">AB4109</f>
        <v>Loading Bay</v>
      </c>
      <c r="AC4130" t="str">
        <f t="shared" si="4306"/>
        <v>Lift 2</v>
      </c>
      <c r="AD4130" t="b">
        <f t="shared" ca="1" si="4302"/>
        <v>1</v>
      </c>
      <c r="AE4130" s="1" t="str">
        <f t="shared" ca="1" si="4256"/>
        <v>Garage 66</v>
      </c>
      <c r="AF4130" t="str">
        <f t="shared" ca="1" si="4300"/>
        <v>Garage 66</v>
      </c>
    </row>
    <row r="4131" spans="28:32" x14ac:dyDescent="0.25">
      <c r="AB4131" t="str">
        <f t="shared" ref="AB4131:AC4131" si="4307">AB4110</f>
        <v>Loading Bay</v>
      </c>
      <c r="AC4131" t="str">
        <f t="shared" si="4307"/>
        <v>Lift 3</v>
      </c>
      <c r="AD4131" t="b">
        <f t="shared" ca="1" si="4302"/>
        <v>1</v>
      </c>
      <c r="AE4131" s="1" t="str">
        <f t="shared" ca="1" si="4256"/>
        <v>Garage 66</v>
      </c>
      <c r="AF4131" t="str">
        <f t="shared" ca="1" si="4300"/>
        <v>Garage 66</v>
      </c>
    </row>
    <row r="4132" spans="28:32" x14ac:dyDescent="0.25">
      <c r="AB4132" t="str">
        <f t="shared" ref="AB4132:AC4132" si="4308">AB4111</f>
        <v>Loading Bay</v>
      </c>
      <c r="AC4132" t="str">
        <f t="shared" si="4308"/>
        <v>Lift 4</v>
      </c>
      <c r="AD4132" t="b">
        <f t="shared" ca="1" si="4302"/>
        <v>0</v>
      </c>
      <c r="AE4132" s="1" t="str">
        <f t="shared" ca="1" si="4256"/>
        <v>Garage 66</v>
      </c>
      <c r="AF4132" t="str">
        <f t="shared" ca="1" si="4300"/>
        <v>Garage 66</v>
      </c>
    </row>
    <row r="4133" spans="28:32" x14ac:dyDescent="0.25">
      <c r="AB4133" t="str">
        <f t="shared" ref="AB4133:AC4133" si="4309">AB4112</f>
        <v>Loading Bay</v>
      </c>
      <c r="AC4133" t="str">
        <f t="shared" si="4309"/>
        <v>Lift 5</v>
      </c>
      <c r="AD4133" t="b">
        <f t="shared" ca="1" si="4302"/>
        <v>0</v>
      </c>
      <c r="AE4133" s="1" t="str">
        <f t="shared" ca="1" si="4256"/>
        <v>Garage 66</v>
      </c>
      <c r="AF4133" t="str">
        <f t="shared" ca="1" si="4300"/>
        <v>Garage 66</v>
      </c>
    </row>
    <row r="4134" spans="28:32" x14ac:dyDescent="0.25">
      <c r="AB4134" t="str">
        <f t="shared" ref="AB4134:AC4134" si="4310">AB4113</f>
        <v>Loading Bay</v>
      </c>
      <c r="AC4134" t="str">
        <f t="shared" si="4310"/>
        <v>Lift 6</v>
      </c>
      <c r="AD4134" t="b">
        <f t="shared" ca="1" si="4302"/>
        <v>0</v>
      </c>
      <c r="AE4134" s="1" t="str">
        <f t="shared" ca="1" si="4256"/>
        <v>Garage 66</v>
      </c>
      <c r="AF4134" t="str">
        <f t="shared" ca="1" si="4300"/>
        <v>Garage 66</v>
      </c>
    </row>
    <row r="4135" spans="28:32" x14ac:dyDescent="0.25">
      <c r="AB4135" t="str">
        <f t="shared" ref="AB4135:AC4135" si="4311">AB4114</f>
        <v>Scaffolding Platform</v>
      </c>
      <c r="AC4135" t="str">
        <f t="shared" si="4311"/>
        <v>Ground Floor</v>
      </c>
      <c r="AD4135" t="b">
        <f t="shared" ca="1" si="4302"/>
        <v>1</v>
      </c>
      <c r="AE4135" s="1" t="str">
        <f t="shared" ca="1" si="4256"/>
        <v>Garage 66</v>
      </c>
      <c r="AF4135" t="str">
        <f t="shared" ca="1" si="4300"/>
        <v>Garage 66</v>
      </c>
    </row>
    <row r="4136" spans="28:32" x14ac:dyDescent="0.25">
      <c r="AB4136" t="str">
        <f t="shared" ref="AB4136:AC4136" si="4312">AB4115</f>
        <v>Scaffolding Platform</v>
      </c>
      <c r="AC4136" t="str">
        <f t="shared" si="4312"/>
        <v>First Floor</v>
      </c>
      <c r="AD4136" t="b">
        <f t="shared" ca="1" si="4302"/>
        <v>0</v>
      </c>
      <c r="AE4136" s="1" t="str">
        <f t="shared" ca="1" si="4256"/>
        <v>Garage 66</v>
      </c>
      <c r="AF4136" t="str">
        <f t="shared" ca="1" si="4300"/>
        <v>Garage 66</v>
      </c>
    </row>
    <row r="4137" spans="28:32" x14ac:dyDescent="0.25">
      <c r="AB4137" t="str">
        <f t="shared" ref="AB4137:AC4137" si="4313">AB4116</f>
        <v>Scaffolding Platform</v>
      </c>
      <c r="AC4137" t="str">
        <f t="shared" si="4313"/>
        <v>Second Floor</v>
      </c>
      <c r="AD4137" t="b">
        <f t="shared" ca="1" si="4302"/>
        <v>0</v>
      </c>
      <c r="AE4137" s="1" t="str">
        <f t="shared" ca="1" si="4256"/>
        <v>Garage 66</v>
      </c>
      <c r="AF4137" t="str">
        <f t="shared" ca="1" si="4300"/>
        <v>Garage 66</v>
      </c>
    </row>
    <row r="4138" spans="28:32" x14ac:dyDescent="0.25">
      <c r="AB4138" t="str">
        <f t="shared" ref="AB4138:AC4138" si="4314">AB4117</f>
        <v>Supporting Scaffold</v>
      </c>
      <c r="AC4138" t="str">
        <f t="shared" si="4314"/>
        <v>Ground Floor Prop.</v>
      </c>
      <c r="AD4138" t="str">
        <f t="shared" ca="1" si="4302"/>
        <v>FALSE</v>
      </c>
      <c r="AE4138" s="1" t="str">
        <f t="shared" ca="1" si="4256"/>
        <v>Garage 66</v>
      </c>
      <c r="AF4138" t="str">
        <f t="shared" ca="1" si="4300"/>
        <v>Garage 66</v>
      </c>
    </row>
    <row r="4139" spans="28:32" x14ac:dyDescent="0.25">
      <c r="AB4139" t="str">
        <f t="shared" ref="AB4139:AC4139" si="4315">AB4118</f>
        <v>Supporting Scaffold</v>
      </c>
      <c r="AC4139" t="str">
        <f t="shared" si="4315"/>
        <v>First Floor Prop.</v>
      </c>
      <c r="AD4139" t="str">
        <f t="shared" ca="1" si="4302"/>
        <v>FALSE</v>
      </c>
      <c r="AE4139" s="1" t="str">
        <f t="shared" ca="1" si="4256"/>
        <v>Garage 66</v>
      </c>
      <c r="AF4139" t="str">
        <f t="shared" ca="1" si="4300"/>
        <v>Garage 66</v>
      </c>
    </row>
    <row r="4140" spans="28:32" x14ac:dyDescent="0.25">
      <c r="AB4140" t="str">
        <f t="shared" ref="AB4140:AC4140" si="4316">AB4119</f>
        <v>Supporting Scaffold</v>
      </c>
      <c r="AC4140" t="str">
        <f t="shared" si="4316"/>
        <v>Second Floor Prop.</v>
      </c>
      <c r="AD4140" t="str">
        <f t="shared" ca="1" si="4302"/>
        <v>FALSE</v>
      </c>
      <c r="AE4140" s="1" t="str">
        <f t="shared" ca="1" si="4256"/>
        <v>Garage 66</v>
      </c>
      <c r="AF4140" t="str">
        <f t="shared" ca="1" si="4300"/>
        <v>Garage 66</v>
      </c>
    </row>
    <row r="4141" spans="28:32" x14ac:dyDescent="0.25">
      <c r="AB4141" t="str">
        <f t="shared" ref="AB4141:AC4141" si="4317">AB4120</f>
        <v>External Scaffolding</v>
      </c>
      <c r="AC4141" t="str">
        <f t="shared" si="4317"/>
        <v>Hop-ups</v>
      </c>
      <c r="AD4141" t="b">
        <f t="shared" ca="1" si="4302"/>
        <v>1</v>
      </c>
      <c r="AE4141" s="1" t="str">
        <f t="shared" ca="1" si="4256"/>
        <v>Garage 66</v>
      </c>
      <c r="AF4141" t="str">
        <f t="shared" ca="1" si="4300"/>
        <v>Garage 66</v>
      </c>
    </row>
    <row r="4142" spans="28:32" x14ac:dyDescent="0.25">
      <c r="AB4142" t="str">
        <f t="shared" ref="AB4142:AC4142" si="4318">AB4121</f>
        <v>External Scaffolding</v>
      </c>
      <c r="AC4142" t="str">
        <f t="shared" si="4318"/>
        <v>Adaptions</v>
      </c>
      <c r="AD4142" t="b">
        <f t="shared" ca="1" si="4302"/>
        <v>1</v>
      </c>
      <c r="AE4142" s="1" t="str">
        <f t="shared" ca="1" si="4256"/>
        <v>Garage 66</v>
      </c>
      <c r="AF4142" t="str">
        <f t="shared" ca="1" si="4300"/>
        <v>Garage 66</v>
      </c>
    </row>
    <row r="4143" spans="28:32" x14ac:dyDescent="0.25">
      <c r="AB4143" t="str">
        <f t="shared" ref="AB4143:AC4143" si="4319">AB4122</f>
        <v>External Scaffolding</v>
      </c>
      <c r="AC4143" t="str">
        <f t="shared" si="4319"/>
        <v>Adaption Tower</v>
      </c>
      <c r="AD4143" t="b">
        <f t="shared" ca="1" si="4302"/>
        <v>1</v>
      </c>
      <c r="AE4143" s="1" t="str">
        <f t="shared" ca="1" si="4256"/>
        <v>Garage 66</v>
      </c>
      <c r="AF4143" t="str">
        <f t="shared" ca="1" si="4300"/>
        <v>Garage 66</v>
      </c>
    </row>
    <row r="4144" spans="28:32" x14ac:dyDescent="0.25">
      <c r="AB4144" t="str">
        <f t="shared" ref="AB4144:AC4144" si="4320">AB4123</f>
        <v>External Scaffolding</v>
      </c>
      <c r="AC4144" t="str">
        <f t="shared" si="4320"/>
        <v>Lift 1</v>
      </c>
      <c r="AD4144" t="b">
        <f t="shared" ca="1" si="4302"/>
        <v>1</v>
      </c>
      <c r="AE4144" s="1" t="str">
        <f t="shared" ca="1" si="4256"/>
        <v>Garage 67</v>
      </c>
      <c r="AF4144" t="str">
        <f t="shared" ca="1" si="4300"/>
        <v>Garage 67</v>
      </c>
    </row>
    <row r="4145" spans="28:32" x14ac:dyDescent="0.25">
      <c r="AB4145" t="str">
        <f t="shared" ref="AB4145:AC4145" si="4321">AB4124</f>
        <v>External Scaffolding</v>
      </c>
      <c r="AC4145" t="str">
        <f t="shared" si="4321"/>
        <v>Lift 2</v>
      </c>
      <c r="AD4145" t="b">
        <f t="shared" ca="1" si="4302"/>
        <v>1</v>
      </c>
      <c r="AE4145" s="1" t="str">
        <f t="shared" ca="1" si="4256"/>
        <v>Garage 67</v>
      </c>
      <c r="AF4145" t="str">
        <f t="shared" ca="1" si="4300"/>
        <v>Garage 67</v>
      </c>
    </row>
    <row r="4146" spans="28:32" x14ac:dyDescent="0.25">
      <c r="AB4146" t="str">
        <f t="shared" ref="AB4146:AC4146" si="4322">AB4125</f>
        <v>External Scaffolding</v>
      </c>
      <c r="AC4146" t="str">
        <f t="shared" si="4322"/>
        <v>Lift 3</v>
      </c>
      <c r="AD4146" t="b">
        <f t="shared" ca="1" si="4302"/>
        <v>1</v>
      </c>
      <c r="AE4146" s="1" t="str">
        <f t="shared" ref="AE4146:AE4209" ca="1" si="4323">OFFSET($AD$1,0,FLOOR(ROW(B4118)/21,1))</f>
        <v>Garage 67</v>
      </c>
      <c r="AF4146" t="str">
        <f t="shared" ca="1" si="4300"/>
        <v>Garage 67</v>
      </c>
    </row>
    <row r="4147" spans="28:32" x14ac:dyDescent="0.25">
      <c r="AB4147" t="str">
        <f t="shared" ref="AB4147:AC4147" si="4324">AB4126</f>
        <v>External Scaffolding</v>
      </c>
      <c r="AC4147" t="str">
        <f t="shared" si="4324"/>
        <v>Lift 4</v>
      </c>
      <c r="AD4147" t="b">
        <f t="shared" ca="1" si="4302"/>
        <v>0</v>
      </c>
      <c r="AE4147" s="1" t="str">
        <f t="shared" ca="1" si="4323"/>
        <v>Garage 67</v>
      </c>
      <c r="AF4147" t="str">
        <f t="shared" ca="1" si="4300"/>
        <v>Garage 67</v>
      </c>
    </row>
    <row r="4148" spans="28:32" x14ac:dyDescent="0.25">
      <c r="AB4148" t="str">
        <f t="shared" ref="AB4148:AC4148" si="4325">AB4127</f>
        <v>External Scaffolding</v>
      </c>
      <c r="AC4148" t="str">
        <f t="shared" si="4325"/>
        <v>Lift 5</v>
      </c>
      <c r="AD4148" t="b">
        <f t="shared" ca="1" si="4302"/>
        <v>0</v>
      </c>
      <c r="AE4148" s="1" t="str">
        <f t="shared" ca="1" si="4323"/>
        <v>Garage 67</v>
      </c>
      <c r="AF4148" t="str">
        <f t="shared" ca="1" si="4300"/>
        <v>Garage 67</v>
      </c>
    </row>
    <row r="4149" spans="28:32" x14ac:dyDescent="0.25">
      <c r="AB4149" t="str">
        <f t="shared" ref="AB4149:AC4149" si="4326">AB4128</f>
        <v>External Scaffolding</v>
      </c>
      <c r="AC4149" t="str">
        <f t="shared" si="4326"/>
        <v>Lift 6</v>
      </c>
      <c r="AD4149" t="b">
        <f t="shared" ca="1" si="4302"/>
        <v>0</v>
      </c>
      <c r="AE4149" s="1" t="str">
        <f t="shared" ca="1" si="4323"/>
        <v>Garage 67</v>
      </c>
      <c r="AF4149" t="str">
        <f t="shared" ca="1" si="4300"/>
        <v>Garage 67</v>
      </c>
    </row>
    <row r="4150" spans="28:32" x14ac:dyDescent="0.25">
      <c r="AB4150" t="str">
        <f t="shared" ref="AB4150:AC4150" si="4327">AB4129</f>
        <v>Loading Bay</v>
      </c>
      <c r="AC4150" t="str">
        <f t="shared" si="4327"/>
        <v>Lift 1</v>
      </c>
      <c r="AD4150" t="b">
        <f t="shared" ca="1" si="4302"/>
        <v>1</v>
      </c>
      <c r="AE4150" s="1" t="str">
        <f t="shared" ca="1" si="4323"/>
        <v>Garage 67</v>
      </c>
      <c r="AF4150" t="str">
        <f t="shared" ca="1" si="4300"/>
        <v>Garage 67</v>
      </c>
    </row>
    <row r="4151" spans="28:32" x14ac:dyDescent="0.25">
      <c r="AB4151" t="str">
        <f t="shared" ref="AB4151:AC4151" si="4328">AB4130</f>
        <v>Loading Bay</v>
      </c>
      <c r="AC4151" t="str">
        <f t="shared" si="4328"/>
        <v>Lift 2</v>
      </c>
      <c r="AD4151" t="b">
        <f t="shared" ca="1" si="4302"/>
        <v>1</v>
      </c>
      <c r="AE4151" s="1" t="str">
        <f t="shared" ca="1" si="4323"/>
        <v>Garage 67</v>
      </c>
      <c r="AF4151" t="str">
        <f t="shared" ca="1" si="4300"/>
        <v>Garage 67</v>
      </c>
    </row>
    <row r="4152" spans="28:32" x14ac:dyDescent="0.25">
      <c r="AB4152" t="str">
        <f t="shared" ref="AB4152:AC4152" si="4329">AB4131</f>
        <v>Loading Bay</v>
      </c>
      <c r="AC4152" t="str">
        <f t="shared" si="4329"/>
        <v>Lift 3</v>
      </c>
      <c r="AD4152" t="b">
        <f t="shared" ca="1" si="4302"/>
        <v>1</v>
      </c>
      <c r="AE4152" s="1" t="str">
        <f t="shared" ca="1" si="4323"/>
        <v>Garage 67</v>
      </c>
      <c r="AF4152" t="str">
        <f t="shared" ca="1" si="4300"/>
        <v>Garage 67</v>
      </c>
    </row>
    <row r="4153" spans="28:32" x14ac:dyDescent="0.25">
      <c r="AB4153" t="str">
        <f t="shared" ref="AB4153:AC4153" si="4330">AB4132</f>
        <v>Loading Bay</v>
      </c>
      <c r="AC4153" t="str">
        <f t="shared" si="4330"/>
        <v>Lift 4</v>
      </c>
      <c r="AD4153" t="b">
        <f t="shared" ca="1" si="4302"/>
        <v>0</v>
      </c>
      <c r="AE4153" s="1" t="str">
        <f t="shared" ca="1" si="4323"/>
        <v>Garage 67</v>
      </c>
      <c r="AF4153" t="str">
        <f t="shared" ca="1" si="4300"/>
        <v>Garage 67</v>
      </c>
    </row>
    <row r="4154" spans="28:32" x14ac:dyDescent="0.25">
      <c r="AB4154" t="str">
        <f t="shared" ref="AB4154:AC4154" si="4331">AB4133</f>
        <v>Loading Bay</v>
      </c>
      <c r="AC4154" t="str">
        <f t="shared" si="4331"/>
        <v>Lift 5</v>
      </c>
      <c r="AD4154" t="b">
        <f t="shared" ca="1" si="4302"/>
        <v>0</v>
      </c>
      <c r="AE4154" s="1" t="str">
        <f t="shared" ca="1" si="4323"/>
        <v>Garage 67</v>
      </c>
      <c r="AF4154" t="str">
        <f t="shared" ca="1" si="4300"/>
        <v>Garage 67</v>
      </c>
    </row>
    <row r="4155" spans="28:32" x14ac:dyDescent="0.25">
      <c r="AB4155" t="str">
        <f t="shared" ref="AB4155:AC4155" si="4332">AB4134</f>
        <v>Loading Bay</v>
      </c>
      <c r="AC4155" t="str">
        <f t="shared" si="4332"/>
        <v>Lift 6</v>
      </c>
      <c r="AD4155" t="b">
        <f t="shared" ca="1" si="4302"/>
        <v>0</v>
      </c>
      <c r="AE4155" s="1" t="str">
        <f t="shared" ca="1" si="4323"/>
        <v>Garage 67</v>
      </c>
      <c r="AF4155" t="str">
        <f t="shared" ca="1" si="4300"/>
        <v>Garage 67</v>
      </c>
    </row>
    <row r="4156" spans="28:32" x14ac:dyDescent="0.25">
      <c r="AB4156" t="str">
        <f t="shared" ref="AB4156:AC4156" si="4333">AB4135</f>
        <v>Scaffolding Platform</v>
      </c>
      <c r="AC4156" t="str">
        <f t="shared" si="4333"/>
        <v>Ground Floor</v>
      </c>
      <c r="AD4156" t="b">
        <f t="shared" ca="1" si="4302"/>
        <v>1</v>
      </c>
      <c r="AE4156" s="1" t="str">
        <f t="shared" ca="1" si="4323"/>
        <v>Garage 67</v>
      </c>
      <c r="AF4156" t="str">
        <f t="shared" ca="1" si="4300"/>
        <v>Garage 67</v>
      </c>
    </row>
    <row r="4157" spans="28:32" x14ac:dyDescent="0.25">
      <c r="AB4157" t="str">
        <f t="shared" ref="AB4157:AC4157" si="4334">AB4136</f>
        <v>Scaffolding Platform</v>
      </c>
      <c r="AC4157" t="str">
        <f t="shared" si="4334"/>
        <v>First Floor</v>
      </c>
      <c r="AD4157" t="b">
        <f t="shared" ca="1" si="4302"/>
        <v>0</v>
      </c>
      <c r="AE4157" s="1" t="str">
        <f t="shared" ca="1" si="4323"/>
        <v>Garage 67</v>
      </c>
      <c r="AF4157" t="str">
        <f t="shared" ca="1" si="4300"/>
        <v>Garage 67</v>
      </c>
    </row>
    <row r="4158" spans="28:32" x14ac:dyDescent="0.25">
      <c r="AB4158" t="str">
        <f t="shared" ref="AB4158:AC4158" si="4335">AB4137</f>
        <v>Scaffolding Platform</v>
      </c>
      <c r="AC4158" t="str">
        <f t="shared" si="4335"/>
        <v>Second Floor</v>
      </c>
      <c r="AD4158" t="b">
        <f t="shared" ca="1" si="4302"/>
        <v>0</v>
      </c>
      <c r="AE4158" s="1" t="str">
        <f t="shared" ca="1" si="4323"/>
        <v>Garage 67</v>
      </c>
      <c r="AF4158" t="str">
        <f t="shared" ca="1" si="4300"/>
        <v>Garage 67</v>
      </c>
    </row>
    <row r="4159" spans="28:32" x14ac:dyDescent="0.25">
      <c r="AB4159" t="str">
        <f t="shared" ref="AB4159:AC4159" si="4336">AB4138</f>
        <v>Supporting Scaffold</v>
      </c>
      <c r="AC4159" t="str">
        <f t="shared" si="4336"/>
        <v>Ground Floor Prop.</v>
      </c>
      <c r="AD4159" t="str">
        <f t="shared" ca="1" si="4302"/>
        <v>FALSE</v>
      </c>
      <c r="AE4159" s="1" t="str">
        <f t="shared" ca="1" si="4323"/>
        <v>Garage 67</v>
      </c>
      <c r="AF4159" t="str">
        <f t="shared" ca="1" si="4300"/>
        <v>Garage 67</v>
      </c>
    </row>
    <row r="4160" spans="28:32" x14ac:dyDescent="0.25">
      <c r="AB4160" t="str">
        <f t="shared" ref="AB4160:AC4160" si="4337">AB4139</f>
        <v>Supporting Scaffold</v>
      </c>
      <c r="AC4160" t="str">
        <f t="shared" si="4337"/>
        <v>First Floor Prop.</v>
      </c>
      <c r="AD4160" t="str">
        <f t="shared" ca="1" si="4302"/>
        <v>FALSE</v>
      </c>
      <c r="AE4160" s="1" t="str">
        <f t="shared" ca="1" si="4323"/>
        <v>Garage 67</v>
      </c>
      <c r="AF4160" t="str">
        <f t="shared" ca="1" si="4300"/>
        <v>Garage 67</v>
      </c>
    </row>
    <row r="4161" spans="28:32" x14ac:dyDescent="0.25">
      <c r="AB4161" t="str">
        <f t="shared" ref="AB4161:AC4161" si="4338">AB4140</f>
        <v>Supporting Scaffold</v>
      </c>
      <c r="AC4161" t="str">
        <f t="shared" si="4338"/>
        <v>Second Floor Prop.</v>
      </c>
      <c r="AD4161" t="str">
        <f t="shared" ca="1" si="4302"/>
        <v>FALSE</v>
      </c>
      <c r="AE4161" s="1" t="str">
        <f t="shared" ca="1" si="4323"/>
        <v>Garage 67</v>
      </c>
      <c r="AF4161" t="str">
        <f t="shared" ca="1" si="4300"/>
        <v>Garage 67</v>
      </c>
    </row>
    <row r="4162" spans="28:32" x14ac:dyDescent="0.25">
      <c r="AB4162" t="str">
        <f t="shared" ref="AB4162:AC4162" si="4339">AB4141</f>
        <v>External Scaffolding</v>
      </c>
      <c r="AC4162" t="str">
        <f t="shared" si="4339"/>
        <v>Hop-ups</v>
      </c>
      <c r="AD4162" t="b">
        <f t="shared" ca="1" si="4302"/>
        <v>1</v>
      </c>
      <c r="AE4162" s="1" t="str">
        <f t="shared" ca="1" si="4323"/>
        <v>Garage 67</v>
      </c>
      <c r="AF4162" t="str">
        <f t="shared" ca="1" si="4300"/>
        <v>Garage 67</v>
      </c>
    </row>
    <row r="4163" spans="28:32" x14ac:dyDescent="0.25">
      <c r="AB4163" t="str">
        <f t="shared" ref="AB4163:AC4163" si="4340">AB4142</f>
        <v>External Scaffolding</v>
      </c>
      <c r="AC4163" t="str">
        <f t="shared" si="4340"/>
        <v>Adaptions</v>
      </c>
      <c r="AD4163" t="b">
        <f t="shared" ca="1" si="4302"/>
        <v>1</v>
      </c>
      <c r="AE4163" s="1" t="str">
        <f t="shared" ca="1" si="4323"/>
        <v>Garage 67</v>
      </c>
      <c r="AF4163" t="str">
        <f t="shared" ca="1" si="4300"/>
        <v>Garage 67</v>
      </c>
    </row>
    <row r="4164" spans="28:32" x14ac:dyDescent="0.25">
      <c r="AB4164" t="str">
        <f t="shared" ref="AB4164:AC4164" si="4341">AB4143</f>
        <v>External Scaffolding</v>
      </c>
      <c r="AC4164" t="str">
        <f t="shared" si="4341"/>
        <v>Adaption Tower</v>
      </c>
      <c r="AD4164" t="b">
        <f t="shared" ca="1" si="4302"/>
        <v>1</v>
      </c>
      <c r="AE4164" s="1" t="str">
        <f t="shared" ca="1" si="4323"/>
        <v>Garage 67</v>
      </c>
      <c r="AF4164" t="str">
        <f t="shared" ca="1" si="4300"/>
        <v>Garage 67</v>
      </c>
    </row>
    <row r="4165" spans="28:32" x14ac:dyDescent="0.25">
      <c r="AB4165" t="str">
        <f t="shared" ref="AB4165:AC4165" si="4342">AB4144</f>
        <v>External Scaffolding</v>
      </c>
      <c r="AC4165" t="str">
        <f t="shared" si="4342"/>
        <v>Lift 1</v>
      </c>
      <c r="AD4165" t="b">
        <f t="shared" ca="1" si="4302"/>
        <v>1</v>
      </c>
      <c r="AE4165" s="1" t="str">
        <f t="shared" ca="1" si="4323"/>
        <v>Garage 68</v>
      </c>
      <c r="AF4165" t="str">
        <f t="shared" ca="1" si="4300"/>
        <v>Garage 68</v>
      </c>
    </row>
    <row r="4166" spans="28:32" x14ac:dyDescent="0.25">
      <c r="AB4166" t="str">
        <f t="shared" ref="AB4166:AC4166" si="4343">AB4145</f>
        <v>External Scaffolding</v>
      </c>
      <c r="AC4166" t="str">
        <f t="shared" si="4343"/>
        <v>Lift 2</v>
      </c>
      <c r="AD4166" t="b">
        <f t="shared" ca="1" si="4302"/>
        <v>1</v>
      </c>
      <c r="AE4166" s="1" t="str">
        <f t="shared" ca="1" si="4323"/>
        <v>Garage 68</v>
      </c>
      <c r="AF4166" t="str">
        <f t="shared" ca="1" si="4300"/>
        <v>Garage 68</v>
      </c>
    </row>
    <row r="4167" spans="28:32" x14ac:dyDescent="0.25">
      <c r="AB4167" t="str">
        <f t="shared" ref="AB4167:AC4167" si="4344">AB4146</f>
        <v>External Scaffolding</v>
      </c>
      <c r="AC4167" t="str">
        <f t="shared" si="4344"/>
        <v>Lift 3</v>
      </c>
      <c r="AD4167" t="b">
        <f t="shared" ca="1" si="4302"/>
        <v>1</v>
      </c>
      <c r="AE4167" s="1" t="str">
        <f t="shared" ca="1" si="4323"/>
        <v>Garage 68</v>
      </c>
      <c r="AF4167" t="str">
        <f t="shared" ca="1" si="4300"/>
        <v>Garage 68</v>
      </c>
    </row>
    <row r="4168" spans="28:32" x14ac:dyDescent="0.25">
      <c r="AB4168" t="str">
        <f t="shared" ref="AB4168:AC4168" si="4345">AB4147</f>
        <v>External Scaffolding</v>
      </c>
      <c r="AC4168" t="str">
        <f t="shared" si="4345"/>
        <v>Lift 4</v>
      </c>
      <c r="AD4168" t="b">
        <f t="shared" ca="1" si="4302"/>
        <v>0</v>
      </c>
      <c r="AE4168" s="1" t="str">
        <f t="shared" ca="1" si="4323"/>
        <v>Garage 68</v>
      </c>
      <c r="AF4168" t="str">
        <f t="shared" ca="1" si="4300"/>
        <v>Garage 68</v>
      </c>
    </row>
    <row r="4169" spans="28:32" x14ac:dyDescent="0.25">
      <c r="AB4169" t="str">
        <f t="shared" ref="AB4169:AC4169" si="4346">AB4148</f>
        <v>External Scaffolding</v>
      </c>
      <c r="AC4169" t="str">
        <f t="shared" si="4346"/>
        <v>Lift 5</v>
      </c>
      <c r="AD4169" t="b">
        <f t="shared" ca="1" si="4302"/>
        <v>0</v>
      </c>
      <c r="AE4169" s="1" t="str">
        <f t="shared" ca="1" si="4323"/>
        <v>Garage 68</v>
      </c>
      <c r="AF4169" t="str">
        <f t="shared" ca="1" si="4300"/>
        <v>Garage 68</v>
      </c>
    </row>
    <row r="4170" spans="28:32" x14ac:dyDescent="0.25">
      <c r="AB4170" t="str">
        <f t="shared" ref="AB4170:AC4170" si="4347">AB4149</f>
        <v>External Scaffolding</v>
      </c>
      <c r="AC4170" t="str">
        <f t="shared" si="4347"/>
        <v>Lift 6</v>
      </c>
      <c r="AD4170" t="b">
        <f t="shared" ca="1" si="4302"/>
        <v>0</v>
      </c>
      <c r="AE4170" s="1" t="str">
        <f t="shared" ca="1" si="4323"/>
        <v>Garage 68</v>
      </c>
      <c r="AF4170" t="str">
        <f t="shared" ca="1" si="4300"/>
        <v>Garage 68</v>
      </c>
    </row>
    <row r="4171" spans="28:32" x14ac:dyDescent="0.25">
      <c r="AB4171" t="str">
        <f t="shared" ref="AB4171:AC4171" si="4348">AB4150</f>
        <v>Loading Bay</v>
      </c>
      <c r="AC4171" t="str">
        <f t="shared" si="4348"/>
        <v>Lift 1</v>
      </c>
      <c r="AD4171" t="b">
        <f t="shared" ca="1" si="4302"/>
        <v>1</v>
      </c>
      <c r="AE4171" s="1" t="str">
        <f t="shared" ca="1" si="4323"/>
        <v>Garage 68</v>
      </c>
      <c r="AF4171" t="str">
        <f t="shared" ca="1" si="4300"/>
        <v>Garage 68</v>
      </c>
    </row>
    <row r="4172" spans="28:32" x14ac:dyDescent="0.25">
      <c r="AB4172" t="str">
        <f t="shared" ref="AB4172:AC4172" si="4349">AB4151</f>
        <v>Loading Bay</v>
      </c>
      <c r="AC4172" t="str">
        <f t="shared" si="4349"/>
        <v>Lift 2</v>
      </c>
      <c r="AD4172" t="b">
        <f t="shared" ca="1" si="4302"/>
        <v>1</v>
      </c>
      <c r="AE4172" s="1" t="str">
        <f t="shared" ca="1" si="4323"/>
        <v>Garage 68</v>
      </c>
      <c r="AF4172" t="str">
        <f t="shared" ca="1" si="4300"/>
        <v>Garage 68</v>
      </c>
    </row>
    <row r="4173" spans="28:32" x14ac:dyDescent="0.25">
      <c r="AB4173" t="str">
        <f t="shared" ref="AB4173:AC4173" si="4350">AB4152</f>
        <v>Loading Bay</v>
      </c>
      <c r="AC4173" t="str">
        <f t="shared" si="4350"/>
        <v>Lift 3</v>
      </c>
      <c r="AD4173" t="b">
        <f t="shared" ca="1" si="4302"/>
        <v>1</v>
      </c>
      <c r="AE4173" s="1" t="str">
        <f t="shared" ca="1" si="4323"/>
        <v>Garage 68</v>
      </c>
      <c r="AF4173" t="str">
        <f t="shared" ca="1" si="4300"/>
        <v>Garage 68</v>
      </c>
    </row>
    <row r="4174" spans="28:32" x14ac:dyDescent="0.25">
      <c r="AB4174" t="str">
        <f t="shared" ref="AB4174:AC4174" si="4351">AB4153</f>
        <v>Loading Bay</v>
      </c>
      <c r="AC4174" t="str">
        <f t="shared" si="4351"/>
        <v>Lift 4</v>
      </c>
      <c r="AD4174" t="b">
        <f t="shared" ca="1" si="4302"/>
        <v>0</v>
      </c>
      <c r="AE4174" s="1" t="str">
        <f t="shared" ca="1" si="4323"/>
        <v>Garage 68</v>
      </c>
      <c r="AF4174" t="str">
        <f t="shared" ca="1" si="4300"/>
        <v>Garage 68</v>
      </c>
    </row>
    <row r="4175" spans="28:32" x14ac:dyDescent="0.25">
      <c r="AB4175" t="str">
        <f t="shared" ref="AB4175:AC4175" si="4352">AB4154</f>
        <v>Loading Bay</v>
      </c>
      <c r="AC4175" t="str">
        <f t="shared" si="4352"/>
        <v>Lift 5</v>
      </c>
      <c r="AD4175" t="b">
        <f t="shared" ca="1" si="4302"/>
        <v>0</v>
      </c>
      <c r="AE4175" s="1" t="str">
        <f t="shared" ca="1" si="4323"/>
        <v>Garage 68</v>
      </c>
      <c r="AF4175" t="str">
        <f t="shared" ca="1" si="4300"/>
        <v>Garage 68</v>
      </c>
    </row>
    <row r="4176" spans="28:32" x14ac:dyDescent="0.25">
      <c r="AB4176" t="str">
        <f t="shared" ref="AB4176:AC4176" si="4353">AB4155</f>
        <v>Loading Bay</v>
      </c>
      <c r="AC4176" t="str">
        <f t="shared" si="4353"/>
        <v>Lift 6</v>
      </c>
      <c r="AD4176" t="b">
        <f t="shared" ca="1" si="4302"/>
        <v>0</v>
      </c>
      <c r="AE4176" s="1" t="str">
        <f t="shared" ca="1" si="4323"/>
        <v>Garage 68</v>
      </c>
      <c r="AF4176" t="str">
        <f t="shared" ca="1" si="4300"/>
        <v>Garage 68</v>
      </c>
    </row>
    <row r="4177" spans="28:32" x14ac:dyDescent="0.25">
      <c r="AB4177" t="str">
        <f t="shared" ref="AB4177:AC4177" si="4354">AB4156</f>
        <v>Scaffolding Platform</v>
      </c>
      <c r="AC4177" t="str">
        <f t="shared" si="4354"/>
        <v>Ground Floor</v>
      </c>
      <c r="AD4177" t="b">
        <f t="shared" ca="1" si="4302"/>
        <v>1</v>
      </c>
      <c r="AE4177" s="1" t="str">
        <f t="shared" ca="1" si="4323"/>
        <v>Garage 68</v>
      </c>
      <c r="AF4177" t="str">
        <f t="shared" ca="1" si="4300"/>
        <v>Garage 68</v>
      </c>
    </row>
    <row r="4178" spans="28:32" x14ac:dyDescent="0.25">
      <c r="AB4178" t="str">
        <f t="shared" ref="AB4178:AC4178" si="4355">AB4157</f>
        <v>Scaffolding Platform</v>
      </c>
      <c r="AC4178" t="str">
        <f t="shared" si="4355"/>
        <v>First Floor</v>
      </c>
      <c r="AD4178" t="b">
        <f t="shared" ca="1" si="4302"/>
        <v>0</v>
      </c>
      <c r="AE4178" s="1" t="str">
        <f t="shared" ca="1" si="4323"/>
        <v>Garage 68</v>
      </c>
      <c r="AF4178" t="str">
        <f t="shared" ca="1" si="4300"/>
        <v>Garage 68</v>
      </c>
    </row>
    <row r="4179" spans="28:32" x14ac:dyDescent="0.25">
      <c r="AB4179" t="str">
        <f t="shared" ref="AB4179:AC4179" si="4356">AB4158</f>
        <v>Scaffolding Platform</v>
      </c>
      <c r="AC4179" t="str">
        <f t="shared" si="4356"/>
        <v>Second Floor</v>
      </c>
      <c r="AD4179" t="b">
        <f t="shared" ca="1" si="4302"/>
        <v>0</v>
      </c>
      <c r="AE4179" s="1" t="str">
        <f t="shared" ca="1" si="4323"/>
        <v>Garage 68</v>
      </c>
      <c r="AF4179" t="str">
        <f t="shared" ca="1" si="4300"/>
        <v>Garage 68</v>
      </c>
    </row>
    <row r="4180" spans="28:32" x14ac:dyDescent="0.25">
      <c r="AB4180" t="str">
        <f t="shared" ref="AB4180:AC4180" si="4357">AB4159</f>
        <v>Supporting Scaffold</v>
      </c>
      <c r="AC4180" t="str">
        <f t="shared" si="4357"/>
        <v>Ground Floor Prop.</v>
      </c>
      <c r="AD4180" t="str">
        <f t="shared" ca="1" si="4302"/>
        <v>FALSE</v>
      </c>
      <c r="AE4180" s="1" t="str">
        <f t="shared" ca="1" si="4323"/>
        <v>Garage 68</v>
      </c>
      <c r="AF4180" t="str">
        <f t="shared" ca="1" si="4300"/>
        <v>Garage 68</v>
      </c>
    </row>
    <row r="4181" spans="28:32" x14ac:dyDescent="0.25">
      <c r="AB4181" t="str">
        <f t="shared" ref="AB4181:AC4181" si="4358">AB4160</f>
        <v>Supporting Scaffold</v>
      </c>
      <c r="AC4181" t="str">
        <f t="shared" si="4358"/>
        <v>First Floor Prop.</v>
      </c>
      <c r="AD4181" t="str">
        <f t="shared" ca="1" si="4302"/>
        <v>FALSE</v>
      </c>
      <c r="AE4181" s="1" t="str">
        <f t="shared" ca="1" si="4323"/>
        <v>Garage 68</v>
      </c>
      <c r="AF4181" t="str">
        <f t="shared" ca="1" si="4300"/>
        <v>Garage 68</v>
      </c>
    </row>
    <row r="4182" spans="28:32" x14ac:dyDescent="0.25">
      <c r="AB4182" t="str">
        <f t="shared" ref="AB4182:AC4182" si="4359">AB4161</f>
        <v>Supporting Scaffold</v>
      </c>
      <c r="AC4182" t="str">
        <f t="shared" si="4359"/>
        <v>Second Floor Prop.</v>
      </c>
      <c r="AD4182" t="str">
        <f t="shared" ca="1" si="4302"/>
        <v>FALSE</v>
      </c>
      <c r="AE4182" s="1" t="str">
        <f t="shared" ca="1" si="4323"/>
        <v>Garage 68</v>
      </c>
      <c r="AF4182" t="str">
        <f t="shared" ca="1" si="4300"/>
        <v>Garage 68</v>
      </c>
    </row>
    <row r="4183" spans="28:32" x14ac:dyDescent="0.25">
      <c r="AB4183" t="str">
        <f t="shared" ref="AB4183:AC4183" si="4360">AB4162</f>
        <v>External Scaffolding</v>
      </c>
      <c r="AC4183" t="str">
        <f t="shared" si="4360"/>
        <v>Hop-ups</v>
      </c>
      <c r="AD4183" t="b">
        <f t="shared" ca="1" si="4302"/>
        <v>1</v>
      </c>
      <c r="AE4183" s="1" t="str">
        <f t="shared" ca="1" si="4323"/>
        <v>Garage 68</v>
      </c>
      <c r="AF4183" t="str">
        <f t="shared" ca="1" si="4300"/>
        <v>Garage 68</v>
      </c>
    </row>
    <row r="4184" spans="28:32" x14ac:dyDescent="0.25">
      <c r="AB4184" t="str">
        <f t="shared" ref="AB4184:AC4184" si="4361">AB4163</f>
        <v>External Scaffolding</v>
      </c>
      <c r="AC4184" t="str">
        <f t="shared" si="4361"/>
        <v>Adaptions</v>
      </c>
      <c r="AD4184" t="b">
        <f t="shared" ca="1" si="4302"/>
        <v>1</v>
      </c>
      <c r="AE4184" s="1" t="str">
        <f t="shared" ca="1" si="4323"/>
        <v>Garage 68</v>
      </c>
      <c r="AF4184" t="str">
        <f t="shared" ca="1" si="4300"/>
        <v>Garage 68</v>
      </c>
    </row>
    <row r="4185" spans="28:32" x14ac:dyDescent="0.25">
      <c r="AB4185" t="str">
        <f t="shared" ref="AB4185:AC4185" si="4362">AB4164</f>
        <v>External Scaffolding</v>
      </c>
      <c r="AC4185" t="str">
        <f t="shared" si="4362"/>
        <v>Adaption Tower</v>
      </c>
      <c r="AD4185" t="b">
        <f t="shared" ca="1" si="4302"/>
        <v>1</v>
      </c>
      <c r="AE4185" s="1" t="str">
        <f t="shared" ca="1" si="4323"/>
        <v>Garage 68</v>
      </c>
      <c r="AF4185" t="str">
        <f t="shared" ca="1" si="4300"/>
        <v>Garage 68</v>
      </c>
    </row>
    <row r="4186" spans="28:32" x14ac:dyDescent="0.25">
      <c r="AB4186" t="str">
        <f t="shared" ref="AB4186:AC4186" si="4363">AB4165</f>
        <v>External Scaffolding</v>
      </c>
      <c r="AC4186" t="str">
        <f t="shared" si="4363"/>
        <v>Lift 1</v>
      </c>
      <c r="AD4186" t="b">
        <f t="shared" ca="1" si="4302"/>
        <v>1</v>
      </c>
      <c r="AE4186" s="1" t="str">
        <f t="shared" ca="1" si="4323"/>
        <v>Garage 69</v>
      </c>
      <c r="AF4186" t="str">
        <f t="shared" ca="1" si="4300"/>
        <v>Garage 69</v>
      </c>
    </row>
    <row r="4187" spans="28:32" x14ac:dyDescent="0.25">
      <c r="AB4187" t="str">
        <f t="shared" ref="AB4187:AC4187" si="4364">AB4166</f>
        <v>External Scaffolding</v>
      </c>
      <c r="AC4187" t="str">
        <f t="shared" si="4364"/>
        <v>Lift 2</v>
      </c>
      <c r="AD4187" t="b">
        <f t="shared" ca="1" si="4302"/>
        <v>1</v>
      </c>
      <c r="AE4187" s="1" t="str">
        <f t="shared" ca="1" si="4323"/>
        <v>Garage 69</v>
      </c>
      <c r="AF4187" t="str">
        <f t="shared" ca="1" si="4300"/>
        <v>Garage 69</v>
      </c>
    </row>
    <row r="4188" spans="28:32" x14ac:dyDescent="0.25">
      <c r="AB4188" t="str">
        <f t="shared" ref="AB4188:AC4188" si="4365">AB4167</f>
        <v>External Scaffolding</v>
      </c>
      <c r="AC4188" t="str">
        <f t="shared" si="4365"/>
        <v>Lift 3</v>
      </c>
      <c r="AD4188" t="b">
        <f t="shared" ca="1" si="4302"/>
        <v>1</v>
      </c>
      <c r="AE4188" s="1" t="str">
        <f t="shared" ca="1" si="4323"/>
        <v>Garage 69</v>
      </c>
      <c r="AF4188" t="str">
        <f t="shared" ca="1" si="4300"/>
        <v>Garage 69</v>
      </c>
    </row>
    <row r="4189" spans="28:32" x14ac:dyDescent="0.25">
      <c r="AB4189" t="str">
        <f t="shared" ref="AB4189:AC4189" si="4366">AB4168</f>
        <v>External Scaffolding</v>
      </c>
      <c r="AC4189" t="str">
        <f t="shared" si="4366"/>
        <v>Lift 4</v>
      </c>
      <c r="AD4189" t="b">
        <f t="shared" ca="1" si="4302"/>
        <v>0</v>
      </c>
      <c r="AE4189" s="1" t="str">
        <f t="shared" ca="1" si="4323"/>
        <v>Garage 69</v>
      </c>
      <c r="AF4189" t="str">
        <f t="shared" ref="AF4189:AF4252" ca="1" si="4367">IF(LEFT(AE4189,1)="G",AE4189,"Plot "&amp;AE4189)</f>
        <v>Garage 69</v>
      </c>
    </row>
    <row r="4190" spans="28:32" x14ac:dyDescent="0.25">
      <c r="AB4190" t="str">
        <f t="shared" ref="AB4190:AC4190" si="4368">AB4169</f>
        <v>External Scaffolding</v>
      </c>
      <c r="AC4190" t="str">
        <f t="shared" si="4368"/>
        <v>Lift 5</v>
      </c>
      <c r="AD4190" t="b">
        <f t="shared" ref="AD4190:AD4253" ca="1" si="4369">INDEX($AC$1:$JH$22,MATCH(AC4190,$AC$1:$AC$22,0),MATCH(AE4190,$AC$1:$JH$1,0))</f>
        <v>0</v>
      </c>
      <c r="AE4190" s="1" t="str">
        <f t="shared" ca="1" si="4323"/>
        <v>Garage 69</v>
      </c>
      <c r="AF4190" t="str">
        <f t="shared" ca="1" si="4367"/>
        <v>Garage 69</v>
      </c>
    </row>
    <row r="4191" spans="28:32" x14ac:dyDescent="0.25">
      <c r="AB4191" t="str">
        <f t="shared" ref="AB4191:AC4191" si="4370">AB4170</f>
        <v>External Scaffolding</v>
      </c>
      <c r="AC4191" t="str">
        <f t="shared" si="4370"/>
        <v>Lift 6</v>
      </c>
      <c r="AD4191" t="b">
        <f t="shared" ca="1" si="4369"/>
        <v>0</v>
      </c>
      <c r="AE4191" s="1" t="str">
        <f t="shared" ca="1" si="4323"/>
        <v>Garage 69</v>
      </c>
      <c r="AF4191" t="str">
        <f t="shared" ca="1" si="4367"/>
        <v>Garage 69</v>
      </c>
    </row>
    <row r="4192" spans="28:32" x14ac:dyDescent="0.25">
      <c r="AB4192" t="str">
        <f t="shared" ref="AB4192:AC4192" si="4371">AB4171</f>
        <v>Loading Bay</v>
      </c>
      <c r="AC4192" t="str">
        <f t="shared" si="4371"/>
        <v>Lift 1</v>
      </c>
      <c r="AD4192" t="b">
        <f t="shared" ca="1" si="4369"/>
        <v>1</v>
      </c>
      <c r="AE4192" s="1" t="str">
        <f t="shared" ca="1" si="4323"/>
        <v>Garage 69</v>
      </c>
      <c r="AF4192" t="str">
        <f t="shared" ca="1" si="4367"/>
        <v>Garage 69</v>
      </c>
    </row>
    <row r="4193" spans="28:32" x14ac:dyDescent="0.25">
      <c r="AB4193" t="str">
        <f t="shared" ref="AB4193:AC4193" si="4372">AB4172</f>
        <v>Loading Bay</v>
      </c>
      <c r="AC4193" t="str">
        <f t="shared" si="4372"/>
        <v>Lift 2</v>
      </c>
      <c r="AD4193" t="b">
        <f t="shared" ca="1" si="4369"/>
        <v>1</v>
      </c>
      <c r="AE4193" s="1" t="str">
        <f t="shared" ca="1" si="4323"/>
        <v>Garage 69</v>
      </c>
      <c r="AF4193" t="str">
        <f t="shared" ca="1" si="4367"/>
        <v>Garage 69</v>
      </c>
    </row>
    <row r="4194" spans="28:32" x14ac:dyDescent="0.25">
      <c r="AB4194" t="str">
        <f t="shared" ref="AB4194:AC4194" si="4373">AB4173</f>
        <v>Loading Bay</v>
      </c>
      <c r="AC4194" t="str">
        <f t="shared" si="4373"/>
        <v>Lift 3</v>
      </c>
      <c r="AD4194" t="b">
        <f t="shared" ca="1" si="4369"/>
        <v>1</v>
      </c>
      <c r="AE4194" s="1" t="str">
        <f t="shared" ca="1" si="4323"/>
        <v>Garage 69</v>
      </c>
      <c r="AF4194" t="str">
        <f t="shared" ca="1" si="4367"/>
        <v>Garage 69</v>
      </c>
    </row>
    <row r="4195" spans="28:32" x14ac:dyDescent="0.25">
      <c r="AB4195" t="str">
        <f t="shared" ref="AB4195:AC4195" si="4374">AB4174</f>
        <v>Loading Bay</v>
      </c>
      <c r="AC4195" t="str">
        <f t="shared" si="4374"/>
        <v>Lift 4</v>
      </c>
      <c r="AD4195" t="b">
        <f t="shared" ca="1" si="4369"/>
        <v>0</v>
      </c>
      <c r="AE4195" s="1" t="str">
        <f t="shared" ca="1" si="4323"/>
        <v>Garage 69</v>
      </c>
      <c r="AF4195" t="str">
        <f t="shared" ca="1" si="4367"/>
        <v>Garage 69</v>
      </c>
    </row>
    <row r="4196" spans="28:32" x14ac:dyDescent="0.25">
      <c r="AB4196" t="str">
        <f t="shared" ref="AB4196:AC4196" si="4375">AB4175</f>
        <v>Loading Bay</v>
      </c>
      <c r="AC4196" t="str">
        <f t="shared" si="4375"/>
        <v>Lift 5</v>
      </c>
      <c r="AD4196" t="b">
        <f t="shared" ca="1" si="4369"/>
        <v>0</v>
      </c>
      <c r="AE4196" s="1" t="str">
        <f t="shared" ca="1" si="4323"/>
        <v>Garage 69</v>
      </c>
      <c r="AF4196" t="str">
        <f t="shared" ca="1" si="4367"/>
        <v>Garage 69</v>
      </c>
    </row>
    <row r="4197" spans="28:32" x14ac:dyDescent="0.25">
      <c r="AB4197" t="str">
        <f t="shared" ref="AB4197:AC4197" si="4376">AB4176</f>
        <v>Loading Bay</v>
      </c>
      <c r="AC4197" t="str">
        <f t="shared" si="4376"/>
        <v>Lift 6</v>
      </c>
      <c r="AD4197" t="b">
        <f t="shared" ca="1" si="4369"/>
        <v>0</v>
      </c>
      <c r="AE4197" s="1" t="str">
        <f t="shared" ca="1" si="4323"/>
        <v>Garage 69</v>
      </c>
      <c r="AF4197" t="str">
        <f t="shared" ca="1" si="4367"/>
        <v>Garage 69</v>
      </c>
    </row>
    <row r="4198" spans="28:32" x14ac:dyDescent="0.25">
      <c r="AB4198" t="str">
        <f t="shared" ref="AB4198:AC4198" si="4377">AB4177</f>
        <v>Scaffolding Platform</v>
      </c>
      <c r="AC4198" t="str">
        <f t="shared" si="4377"/>
        <v>Ground Floor</v>
      </c>
      <c r="AD4198" t="b">
        <f t="shared" ca="1" si="4369"/>
        <v>1</v>
      </c>
      <c r="AE4198" s="1" t="str">
        <f t="shared" ca="1" si="4323"/>
        <v>Garage 69</v>
      </c>
      <c r="AF4198" t="str">
        <f t="shared" ca="1" si="4367"/>
        <v>Garage 69</v>
      </c>
    </row>
    <row r="4199" spans="28:32" x14ac:dyDescent="0.25">
      <c r="AB4199" t="str">
        <f t="shared" ref="AB4199:AC4199" si="4378">AB4178</f>
        <v>Scaffolding Platform</v>
      </c>
      <c r="AC4199" t="str">
        <f t="shared" si="4378"/>
        <v>First Floor</v>
      </c>
      <c r="AD4199" t="b">
        <f t="shared" ca="1" si="4369"/>
        <v>0</v>
      </c>
      <c r="AE4199" s="1" t="str">
        <f t="shared" ca="1" si="4323"/>
        <v>Garage 69</v>
      </c>
      <c r="AF4199" t="str">
        <f t="shared" ca="1" si="4367"/>
        <v>Garage 69</v>
      </c>
    </row>
    <row r="4200" spans="28:32" x14ac:dyDescent="0.25">
      <c r="AB4200" t="str">
        <f t="shared" ref="AB4200:AC4200" si="4379">AB4179</f>
        <v>Scaffolding Platform</v>
      </c>
      <c r="AC4200" t="str">
        <f t="shared" si="4379"/>
        <v>Second Floor</v>
      </c>
      <c r="AD4200" t="b">
        <f t="shared" ca="1" si="4369"/>
        <v>0</v>
      </c>
      <c r="AE4200" s="1" t="str">
        <f t="shared" ca="1" si="4323"/>
        <v>Garage 69</v>
      </c>
      <c r="AF4200" t="str">
        <f t="shared" ca="1" si="4367"/>
        <v>Garage 69</v>
      </c>
    </row>
    <row r="4201" spans="28:32" x14ac:dyDescent="0.25">
      <c r="AB4201" t="str">
        <f t="shared" ref="AB4201:AC4201" si="4380">AB4180</f>
        <v>Supporting Scaffold</v>
      </c>
      <c r="AC4201" t="str">
        <f t="shared" si="4380"/>
        <v>Ground Floor Prop.</v>
      </c>
      <c r="AD4201" t="str">
        <f t="shared" ca="1" si="4369"/>
        <v>FALSE</v>
      </c>
      <c r="AE4201" s="1" t="str">
        <f t="shared" ca="1" si="4323"/>
        <v>Garage 69</v>
      </c>
      <c r="AF4201" t="str">
        <f t="shared" ca="1" si="4367"/>
        <v>Garage 69</v>
      </c>
    </row>
    <row r="4202" spans="28:32" x14ac:dyDescent="0.25">
      <c r="AB4202" t="str">
        <f t="shared" ref="AB4202:AC4202" si="4381">AB4181</f>
        <v>Supporting Scaffold</v>
      </c>
      <c r="AC4202" t="str">
        <f t="shared" si="4381"/>
        <v>First Floor Prop.</v>
      </c>
      <c r="AD4202" t="str">
        <f t="shared" ca="1" si="4369"/>
        <v>FALSE</v>
      </c>
      <c r="AE4202" s="1" t="str">
        <f t="shared" ca="1" si="4323"/>
        <v>Garage 69</v>
      </c>
      <c r="AF4202" t="str">
        <f t="shared" ca="1" si="4367"/>
        <v>Garage 69</v>
      </c>
    </row>
    <row r="4203" spans="28:32" x14ac:dyDescent="0.25">
      <c r="AB4203" t="str">
        <f t="shared" ref="AB4203:AC4203" si="4382">AB4182</f>
        <v>Supporting Scaffold</v>
      </c>
      <c r="AC4203" t="str">
        <f t="shared" si="4382"/>
        <v>Second Floor Prop.</v>
      </c>
      <c r="AD4203" t="str">
        <f t="shared" ca="1" si="4369"/>
        <v>FALSE</v>
      </c>
      <c r="AE4203" s="1" t="str">
        <f t="shared" ca="1" si="4323"/>
        <v>Garage 69</v>
      </c>
      <c r="AF4203" t="str">
        <f t="shared" ca="1" si="4367"/>
        <v>Garage 69</v>
      </c>
    </row>
    <row r="4204" spans="28:32" x14ac:dyDescent="0.25">
      <c r="AB4204" t="str">
        <f t="shared" ref="AB4204:AC4204" si="4383">AB4183</f>
        <v>External Scaffolding</v>
      </c>
      <c r="AC4204" t="str">
        <f t="shared" si="4383"/>
        <v>Hop-ups</v>
      </c>
      <c r="AD4204" t="b">
        <f t="shared" ca="1" si="4369"/>
        <v>1</v>
      </c>
      <c r="AE4204" s="1" t="str">
        <f t="shared" ca="1" si="4323"/>
        <v>Garage 69</v>
      </c>
      <c r="AF4204" t="str">
        <f t="shared" ca="1" si="4367"/>
        <v>Garage 69</v>
      </c>
    </row>
    <row r="4205" spans="28:32" x14ac:dyDescent="0.25">
      <c r="AB4205" t="str">
        <f t="shared" ref="AB4205:AC4205" si="4384">AB4184</f>
        <v>External Scaffolding</v>
      </c>
      <c r="AC4205" t="str">
        <f t="shared" si="4384"/>
        <v>Adaptions</v>
      </c>
      <c r="AD4205" t="b">
        <f t="shared" ca="1" si="4369"/>
        <v>1</v>
      </c>
      <c r="AE4205" s="1" t="str">
        <f t="shared" ca="1" si="4323"/>
        <v>Garage 69</v>
      </c>
      <c r="AF4205" t="str">
        <f t="shared" ca="1" si="4367"/>
        <v>Garage 69</v>
      </c>
    </row>
    <row r="4206" spans="28:32" x14ac:dyDescent="0.25">
      <c r="AB4206" t="str">
        <f t="shared" ref="AB4206:AC4206" si="4385">AB4185</f>
        <v>External Scaffolding</v>
      </c>
      <c r="AC4206" t="str">
        <f t="shared" si="4385"/>
        <v>Adaption Tower</v>
      </c>
      <c r="AD4206" t="b">
        <f t="shared" ca="1" si="4369"/>
        <v>1</v>
      </c>
      <c r="AE4206" s="1" t="str">
        <f t="shared" ca="1" si="4323"/>
        <v>Garage 69</v>
      </c>
      <c r="AF4206" t="str">
        <f t="shared" ca="1" si="4367"/>
        <v>Garage 69</v>
      </c>
    </row>
    <row r="4207" spans="28:32" x14ac:dyDescent="0.25">
      <c r="AB4207" t="str">
        <f t="shared" ref="AB4207:AC4207" si="4386">AB4186</f>
        <v>External Scaffolding</v>
      </c>
      <c r="AC4207" t="str">
        <f t="shared" si="4386"/>
        <v>Lift 1</v>
      </c>
      <c r="AD4207" t="b">
        <f t="shared" ca="1" si="4369"/>
        <v>1</v>
      </c>
      <c r="AE4207" s="1" t="str">
        <f t="shared" ca="1" si="4323"/>
        <v>Garage 70</v>
      </c>
      <c r="AF4207" t="str">
        <f t="shared" ca="1" si="4367"/>
        <v>Garage 70</v>
      </c>
    </row>
    <row r="4208" spans="28:32" x14ac:dyDescent="0.25">
      <c r="AB4208" t="str">
        <f t="shared" ref="AB4208:AC4208" si="4387">AB4187</f>
        <v>External Scaffolding</v>
      </c>
      <c r="AC4208" t="str">
        <f t="shared" si="4387"/>
        <v>Lift 2</v>
      </c>
      <c r="AD4208" t="b">
        <f t="shared" ca="1" si="4369"/>
        <v>1</v>
      </c>
      <c r="AE4208" s="1" t="str">
        <f t="shared" ca="1" si="4323"/>
        <v>Garage 70</v>
      </c>
      <c r="AF4208" t="str">
        <f t="shared" ca="1" si="4367"/>
        <v>Garage 70</v>
      </c>
    </row>
    <row r="4209" spans="28:32" x14ac:dyDescent="0.25">
      <c r="AB4209" t="str">
        <f t="shared" ref="AB4209:AC4209" si="4388">AB4188</f>
        <v>External Scaffolding</v>
      </c>
      <c r="AC4209" t="str">
        <f t="shared" si="4388"/>
        <v>Lift 3</v>
      </c>
      <c r="AD4209" t="b">
        <f t="shared" ca="1" si="4369"/>
        <v>1</v>
      </c>
      <c r="AE4209" s="1" t="str">
        <f t="shared" ca="1" si="4323"/>
        <v>Garage 70</v>
      </c>
      <c r="AF4209" t="str">
        <f t="shared" ca="1" si="4367"/>
        <v>Garage 70</v>
      </c>
    </row>
    <row r="4210" spans="28:32" x14ac:dyDescent="0.25">
      <c r="AB4210" t="str">
        <f t="shared" ref="AB4210:AC4210" si="4389">AB4189</f>
        <v>External Scaffolding</v>
      </c>
      <c r="AC4210" t="str">
        <f t="shared" si="4389"/>
        <v>Lift 4</v>
      </c>
      <c r="AD4210" t="b">
        <f t="shared" ca="1" si="4369"/>
        <v>0</v>
      </c>
      <c r="AE4210" s="1" t="str">
        <f t="shared" ref="AE4210:AE4273" ca="1" si="4390">OFFSET($AD$1,0,FLOOR(ROW(B4182)/21,1))</f>
        <v>Garage 70</v>
      </c>
      <c r="AF4210" t="str">
        <f t="shared" ca="1" si="4367"/>
        <v>Garage 70</v>
      </c>
    </row>
    <row r="4211" spans="28:32" x14ac:dyDescent="0.25">
      <c r="AB4211" t="str">
        <f t="shared" ref="AB4211:AC4211" si="4391">AB4190</f>
        <v>External Scaffolding</v>
      </c>
      <c r="AC4211" t="str">
        <f t="shared" si="4391"/>
        <v>Lift 5</v>
      </c>
      <c r="AD4211" t="b">
        <f t="shared" ca="1" si="4369"/>
        <v>0</v>
      </c>
      <c r="AE4211" s="1" t="str">
        <f t="shared" ca="1" si="4390"/>
        <v>Garage 70</v>
      </c>
      <c r="AF4211" t="str">
        <f t="shared" ca="1" si="4367"/>
        <v>Garage 70</v>
      </c>
    </row>
    <row r="4212" spans="28:32" x14ac:dyDescent="0.25">
      <c r="AB4212" t="str">
        <f t="shared" ref="AB4212:AC4212" si="4392">AB4191</f>
        <v>External Scaffolding</v>
      </c>
      <c r="AC4212" t="str">
        <f t="shared" si="4392"/>
        <v>Lift 6</v>
      </c>
      <c r="AD4212" t="b">
        <f t="shared" ca="1" si="4369"/>
        <v>0</v>
      </c>
      <c r="AE4212" s="1" t="str">
        <f t="shared" ca="1" si="4390"/>
        <v>Garage 70</v>
      </c>
      <c r="AF4212" t="str">
        <f t="shared" ca="1" si="4367"/>
        <v>Garage 70</v>
      </c>
    </row>
    <row r="4213" spans="28:32" x14ac:dyDescent="0.25">
      <c r="AB4213" t="str">
        <f t="shared" ref="AB4213:AC4213" si="4393">AB4192</f>
        <v>Loading Bay</v>
      </c>
      <c r="AC4213" t="str">
        <f t="shared" si="4393"/>
        <v>Lift 1</v>
      </c>
      <c r="AD4213" t="b">
        <f t="shared" ca="1" si="4369"/>
        <v>1</v>
      </c>
      <c r="AE4213" s="1" t="str">
        <f t="shared" ca="1" si="4390"/>
        <v>Garage 70</v>
      </c>
      <c r="AF4213" t="str">
        <f t="shared" ca="1" si="4367"/>
        <v>Garage 70</v>
      </c>
    </row>
    <row r="4214" spans="28:32" x14ac:dyDescent="0.25">
      <c r="AB4214" t="str">
        <f t="shared" ref="AB4214:AC4214" si="4394">AB4193</f>
        <v>Loading Bay</v>
      </c>
      <c r="AC4214" t="str">
        <f t="shared" si="4394"/>
        <v>Lift 2</v>
      </c>
      <c r="AD4214" t="b">
        <f t="shared" ca="1" si="4369"/>
        <v>1</v>
      </c>
      <c r="AE4214" s="1" t="str">
        <f t="shared" ca="1" si="4390"/>
        <v>Garage 70</v>
      </c>
      <c r="AF4214" t="str">
        <f t="shared" ca="1" si="4367"/>
        <v>Garage 70</v>
      </c>
    </row>
    <row r="4215" spans="28:32" x14ac:dyDescent="0.25">
      <c r="AB4215" t="str">
        <f t="shared" ref="AB4215:AC4215" si="4395">AB4194</f>
        <v>Loading Bay</v>
      </c>
      <c r="AC4215" t="str">
        <f t="shared" si="4395"/>
        <v>Lift 3</v>
      </c>
      <c r="AD4215" t="b">
        <f t="shared" ca="1" si="4369"/>
        <v>1</v>
      </c>
      <c r="AE4215" s="1" t="str">
        <f t="shared" ca="1" si="4390"/>
        <v>Garage 70</v>
      </c>
      <c r="AF4215" t="str">
        <f t="shared" ca="1" si="4367"/>
        <v>Garage 70</v>
      </c>
    </row>
    <row r="4216" spans="28:32" x14ac:dyDescent="0.25">
      <c r="AB4216" t="str">
        <f t="shared" ref="AB4216:AC4216" si="4396">AB4195</f>
        <v>Loading Bay</v>
      </c>
      <c r="AC4216" t="str">
        <f t="shared" si="4396"/>
        <v>Lift 4</v>
      </c>
      <c r="AD4216" t="b">
        <f t="shared" ca="1" si="4369"/>
        <v>0</v>
      </c>
      <c r="AE4216" s="1" t="str">
        <f t="shared" ca="1" si="4390"/>
        <v>Garage 70</v>
      </c>
      <c r="AF4216" t="str">
        <f t="shared" ca="1" si="4367"/>
        <v>Garage 70</v>
      </c>
    </row>
    <row r="4217" spans="28:32" x14ac:dyDescent="0.25">
      <c r="AB4217" t="str">
        <f t="shared" ref="AB4217:AC4217" si="4397">AB4196</f>
        <v>Loading Bay</v>
      </c>
      <c r="AC4217" t="str">
        <f t="shared" si="4397"/>
        <v>Lift 5</v>
      </c>
      <c r="AD4217" t="b">
        <f t="shared" ca="1" si="4369"/>
        <v>0</v>
      </c>
      <c r="AE4217" s="1" t="str">
        <f t="shared" ca="1" si="4390"/>
        <v>Garage 70</v>
      </c>
      <c r="AF4217" t="str">
        <f t="shared" ca="1" si="4367"/>
        <v>Garage 70</v>
      </c>
    </row>
    <row r="4218" spans="28:32" x14ac:dyDescent="0.25">
      <c r="AB4218" t="str">
        <f t="shared" ref="AB4218:AC4218" si="4398">AB4197</f>
        <v>Loading Bay</v>
      </c>
      <c r="AC4218" t="str">
        <f t="shared" si="4398"/>
        <v>Lift 6</v>
      </c>
      <c r="AD4218" t="b">
        <f t="shared" ca="1" si="4369"/>
        <v>0</v>
      </c>
      <c r="AE4218" s="1" t="str">
        <f t="shared" ca="1" si="4390"/>
        <v>Garage 70</v>
      </c>
      <c r="AF4218" t="str">
        <f t="shared" ca="1" si="4367"/>
        <v>Garage 70</v>
      </c>
    </row>
    <row r="4219" spans="28:32" x14ac:dyDescent="0.25">
      <c r="AB4219" t="str">
        <f t="shared" ref="AB4219:AC4219" si="4399">AB4198</f>
        <v>Scaffolding Platform</v>
      </c>
      <c r="AC4219" t="str">
        <f t="shared" si="4399"/>
        <v>Ground Floor</v>
      </c>
      <c r="AD4219" t="b">
        <f t="shared" ca="1" si="4369"/>
        <v>1</v>
      </c>
      <c r="AE4219" s="1" t="str">
        <f t="shared" ca="1" si="4390"/>
        <v>Garage 70</v>
      </c>
      <c r="AF4219" t="str">
        <f t="shared" ca="1" si="4367"/>
        <v>Garage 70</v>
      </c>
    </row>
    <row r="4220" spans="28:32" x14ac:dyDescent="0.25">
      <c r="AB4220" t="str">
        <f t="shared" ref="AB4220:AC4220" si="4400">AB4199</f>
        <v>Scaffolding Platform</v>
      </c>
      <c r="AC4220" t="str">
        <f t="shared" si="4400"/>
        <v>First Floor</v>
      </c>
      <c r="AD4220" t="b">
        <f t="shared" ca="1" si="4369"/>
        <v>0</v>
      </c>
      <c r="AE4220" s="1" t="str">
        <f t="shared" ca="1" si="4390"/>
        <v>Garage 70</v>
      </c>
      <c r="AF4220" t="str">
        <f t="shared" ca="1" si="4367"/>
        <v>Garage 70</v>
      </c>
    </row>
    <row r="4221" spans="28:32" x14ac:dyDescent="0.25">
      <c r="AB4221" t="str">
        <f t="shared" ref="AB4221:AC4221" si="4401">AB4200</f>
        <v>Scaffolding Platform</v>
      </c>
      <c r="AC4221" t="str">
        <f t="shared" si="4401"/>
        <v>Second Floor</v>
      </c>
      <c r="AD4221" t="b">
        <f t="shared" ca="1" si="4369"/>
        <v>0</v>
      </c>
      <c r="AE4221" s="1" t="str">
        <f t="shared" ca="1" si="4390"/>
        <v>Garage 70</v>
      </c>
      <c r="AF4221" t="str">
        <f t="shared" ca="1" si="4367"/>
        <v>Garage 70</v>
      </c>
    </row>
    <row r="4222" spans="28:32" x14ac:dyDescent="0.25">
      <c r="AB4222" t="str">
        <f t="shared" ref="AB4222:AC4222" si="4402">AB4201</f>
        <v>Supporting Scaffold</v>
      </c>
      <c r="AC4222" t="str">
        <f t="shared" si="4402"/>
        <v>Ground Floor Prop.</v>
      </c>
      <c r="AD4222" t="str">
        <f t="shared" ca="1" si="4369"/>
        <v>FALSE</v>
      </c>
      <c r="AE4222" s="1" t="str">
        <f t="shared" ca="1" si="4390"/>
        <v>Garage 70</v>
      </c>
      <c r="AF4222" t="str">
        <f t="shared" ca="1" si="4367"/>
        <v>Garage 70</v>
      </c>
    </row>
    <row r="4223" spans="28:32" x14ac:dyDescent="0.25">
      <c r="AB4223" t="str">
        <f t="shared" ref="AB4223:AC4223" si="4403">AB4202</f>
        <v>Supporting Scaffold</v>
      </c>
      <c r="AC4223" t="str">
        <f t="shared" si="4403"/>
        <v>First Floor Prop.</v>
      </c>
      <c r="AD4223" t="str">
        <f t="shared" ca="1" si="4369"/>
        <v>FALSE</v>
      </c>
      <c r="AE4223" s="1" t="str">
        <f t="shared" ca="1" si="4390"/>
        <v>Garage 70</v>
      </c>
      <c r="AF4223" t="str">
        <f t="shared" ca="1" si="4367"/>
        <v>Garage 70</v>
      </c>
    </row>
    <row r="4224" spans="28:32" x14ac:dyDescent="0.25">
      <c r="AB4224" t="str">
        <f t="shared" ref="AB4224:AC4224" si="4404">AB4203</f>
        <v>Supporting Scaffold</v>
      </c>
      <c r="AC4224" t="str">
        <f t="shared" si="4404"/>
        <v>Second Floor Prop.</v>
      </c>
      <c r="AD4224" t="str">
        <f t="shared" ca="1" si="4369"/>
        <v>FALSE</v>
      </c>
      <c r="AE4224" s="1" t="str">
        <f t="shared" ca="1" si="4390"/>
        <v>Garage 70</v>
      </c>
      <c r="AF4224" t="str">
        <f t="shared" ca="1" si="4367"/>
        <v>Garage 70</v>
      </c>
    </row>
    <row r="4225" spans="28:32" x14ac:dyDescent="0.25">
      <c r="AB4225" t="str">
        <f t="shared" ref="AB4225:AC4225" si="4405">AB4204</f>
        <v>External Scaffolding</v>
      </c>
      <c r="AC4225" t="str">
        <f t="shared" si="4405"/>
        <v>Hop-ups</v>
      </c>
      <c r="AD4225" t="b">
        <f t="shared" ca="1" si="4369"/>
        <v>1</v>
      </c>
      <c r="AE4225" s="1" t="str">
        <f t="shared" ca="1" si="4390"/>
        <v>Garage 70</v>
      </c>
      <c r="AF4225" t="str">
        <f t="shared" ca="1" si="4367"/>
        <v>Garage 70</v>
      </c>
    </row>
    <row r="4226" spans="28:32" x14ac:dyDescent="0.25">
      <c r="AB4226" t="str">
        <f t="shared" ref="AB4226:AC4226" si="4406">AB4205</f>
        <v>External Scaffolding</v>
      </c>
      <c r="AC4226" t="str">
        <f t="shared" si="4406"/>
        <v>Adaptions</v>
      </c>
      <c r="AD4226" t="b">
        <f t="shared" ca="1" si="4369"/>
        <v>1</v>
      </c>
      <c r="AE4226" s="1" t="str">
        <f t="shared" ca="1" si="4390"/>
        <v>Garage 70</v>
      </c>
      <c r="AF4226" t="str">
        <f t="shared" ca="1" si="4367"/>
        <v>Garage 70</v>
      </c>
    </row>
    <row r="4227" spans="28:32" x14ac:dyDescent="0.25">
      <c r="AB4227" t="str">
        <f t="shared" ref="AB4227:AC4227" si="4407">AB4206</f>
        <v>External Scaffolding</v>
      </c>
      <c r="AC4227" t="str">
        <f t="shared" si="4407"/>
        <v>Adaption Tower</v>
      </c>
      <c r="AD4227" t="b">
        <f t="shared" ca="1" si="4369"/>
        <v>1</v>
      </c>
      <c r="AE4227" s="1" t="str">
        <f t="shared" ca="1" si="4390"/>
        <v>Garage 70</v>
      </c>
      <c r="AF4227" t="str">
        <f t="shared" ca="1" si="4367"/>
        <v>Garage 70</v>
      </c>
    </row>
    <row r="4228" spans="28:32" x14ac:dyDescent="0.25">
      <c r="AB4228" t="str">
        <f t="shared" ref="AB4228:AC4228" si="4408">AB4207</f>
        <v>External Scaffolding</v>
      </c>
      <c r="AC4228" t="str">
        <f t="shared" si="4408"/>
        <v>Lift 1</v>
      </c>
      <c r="AD4228" t="b">
        <f t="shared" ca="1" si="4369"/>
        <v>1</v>
      </c>
      <c r="AE4228" s="1" t="str">
        <f t="shared" ca="1" si="4390"/>
        <v>Garage 71</v>
      </c>
      <c r="AF4228" t="str">
        <f t="shared" ca="1" si="4367"/>
        <v>Garage 71</v>
      </c>
    </row>
    <row r="4229" spans="28:32" x14ac:dyDescent="0.25">
      <c r="AB4229" t="str">
        <f t="shared" ref="AB4229:AC4229" si="4409">AB4208</f>
        <v>External Scaffolding</v>
      </c>
      <c r="AC4229" t="str">
        <f t="shared" si="4409"/>
        <v>Lift 2</v>
      </c>
      <c r="AD4229" t="b">
        <f t="shared" ca="1" si="4369"/>
        <v>1</v>
      </c>
      <c r="AE4229" s="1" t="str">
        <f t="shared" ca="1" si="4390"/>
        <v>Garage 71</v>
      </c>
      <c r="AF4229" t="str">
        <f t="shared" ca="1" si="4367"/>
        <v>Garage 71</v>
      </c>
    </row>
    <row r="4230" spans="28:32" x14ac:dyDescent="0.25">
      <c r="AB4230" t="str">
        <f t="shared" ref="AB4230:AC4230" si="4410">AB4209</f>
        <v>External Scaffolding</v>
      </c>
      <c r="AC4230" t="str">
        <f t="shared" si="4410"/>
        <v>Lift 3</v>
      </c>
      <c r="AD4230" t="b">
        <f t="shared" ca="1" si="4369"/>
        <v>1</v>
      </c>
      <c r="AE4230" s="1" t="str">
        <f t="shared" ca="1" si="4390"/>
        <v>Garage 71</v>
      </c>
      <c r="AF4230" t="str">
        <f t="shared" ca="1" si="4367"/>
        <v>Garage 71</v>
      </c>
    </row>
    <row r="4231" spans="28:32" x14ac:dyDescent="0.25">
      <c r="AB4231" t="str">
        <f t="shared" ref="AB4231:AC4231" si="4411">AB4210</f>
        <v>External Scaffolding</v>
      </c>
      <c r="AC4231" t="str">
        <f t="shared" si="4411"/>
        <v>Lift 4</v>
      </c>
      <c r="AD4231" t="b">
        <f t="shared" ca="1" si="4369"/>
        <v>0</v>
      </c>
      <c r="AE4231" s="1" t="str">
        <f t="shared" ca="1" si="4390"/>
        <v>Garage 71</v>
      </c>
      <c r="AF4231" t="str">
        <f t="shared" ca="1" si="4367"/>
        <v>Garage 71</v>
      </c>
    </row>
    <row r="4232" spans="28:32" x14ac:dyDescent="0.25">
      <c r="AB4232" t="str">
        <f t="shared" ref="AB4232:AC4232" si="4412">AB4211</f>
        <v>External Scaffolding</v>
      </c>
      <c r="AC4232" t="str">
        <f t="shared" si="4412"/>
        <v>Lift 5</v>
      </c>
      <c r="AD4232" t="b">
        <f t="shared" ca="1" si="4369"/>
        <v>0</v>
      </c>
      <c r="AE4232" s="1" t="str">
        <f t="shared" ca="1" si="4390"/>
        <v>Garage 71</v>
      </c>
      <c r="AF4232" t="str">
        <f t="shared" ca="1" si="4367"/>
        <v>Garage 71</v>
      </c>
    </row>
    <row r="4233" spans="28:32" x14ac:dyDescent="0.25">
      <c r="AB4233" t="str">
        <f t="shared" ref="AB4233:AC4233" si="4413">AB4212</f>
        <v>External Scaffolding</v>
      </c>
      <c r="AC4233" t="str">
        <f t="shared" si="4413"/>
        <v>Lift 6</v>
      </c>
      <c r="AD4233" t="b">
        <f t="shared" ca="1" si="4369"/>
        <v>0</v>
      </c>
      <c r="AE4233" s="1" t="str">
        <f t="shared" ca="1" si="4390"/>
        <v>Garage 71</v>
      </c>
      <c r="AF4233" t="str">
        <f t="shared" ca="1" si="4367"/>
        <v>Garage 71</v>
      </c>
    </row>
    <row r="4234" spans="28:32" x14ac:dyDescent="0.25">
      <c r="AB4234" t="str">
        <f t="shared" ref="AB4234:AC4234" si="4414">AB4213</f>
        <v>Loading Bay</v>
      </c>
      <c r="AC4234" t="str">
        <f t="shared" si="4414"/>
        <v>Lift 1</v>
      </c>
      <c r="AD4234" t="b">
        <f t="shared" ca="1" si="4369"/>
        <v>1</v>
      </c>
      <c r="AE4234" s="1" t="str">
        <f t="shared" ca="1" si="4390"/>
        <v>Garage 71</v>
      </c>
      <c r="AF4234" t="str">
        <f t="shared" ca="1" si="4367"/>
        <v>Garage 71</v>
      </c>
    </row>
    <row r="4235" spans="28:32" x14ac:dyDescent="0.25">
      <c r="AB4235" t="str">
        <f t="shared" ref="AB4235:AC4235" si="4415">AB4214</f>
        <v>Loading Bay</v>
      </c>
      <c r="AC4235" t="str">
        <f t="shared" si="4415"/>
        <v>Lift 2</v>
      </c>
      <c r="AD4235" t="b">
        <f t="shared" ca="1" si="4369"/>
        <v>1</v>
      </c>
      <c r="AE4235" s="1" t="str">
        <f t="shared" ca="1" si="4390"/>
        <v>Garage 71</v>
      </c>
      <c r="AF4235" t="str">
        <f t="shared" ca="1" si="4367"/>
        <v>Garage 71</v>
      </c>
    </row>
    <row r="4236" spans="28:32" x14ac:dyDescent="0.25">
      <c r="AB4236" t="str">
        <f t="shared" ref="AB4236:AC4236" si="4416">AB4215</f>
        <v>Loading Bay</v>
      </c>
      <c r="AC4236" t="str">
        <f t="shared" si="4416"/>
        <v>Lift 3</v>
      </c>
      <c r="AD4236" t="b">
        <f t="shared" ca="1" si="4369"/>
        <v>1</v>
      </c>
      <c r="AE4236" s="1" t="str">
        <f t="shared" ca="1" si="4390"/>
        <v>Garage 71</v>
      </c>
      <c r="AF4236" t="str">
        <f t="shared" ca="1" si="4367"/>
        <v>Garage 71</v>
      </c>
    </row>
    <row r="4237" spans="28:32" x14ac:dyDescent="0.25">
      <c r="AB4237" t="str">
        <f t="shared" ref="AB4237:AC4237" si="4417">AB4216</f>
        <v>Loading Bay</v>
      </c>
      <c r="AC4237" t="str">
        <f t="shared" si="4417"/>
        <v>Lift 4</v>
      </c>
      <c r="AD4237" t="b">
        <f t="shared" ca="1" si="4369"/>
        <v>0</v>
      </c>
      <c r="AE4237" s="1" t="str">
        <f t="shared" ca="1" si="4390"/>
        <v>Garage 71</v>
      </c>
      <c r="AF4237" t="str">
        <f t="shared" ca="1" si="4367"/>
        <v>Garage 71</v>
      </c>
    </row>
    <row r="4238" spans="28:32" x14ac:dyDescent="0.25">
      <c r="AB4238" t="str">
        <f t="shared" ref="AB4238:AC4238" si="4418">AB4217</f>
        <v>Loading Bay</v>
      </c>
      <c r="AC4238" t="str">
        <f t="shared" si="4418"/>
        <v>Lift 5</v>
      </c>
      <c r="AD4238" t="b">
        <f t="shared" ca="1" si="4369"/>
        <v>0</v>
      </c>
      <c r="AE4238" s="1" t="str">
        <f t="shared" ca="1" si="4390"/>
        <v>Garage 71</v>
      </c>
      <c r="AF4238" t="str">
        <f t="shared" ca="1" si="4367"/>
        <v>Garage 71</v>
      </c>
    </row>
    <row r="4239" spans="28:32" x14ac:dyDescent="0.25">
      <c r="AB4239" t="str">
        <f t="shared" ref="AB4239:AC4239" si="4419">AB4218</f>
        <v>Loading Bay</v>
      </c>
      <c r="AC4239" t="str">
        <f t="shared" si="4419"/>
        <v>Lift 6</v>
      </c>
      <c r="AD4239" t="b">
        <f t="shared" ca="1" si="4369"/>
        <v>0</v>
      </c>
      <c r="AE4239" s="1" t="str">
        <f t="shared" ca="1" si="4390"/>
        <v>Garage 71</v>
      </c>
      <c r="AF4239" t="str">
        <f t="shared" ca="1" si="4367"/>
        <v>Garage 71</v>
      </c>
    </row>
    <row r="4240" spans="28:32" x14ac:dyDescent="0.25">
      <c r="AB4240" t="str">
        <f t="shared" ref="AB4240:AC4240" si="4420">AB4219</f>
        <v>Scaffolding Platform</v>
      </c>
      <c r="AC4240" t="str">
        <f t="shared" si="4420"/>
        <v>Ground Floor</v>
      </c>
      <c r="AD4240" t="b">
        <f t="shared" ca="1" si="4369"/>
        <v>1</v>
      </c>
      <c r="AE4240" s="1" t="str">
        <f t="shared" ca="1" si="4390"/>
        <v>Garage 71</v>
      </c>
      <c r="AF4240" t="str">
        <f t="shared" ca="1" si="4367"/>
        <v>Garage 71</v>
      </c>
    </row>
    <row r="4241" spans="28:32" x14ac:dyDescent="0.25">
      <c r="AB4241" t="str">
        <f t="shared" ref="AB4241:AC4241" si="4421">AB4220</f>
        <v>Scaffolding Platform</v>
      </c>
      <c r="AC4241" t="str">
        <f t="shared" si="4421"/>
        <v>First Floor</v>
      </c>
      <c r="AD4241" t="b">
        <f t="shared" ca="1" si="4369"/>
        <v>0</v>
      </c>
      <c r="AE4241" s="1" t="str">
        <f t="shared" ca="1" si="4390"/>
        <v>Garage 71</v>
      </c>
      <c r="AF4241" t="str">
        <f t="shared" ca="1" si="4367"/>
        <v>Garage 71</v>
      </c>
    </row>
    <row r="4242" spans="28:32" x14ac:dyDescent="0.25">
      <c r="AB4242" t="str">
        <f t="shared" ref="AB4242:AC4242" si="4422">AB4221</f>
        <v>Scaffolding Platform</v>
      </c>
      <c r="AC4242" t="str">
        <f t="shared" si="4422"/>
        <v>Second Floor</v>
      </c>
      <c r="AD4242" t="b">
        <f t="shared" ca="1" si="4369"/>
        <v>0</v>
      </c>
      <c r="AE4242" s="1" t="str">
        <f t="shared" ca="1" si="4390"/>
        <v>Garage 71</v>
      </c>
      <c r="AF4242" t="str">
        <f t="shared" ca="1" si="4367"/>
        <v>Garage 71</v>
      </c>
    </row>
    <row r="4243" spans="28:32" x14ac:dyDescent="0.25">
      <c r="AB4243" t="str">
        <f t="shared" ref="AB4243:AC4243" si="4423">AB4222</f>
        <v>Supporting Scaffold</v>
      </c>
      <c r="AC4243" t="str">
        <f t="shared" si="4423"/>
        <v>Ground Floor Prop.</v>
      </c>
      <c r="AD4243" t="str">
        <f t="shared" ca="1" si="4369"/>
        <v>FALSE</v>
      </c>
      <c r="AE4243" s="1" t="str">
        <f t="shared" ca="1" si="4390"/>
        <v>Garage 71</v>
      </c>
      <c r="AF4243" t="str">
        <f t="shared" ca="1" si="4367"/>
        <v>Garage 71</v>
      </c>
    </row>
    <row r="4244" spans="28:32" x14ac:dyDescent="0.25">
      <c r="AB4244" t="str">
        <f t="shared" ref="AB4244:AC4244" si="4424">AB4223</f>
        <v>Supporting Scaffold</v>
      </c>
      <c r="AC4244" t="str">
        <f t="shared" si="4424"/>
        <v>First Floor Prop.</v>
      </c>
      <c r="AD4244" t="str">
        <f t="shared" ca="1" si="4369"/>
        <v>FALSE</v>
      </c>
      <c r="AE4244" s="1" t="str">
        <f t="shared" ca="1" si="4390"/>
        <v>Garage 71</v>
      </c>
      <c r="AF4244" t="str">
        <f t="shared" ca="1" si="4367"/>
        <v>Garage 71</v>
      </c>
    </row>
    <row r="4245" spans="28:32" x14ac:dyDescent="0.25">
      <c r="AB4245" t="str">
        <f t="shared" ref="AB4245:AC4245" si="4425">AB4224</f>
        <v>Supporting Scaffold</v>
      </c>
      <c r="AC4245" t="str">
        <f t="shared" si="4425"/>
        <v>Second Floor Prop.</v>
      </c>
      <c r="AD4245" t="str">
        <f t="shared" ca="1" si="4369"/>
        <v>FALSE</v>
      </c>
      <c r="AE4245" s="1" t="str">
        <f t="shared" ca="1" si="4390"/>
        <v>Garage 71</v>
      </c>
      <c r="AF4245" t="str">
        <f t="shared" ca="1" si="4367"/>
        <v>Garage 71</v>
      </c>
    </row>
    <row r="4246" spans="28:32" x14ac:dyDescent="0.25">
      <c r="AB4246" t="str">
        <f t="shared" ref="AB4246:AC4246" si="4426">AB4225</f>
        <v>External Scaffolding</v>
      </c>
      <c r="AC4246" t="str">
        <f t="shared" si="4426"/>
        <v>Hop-ups</v>
      </c>
      <c r="AD4246" t="b">
        <f t="shared" ca="1" si="4369"/>
        <v>1</v>
      </c>
      <c r="AE4246" s="1" t="str">
        <f t="shared" ca="1" si="4390"/>
        <v>Garage 71</v>
      </c>
      <c r="AF4246" t="str">
        <f t="shared" ca="1" si="4367"/>
        <v>Garage 71</v>
      </c>
    </row>
    <row r="4247" spans="28:32" x14ac:dyDescent="0.25">
      <c r="AB4247" t="str">
        <f t="shared" ref="AB4247:AC4247" si="4427">AB4226</f>
        <v>External Scaffolding</v>
      </c>
      <c r="AC4247" t="str">
        <f t="shared" si="4427"/>
        <v>Adaptions</v>
      </c>
      <c r="AD4247" t="b">
        <f t="shared" ca="1" si="4369"/>
        <v>1</v>
      </c>
      <c r="AE4247" s="1" t="str">
        <f t="shared" ca="1" si="4390"/>
        <v>Garage 71</v>
      </c>
      <c r="AF4247" t="str">
        <f t="shared" ca="1" si="4367"/>
        <v>Garage 71</v>
      </c>
    </row>
    <row r="4248" spans="28:32" x14ac:dyDescent="0.25">
      <c r="AB4248" t="str">
        <f t="shared" ref="AB4248:AC4248" si="4428">AB4227</f>
        <v>External Scaffolding</v>
      </c>
      <c r="AC4248" t="str">
        <f t="shared" si="4428"/>
        <v>Adaption Tower</v>
      </c>
      <c r="AD4248" t="b">
        <f t="shared" ca="1" si="4369"/>
        <v>1</v>
      </c>
      <c r="AE4248" s="1" t="str">
        <f t="shared" ca="1" si="4390"/>
        <v>Garage 71</v>
      </c>
      <c r="AF4248" t="str">
        <f t="shared" ca="1" si="4367"/>
        <v>Garage 71</v>
      </c>
    </row>
    <row r="4249" spans="28:32" x14ac:dyDescent="0.25">
      <c r="AB4249" t="str">
        <f t="shared" ref="AB4249:AC4249" si="4429">AB4228</f>
        <v>External Scaffolding</v>
      </c>
      <c r="AC4249" t="str">
        <f t="shared" si="4429"/>
        <v>Lift 1</v>
      </c>
      <c r="AD4249" t="b">
        <f t="shared" ca="1" si="4369"/>
        <v>1</v>
      </c>
      <c r="AE4249" s="1" t="str">
        <f t="shared" ca="1" si="4390"/>
        <v>Garage 73</v>
      </c>
      <c r="AF4249" t="str">
        <f t="shared" ca="1" si="4367"/>
        <v>Garage 73</v>
      </c>
    </row>
    <row r="4250" spans="28:32" x14ac:dyDescent="0.25">
      <c r="AB4250" t="str">
        <f t="shared" ref="AB4250:AC4250" si="4430">AB4229</f>
        <v>External Scaffolding</v>
      </c>
      <c r="AC4250" t="str">
        <f t="shared" si="4430"/>
        <v>Lift 2</v>
      </c>
      <c r="AD4250" t="b">
        <f t="shared" ca="1" si="4369"/>
        <v>1</v>
      </c>
      <c r="AE4250" s="1" t="str">
        <f t="shared" ca="1" si="4390"/>
        <v>Garage 73</v>
      </c>
      <c r="AF4250" t="str">
        <f t="shared" ca="1" si="4367"/>
        <v>Garage 73</v>
      </c>
    </row>
    <row r="4251" spans="28:32" x14ac:dyDescent="0.25">
      <c r="AB4251" t="str">
        <f t="shared" ref="AB4251:AC4251" si="4431">AB4230</f>
        <v>External Scaffolding</v>
      </c>
      <c r="AC4251" t="str">
        <f t="shared" si="4431"/>
        <v>Lift 3</v>
      </c>
      <c r="AD4251" t="b">
        <f t="shared" ca="1" si="4369"/>
        <v>1</v>
      </c>
      <c r="AE4251" s="1" t="str">
        <f t="shared" ca="1" si="4390"/>
        <v>Garage 73</v>
      </c>
      <c r="AF4251" t="str">
        <f t="shared" ca="1" si="4367"/>
        <v>Garage 73</v>
      </c>
    </row>
    <row r="4252" spans="28:32" x14ac:dyDescent="0.25">
      <c r="AB4252" t="str">
        <f t="shared" ref="AB4252:AC4252" si="4432">AB4231</f>
        <v>External Scaffolding</v>
      </c>
      <c r="AC4252" t="str">
        <f t="shared" si="4432"/>
        <v>Lift 4</v>
      </c>
      <c r="AD4252" t="b">
        <f t="shared" ca="1" si="4369"/>
        <v>0</v>
      </c>
      <c r="AE4252" s="1" t="str">
        <f t="shared" ca="1" si="4390"/>
        <v>Garage 73</v>
      </c>
      <c r="AF4252" t="str">
        <f t="shared" ca="1" si="4367"/>
        <v>Garage 73</v>
      </c>
    </row>
    <row r="4253" spans="28:32" x14ac:dyDescent="0.25">
      <c r="AB4253" t="str">
        <f t="shared" ref="AB4253:AC4253" si="4433">AB4232</f>
        <v>External Scaffolding</v>
      </c>
      <c r="AC4253" t="str">
        <f t="shared" si="4433"/>
        <v>Lift 5</v>
      </c>
      <c r="AD4253" t="b">
        <f t="shared" ca="1" si="4369"/>
        <v>0</v>
      </c>
      <c r="AE4253" s="1" t="str">
        <f t="shared" ca="1" si="4390"/>
        <v>Garage 73</v>
      </c>
      <c r="AF4253" t="str">
        <f t="shared" ref="AF4253:AF4316" ca="1" si="4434">IF(LEFT(AE4253,1)="G",AE4253,"Plot "&amp;AE4253)</f>
        <v>Garage 73</v>
      </c>
    </row>
    <row r="4254" spans="28:32" x14ac:dyDescent="0.25">
      <c r="AB4254" t="str">
        <f t="shared" ref="AB4254:AC4254" si="4435">AB4233</f>
        <v>External Scaffolding</v>
      </c>
      <c r="AC4254" t="str">
        <f t="shared" si="4435"/>
        <v>Lift 6</v>
      </c>
      <c r="AD4254" t="b">
        <f t="shared" ref="AD4254:AD4317" ca="1" si="4436">INDEX($AC$1:$JH$22,MATCH(AC4254,$AC$1:$AC$22,0),MATCH(AE4254,$AC$1:$JH$1,0))</f>
        <v>0</v>
      </c>
      <c r="AE4254" s="1" t="str">
        <f t="shared" ca="1" si="4390"/>
        <v>Garage 73</v>
      </c>
      <c r="AF4254" t="str">
        <f t="shared" ca="1" si="4434"/>
        <v>Garage 73</v>
      </c>
    </row>
    <row r="4255" spans="28:32" x14ac:dyDescent="0.25">
      <c r="AB4255" t="str">
        <f t="shared" ref="AB4255:AC4255" si="4437">AB4234</f>
        <v>Loading Bay</v>
      </c>
      <c r="AC4255" t="str">
        <f t="shared" si="4437"/>
        <v>Lift 1</v>
      </c>
      <c r="AD4255" t="b">
        <f t="shared" ca="1" si="4436"/>
        <v>1</v>
      </c>
      <c r="AE4255" s="1" t="str">
        <f t="shared" ca="1" si="4390"/>
        <v>Garage 73</v>
      </c>
      <c r="AF4255" t="str">
        <f t="shared" ca="1" si="4434"/>
        <v>Garage 73</v>
      </c>
    </row>
    <row r="4256" spans="28:32" x14ac:dyDescent="0.25">
      <c r="AB4256" t="str">
        <f t="shared" ref="AB4256:AC4256" si="4438">AB4235</f>
        <v>Loading Bay</v>
      </c>
      <c r="AC4256" t="str">
        <f t="shared" si="4438"/>
        <v>Lift 2</v>
      </c>
      <c r="AD4256" t="b">
        <f t="shared" ca="1" si="4436"/>
        <v>1</v>
      </c>
      <c r="AE4256" s="1" t="str">
        <f t="shared" ca="1" si="4390"/>
        <v>Garage 73</v>
      </c>
      <c r="AF4256" t="str">
        <f t="shared" ca="1" si="4434"/>
        <v>Garage 73</v>
      </c>
    </row>
    <row r="4257" spans="28:32" x14ac:dyDescent="0.25">
      <c r="AB4257" t="str">
        <f t="shared" ref="AB4257:AC4257" si="4439">AB4236</f>
        <v>Loading Bay</v>
      </c>
      <c r="AC4257" t="str">
        <f t="shared" si="4439"/>
        <v>Lift 3</v>
      </c>
      <c r="AD4257" t="b">
        <f t="shared" ca="1" si="4436"/>
        <v>1</v>
      </c>
      <c r="AE4257" s="1" t="str">
        <f t="shared" ca="1" si="4390"/>
        <v>Garage 73</v>
      </c>
      <c r="AF4257" t="str">
        <f t="shared" ca="1" si="4434"/>
        <v>Garage 73</v>
      </c>
    </row>
    <row r="4258" spans="28:32" x14ac:dyDescent="0.25">
      <c r="AB4258" t="str">
        <f t="shared" ref="AB4258:AC4258" si="4440">AB4237</f>
        <v>Loading Bay</v>
      </c>
      <c r="AC4258" t="str">
        <f t="shared" si="4440"/>
        <v>Lift 4</v>
      </c>
      <c r="AD4258" t="b">
        <f t="shared" ca="1" si="4436"/>
        <v>0</v>
      </c>
      <c r="AE4258" s="1" t="str">
        <f t="shared" ca="1" si="4390"/>
        <v>Garage 73</v>
      </c>
      <c r="AF4258" t="str">
        <f t="shared" ca="1" si="4434"/>
        <v>Garage 73</v>
      </c>
    </row>
    <row r="4259" spans="28:32" x14ac:dyDescent="0.25">
      <c r="AB4259" t="str">
        <f t="shared" ref="AB4259:AC4259" si="4441">AB4238</f>
        <v>Loading Bay</v>
      </c>
      <c r="AC4259" t="str">
        <f t="shared" si="4441"/>
        <v>Lift 5</v>
      </c>
      <c r="AD4259" t="b">
        <f t="shared" ca="1" si="4436"/>
        <v>0</v>
      </c>
      <c r="AE4259" s="1" t="str">
        <f t="shared" ca="1" si="4390"/>
        <v>Garage 73</v>
      </c>
      <c r="AF4259" t="str">
        <f t="shared" ca="1" si="4434"/>
        <v>Garage 73</v>
      </c>
    </row>
    <row r="4260" spans="28:32" x14ac:dyDescent="0.25">
      <c r="AB4260" t="str">
        <f t="shared" ref="AB4260:AC4260" si="4442">AB4239</f>
        <v>Loading Bay</v>
      </c>
      <c r="AC4260" t="str">
        <f t="shared" si="4442"/>
        <v>Lift 6</v>
      </c>
      <c r="AD4260" t="b">
        <f t="shared" ca="1" si="4436"/>
        <v>0</v>
      </c>
      <c r="AE4260" s="1" t="str">
        <f t="shared" ca="1" si="4390"/>
        <v>Garage 73</v>
      </c>
      <c r="AF4260" t="str">
        <f t="shared" ca="1" si="4434"/>
        <v>Garage 73</v>
      </c>
    </row>
    <row r="4261" spans="28:32" x14ac:dyDescent="0.25">
      <c r="AB4261" t="str">
        <f t="shared" ref="AB4261:AC4261" si="4443">AB4240</f>
        <v>Scaffolding Platform</v>
      </c>
      <c r="AC4261" t="str">
        <f t="shared" si="4443"/>
        <v>Ground Floor</v>
      </c>
      <c r="AD4261" t="b">
        <f t="shared" ca="1" si="4436"/>
        <v>1</v>
      </c>
      <c r="AE4261" s="1" t="str">
        <f t="shared" ca="1" si="4390"/>
        <v>Garage 73</v>
      </c>
      <c r="AF4261" t="str">
        <f t="shared" ca="1" si="4434"/>
        <v>Garage 73</v>
      </c>
    </row>
    <row r="4262" spans="28:32" x14ac:dyDescent="0.25">
      <c r="AB4262" t="str">
        <f t="shared" ref="AB4262:AC4262" si="4444">AB4241</f>
        <v>Scaffolding Platform</v>
      </c>
      <c r="AC4262" t="str">
        <f t="shared" si="4444"/>
        <v>First Floor</v>
      </c>
      <c r="AD4262" t="b">
        <f t="shared" ca="1" si="4436"/>
        <v>0</v>
      </c>
      <c r="AE4262" s="1" t="str">
        <f t="shared" ca="1" si="4390"/>
        <v>Garage 73</v>
      </c>
      <c r="AF4262" t="str">
        <f t="shared" ca="1" si="4434"/>
        <v>Garage 73</v>
      </c>
    </row>
    <row r="4263" spans="28:32" x14ac:dyDescent="0.25">
      <c r="AB4263" t="str">
        <f t="shared" ref="AB4263:AC4263" si="4445">AB4242</f>
        <v>Scaffolding Platform</v>
      </c>
      <c r="AC4263" t="str">
        <f t="shared" si="4445"/>
        <v>Second Floor</v>
      </c>
      <c r="AD4263" t="b">
        <f t="shared" ca="1" si="4436"/>
        <v>0</v>
      </c>
      <c r="AE4263" s="1" t="str">
        <f t="shared" ca="1" si="4390"/>
        <v>Garage 73</v>
      </c>
      <c r="AF4263" t="str">
        <f t="shared" ca="1" si="4434"/>
        <v>Garage 73</v>
      </c>
    </row>
    <row r="4264" spans="28:32" x14ac:dyDescent="0.25">
      <c r="AB4264" t="str">
        <f t="shared" ref="AB4264:AC4264" si="4446">AB4243</f>
        <v>Supporting Scaffold</v>
      </c>
      <c r="AC4264" t="str">
        <f t="shared" si="4446"/>
        <v>Ground Floor Prop.</v>
      </c>
      <c r="AD4264" t="str">
        <f t="shared" ca="1" si="4436"/>
        <v>FALSE</v>
      </c>
      <c r="AE4264" s="1" t="str">
        <f t="shared" ca="1" si="4390"/>
        <v>Garage 73</v>
      </c>
      <c r="AF4264" t="str">
        <f t="shared" ca="1" si="4434"/>
        <v>Garage 73</v>
      </c>
    </row>
    <row r="4265" spans="28:32" x14ac:dyDescent="0.25">
      <c r="AB4265" t="str">
        <f t="shared" ref="AB4265:AC4265" si="4447">AB4244</f>
        <v>Supporting Scaffold</v>
      </c>
      <c r="AC4265" t="str">
        <f t="shared" si="4447"/>
        <v>First Floor Prop.</v>
      </c>
      <c r="AD4265" t="str">
        <f t="shared" ca="1" si="4436"/>
        <v>FALSE</v>
      </c>
      <c r="AE4265" s="1" t="str">
        <f t="shared" ca="1" si="4390"/>
        <v>Garage 73</v>
      </c>
      <c r="AF4265" t="str">
        <f t="shared" ca="1" si="4434"/>
        <v>Garage 73</v>
      </c>
    </row>
    <row r="4266" spans="28:32" x14ac:dyDescent="0.25">
      <c r="AB4266" t="str">
        <f t="shared" ref="AB4266:AC4266" si="4448">AB4245</f>
        <v>Supporting Scaffold</v>
      </c>
      <c r="AC4266" t="str">
        <f t="shared" si="4448"/>
        <v>Second Floor Prop.</v>
      </c>
      <c r="AD4266" t="str">
        <f t="shared" ca="1" si="4436"/>
        <v>FALSE</v>
      </c>
      <c r="AE4266" s="1" t="str">
        <f t="shared" ca="1" si="4390"/>
        <v>Garage 73</v>
      </c>
      <c r="AF4266" t="str">
        <f t="shared" ca="1" si="4434"/>
        <v>Garage 73</v>
      </c>
    </row>
    <row r="4267" spans="28:32" x14ac:dyDescent="0.25">
      <c r="AB4267" t="str">
        <f t="shared" ref="AB4267:AC4267" si="4449">AB4246</f>
        <v>External Scaffolding</v>
      </c>
      <c r="AC4267" t="str">
        <f t="shared" si="4449"/>
        <v>Hop-ups</v>
      </c>
      <c r="AD4267" t="b">
        <f t="shared" ca="1" si="4436"/>
        <v>1</v>
      </c>
      <c r="AE4267" s="1" t="str">
        <f t="shared" ca="1" si="4390"/>
        <v>Garage 73</v>
      </c>
      <c r="AF4267" t="str">
        <f t="shared" ca="1" si="4434"/>
        <v>Garage 73</v>
      </c>
    </row>
    <row r="4268" spans="28:32" x14ac:dyDescent="0.25">
      <c r="AB4268" t="str">
        <f t="shared" ref="AB4268:AC4268" si="4450">AB4247</f>
        <v>External Scaffolding</v>
      </c>
      <c r="AC4268" t="str">
        <f t="shared" si="4450"/>
        <v>Adaptions</v>
      </c>
      <c r="AD4268" t="b">
        <f t="shared" ca="1" si="4436"/>
        <v>1</v>
      </c>
      <c r="AE4268" s="1" t="str">
        <f t="shared" ca="1" si="4390"/>
        <v>Garage 73</v>
      </c>
      <c r="AF4268" t="str">
        <f t="shared" ca="1" si="4434"/>
        <v>Garage 73</v>
      </c>
    </row>
    <row r="4269" spans="28:32" x14ac:dyDescent="0.25">
      <c r="AB4269" t="str">
        <f t="shared" ref="AB4269:AC4269" si="4451">AB4248</f>
        <v>External Scaffolding</v>
      </c>
      <c r="AC4269" t="str">
        <f t="shared" si="4451"/>
        <v>Adaption Tower</v>
      </c>
      <c r="AD4269" t="b">
        <f t="shared" ca="1" si="4436"/>
        <v>1</v>
      </c>
      <c r="AE4269" s="1" t="str">
        <f t="shared" ca="1" si="4390"/>
        <v>Garage 73</v>
      </c>
      <c r="AF4269" t="str">
        <f t="shared" ca="1" si="4434"/>
        <v>Garage 73</v>
      </c>
    </row>
    <row r="4270" spans="28:32" x14ac:dyDescent="0.25">
      <c r="AB4270" t="str">
        <f t="shared" ref="AB4270:AC4270" si="4452">AB4249</f>
        <v>External Scaffolding</v>
      </c>
      <c r="AC4270" t="str">
        <f t="shared" si="4452"/>
        <v>Lift 1</v>
      </c>
      <c r="AD4270" t="b">
        <f t="shared" ca="1" si="4436"/>
        <v>1</v>
      </c>
      <c r="AE4270" s="1" t="str">
        <f t="shared" ca="1" si="4390"/>
        <v>Garage 74</v>
      </c>
      <c r="AF4270" t="str">
        <f t="shared" ca="1" si="4434"/>
        <v>Garage 74</v>
      </c>
    </row>
    <row r="4271" spans="28:32" x14ac:dyDescent="0.25">
      <c r="AB4271" t="str">
        <f t="shared" ref="AB4271:AC4271" si="4453">AB4250</f>
        <v>External Scaffolding</v>
      </c>
      <c r="AC4271" t="str">
        <f t="shared" si="4453"/>
        <v>Lift 2</v>
      </c>
      <c r="AD4271" t="b">
        <f t="shared" ca="1" si="4436"/>
        <v>1</v>
      </c>
      <c r="AE4271" s="1" t="str">
        <f t="shared" ca="1" si="4390"/>
        <v>Garage 74</v>
      </c>
      <c r="AF4271" t="str">
        <f t="shared" ca="1" si="4434"/>
        <v>Garage 74</v>
      </c>
    </row>
    <row r="4272" spans="28:32" x14ac:dyDescent="0.25">
      <c r="AB4272" t="str">
        <f t="shared" ref="AB4272:AC4272" si="4454">AB4251</f>
        <v>External Scaffolding</v>
      </c>
      <c r="AC4272" t="str">
        <f t="shared" si="4454"/>
        <v>Lift 3</v>
      </c>
      <c r="AD4272" t="b">
        <f t="shared" ca="1" si="4436"/>
        <v>1</v>
      </c>
      <c r="AE4272" s="1" t="str">
        <f t="shared" ca="1" si="4390"/>
        <v>Garage 74</v>
      </c>
      <c r="AF4272" t="str">
        <f t="shared" ca="1" si="4434"/>
        <v>Garage 74</v>
      </c>
    </row>
    <row r="4273" spans="28:32" x14ac:dyDescent="0.25">
      <c r="AB4273" t="str">
        <f t="shared" ref="AB4273:AC4273" si="4455">AB4252</f>
        <v>External Scaffolding</v>
      </c>
      <c r="AC4273" t="str">
        <f t="shared" si="4455"/>
        <v>Lift 4</v>
      </c>
      <c r="AD4273" t="b">
        <f t="shared" ca="1" si="4436"/>
        <v>0</v>
      </c>
      <c r="AE4273" s="1" t="str">
        <f t="shared" ca="1" si="4390"/>
        <v>Garage 74</v>
      </c>
      <c r="AF4273" t="str">
        <f t="shared" ca="1" si="4434"/>
        <v>Garage 74</v>
      </c>
    </row>
    <row r="4274" spans="28:32" x14ac:dyDescent="0.25">
      <c r="AB4274" t="str">
        <f t="shared" ref="AB4274:AC4274" si="4456">AB4253</f>
        <v>External Scaffolding</v>
      </c>
      <c r="AC4274" t="str">
        <f t="shared" si="4456"/>
        <v>Lift 5</v>
      </c>
      <c r="AD4274" t="b">
        <f t="shared" ca="1" si="4436"/>
        <v>0</v>
      </c>
      <c r="AE4274" s="1" t="str">
        <f t="shared" ref="AE4274:AE4337" ca="1" si="4457">OFFSET($AD$1,0,FLOOR(ROW(B4246)/21,1))</f>
        <v>Garage 74</v>
      </c>
      <c r="AF4274" t="str">
        <f t="shared" ca="1" si="4434"/>
        <v>Garage 74</v>
      </c>
    </row>
    <row r="4275" spans="28:32" x14ac:dyDescent="0.25">
      <c r="AB4275" t="str">
        <f t="shared" ref="AB4275:AC4275" si="4458">AB4254</f>
        <v>External Scaffolding</v>
      </c>
      <c r="AC4275" t="str">
        <f t="shared" si="4458"/>
        <v>Lift 6</v>
      </c>
      <c r="AD4275" t="b">
        <f t="shared" ca="1" si="4436"/>
        <v>0</v>
      </c>
      <c r="AE4275" s="1" t="str">
        <f t="shared" ca="1" si="4457"/>
        <v>Garage 74</v>
      </c>
      <c r="AF4275" t="str">
        <f t="shared" ca="1" si="4434"/>
        <v>Garage 74</v>
      </c>
    </row>
    <row r="4276" spans="28:32" x14ac:dyDescent="0.25">
      <c r="AB4276" t="str">
        <f t="shared" ref="AB4276:AC4276" si="4459">AB4255</f>
        <v>Loading Bay</v>
      </c>
      <c r="AC4276" t="str">
        <f t="shared" si="4459"/>
        <v>Lift 1</v>
      </c>
      <c r="AD4276" t="b">
        <f t="shared" ca="1" si="4436"/>
        <v>1</v>
      </c>
      <c r="AE4276" s="1" t="str">
        <f t="shared" ca="1" si="4457"/>
        <v>Garage 74</v>
      </c>
      <c r="AF4276" t="str">
        <f t="shared" ca="1" si="4434"/>
        <v>Garage 74</v>
      </c>
    </row>
    <row r="4277" spans="28:32" x14ac:dyDescent="0.25">
      <c r="AB4277" t="str">
        <f t="shared" ref="AB4277:AC4277" si="4460">AB4256</f>
        <v>Loading Bay</v>
      </c>
      <c r="AC4277" t="str">
        <f t="shared" si="4460"/>
        <v>Lift 2</v>
      </c>
      <c r="AD4277" t="b">
        <f t="shared" ca="1" si="4436"/>
        <v>1</v>
      </c>
      <c r="AE4277" s="1" t="str">
        <f t="shared" ca="1" si="4457"/>
        <v>Garage 74</v>
      </c>
      <c r="AF4277" t="str">
        <f t="shared" ca="1" si="4434"/>
        <v>Garage 74</v>
      </c>
    </row>
    <row r="4278" spans="28:32" x14ac:dyDescent="0.25">
      <c r="AB4278" t="str">
        <f t="shared" ref="AB4278:AC4278" si="4461">AB4257</f>
        <v>Loading Bay</v>
      </c>
      <c r="AC4278" t="str">
        <f t="shared" si="4461"/>
        <v>Lift 3</v>
      </c>
      <c r="AD4278" t="b">
        <f t="shared" ca="1" si="4436"/>
        <v>1</v>
      </c>
      <c r="AE4278" s="1" t="str">
        <f t="shared" ca="1" si="4457"/>
        <v>Garage 74</v>
      </c>
      <c r="AF4278" t="str">
        <f t="shared" ca="1" si="4434"/>
        <v>Garage 74</v>
      </c>
    </row>
    <row r="4279" spans="28:32" x14ac:dyDescent="0.25">
      <c r="AB4279" t="str">
        <f t="shared" ref="AB4279:AC4279" si="4462">AB4258</f>
        <v>Loading Bay</v>
      </c>
      <c r="AC4279" t="str">
        <f t="shared" si="4462"/>
        <v>Lift 4</v>
      </c>
      <c r="AD4279" t="b">
        <f t="shared" ca="1" si="4436"/>
        <v>0</v>
      </c>
      <c r="AE4279" s="1" t="str">
        <f t="shared" ca="1" si="4457"/>
        <v>Garage 74</v>
      </c>
      <c r="AF4279" t="str">
        <f t="shared" ca="1" si="4434"/>
        <v>Garage 74</v>
      </c>
    </row>
    <row r="4280" spans="28:32" x14ac:dyDescent="0.25">
      <c r="AB4280" t="str">
        <f t="shared" ref="AB4280:AC4280" si="4463">AB4259</f>
        <v>Loading Bay</v>
      </c>
      <c r="AC4280" t="str">
        <f t="shared" si="4463"/>
        <v>Lift 5</v>
      </c>
      <c r="AD4280" t="b">
        <f t="shared" ca="1" si="4436"/>
        <v>0</v>
      </c>
      <c r="AE4280" s="1" t="str">
        <f t="shared" ca="1" si="4457"/>
        <v>Garage 74</v>
      </c>
      <c r="AF4280" t="str">
        <f t="shared" ca="1" si="4434"/>
        <v>Garage 74</v>
      </c>
    </row>
    <row r="4281" spans="28:32" x14ac:dyDescent="0.25">
      <c r="AB4281" t="str">
        <f t="shared" ref="AB4281:AC4281" si="4464">AB4260</f>
        <v>Loading Bay</v>
      </c>
      <c r="AC4281" t="str">
        <f t="shared" si="4464"/>
        <v>Lift 6</v>
      </c>
      <c r="AD4281" t="b">
        <f t="shared" ca="1" si="4436"/>
        <v>0</v>
      </c>
      <c r="AE4281" s="1" t="str">
        <f t="shared" ca="1" si="4457"/>
        <v>Garage 74</v>
      </c>
      <c r="AF4281" t="str">
        <f t="shared" ca="1" si="4434"/>
        <v>Garage 74</v>
      </c>
    </row>
    <row r="4282" spans="28:32" x14ac:dyDescent="0.25">
      <c r="AB4282" t="str">
        <f t="shared" ref="AB4282:AC4282" si="4465">AB4261</f>
        <v>Scaffolding Platform</v>
      </c>
      <c r="AC4282" t="str">
        <f t="shared" si="4465"/>
        <v>Ground Floor</v>
      </c>
      <c r="AD4282" t="b">
        <f t="shared" ca="1" si="4436"/>
        <v>1</v>
      </c>
      <c r="AE4282" s="1" t="str">
        <f t="shared" ca="1" si="4457"/>
        <v>Garage 74</v>
      </c>
      <c r="AF4282" t="str">
        <f t="shared" ca="1" si="4434"/>
        <v>Garage 74</v>
      </c>
    </row>
    <row r="4283" spans="28:32" x14ac:dyDescent="0.25">
      <c r="AB4283" t="str">
        <f t="shared" ref="AB4283:AC4283" si="4466">AB4262</f>
        <v>Scaffolding Platform</v>
      </c>
      <c r="AC4283" t="str">
        <f t="shared" si="4466"/>
        <v>First Floor</v>
      </c>
      <c r="AD4283" t="b">
        <f t="shared" ca="1" si="4436"/>
        <v>0</v>
      </c>
      <c r="AE4283" s="1" t="str">
        <f t="shared" ca="1" si="4457"/>
        <v>Garage 74</v>
      </c>
      <c r="AF4283" t="str">
        <f t="shared" ca="1" si="4434"/>
        <v>Garage 74</v>
      </c>
    </row>
    <row r="4284" spans="28:32" x14ac:dyDescent="0.25">
      <c r="AB4284" t="str">
        <f t="shared" ref="AB4284:AC4284" si="4467">AB4263</f>
        <v>Scaffolding Platform</v>
      </c>
      <c r="AC4284" t="str">
        <f t="shared" si="4467"/>
        <v>Second Floor</v>
      </c>
      <c r="AD4284" t="b">
        <f t="shared" ca="1" si="4436"/>
        <v>0</v>
      </c>
      <c r="AE4284" s="1" t="str">
        <f t="shared" ca="1" si="4457"/>
        <v>Garage 74</v>
      </c>
      <c r="AF4284" t="str">
        <f t="shared" ca="1" si="4434"/>
        <v>Garage 74</v>
      </c>
    </row>
    <row r="4285" spans="28:32" x14ac:dyDescent="0.25">
      <c r="AB4285" t="str">
        <f t="shared" ref="AB4285:AC4285" si="4468">AB4264</f>
        <v>Supporting Scaffold</v>
      </c>
      <c r="AC4285" t="str">
        <f t="shared" si="4468"/>
        <v>Ground Floor Prop.</v>
      </c>
      <c r="AD4285" t="str">
        <f t="shared" ca="1" si="4436"/>
        <v>FALSE</v>
      </c>
      <c r="AE4285" s="1" t="str">
        <f t="shared" ca="1" si="4457"/>
        <v>Garage 74</v>
      </c>
      <c r="AF4285" t="str">
        <f t="shared" ca="1" si="4434"/>
        <v>Garage 74</v>
      </c>
    </row>
    <row r="4286" spans="28:32" x14ac:dyDescent="0.25">
      <c r="AB4286" t="str">
        <f t="shared" ref="AB4286:AC4286" si="4469">AB4265</f>
        <v>Supporting Scaffold</v>
      </c>
      <c r="AC4286" t="str">
        <f t="shared" si="4469"/>
        <v>First Floor Prop.</v>
      </c>
      <c r="AD4286" t="str">
        <f t="shared" ca="1" si="4436"/>
        <v>FALSE</v>
      </c>
      <c r="AE4286" s="1" t="str">
        <f t="shared" ca="1" si="4457"/>
        <v>Garage 74</v>
      </c>
      <c r="AF4286" t="str">
        <f t="shared" ca="1" si="4434"/>
        <v>Garage 74</v>
      </c>
    </row>
    <row r="4287" spans="28:32" x14ac:dyDescent="0.25">
      <c r="AB4287" t="str">
        <f t="shared" ref="AB4287:AC4287" si="4470">AB4266</f>
        <v>Supporting Scaffold</v>
      </c>
      <c r="AC4287" t="str">
        <f t="shared" si="4470"/>
        <v>Second Floor Prop.</v>
      </c>
      <c r="AD4287" t="str">
        <f t="shared" ca="1" si="4436"/>
        <v>FALSE</v>
      </c>
      <c r="AE4287" s="1" t="str">
        <f t="shared" ca="1" si="4457"/>
        <v>Garage 74</v>
      </c>
      <c r="AF4287" t="str">
        <f t="shared" ca="1" si="4434"/>
        <v>Garage 74</v>
      </c>
    </row>
    <row r="4288" spans="28:32" x14ac:dyDescent="0.25">
      <c r="AB4288" t="str">
        <f t="shared" ref="AB4288:AC4288" si="4471">AB4267</f>
        <v>External Scaffolding</v>
      </c>
      <c r="AC4288" t="str">
        <f t="shared" si="4471"/>
        <v>Hop-ups</v>
      </c>
      <c r="AD4288" t="b">
        <f t="shared" ca="1" si="4436"/>
        <v>1</v>
      </c>
      <c r="AE4288" s="1" t="str">
        <f t="shared" ca="1" si="4457"/>
        <v>Garage 74</v>
      </c>
      <c r="AF4288" t="str">
        <f t="shared" ca="1" si="4434"/>
        <v>Garage 74</v>
      </c>
    </row>
    <row r="4289" spans="28:32" x14ac:dyDescent="0.25">
      <c r="AB4289" t="str">
        <f t="shared" ref="AB4289:AC4289" si="4472">AB4268</f>
        <v>External Scaffolding</v>
      </c>
      <c r="AC4289" t="str">
        <f t="shared" si="4472"/>
        <v>Adaptions</v>
      </c>
      <c r="AD4289" t="b">
        <f t="shared" ca="1" si="4436"/>
        <v>1</v>
      </c>
      <c r="AE4289" s="1" t="str">
        <f t="shared" ca="1" si="4457"/>
        <v>Garage 74</v>
      </c>
      <c r="AF4289" t="str">
        <f t="shared" ca="1" si="4434"/>
        <v>Garage 74</v>
      </c>
    </row>
    <row r="4290" spans="28:32" x14ac:dyDescent="0.25">
      <c r="AB4290" t="str">
        <f t="shared" ref="AB4290:AC4290" si="4473">AB4269</f>
        <v>External Scaffolding</v>
      </c>
      <c r="AC4290" t="str">
        <f t="shared" si="4473"/>
        <v>Adaption Tower</v>
      </c>
      <c r="AD4290" t="b">
        <f t="shared" ca="1" si="4436"/>
        <v>1</v>
      </c>
      <c r="AE4290" s="1" t="str">
        <f t="shared" ca="1" si="4457"/>
        <v>Garage 74</v>
      </c>
      <c r="AF4290" t="str">
        <f t="shared" ca="1" si="4434"/>
        <v>Garage 74</v>
      </c>
    </row>
    <row r="4291" spans="28:32" x14ac:dyDescent="0.25">
      <c r="AB4291" t="str">
        <f t="shared" ref="AB4291:AC4291" si="4474">AB4270</f>
        <v>External Scaffolding</v>
      </c>
      <c r="AC4291" t="str">
        <f t="shared" si="4474"/>
        <v>Lift 1</v>
      </c>
      <c r="AD4291" t="b">
        <f t="shared" ca="1" si="4436"/>
        <v>1</v>
      </c>
      <c r="AE4291" s="1" t="str">
        <f t="shared" ca="1" si="4457"/>
        <v>Garage 75</v>
      </c>
      <c r="AF4291" t="str">
        <f t="shared" ca="1" si="4434"/>
        <v>Garage 75</v>
      </c>
    </row>
    <row r="4292" spans="28:32" x14ac:dyDescent="0.25">
      <c r="AB4292" t="str">
        <f t="shared" ref="AB4292:AC4292" si="4475">AB4271</f>
        <v>External Scaffolding</v>
      </c>
      <c r="AC4292" t="str">
        <f t="shared" si="4475"/>
        <v>Lift 2</v>
      </c>
      <c r="AD4292" t="b">
        <f t="shared" ca="1" si="4436"/>
        <v>1</v>
      </c>
      <c r="AE4292" s="1" t="str">
        <f t="shared" ca="1" si="4457"/>
        <v>Garage 75</v>
      </c>
      <c r="AF4292" t="str">
        <f t="shared" ca="1" si="4434"/>
        <v>Garage 75</v>
      </c>
    </row>
    <row r="4293" spans="28:32" x14ac:dyDescent="0.25">
      <c r="AB4293" t="str">
        <f t="shared" ref="AB4293:AC4293" si="4476">AB4272</f>
        <v>External Scaffolding</v>
      </c>
      <c r="AC4293" t="str">
        <f t="shared" si="4476"/>
        <v>Lift 3</v>
      </c>
      <c r="AD4293" t="b">
        <f t="shared" ca="1" si="4436"/>
        <v>1</v>
      </c>
      <c r="AE4293" s="1" t="str">
        <f t="shared" ca="1" si="4457"/>
        <v>Garage 75</v>
      </c>
      <c r="AF4293" t="str">
        <f t="shared" ca="1" si="4434"/>
        <v>Garage 75</v>
      </c>
    </row>
    <row r="4294" spans="28:32" x14ac:dyDescent="0.25">
      <c r="AB4294" t="str">
        <f t="shared" ref="AB4294:AC4294" si="4477">AB4273</f>
        <v>External Scaffolding</v>
      </c>
      <c r="AC4294" t="str">
        <f t="shared" si="4477"/>
        <v>Lift 4</v>
      </c>
      <c r="AD4294" t="b">
        <f t="shared" ca="1" si="4436"/>
        <v>0</v>
      </c>
      <c r="AE4294" s="1" t="str">
        <f t="shared" ca="1" si="4457"/>
        <v>Garage 75</v>
      </c>
      <c r="AF4294" t="str">
        <f t="shared" ca="1" si="4434"/>
        <v>Garage 75</v>
      </c>
    </row>
    <row r="4295" spans="28:32" x14ac:dyDescent="0.25">
      <c r="AB4295" t="str">
        <f t="shared" ref="AB4295:AC4295" si="4478">AB4274</f>
        <v>External Scaffolding</v>
      </c>
      <c r="AC4295" t="str">
        <f t="shared" si="4478"/>
        <v>Lift 5</v>
      </c>
      <c r="AD4295" t="b">
        <f t="shared" ca="1" si="4436"/>
        <v>0</v>
      </c>
      <c r="AE4295" s="1" t="str">
        <f t="shared" ca="1" si="4457"/>
        <v>Garage 75</v>
      </c>
      <c r="AF4295" t="str">
        <f t="shared" ca="1" si="4434"/>
        <v>Garage 75</v>
      </c>
    </row>
    <row r="4296" spans="28:32" x14ac:dyDescent="0.25">
      <c r="AB4296" t="str">
        <f t="shared" ref="AB4296:AC4296" si="4479">AB4275</f>
        <v>External Scaffolding</v>
      </c>
      <c r="AC4296" t="str">
        <f t="shared" si="4479"/>
        <v>Lift 6</v>
      </c>
      <c r="AD4296" t="b">
        <f t="shared" ca="1" si="4436"/>
        <v>0</v>
      </c>
      <c r="AE4296" s="1" t="str">
        <f t="shared" ca="1" si="4457"/>
        <v>Garage 75</v>
      </c>
      <c r="AF4296" t="str">
        <f t="shared" ca="1" si="4434"/>
        <v>Garage 75</v>
      </c>
    </row>
    <row r="4297" spans="28:32" x14ac:dyDescent="0.25">
      <c r="AB4297" t="str">
        <f t="shared" ref="AB4297:AC4297" si="4480">AB4276</f>
        <v>Loading Bay</v>
      </c>
      <c r="AC4297" t="str">
        <f t="shared" si="4480"/>
        <v>Lift 1</v>
      </c>
      <c r="AD4297" t="b">
        <f t="shared" ca="1" si="4436"/>
        <v>1</v>
      </c>
      <c r="AE4297" s="1" t="str">
        <f t="shared" ca="1" si="4457"/>
        <v>Garage 75</v>
      </c>
      <c r="AF4297" t="str">
        <f t="shared" ca="1" si="4434"/>
        <v>Garage 75</v>
      </c>
    </row>
    <row r="4298" spans="28:32" x14ac:dyDescent="0.25">
      <c r="AB4298" t="str">
        <f t="shared" ref="AB4298:AC4298" si="4481">AB4277</f>
        <v>Loading Bay</v>
      </c>
      <c r="AC4298" t="str">
        <f t="shared" si="4481"/>
        <v>Lift 2</v>
      </c>
      <c r="AD4298" t="b">
        <f t="shared" ca="1" si="4436"/>
        <v>1</v>
      </c>
      <c r="AE4298" s="1" t="str">
        <f t="shared" ca="1" si="4457"/>
        <v>Garage 75</v>
      </c>
      <c r="AF4298" t="str">
        <f t="shared" ca="1" si="4434"/>
        <v>Garage 75</v>
      </c>
    </row>
    <row r="4299" spans="28:32" x14ac:dyDescent="0.25">
      <c r="AB4299" t="str">
        <f t="shared" ref="AB4299:AC4299" si="4482">AB4278</f>
        <v>Loading Bay</v>
      </c>
      <c r="AC4299" t="str">
        <f t="shared" si="4482"/>
        <v>Lift 3</v>
      </c>
      <c r="AD4299" t="b">
        <f t="shared" ca="1" si="4436"/>
        <v>1</v>
      </c>
      <c r="AE4299" s="1" t="str">
        <f t="shared" ca="1" si="4457"/>
        <v>Garage 75</v>
      </c>
      <c r="AF4299" t="str">
        <f t="shared" ca="1" si="4434"/>
        <v>Garage 75</v>
      </c>
    </row>
    <row r="4300" spans="28:32" x14ac:dyDescent="0.25">
      <c r="AB4300" t="str">
        <f t="shared" ref="AB4300:AC4300" si="4483">AB4279</f>
        <v>Loading Bay</v>
      </c>
      <c r="AC4300" t="str">
        <f t="shared" si="4483"/>
        <v>Lift 4</v>
      </c>
      <c r="AD4300" t="b">
        <f t="shared" ca="1" si="4436"/>
        <v>0</v>
      </c>
      <c r="AE4300" s="1" t="str">
        <f t="shared" ca="1" si="4457"/>
        <v>Garage 75</v>
      </c>
      <c r="AF4300" t="str">
        <f t="shared" ca="1" si="4434"/>
        <v>Garage 75</v>
      </c>
    </row>
    <row r="4301" spans="28:32" x14ac:dyDescent="0.25">
      <c r="AB4301" t="str">
        <f t="shared" ref="AB4301:AC4301" si="4484">AB4280</f>
        <v>Loading Bay</v>
      </c>
      <c r="AC4301" t="str">
        <f t="shared" si="4484"/>
        <v>Lift 5</v>
      </c>
      <c r="AD4301" t="b">
        <f t="shared" ca="1" si="4436"/>
        <v>0</v>
      </c>
      <c r="AE4301" s="1" t="str">
        <f t="shared" ca="1" si="4457"/>
        <v>Garage 75</v>
      </c>
      <c r="AF4301" t="str">
        <f t="shared" ca="1" si="4434"/>
        <v>Garage 75</v>
      </c>
    </row>
    <row r="4302" spans="28:32" x14ac:dyDescent="0.25">
      <c r="AB4302" t="str">
        <f t="shared" ref="AB4302:AC4302" si="4485">AB4281</f>
        <v>Loading Bay</v>
      </c>
      <c r="AC4302" t="str">
        <f t="shared" si="4485"/>
        <v>Lift 6</v>
      </c>
      <c r="AD4302" t="b">
        <f t="shared" ca="1" si="4436"/>
        <v>0</v>
      </c>
      <c r="AE4302" s="1" t="str">
        <f t="shared" ca="1" si="4457"/>
        <v>Garage 75</v>
      </c>
      <c r="AF4302" t="str">
        <f t="shared" ca="1" si="4434"/>
        <v>Garage 75</v>
      </c>
    </row>
    <row r="4303" spans="28:32" x14ac:dyDescent="0.25">
      <c r="AB4303" t="str">
        <f t="shared" ref="AB4303:AC4303" si="4486">AB4282</f>
        <v>Scaffolding Platform</v>
      </c>
      <c r="AC4303" t="str">
        <f t="shared" si="4486"/>
        <v>Ground Floor</v>
      </c>
      <c r="AD4303" t="b">
        <f t="shared" ca="1" si="4436"/>
        <v>1</v>
      </c>
      <c r="AE4303" s="1" t="str">
        <f t="shared" ca="1" si="4457"/>
        <v>Garage 75</v>
      </c>
      <c r="AF4303" t="str">
        <f t="shared" ca="1" si="4434"/>
        <v>Garage 75</v>
      </c>
    </row>
    <row r="4304" spans="28:32" x14ac:dyDescent="0.25">
      <c r="AB4304" t="str">
        <f t="shared" ref="AB4304:AC4304" si="4487">AB4283</f>
        <v>Scaffolding Platform</v>
      </c>
      <c r="AC4304" t="str">
        <f t="shared" si="4487"/>
        <v>First Floor</v>
      </c>
      <c r="AD4304" t="b">
        <f t="shared" ca="1" si="4436"/>
        <v>0</v>
      </c>
      <c r="AE4304" s="1" t="str">
        <f t="shared" ca="1" si="4457"/>
        <v>Garage 75</v>
      </c>
      <c r="AF4304" t="str">
        <f t="shared" ca="1" si="4434"/>
        <v>Garage 75</v>
      </c>
    </row>
    <row r="4305" spans="28:32" x14ac:dyDescent="0.25">
      <c r="AB4305" t="str">
        <f t="shared" ref="AB4305:AC4305" si="4488">AB4284</f>
        <v>Scaffolding Platform</v>
      </c>
      <c r="AC4305" t="str">
        <f t="shared" si="4488"/>
        <v>Second Floor</v>
      </c>
      <c r="AD4305" t="b">
        <f t="shared" ca="1" si="4436"/>
        <v>0</v>
      </c>
      <c r="AE4305" s="1" t="str">
        <f t="shared" ca="1" si="4457"/>
        <v>Garage 75</v>
      </c>
      <c r="AF4305" t="str">
        <f t="shared" ca="1" si="4434"/>
        <v>Garage 75</v>
      </c>
    </row>
    <row r="4306" spans="28:32" x14ac:dyDescent="0.25">
      <c r="AB4306" t="str">
        <f t="shared" ref="AB4306:AC4306" si="4489">AB4285</f>
        <v>Supporting Scaffold</v>
      </c>
      <c r="AC4306" t="str">
        <f t="shared" si="4489"/>
        <v>Ground Floor Prop.</v>
      </c>
      <c r="AD4306" t="str">
        <f t="shared" ca="1" si="4436"/>
        <v>FALSE</v>
      </c>
      <c r="AE4306" s="1" t="str">
        <f t="shared" ca="1" si="4457"/>
        <v>Garage 75</v>
      </c>
      <c r="AF4306" t="str">
        <f t="shared" ca="1" si="4434"/>
        <v>Garage 75</v>
      </c>
    </row>
    <row r="4307" spans="28:32" x14ac:dyDescent="0.25">
      <c r="AB4307" t="str">
        <f t="shared" ref="AB4307:AC4307" si="4490">AB4286</f>
        <v>Supporting Scaffold</v>
      </c>
      <c r="AC4307" t="str">
        <f t="shared" si="4490"/>
        <v>First Floor Prop.</v>
      </c>
      <c r="AD4307" t="str">
        <f t="shared" ca="1" si="4436"/>
        <v>FALSE</v>
      </c>
      <c r="AE4307" s="1" t="str">
        <f t="shared" ca="1" si="4457"/>
        <v>Garage 75</v>
      </c>
      <c r="AF4307" t="str">
        <f t="shared" ca="1" si="4434"/>
        <v>Garage 75</v>
      </c>
    </row>
    <row r="4308" spans="28:32" x14ac:dyDescent="0.25">
      <c r="AB4308" t="str">
        <f t="shared" ref="AB4308:AC4308" si="4491">AB4287</f>
        <v>Supporting Scaffold</v>
      </c>
      <c r="AC4308" t="str">
        <f t="shared" si="4491"/>
        <v>Second Floor Prop.</v>
      </c>
      <c r="AD4308" t="str">
        <f t="shared" ca="1" si="4436"/>
        <v>FALSE</v>
      </c>
      <c r="AE4308" s="1" t="str">
        <f t="shared" ca="1" si="4457"/>
        <v>Garage 75</v>
      </c>
      <c r="AF4308" t="str">
        <f t="shared" ca="1" si="4434"/>
        <v>Garage 75</v>
      </c>
    </row>
    <row r="4309" spans="28:32" x14ac:dyDescent="0.25">
      <c r="AB4309" t="str">
        <f t="shared" ref="AB4309:AC4309" si="4492">AB4288</f>
        <v>External Scaffolding</v>
      </c>
      <c r="AC4309" t="str">
        <f t="shared" si="4492"/>
        <v>Hop-ups</v>
      </c>
      <c r="AD4309" t="b">
        <f t="shared" ca="1" si="4436"/>
        <v>1</v>
      </c>
      <c r="AE4309" s="1" t="str">
        <f t="shared" ca="1" si="4457"/>
        <v>Garage 75</v>
      </c>
      <c r="AF4309" t="str">
        <f t="shared" ca="1" si="4434"/>
        <v>Garage 75</v>
      </c>
    </row>
    <row r="4310" spans="28:32" x14ac:dyDescent="0.25">
      <c r="AB4310" t="str">
        <f t="shared" ref="AB4310:AC4310" si="4493">AB4289</f>
        <v>External Scaffolding</v>
      </c>
      <c r="AC4310" t="str">
        <f t="shared" si="4493"/>
        <v>Adaptions</v>
      </c>
      <c r="AD4310" t="b">
        <f t="shared" ca="1" si="4436"/>
        <v>1</v>
      </c>
      <c r="AE4310" s="1" t="str">
        <f t="shared" ca="1" si="4457"/>
        <v>Garage 75</v>
      </c>
      <c r="AF4310" t="str">
        <f t="shared" ca="1" si="4434"/>
        <v>Garage 75</v>
      </c>
    </row>
    <row r="4311" spans="28:32" x14ac:dyDescent="0.25">
      <c r="AB4311" t="str">
        <f t="shared" ref="AB4311:AC4311" si="4494">AB4290</f>
        <v>External Scaffolding</v>
      </c>
      <c r="AC4311" t="str">
        <f t="shared" si="4494"/>
        <v>Adaption Tower</v>
      </c>
      <c r="AD4311" t="b">
        <f t="shared" ca="1" si="4436"/>
        <v>1</v>
      </c>
      <c r="AE4311" s="1" t="str">
        <f t="shared" ca="1" si="4457"/>
        <v>Garage 75</v>
      </c>
      <c r="AF4311" t="str">
        <f t="shared" ca="1" si="4434"/>
        <v>Garage 75</v>
      </c>
    </row>
    <row r="4312" spans="28:32" x14ac:dyDescent="0.25">
      <c r="AB4312" t="str">
        <f t="shared" ref="AB4312:AC4312" si="4495">AB4291</f>
        <v>External Scaffolding</v>
      </c>
      <c r="AC4312" t="str">
        <f t="shared" si="4495"/>
        <v>Lift 1</v>
      </c>
      <c r="AD4312" t="b">
        <f t="shared" ca="1" si="4436"/>
        <v>1</v>
      </c>
      <c r="AE4312" s="1" t="str">
        <f t="shared" ca="1" si="4457"/>
        <v>Garage 76</v>
      </c>
      <c r="AF4312" t="str">
        <f t="shared" ca="1" si="4434"/>
        <v>Garage 76</v>
      </c>
    </row>
    <row r="4313" spans="28:32" x14ac:dyDescent="0.25">
      <c r="AB4313" t="str">
        <f t="shared" ref="AB4313:AC4313" si="4496">AB4292</f>
        <v>External Scaffolding</v>
      </c>
      <c r="AC4313" t="str">
        <f t="shared" si="4496"/>
        <v>Lift 2</v>
      </c>
      <c r="AD4313" t="b">
        <f t="shared" ca="1" si="4436"/>
        <v>1</v>
      </c>
      <c r="AE4313" s="1" t="str">
        <f t="shared" ca="1" si="4457"/>
        <v>Garage 76</v>
      </c>
      <c r="AF4313" t="str">
        <f t="shared" ca="1" si="4434"/>
        <v>Garage 76</v>
      </c>
    </row>
    <row r="4314" spans="28:32" x14ac:dyDescent="0.25">
      <c r="AB4314" t="str">
        <f t="shared" ref="AB4314:AC4314" si="4497">AB4293</f>
        <v>External Scaffolding</v>
      </c>
      <c r="AC4314" t="str">
        <f t="shared" si="4497"/>
        <v>Lift 3</v>
      </c>
      <c r="AD4314" t="b">
        <f t="shared" ca="1" si="4436"/>
        <v>1</v>
      </c>
      <c r="AE4314" s="1" t="str">
        <f t="shared" ca="1" si="4457"/>
        <v>Garage 76</v>
      </c>
      <c r="AF4314" t="str">
        <f t="shared" ca="1" si="4434"/>
        <v>Garage 76</v>
      </c>
    </row>
    <row r="4315" spans="28:32" x14ac:dyDescent="0.25">
      <c r="AB4315" t="str">
        <f t="shared" ref="AB4315:AC4315" si="4498">AB4294</f>
        <v>External Scaffolding</v>
      </c>
      <c r="AC4315" t="str">
        <f t="shared" si="4498"/>
        <v>Lift 4</v>
      </c>
      <c r="AD4315" t="b">
        <f t="shared" ca="1" si="4436"/>
        <v>0</v>
      </c>
      <c r="AE4315" s="1" t="str">
        <f t="shared" ca="1" si="4457"/>
        <v>Garage 76</v>
      </c>
      <c r="AF4315" t="str">
        <f t="shared" ca="1" si="4434"/>
        <v>Garage 76</v>
      </c>
    </row>
    <row r="4316" spans="28:32" x14ac:dyDescent="0.25">
      <c r="AB4316" t="str">
        <f t="shared" ref="AB4316:AC4316" si="4499">AB4295</f>
        <v>External Scaffolding</v>
      </c>
      <c r="AC4316" t="str">
        <f t="shared" si="4499"/>
        <v>Lift 5</v>
      </c>
      <c r="AD4316" t="b">
        <f t="shared" ca="1" si="4436"/>
        <v>0</v>
      </c>
      <c r="AE4316" s="1" t="str">
        <f t="shared" ca="1" si="4457"/>
        <v>Garage 76</v>
      </c>
      <c r="AF4316" t="str">
        <f t="shared" ca="1" si="4434"/>
        <v>Garage 76</v>
      </c>
    </row>
    <row r="4317" spans="28:32" x14ac:dyDescent="0.25">
      <c r="AB4317" t="str">
        <f t="shared" ref="AB4317:AC4317" si="4500">AB4296</f>
        <v>External Scaffolding</v>
      </c>
      <c r="AC4317" t="str">
        <f t="shared" si="4500"/>
        <v>Lift 6</v>
      </c>
      <c r="AD4317" t="b">
        <f t="shared" ca="1" si="4436"/>
        <v>0</v>
      </c>
      <c r="AE4317" s="1" t="str">
        <f t="shared" ca="1" si="4457"/>
        <v>Garage 76</v>
      </c>
      <c r="AF4317" t="str">
        <f t="shared" ref="AF4317:AF4380" ca="1" si="4501">IF(LEFT(AE4317,1)="G",AE4317,"Plot "&amp;AE4317)</f>
        <v>Garage 76</v>
      </c>
    </row>
    <row r="4318" spans="28:32" x14ac:dyDescent="0.25">
      <c r="AB4318" t="str">
        <f t="shared" ref="AB4318:AC4318" si="4502">AB4297</f>
        <v>Loading Bay</v>
      </c>
      <c r="AC4318" t="str">
        <f t="shared" si="4502"/>
        <v>Lift 1</v>
      </c>
      <c r="AD4318" t="b">
        <f t="shared" ref="AD4318:AD4381" ca="1" si="4503">INDEX($AC$1:$JH$22,MATCH(AC4318,$AC$1:$AC$22,0),MATCH(AE4318,$AC$1:$JH$1,0))</f>
        <v>1</v>
      </c>
      <c r="AE4318" s="1" t="str">
        <f t="shared" ca="1" si="4457"/>
        <v>Garage 76</v>
      </c>
      <c r="AF4318" t="str">
        <f t="shared" ca="1" si="4501"/>
        <v>Garage 76</v>
      </c>
    </row>
    <row r="4319" spans="28:32" x14ac:dyDescent="0.25">
      <c r="AB4319" t="str">
        <f t="shared" ref="AB4319:AC4319" si="4504">AB4298</f>
        <v>Loading Bay</v>
      </c>
      <c r="AC4319" t="str">
        <f t="shared" si="4504"/>
        <v>Lift 2</v>
      </c>
      <c r="AD4319" t="b">
        <f t="shared" ca="1" si="4503"/>
        <v>1</v>
      </c>
      <c r="AE4319" s="1" t="str">
        <f t="shared" ca="1" si="4457"/>
        <v>Garage 76</v>
      </c>
      <c r="AF4319" t="str">
        <f t="shared" ca="1" si="4501"/>
        <v>Garage 76</v>
      </c>
    </row>
    <row r="4320" spans="28:32" x14ac:dyDescent="0.25">
      <c r="AB4320" t="str">
        <f t="shared" ref="AB4320:AC4320" si="4505">AB4299</f>
        <v>Loading Bay</v>
      </c>
      <c r="AC4320" t="str">
        <f t="shared" si="4505"/>
        <v>Lift 3</v>
      </c>
      <c r="AD4320" t="b">
        <f t="shared" ca="1" si="4503"/>
        <v>1</v>
      </c>
      <c r="AE4320" s="1" t="str">
        <f t="shared" ca="1" si="4457"/>
        <v>Garage 76</v>
      </c>
      <c r="AF4320" t="str">
        <f t="shared" ca="1" si="4501"/>
        <v>Garage 76</v>
      </c>
    </row>
    <row r="4321" spans="28:32" x14ac:dyDescent="0.25">
      <c r="AB4321" t="str">
        <f t="shared" ref="AB4321:AC4321" si="4506">AB4300</f>
        <v>Loading Bay</v>
      </c>
      <c r="AC4321" t="str">
        <f t="shared" si="4506"/>
        <v>Lift 4</v>
      </c>
      <c r="AD4321" t="b">
        <f t="shared" ca="1" si="4503"/>
        <v>0</v>
      </c>
      <c r="AE4321" s="1" t="str">
        <f t="shared" ca="1" si="4457"/>
        <v>Garage 76</v>
      </c>
      <c r="AF4321" t="str">
        <f t="shared" ca="1" si="4501"/>
        <v>Garage 76</v>
      </c>
    </row>
    <row r="4322" spans="28:32" x14ac:dyDescent="0.25">
      <c r="AB4322" t="str">
        <f t="shared" ref="AB4322:AC4322" si="4507">AB4301</f>
        <v>Loading Bay</v>
      </c>
      <c r="AC4322" t="str">
        <f t="shared" si="4507"/>
        <v>Lift 5</v>
      </c>
      <c r="AD4322" t="b">
        <f t="shared" ca="1" si="4503"/>
        <v>0</v>
      </c>
      <c r="AE4322" s="1" t="str">
        <f t="shared" ca="1" si="4457"/>
        <v>Garage 76</v>
      </c>
      <c r="AF4322" t="str">
        <f t="shared" ca="1" si="4501"/>
        <v>Garage 76</v>
      </c>
    </row>
    <row r="4323" spans="28:32" x14ac:dyDescent="0.25">
      <c r="AB4323" t="str">
        <f t="shared" ref="AB4323:AC4323" si="4508">AB4302</f>
        <v>Loading Bay</v>
      </c>
      <c r="AC4323" t="str">
        <f t="shared" si="4508"/>
        <v>Lift 6</v>
      </c>
      <c r="AD4323" t="b">
        <f t="shared" ca="1" si="4503"/>
        <v>0</v>
      </c>
      <c r="AE4323" s="1" t="str">
        <f t="shared" ca="1" si="4457"/>
        <v>Garage 76</v>
      </c>
      <c r="AF4323" t="str">
        <f t="shared" ca="1" si="4501"/>
        <v>Garage 76</v>
      </c>
    </row>
    <row r="4324" spans="28:32" x14ac:dyDescent="0.25">
      <c r="AB4324" t="str">
        <f t="shared" ref="AB4324:AC4324" si="4509">AB4303</f>
        <v>Scaffolding Platform</v>
      </c>
      <c r="AC4324" t="str">
        <f t="shared" si="4509"/>
        <v>Ground Floor</v>
      </c>
      <c r="AD4324" t="b">
        <f t="shared" ca="1" si="4503"/>
        <v>1</v>
      </c>
      <c r="AE4324" s="1" t="str">
        <f t="shared" ca="1" si="4457"/>
        <v>Garage 76</v>
      </c>
      <c r="AF4324" t="str">
        <f t="shared" ca="1" si="4501"/>
        <v>Garage 76</v>
      </c>
    </row>
    <row r="4325" spans="28:32" x14ac:dyDescent="0.25">
      <c r="AB4325" t="str">
        <f t="shared" ref="AB4325:AC4325" si="4510">AB4304</f>
        <v>Scaffolding Platform</v>
      </c>
      <c r="AC4325" t="str">
        <f t="shared" si="4510"/>
        <v>First Floor</v>
      </c>
      <c r="AD4325" t="b">
        <f t="shared" ca="1" si="4503"/>
        <v>0</v>
      </c>
      <c r="AE4325" s="1" t="str">
        <f t="shared" ca="1" si="4457"/>
        <v>Garage 76</v>
      </c>
      <c r="AF4325" t="str">
        <f t="shared" ca="1" si="4501"/>
        <v>Garage 76</v>
      </c>
    </row>
    <row r="4326" spans="28:32" x14ac:dyDescent="0.25">
      <c r="AB4326" t="str">
        <f t="shared" ref="AB4326:AC4326" si="4511">AB4305</f>
        <v>Scaffolding Platform</v>
      </c>
      <c r="AC4326" t="str">
        <f t="shared" si="4511"/>
        <v>Second Floor</v>
      </c>
      <c r="AD4326" t="b">
        <f t="shared" ca="1" si="4503"/>
        <v>0</v>
      </c>
      <c r="AE4326" s="1" t="str">
        <f t="shared" ca="1" si="4457"/>
        <v>Garage 76</v>
      </c>
      <c r="AF4326" t="str">
        <f t="shared" ca="1" si="4501"/>
        <v>Garage 76</v>
      </c>
    </row>
    <row r="4327" spans="28:32" x14ac:dyDescent="0.25">
      <c r="AB4327" t="str">
        <f t="shared" ref="AB4327:AC4327" si="4512">AB4306</f>
        <v>Supporting Scaffold</v>
      </c>
      <c r="AC4327" t="str">
        <f t="shared" si="4512"/>
        <v>Ground Floor Prop.</v>
      </c>
      <c r="AD4327" t="str">
        <f t="shared" ca="1" si="4503"/>
        <v>FALSE</v>
      </c>
      <c r="AE4327" s="1" t="str">
        <f t="shared" ca="1" si="4457"/>
        <v>Garage 76</v>
      </c>
      <c r="AF4327" t="str">
        <f t="shared" ca="1" si="4501"/>
        <v>Garage 76</v>
      </c>
    </row>
    <row r="4328" spans="28:32" x14ac:dyDescent="0.25">
      <c r="AB4328" t="str">
        <f t="shared" ref="AB4328:AC4328" si="4513">AB4307</f>
        <v>Supporting Scaffold</v>
      </c>
      <c r="AC4328" t="str">
        <f t="shared" si="4513"/>
        <v>First Floor Prop.</v>
      </c>
      <c r="AD4328" t="str">
        <f t="shared" ca="1" si="4503"/>
        <v>FALSE</v>
      </c>
      <c r="AE4328" s="1" t="str">
        <f t="shared" ca="1" si="4457"/>
        <v>Garage 76</v>
      </c>
      <c r="AF4328" t="str">
        <f t="shared" ca="1" si="4501"/>
        <v>Garage 76</v>
      </c>
    </row>
    <row r="4329" spans="28:32" x14ac:dyDescent="0.25">
      <c r="AB4329" t="str">
        <f t="shared" ref="AB4329:AC4329" si="4514">AB4308</f>
        <v>Supporting Scaffold</v>
      </c>
      <c r="AC4329" t="str">
        <f t="shared" si="4514"/>
        <v>Second Floor Prop.</v>
      </c>
      <c r="AD4329" t="str">
        <f t="shared" ca="1" si="4503"/>
        <v>FALSE</v>
      </c>
      <c r="AE4329" s="1" t="str">
        <f t="shared" ca="1" si="4457"/>
        <v>Garage 76</v>
      </c>
      <c r="AF4329" t="str">
        <f t="shared" ca="1" si="4501"/>
        <v>Garage 76</v>
      </c>
    </row>
    <row r="4330" spans="28:32" x14ac:dyDescent="0.25">
      <c r="AB4330" t="str">
        <f t="shared" ref="AB4330:AC4330" si="4515">AB4309</f>
        <v>External Scaffolding</v>
      </c>
      <c r="AC4330" t="str">
        <f t="shared" si="4515"/>
        <v>Hop-ups</v>
      </c>
      <c r="AD4330" t="b">
        <f t="shared" ca="1" si="4503"/>
        <v>1</v>
      </c>
      <c r="AE4330" s="1" t="str">
        <f t="shared" ca="1" si="4457"/>
        <v>Garage 76</v>
      </c>
      <c r="AF4330" t="str">
        <f t="shared" ca="1" si="4501"/>
        <v>Garage 76</v>
      </c>
    </row>
    <row r="4331" spans="28:32" x14ac:dyDescent="0.25">
      <c r="AB4331" t="str">
        <f t="shared" ref="AB4331:AC4331" si="4516">AB4310</f>
        <v>External Scaffolding</v>
      </c>
      <c r="AC4331" t="str">
        <f t="shared" si="4516"/>
        <v>Adaptions</v>
      </c>
      <c r="AD4331" t="b">
        <f t="shared" ca="1" si="4503"/>
        <v>1</v>
      </c>
      <c r="AE4331" s="1" t="str">
        <f t="shared" ca="1" si="4457"/>
        <v>Garage 76</v>
      </c>
      <c r="AF4331" t="str">
        <f t="shared" ca="1" si="4501"/>
        <v>Garage 76</v>
      </c>
    </row>
    <row r="4332" spans="28:32" x14ac:dyDescent="0.25">
      <c r="AB4332" t="str">
        <f t="shared" ref="AB4332:AC4332" si="4517">AB4311</f>
        <v>External Scaffolding</v>
      </c>
      <c r="AC4332" t="str">
        <f t="shared" si="4517"/>
        <v>Adaption Tower</v>
      </c>
      <c r="AD4332" t="b">
        <f t="shared" ca="1" si="4503"/>
        <v>1</v>
      </c>
      <c r="AE4332" s="1" t="str">
        <f t="shared" ca="1" si="4457"/>
        <v>Garage 76</v>
      </c>
      <c r="AF4332" t="str">
        <f t="shared" ca="1" si="4501"/>
        <v>Garage 76</v>
      </c>
    </row>
    <row r="4333" spans="28:32" x14ac:dyDescent="0.25">
      <c r="AB4333" t="str">
        <f t="shared" ref="AB4333:AC4333" si="4518">AB4312</f>
        <v>External Scaffolding</v>
      </c>
      <c r="AC4333" t="str">
        <f t="shared" si="4518"/>
        <v>Lift 1</v>
      </c>
      <c r="AD4333" t="b">
        <f t="shared" ca="1" si="4503"/>
        <v>1</v>
      </c>
      <c r="AE4333" s="1" t="str">
        <f t="shared" ca="1" si="4457"/>
        <v>Garage 77</v>
      </c>
      <c r="AF4333" t="str">
        <f t="shared" ca="1" si="4501"/>
        <v>Garage 77</v>
      </c>
    </row>
    <row r="4334" spans="28:32" x14ac:dyDescent="0.25">
      <c r="AB4334" t="str">
        <f t="shared" ref="AB4334:AC4334" si="4519">AB4313</f>
        <v>External Scaffolding</v>
      </c>
      <c r="AC4334" t="str">
        <f t="shared" si="4519"/>
        <v>Lift 2</v>
      </c>
      <c r="AD4334" t="b">
        <f t="shared" ca="1" si="4503"/>
        <v>1</v>
      </c>
      <c r="AE4334" s="1" t="str">
        <f t="shared" ca="1" si="4457"/>
        <v>Garage 77</v>
      </c>
      <c r="AF4334" t="str">
        <f t="shared" ca="1" si="4501"/>
        <v>Garage 77</v>
      </c>
    </row>
    <row r="4335" spans="28:32" x14ac:dyDescent="0.25">
      <c r="AB4335" t="str">
        <f t="shared" ref="AB4335:AC4335" si="4520">AB4314</f>
        <v>External Scaffolding</v>
      </c>
      <c r="AC4335" t="str">
        <f t="shared" si="4520"/>
        <v>Lift 3</v>
      </c>
      <c r="AD4335" t="b">
        <f t="shared" ca="1" si="4503"/>
        <v>1</v>
      </c>
      <c r="AE4335" s="1" t="str">
        <f t="shared" ca="1" si="4457"/>
        <v>Garage 77</v>
      </c>
      <c r="AF4335" t="str">
        <f t="shared" ca="1" si="4501"/>
        <v>Garage 77</v>
      </c>
    </row>
    <row r="4336" spans="28:32" x14ac:dyDescent="0.25">
      <c r="AB4336" t="str">
        <f t="shared" ref="AB4336:AC4336" si="4521">AB4315</f>
        <v>External Scaffolding</v>
      </c>
      <c r="AC4336" t="str">
        <f t="shared" si="4521"/>
        <v>Lift 4</v>
      </c>
      <c r="AD4336" t="b">
        <f t="shared" ca="1" si="4503"/>
        <v>0</v>
      </c>
      <c r="AE4336" s="1" t="str">
        <f t="shared" ca="1" si="4457"/>
        <v>Garage 77</v>
      </c>
      <c r="AF4336" t="str">
        <f t="shared" ca="1" si="4501"/>
        <v>Garage 77</v>
      </c>
    </row>
    <row r="4337" spans="28:32" x14ac:dyDescent="0.25">
      <c r="AB4337" t="str">
        <f t="shared" ref="AB4337:AC4337" si="4522">AB4316</f>
        <v>External Scaffolding</v>
      </c>
      <c r="AC4337" t="str">
        <f t="shared" si="4522"/>
        <v>Lift 5</v>
      </c>
      <c r="AD4337" t="b">
        <f t="shared" ca="1" si="4503"/>
        <v>0</v>
      </c>
      <c r="AE4337" s="1" t="str">
        <f t="shared" ca="1" si="4457"/>
        <v>Garage 77</v>
      </c>
      <c r="AF4337" t="str">
        <f t="shared" ca="1" si="4501"/>
        <v>Garage 77</v>
      </c>
    </row>
    <row r="4338" spans="28:32" x14ac:dyDescent="0.25">
      <c r="AB4338" t="str">
        <f t="shared" ref="AB4338:AC4338" si="4523">AB4317</f>
        <v>External Scaffolding</v>
      </c>
      <c r="AC4338" t="str">
        <f t="shared" si="4523"/>
        <v>Lift 6</v>
      </c>
      <c r="AD4338" t="b">
        <f t="shared" ca="1" si="4503"/>
        <v>0</v>
      </c>
      <c r="AE4338" s="1" t="str">
        <f t="shared" ref="AE4338:AE4401" ca="1" si="4524">OFFSET($AD$1,0,FLOOR(ROW(B4310)/21,1))</f>
        <v>Garage 77</v>
      </c>
      <c r="AF4338" t="str">
        <f t="shared" ca="1" si="4501"/>
        <v>Garage 77</v>
      </c>
    </row>
    <row r="4339" spans="28:32" x14ac:dyDescent="0.25">
      <c r="AB4339" t="str">
        <f t="shared" ref="AB4339:AC4339" si="4525">AB4318</f>
        <v>Loading Bay</v>
      </c>
      <c r="AC4339" t="str">
        <f t="shared" si="4525"/>
        <v>Lift 1</v>
      </c>
      <c r="AD4339" t="b">
        <f t="shared" ca="1" si="4503"/>
        <v>1</v>
      </c>
      <c r="AE4339" s="1" t="str">
        <f t="shared" ca="1" si="4524"/>
        <v>Garage 77</v>
      </c>
      <c r="AF4339" t="str">
        <f t="shared" ca="1" si="4501"/>
        <v>Garage 77</v>
      </c>
    </row>
    <row r="4340" spans="28:32" x14ac:dyDescent="0.25">
      <c r="AB4340" t="str">
        <f t="shared" ref="AB4340:AC4340" si="4526">AB4319</f>
        <v>Loading Bay</v>
      </c>
      <c r="AC4340" t="str">
        <f t="shared" si="4526"/>
        <v>Lift 2</v>
      </c>
      <c r="AD4340" t="b">
        <f t="shared" ca="1" si="4503"/>
        <v>1</v>
      </c>
      <c r="AE4340" s="1" t="str">
        <f t="shared" ca="1" si="4524"/>
        <v>Garage 77</v>
      </c>
      <c r="AF4340" t="str">
        <f t="shared" ca="1" si="4501"/>
        <v>Garage 77</v>
      </c>
    </row>
    <row r="4341" spans="28:32" x14ac:dyDescent="0.25">
      <c r="AB4341" t="str">
        <f t="shared" ref="AB4341:AC4341" si="4527">AB4320</f>
        <v>Loading Bay</v>
      </c>
      <c r="AC4341" t="str">
        <f t="shared" si="4527"/>
        <v>Lift 3</v>
      </c>
      <c r="AD4341" t="b">
        <f t="shared" ca="1" si="4503"/>
        <v>1</v>
      </c>
      <c r="AE4341" s="1" t="str">
        <f t="shared" ca="1" si="4524"/>
        <v>Garage 77</v>
      </c>
      <c r="AF4341" t="str">
        <f t="shared" ca="1" si="4501"/>
        <v>Garage 77</v>
      </c>
    </row>
    <row r="4342" spans="28:32" x14ac:dyDescent="0.25">
      <c r="AB4342" t="str">
        <f t="shared" ref="AB4342:AC4342" si="4528">AB4321</f>
        <v>Loading Bay</v>
      </c>
      <c r="AC4342" t="str">
        <f t="shared" si="4528"/>
        <v>Lift 4</v>
      </c>
      <c r="AD4342" t="b">
        <f t="shared" ca="1" si="4503"/>
        <v>0</v>
      </c>
      <c r="AE4342" s="1" t="str">
        <f t="shared" ca="1" si="4524"/>
        <v>Garage 77</v>
      </c>
      <c r="AF4342" t="str">
        <f t="shared" ca="1" si="4501"/>
        <v>Garage 77</v>
      </c>
    </row>
    <row r="4343" spans="28:32" x14ac:dyDescent="0.25">
      <c r="AB4343" t="str">
        <f t="shared" ref="AB4343:AC4343" si="4529">AB4322</f>
        <v>Loading Bay</v>
      </c>
      <c r="AC4343" t="str">
        <f t="shared" si="4529"/>
        <v>Lift 5</v>
      </c>
      <c r="AD4343" t="b">
        <f t="shared" ca="1" si="4503"/>
        <v>0</v>
      </c>
      <c r="AE4343" s="1" t="str">
        <f t="shared" ca="1" si="4524"/>
        <v>Garage 77</v>
      </c>
      <c r="AF4343" t="str">
        <f t="shared" ca="1" si="4501"/>
        <v>Garage 77</v>
      </c>
    </row>
    <row r="4344" spans="28:32" x14ac:dyDescent="0.25">
      <c r="AB4344" t="str">
        <f t="shared" ref="AB4344:AC4344" si="4530">AB4323</f>
        <v>Loading Bay</v>
      </c>
      <c r="AC4344" t="str">
        <f t="shared" si="4530"/>
        <v>Lift 6</v>
      </c>
      <c r="AD4344" t="b">
        <f t="shared" ca="1" si="4503"/>
        <v>0</v>
      </c>
      <c r="AE4344" s="1" t="str">
        <f t="shared" ca="1" si="4524"/>
        <v>Garage 77</v>
      </c>
      <c r="AF4344" t="str">
        <f t="shared" ca="1" si="4501"/>
        <v>Garage 77</v>
      </c>
    </row>
    <row r="4345" spans="28:32" x14ac:dyDescent="0.25">
      <c r="AB4345" t="str">
        <f t="shared" ref="AB4345:AC4345" si="4531">AB4324</f>
        <v>Scaffolding Platform</v>
      </c>
      <c r="AC4345" t="str">
        <f t="shared" si="4531"/>
        <v>Ground Floor</v>
      </c>
      <c r="AD4345" t="b">
        <f t="shared" ca="1" si="4503"/>
        <v>1</v>
      </c>
      <c r="AE4345" s="1" t="str">
        <f t="shared" ca="1" si="4524"/>
        <v>Garage 77</v>
      </c>
      <c r="AF4345" t="str">
        <f t="shared" ca="1" si="4501"/>
        <v>Garage 77</v>
      </c>
    </row>
    <row r="4346" spans="28:32" x14ac:dyDescent="0.25">
      <c r="AB4346" t="str">
        <f t="shared" ref="AB4346:AC4346" si="4532">AB4325</f>
        <v>Scaffolding Platform</v>
      </c>
      <c r="AC4346" t="str">
        <f t="shared" si="4532"/>
        <v>First Floor</v>
      </c>
      <c r="AD4346" t="b">
        <f t="shared" ca="1" si="4503"/>
        <v>0</v>
      </c>
      <c r="AE4346" s="1" t="str">
        <f t="shared" ca="1" si="4524"/>
        <v>Garage 77</v>
      </c>
      <c r="AF4346" t="str">
        <f t="shared" ca="1" si="4501"/>
        <v>Garage 77</v>
      </c>
    </row>
    <row r="4347" spans="28:32" x14ac:dyDescent="0.25">
      <c r="AB4347" t="str">
        <f t="shared" ref="AB4347:AC4347" si="4533">AB4326</f>
        <v>Scaffolding Platform</v>
      </c>
      <c r="AC4347" t="str">
        <f t="shared" si="4533"/>
        <v>Second Floor</v>
      </c>
      <c r="AD4347" t="b">
        <f t="shared" ca="1" si="4503"/>
        <v>0</v>
      </c>
      <c r="AE4347" s="1" t="str">
        <f t="shared" ca="1" si="4524"/>
        <v>Garage 77</v>
      </c>
      <c r="AF4347" t="str">
        <f t="shared" ca="1" si="4501"/>
        <v>Garage 77</v>
      </c>
    </row>
    <row r="4348" spans="28:32" x14ac:dyDescent="0.25">
      <c r="AB4348" t="str">
        <f t="shared" ref="AB4348:AC4348" si="4534">AB4327</f>
        <v>Supporting Scaffold</v>
      </c>
      <c r="AC4348" t="str">
        <f t="shared" si="4534"/>
        <v>Ground Floor Prop.</v>
      </c>
      <c r="AD4348" t="str">
        <f t="shared" ca="1" si="4503"/>
        <v>FALSE</v>
      </c>
      <c r="AE4348" s="1" t="str">
        <f t="shared" ca="1" si="4524"/>
        <v>Garage 77</v>
      </c>
      <c r="AF4348" t="str">
        <f t="shared" ca="1" si="4501"/>
        <v>Garage 77</v>
      </c>
    </row>
    <row r="4349" spans="28:32" x14ac:dyDescent="0.25">
      <c r="AB4349" t="str">
        <f t="shared" ref="AB4349:AC4349" si="4535">AB4328</f>
        <v>Supporting Scaffold</v>
      </c>
      <c r="AC4349" t="str">
        <f t="shared" si="4535"/>
        <v>First Floor Prop.</v>
      </c>
      <c r="AD4349" t="str">
        <f t="shared" ca="1" si="4503"/>
        <v>FALSE</v>
      </c>
      <c r="AE4349" s="1" t="str">
        <f t="shared" ca="1" si="4524"/>
        <v>Garage 77</v>
      </c>
      <c r="AF4349" t="str">
        <f t="shared" ca="1" si="4501"/>
        <v>Garage 77</v>
      </c>
    </row>
    <row r="4350" spans="28:32" x14ac:dyDescent="0.25">
      <c r="AB4350" t="str">
        <f t="shared" ref="AB4350:AC4350" si="4536">AB4329</f>
        <v>Supporting Scaffold</v>
      </c>
      <c r="AC4350" t="str">
        <f t="shared" si="4536"/>
        <v>Second Floor Prop.</v>
      </c>
      <c r="AD4350" t="str">
        <f t="shared" ca="1" si="4503"/>
        <v>FALSE</v>
      </c>
      <c r="AE4350" s="1" t="str">
        <f t="shared" ca="1" si="4524"/>
        <v>Garage 77</v>
      </c>
      <c r="AF4350" t="str">
        <f t="shared" ca="1" si="4501"/>
        <v>Garage 77</v>
      </c>
    </row>
    <row r="4351" spans="28:32" x14ac:dyDescent="0.25">
      <c r="AB4351" t="str">
        <f t="shared" ref="AB4351:AC4351" si="4537">AB4330</f>
        <v>External Scaffolding</v>
      </c>
      <c r="AC4351" t="str">
        <f t="shared" si="4537"/>
        <v>Hop-ups</v>
      </c>
      <c r="AD4351" t="b">
        <f t="shared" ca="1" si="4503"/>
        <v>1</v>
      </c>
      <c r="AE4351" s="1" t="str">
        <f t="shared" ca="1" si="4524"/>
        <v>Garage 77</v>
      </c>
      <c r="AF4351" t="str">
        <f t="shared" ca="1" si="4501"/>
        <v>Garage 77</v>
      </c>
    </row>
    <row r="4352" spans="28:32" x14ac:dyDescent="0.25">
      <c r="AB4352" t="str">
        <f t="shared" ref="AB4352:AC4352" si="4538">AB4331</f>
        <v>External Scaffolding</v>
      </c>
      <c r="AC4352" t="str">
        <f t="shared" si="4538"/>
        <v>Adaptions</v>
      </c>
      <c r="AD4352" t="b">
        <f t="shared" ca="1" si="4503"/>
        <v>1</v>
      </c>
      <c r="AE4352" s="1" t="str">
        <f t="shared" ca="1" si="4524"/>
        <v>Garage 77</v>
      </c>
      <c r="AF4352" t="str">
        <f t="shared" ca="1" si="4501"/>
        <v>Garage 77</v>
      </c>
    </row>
    <row r="4353" spans="28:32" x14ac:dyDescent="0.25">
      <c r="AB4353" t="str">
        <f t="shared" ref="AB4353:AC4353" si="4539">AB4332</f>
        <v>External Scaffolding</v>
      </c>
      <c r="AC4353" t="str">
        <f t="shared" si="4539"/>
        <v>Adaption Tower</v>
      </c>
      <c r="AD4353" t="b">
        <f t="shared" ca="1" si="4503"/>
        <v>1</v>
      </c>
      <c r="AE4353" s="1" t="str">
        <f t="shared" ca="1" si="4524"/>
        <v>Garage 77</v>
      </c>
      <c r="AF4353" t="str">
        <f t="shared" ca="1" si="4501"/>
        <v>Garage 77</v>
      </c>
    </row>
    <row r="4354" spans="28:32" x14ac:dyDescent="0.25">
      <c r="AB4354" t="str">
        <f t="shared" ref="AB4354:AC4354" si="4540">AB4333</f>
        <v>External Scaffolding</v>
      </c>
      <c r="AC4354" t="str">
        <f t="shared" si="4540"/>
        <v>Lift 1</v>
      </c>
      <c r="AD4354" t="b">
        <f t="shared" ca="1" si="4503"/>
        <v>1</v>
      </c>
      <c r="AE4354" s="1" t="str">
        <f t="shared" ca="1" si="4524"/>
        <v>Garage 78-79</v>
      </c>
      <c r="AF4354" t="str">
        <f t="shared" ca="1" si="4501"/>
        <v>Garage 78-79</v>
      </c>
    </row>
    <row r="4355" spans="28:32" x14ac:dyDescent="0.25">
      <c r="AB4355" t="str">
        <f t="shared" ref="AB4355:AC4355" si="4541">AB4334</f>
        <v>External Scaffolding</v>
      </c>
      <c r="AC4355" t="str">
        <f t="shared" si="4541"/>
        <v>Lift 2</v>
      </c>
      <c r="AD4355" t="b">
        <f t="shared" ca="1" si="4503"/>
        <v>1</v>
      </c>
      <c r="AE4355" s="1" t="str">
        <f t="shared" ca="1" si="4524"/>
        <v>Garage 78-79</v>
      </c>
      <c r="AF4355" t="str">
        <f t="shared" ca="1" si="4501"/>
        <v>Garage 78-79</v>
      </c>
    </row>
    <row r="4356" spans="28:32" x14ac:dyDescent="0.25">
      <c r="AB4356" t="str">
        <f t="shared" ref="AB4356:AC4356" si="4542">AB4335</f>
        <v>External Scaffolding</v>
      </c>
      <c r="AC4356" t="str">
        <f t="shared" si="4542"/>
        <v>Lift 3</v>
      </c>
      <c r="AD4356" t="b">
        <f t="shared" ca="1" si="4503"/>
        <v>1</v>
      </c>
      <c r="AE4356" s="1" t="str">
        <f t="shared" ca="1" si="4524"/>
        <v>Garage 78-79</v>
      </c>
      <c r="AF4356" t="str">
        <f t="shared" ca="1" si="4501"/>
        <v>Garage 78-79</v>
      </c>
    </row>
    <row r="4357" spans="28:32" x14ac:dyDescent="0.25">
      <c r="AB4357" t="str">
        <f t="shared" ref="AB4357:AC4357" si="4543">AB4336</f>
        <v>External Scaffolding</v>
      </c>
      <c r="AC4357" t="str">
        <f t="shared" si="4543"/>
        <v>Lift 4</v>
      </c>
      <c r="AD4357" t="b">
        <f t="shared" ca="1" si="4503"/>
        <v>0</v>
      </c>
      <c r="AE4357" s="1" t="str">
        <f t="shared" ca="1" si="4524"/>
        <v>Garage 78-79</v>
      </c>
      <c r="AF4357" t="str">
        <f t="shared" ca="1" si="4501"/>
        <v>Garage 78-79</v>
      </c>
    </row>
    <row r="4358" spans="28:32" x14ac:dyDescent="0.25">
      <c r="AB4358" t="str">
        <f t="shared" ref="AB4358:AC4358" si="4544">AB4337</f>
        <v>External Scaffolding</v>
      </c>
      <c r="AC4358" t="str">
        <f t="shared" si="4544"/>
        <v>Lift 5</v>
      </c>
      <c r="AD4358" t="b">
        <f t="shared" ca="1" si="4503"/>
        <v>0</v>
      </c>
      <c r="AE4358" s="1" t="str">
        <f t="shared" ca="1" si="4524"/>
        <v>Garage 78-79</v>
      </c>
      <c r="AF4358" t="str">
        <f t="shared" ca="1" si="4501"/>
        <v>Garage 78-79</v>
      </c>
    </row>
    <row r="4359" spans="28:32" x14ac:dyDescent="0.25">
      <c r="AB4359" t="str">
        <f t="shared" ref="AB4359:AC4359" si="4545">AB4338</f>
        <v>External Scaffolding</v>
      </c>
      <c r="AC4359" t="str">
        <f t="shared" si="4545"/>
        <v>Lift 6</v>
      </c>
      <c r="AD4359" t="b">
        <f t="shared" ca="1" si="4503"/>
        <v>0</v>
      </c>
      <c r="AE4359" s="1" t="str">
        <f t="shared" ca="1" si="4524"/>
        <v>Garage 78-79</v>
      </c>
      <c r="AF4359" t="str">
        <f t="shared" ca="1" si="4501"/>
        <v>Garage 78-79</v>
      </c>
    </row>
    <row r="4360" spans="28:32" x14ac:dyDescent="0.25">
      <c r="AB4360" t="str">
        <f t="shared" ref="AB4360:AC4360" si="4546">AB4339</f>
        <v>Loading Bay</v>
      </c>
      <c r="AC4360" t="str">
        <f t="shared" si="4546"/>
        <v>Lift 1</v>
      </c>
      <c r="AD4360" t="b">
        <f t="shared" ca="1" si="4503"/>
        <v>1</v>
      </c>
      <c r="AE4360" s="1" t="str">
        <f t="shared" ca="1" si="4524"/>
        <v>Garage 78-79</v>
      </c>
      <c r="AF4360" t="str">
        <f t="shared" ca="1" si="4501"/>
        <v>Garage 78-79</v>
      </c>
    </row>
    <row r="4361" spans="28:32" x14ac:dyDescent="0.25">
      <c r="AB4361" t="str">
        <f t="shared" ref="AB4361:AC4361" si="4547">AB4340</f>
        <v>Loading Bay</v>
      </c>
      <c r="AC4361" t="str">
        <f t="shared" si="4547"/>
        <v>Lift 2</v>
      </c>
      <c r="AD4361" t="b">
        <f t="shared" ca="1" si="4503"/>
        <v>1</v>
      </c>
      <c r="AE4361" s="1" t="str">
        <f t="shared" ca="1" si="4524"/>
        <v>Garage 78-79</v>
      </c>
      <c r="AF4361" t="str">
        <f t="shared" ca="1" si="4501"/>
        <v>Garage 78-79</v>
      </c>
    </row>
    <row r="4362" spans="28:32" x14ac:dyDescent="0.25">
      <c r="AB4362" t="str">
        <f t="shared" ref="AB4362:AC4362" si="4548">AB4341</f>
        <v>Loading Bay</v>
      </c>
      <c r="AC4362" t="str">
        <f t="shared" si="4548"/>
        <v>Lift 3</v>
      </c>
      <c r="AD4362" t="b">
        <f t="shared" ca="1" si="4503"/>
        <v>1</v>
      </c>
      <c r="AE4362" s="1" t="str">
        <f t="shared" ca="1" si="4524"/>
        <v>Garage 78-79</v>
      </c>
      <c r="AF4362" t="str">
        <f t="shared" ca="1" si="4501"/>
        <v>Garage 78-79</v>
      </c>
    </row>
    <row r="4363" spans="28:32" x14ac:dyDescent="0.25">
      <c r="AB4363" t="str">
        <f t="shared" ref="AB4363:AC4363" si="4549">AB4342</f>
        <v>Loading Bay</v>
      </c>
      <c r="AC4363" t="str">
        <f t="shared" si="4549"/>
        <v>Lift 4</v>
      </c>
      <c r="AD4363" t="b">
        <f t="shared" ca="1" si="4503"/>
        <v>0</v>
      </c>
      <c r="AE4363" s="1" t="str">
        <f t="shared" ca="1" si="4524"/>
        <v>Garage 78-79</v>
      </c>
      <c r="AF4363" t="str">
        <f t="shared" ca="1" si="4501"/>
        <v>Garage 78-79</v>
      </c>
    </row>
    <row r="4364" spans="28:32" x14ac:dyDescent="0.25">
      <c r="AB4364" t="str">
        <f t="shared" ref="AB4364:AC4364" si="4550">AB4343</f>
        <v>Loading Bay</v>
      </c>
      <c r="AC4364" t="str">
        <f t="shared" si="4550"/>
        <v>Lift 5</v>
      </c>
      <c r="AD4364" t="b">
        <f t="shared" ca="1" si="4503"/>
        <v>0</v>
      </c>
      <c r="AE4364" s="1" t="str">
        <f t="shared" ca="1" si="4524"/>
        <v>Garage 78-79</v>
      </c>
      <c r="AF4364" t="str">
        <f t="shared" ca="1" si="4501"/>
        <v>Garage 78-79</v>
      </c>
    </row>
    <row r="4365" spans="28:32" x14ac:dyDescent="0.25">
      <c r="AB4365" t="str">
        <f t="shared" ref="AB4365:AC4365" si="4551">AB4344</f>
        <v>Loading Bay</v>
      </c>
      <c r="AC4365" t="str">
        <f t="shared" si="4551"/>
        <v>Lift 6</v>
      </c>
      <c r="AD4365" t="b">
        <f t="shared" ca="1" si="4503"/>
        <v>0</v>
      </c>
      <c r="AE4365" s="1" t="str">
        <f t="shared" ca="1" si="4524"/>
        <v>Garage 78-79</v>
      </c>
      <c r="AF4365" t="str">
        <f t="shared" ca="1" si="4501"/>
        <v>Garage 78-79</v>
      </c>
    </row>
    <row r="4366" spans="28:32" x14ac:dyDescent="0.25">
      <c r="AB4366" t="str">
        <f t="shared" ref="AB4366:AC4366" si="4552">AB4345</f>
        <v>Scaffolding Platform</v>
      </c>
      <c r="AC4366" t="str">
        <f t="shared" si="4552"/>
        <v>Ground Floor</v>
      </c>
      <c r="AD4366" t="b">
        <f t="shared" ca="1" si="4503"/>
        <v>1</v>
      </c>
      <c r="AE4366" s="1" t="str">
        <f t="shared" ca="1" si="4524"/>
        <v>Garage 78-79</v>
      </c>
      <c r="AF4366" t="str">
        <f t="shared" ca="1" si="4501"/>
        <v>Garage 78-79</v>
      </c>
    </row>
    <row r="4367" spans="28:32" x14ac:dyDescent="0.25">
      <c r="AB4367" t="str">
        <f t="shared" ref="AB4367:AC4367" si="4553">AB4346</f>
        <v>Scaffolding Platform</v>
      </c>
      <c r="AC4367" t="str">
        <f t="shared" si="4553"/>
        <v>First Floor</v>
      </c>
      <c r="AD4367" t="b">
        <f t="shared" ca="1" si="4503"/>
        <v>0</v>
      </c>
      <c r="AE4367" s="1" t="str">
        <f t="shared" ca="1" si="4524"/>
        <v>Garage 78-79</v>
      </c>
      <c r="AF4367" t="str">
        <f t="shared" ca="1" si="4501"/>
        <v>Garage 78-79</v>
      </c>
    </row>
    <row r="4368" spans="28:32" x14ac:dyDescent="0.25">
      <c r="AB4368" t="str">
        <f t="shared" ref="AB4368:AC4368" si="4554">AB4347</f>
        <v>Scaffolding Platform</v>
      </c>
      <c r="AC4368" t="str">
        <f t="shared" si="4554"/>
        <v>Second Floor</v>
      </c>
      <c r="AD4368" t="b">
        <f t="shared" ca="1" si="4503"/>
        <v>0</v>
      </c>
      <c r="AE4368" s="1" t="str">
        <f t="shared" ca="1" si="4524"/>
        <v>Garage 78-79</v>
      </c>
      <c r="AF4368" t="str">
        <f t="shared" ca="1" si="4501"/>
        <v>Garage 78-79</v>
      </c>
    </row>
    <row r="4369" spans="28:32" x14ac:dyDescent="0.25">
      <c r="AB4369" t="str">
        <f t="shared" ref="AB4369:AC4369" si="4555">AB4348</f>
        <v>Supporting Scaffold</v>
      </c>
      <c r="AC4369" t="str">
        <f t="shared" si="4555"/>
        <v>Ground Floor Prop.</v>
      </c>
      <c r="AD4369" t="str">
        <f t="shared" ca="1" si="4503"/>
        <v>FALSE</v>
      </c>
      <c r="AE4369" s="1" t="str">
        <f t="shared" ca="1" si="4524"/>
        <v>Garage 78-79</v>
      </c>
      <c r="AF4369" t="str">
        <f t="shared" ca="1" si="4501"/>
        <v>Garage 78-79</v>
      </c>
    </row>
    <row r="4370" spans="28:32" x14ac:dyDescent="0.25">
      <c r="AB4370" t="str">
        <f t="shared" ref="AB4370:AC4370" si="4556">AB4349</f>
        <v>Supporting Scaffold</v>
      </c>
      <c r="AC4370" t="str">
        <f t="shared" si="4556"/>
        <v>First Floor Prop.</v>
      </c>
      <c r="AD4370" t="str">
        <f t="shared" ca="1" si="4503"/>
        <v>FALSE</v>
      </c>
      <c r="AE4370" s="1" t="str">
        <f t="shared" ca="1" si="4524"/>
        <v>Garage 78-79</v>
      </c>
      <c r="AF4370" t="str">
        <f t="shared" ca="1" si="4501"/>
        <v>Garage 78-79</v>
      </c>
    </row>
    <row r="4371" spans="28:32" x14ac:dyDescent="0.25">
      <c r="AB4371" t="str">
        <f t="shared" ref="AB4371:AC4371" si="4557">AB4350</f>
        <v>Supporting Scaffold</v>
      </c>
      <c r="AC4371" t="str">
        <f t="shared" si="4557"/>
        <v>Second Floor Prop.</v>
      </c>
      <c r="AD4371" t="str">
        <f t="shared" ca="1" si="4503"/>
        <v>FALSE</v>
      </c>
      <c r="AE4371" s="1" t="str">
        <f t="shared" ca="1" si="4524"/>
        <v>Garage 78-79</v>
      </c>
      <c r="AF4371" t="str">
        <f t="shared" ca="1" si="4501"/>
        <v>Garage 78-79</v>
      </c>
    </row>
    <row r="4372" spans="28:32" x14ac:dyDescent="0.25">
      <c r="AB4372" t="str">
        <f t="shared" ref="AB4372:AC4372" si="4558">AB4351</f>
        <v>External Scaffolding</v>
      </c>
      <c r="AC4372" t="str">
        <f t="shared" si="4558"/>
        <v>Hop-ups</v>
      </c>
      <c r="AD4372" t="b">
        <f t="shared" ca="1" si="4503"/>
        <v>1</v>
      </c>
      <c r="AE4372" s="1" t="str">
        <f t="shared" ca="1" si="4524"/>
        <v>Garage 78-79</v>
      </c>
      <c r="AF4372" t="str">
        <f t="shared" ca="1" si="4501"/>
        <v>Garage 78-79</v>
      </c>
    </row>
    <row r="4373" spans="28:32" x14ac:dyDescent="0.25">
      <c r="AB4373" t="str">
        <f t="shared" ref="AB4373:AC4373" si="4559">AB4352</f>
        <v>External Scaffolding</v>
      </c>
      <c r="AC4373" t="str">
        <f t="shared" si="4559"/>
        <v>Adaptions</v>
      </c>
      <c r="AD4373" t="b">
        <f t="shared" ca="1" si="4503"/>
        <v>1</v>
      </c>
      <c r="AE4373" s="1" t="str">
        <f t="shared" ca="1" si="4524"/>
        <v>Garage 78-79</v>
      </c>
      <c r="AF4373" t="str">
        <f t="shared" ca="1" si="4501"/>
        <v>Garage 78-79</v>
      </c>
    </row>
    <row r="4374" spans="28:32" x14ac:dyDescent="0.25">
      <c r="AB4374" t="str">
        <f t="shared" ref="AB4374:AC4374" si="4560">AB4353</f>
        <v>External Scaffolding</v>
      </c>
      <c r="AC4374" t="str">
        <f t="shared" si="4560"/>
        <v>Adaption Tower</v>
      </c>
      <c r="AD4374" t="b">
        <f t="shared" ca="1" si="4503"/>
        <v>1</v>
      </c>
      <c r="AE4374" s="1" t="str">
        <f t="shared" ca="1" si="4524"/>
        <v>Garage 78-79</v>
      </c>
      <c r="AF4374" t="str">
        <f t="shared" ca="1" si="4501"/>
        <v>Garage 78-79</v>
      </c>
    </row>
    <row r="4375" spans="28:32" x14ac:dyDescent="0.25">
      <c r="AB4375" t="str">
        <f t="shared" ref="AB4375:AC4375" si="4561">AB4354</f>
        <v>External Scaffolding</v>
      </c>
      <c r="AC4375" t="str">
        <f t="shared" si="4561"/>
        <v>Lift 1</v>
      </c>
      <c r="AD4375" t="b">
        <f t="shared" ca="1" si="4503"/>
        <v>1</v>
      </c>
      <c r="AE4375" s="1" t="str">
        <f t="shared" ca="1" si="4524"/>
        <v>Garage 83</v>
      </c>
      <c r="AF4375" t="str">
        <f t="shared" ca="1" si="4501"/>
        <v>Garage 83</v>
      </c>
    </row>
    <row r="4376" spans="28:32" x14ac:dyDescent="0.25">
      <c r="AB4376" t="str">
        <f t="shared" ref="AB4376:AC4376" si="4562">AB4355</f>
        <v>External Scaffolding</v>
      </c>
      <c r="AC4376" t="str">
        <f t="shared" si="4562"/>
        <v>Lift 2</v>
      </c>
      <c r="AD4376" t="b">
        <f t="shared" ca="1" si="4503"/>
        <v>1</v>
      </c>
      <c r="AE4376" s="1" t="str">
        <f t="shared" ca="1" si="4524"/>
        <v>Garage 83</v>
      </c>
      <c r="AF4376" t="str">
        <f t="shared" ca="1" si="4501"/>
        <v>Garage 83</v>
      </c>
    </row>
    <row r="4377" spans="28:32" x14ac:dyDescent="0.25">
      <c r="AB4377" t="str">
        <f t="shared" ref="AB4377:AC4377" si="4563">AB4356</f>
        <v>External Scaffolding</v>
      </c>
      <c r="AC4377" t="str">
        <f t="shared" si="4563"/>
        <v>Lift 3</v>
      </c>
      <c r="AD4377" t="b">
        <f t="shared" ca="1" si="4503"/>
        <v>1</v>
      </c>
      <c r="AE4377" s="1" t="str">
        <f t="shared" ca="1" si="4524"/>
        <v>Garage 83</v>
      </c>
      <c r="AF4377" t="str">
        <f t="shared" ca="1" si="4501"/>
        <v>Garage 83</v>
      </c>
    </row>
    <row r="4378" spans="28:32" x14ac:dyDescent="0.25">
      <c r="AB4378" t="str">
        <f t="shared" ref="AB4378:AC4378" si="4564">AB4357</f>
        <v>External Scaffolding</v>
      </c>
      <c r="AC4378" t="str">
        <f t="shared" si="4564"/>
        <v>Lift 4</v>
      </c>
      <c r="AD4378" t="b">
        <f t="shared" ca="1" si="4503"/>
        <v>0</v>
      </c>
      <c r="AE4378" s="1" t="str">
        <f t="shared" ca="1" si="4524"/>
        <v>Garage 83</v>
      </c>
      <c r="AF4378" t="str">
        <f t="shared" ca="1" si="4501"/>
        <v>Garage 83</v>
      </c>
    </row>
    <row r="4379" spans="28:32" x14ac:dyDescent="0.25">
      <c r="AB4379" t="str">
        <f t="shared" ref="AB4379:AC4379" si="4565">AB4358</f>
        <v>External Scaffolding</v>
      </c>
      <c r="AC4379" t="str">
        <f t="shared" si="4565"/>
        <v>Lift 5</v>
      </c>
      <c r="AD4379" t="b">
        <f t="shared" ca="1" si="4503"/>
        <v>0</v>
      </c>
      <c r="AE4379" s="1" t="str">
        <f t="shared" ca="1" si="4524"/>
        <v>Garage 83</v>
      </c>
      <c r="AF4379" t="str">
        <f t="shared" ca="1" si="4501"/>
        <v>Garage 83</v>
      </c>
    </row>
    <row r="4380" spans="28:32" x14ac:dyDescent="0.25">
      <c r="AB4380" t="str">
        <f t="shared" ref="AB4380:AC4380" si="4566">AB4359</f>
        <v>External Scaffolding</v>
      </c>
      <c r="AC4380" t="str">
        <f t="shared" si="4566"/>
        <v>Lift 6</v>
      </c>
      <c r="AD4380" t="b">
        <f t="shared" ca="1" si="4503"/>
        <v>0</v>
      </c>
      <c r="AE4380" s="1" t="str">
        <f t="shared" ca="1" si="4524"/>
        <v>Garage 83</v>
      </c>
      <c r="AF4380" t="str">
        <f t="shared" ca="1" si="4501"/>
        <v>Garage 83</v>
      </c>
    </row>
    <row r="4381" spans="28:32" x14ac:dyDescent="0.25">
      <c r="AB4381" t="str">
        <f t="shared" ref="AB4381:AC4381" si="4567">AB4360</f>
        <v>Loading Bay</v>
      </c>
      <c r="AC4381" t="str">
        <f t="shared" si="4567"/>
        <v>Lift 1</v>
      </c>
      <c r="AD4381" t="b">
        <f t="shared" ca="1" si="4503"/>
        <v>1</v>
      </c>
      <c r="AE4381" s="1" t="str">
        <f t="shared" ca="1" si="4524"/>
        <v>Garage 83</v>
      </c>
      <c r="AF4381" t="str">
        <f t="shared" ref="AF4381:AF4444" ca="1" si="4568">IF(LEFT(AE4381,1)="G",AE4381,"Plot "&amp;AE4381)</f>
        <v>Garage 83</v>
      </c>
    </row>
    <row r="4382" spans="28:32" x14ac:dyDescent="0.25">
      <c r="AB4382" t="str">
        <f t="shared" ref="AB4382:AC4382" si="4569">AB4361</f>
        <v>Loading Bay</v>
      </c>
      <c r="AC4382" t="str">
        <f t="shared" si="4569"/>
        <v>Lift 2</v>
      </c>
      <c r="AD4382" t="b">
        <f t="shared" ref="AD4382:AD4445" ca="1" si="4570">INDEX($AC$1:$JH$22,MATCH(AC4382,$AC$1:$AC$22,0),MATCH(AE4382,$AC$1:$JH$1,0))</f>
        <v>1</v>
      </c>
      <c r="AE4382" s="1" t="str">
        <f t="shared" ca="1" si="4524"/>
        <v>Garage 83</v>
      </c>
      <c r="AF4382" t="str">
        <f t="shared" ca="1" si="4568"/>
        <v>Garage 83</v>
      </c>
    </row>
    <row r="4383" spans="28:32" x14ac:dyDescent="0.25">
      <c r="AB4383" t="str">
        <f t="shared" ref="AB4383:AC4383" si="4571">AB4362</f>
        <v>Loading Bay</v>
      </c>
      <c r="AC4383" t="str">
        <f t="shared" si="4571"/>
        <v>Lift 3</v>
      </c>
      <c r="AD4383" t="b">
        <f t="shared" ca="1" si="4570"/>
        <v>1</v>
      </c>
      <c r="AE4383" s="1" t="str">
        <f t="shared" ca="1" si="4524"/>
        <v>Garage 83</v>
      </c>
      <c r="AF4383" t="str">
        <f t="shared" ca="1" si="4568"/>
        <v>Garage 83</v>
      </c>
    </row>
    <row r="4384" spans="28:32" x14ac:dyDescent="0.25">
      <c r="AB4384" t="str">
        <f t="shared" ref="AB4384:AC4384" si="4572">AB4363</f>
        <v>Loading Bay</v>
      </c>
      <c r="AC4384" t="str">
        <f t="shared" si="4572"/>
        <v>Lift 4</v>
      </c>
      <c r="AD4384" t="b">
        <f t="shared" ca="1" si="4570"/>
        <v>0</v>
      </c>
      <c r="AE4384" s="1" t="str">
        <f t="shared" ca="1" si="4524"/>
        <v>Garage 83</v>
      </c>
      <c r="AF4384" t="str">
        <f t="shared" ca="1" si="4568"/>
        <v>Garage 83</v>
      </c>
    </row>
    <row r="4385" spans="28:32" x14ac:dyDescent="0.25">
      <c r="AB4385" t="str">
        <f t="shared" ref="AB4385:AC4385" si="4573">AB4364</f>
        <v>Loading Bay</v>
      </c>
      <c r="AC4385" t="str">
        <f t="shared" si="4573"/>
        <v>Lift 5</v>
      </c>
      <c r="AD4385" t="b">
        <f t="shared" ca="1" si="4570"/>
        <v>0</v>
      </c>
      <c r="AE4385" s="1" t="str">
        <f t="shared" ca="1" si="4524"/>
        <v>Garage 83</v>
      </c>
      <c r="AF4385" t="str">
        <f t="shared" ca="1" si="4568"/>
        <v>Garage 83</v>
      </c>
    </row>
    <row r="4386" spans="28:32" x14ac:dyDescent="0.25">
      <c r="AB4386" t="str">
        <f t="shared" ref="AB4386:AC4386" si="4574">AB4365</f>
        <v>Loading Bay</v>
      </c>
      <c r="AC4386" t="str">
        <f t="shared" si="4574"/>
        <v>Lift 6</v>
      </c>
      <c r="AD4386" t="b">
        <f t="shared" ca="1" si="4570"/>
        <v>0</v>
      </c>
      <c r="AE4386" s="1" t="str">
        <f t="shared" ca="1" si="4524"/>
        <v>Garage 83</v>
      </c>
      <c r="AF4386" t="str">
        <f t="shared" ca="1" si="4568"/>
        <v>Garage 83</v>
      </c>
    </row>
    <row r="4387" spans="28:32" x14ac:dyDescent="0.25">
      <c r="AB4387" t="str">
        <f t="shared" ref="AB4387:AC4387" si="4575">AB4366</f>
        <v>Scaffolding Platform</v>
      </c>
      <c r="AC4387" t="str">
        <f t="shared" si="4575"/>
        <v>Ground Floor</v>
      </c>
      <c r="AD4387" t="b">
        <f t="shared" ca="1" si="4570"/>
        <v>1</v>
      </c>
      <c r="AE4387" s="1" t="str">
        <f t="shared" ca="1" si="4524"/>
        <v>Garage 83</v>
      </c>
      <c r="AF4387" t="str">
        <f t="shared" ca="1" si="4568"/>
        <v>Garage 83</v>
      </c>
    </row>
    <row r="4388" spans="28:32" x14ac:dyDescent="0.25">
      <c r="AB4388" t="str">
        <f t="shared" ref="AB4388:AC4388" si="4576">AB4367</f>
        <v>Scaffolding Platform</v>
      </c>
      <c r="AC4388" t="str">
        <f t="shared" si="4576"/>
        <v>First Floor</v>
      </c>
      <c r="AD4388" t="b">
        <f t="shared" ca="1" si="4570"/>
        <v>0</v>
      </c>
      <c r="AE4388" s="1" t="str">
        <f t="shared" ca="1" si="4524"/>
        <v>Garage 83</v>
      </c>
      <c r="AF4388" t="str">
        <f t="shared" ca="1" si="4568"/>
        <v>Garage 83</v>
      </c>
    </row>
    <row r="4389" spans="28:32" x14ac:dyDescent="0.25">
      <c r="AB4389" t="str">
        <f t="shared" ref="AB4389:AC4389" si="4577">AB4368</f>
        <v>Scaffolding Platform</v>
      </c>
      <c r="AC4389" t="str">
        <f t="shared" si="4577"/>
        <v>Second Floor</v>
      </c>
      <c r="AD4389" t="b">
        <f t="shared" ca="1" si="4570"/>
        <v>0</v>
      </c>
      <c r="AE4389" s="1" t="str">
        <f t="shared" ca="1" si="4524"/>
        <v>Garage 83</v>
      </c>
      <c r="AF4389" t="str">
        <f t="shared" ca="1" si="4568"/>
        <v>Garage 83</v>
      </c>
    </row>
    <row r="4390" spans="28:32" x14ac:dyDescent="0.25">
      <c r="AB4390" t="str">
        <f t="shared" ref="AB4390:AC4390" si="4578">AB4369</f>
        <v>Supporting Scaffold</v>
      </c>
      <c r="AC4390" t="str">
        <f t="shared" si="4578"/>
        <v>Ground Floor Prop.</v>
      </c>
      <c r="AD4390" t="str">
        <f t="shared" ca="1" si="4570"/>
        <v>FALSE</v>
      </c>
      <c r="AE4390" s="1" t="str">
        <f t="shared" ca="1" si="4524"/>
        <v>Garage 83</v>
      </c>
      <c r="AF4390" t="str">
        <f t="shared" ca="1" si="4568"/>
        <v>Garage 83</v>
      </c>
    </row>
    <row r="4391" spans="28:32" x14ac:dyDescent="0.25">
      <c r="AB4391" t="str">
        <f t="shared" ref="AB4391:AC4391" si="4579">AB4370</f>
        <v>Supporting Scaffold</v>
      </c>
      <c r="AC4391" t="str">
        <f t="shared" si="4579"/>
        <v>First Floor Prop.</v>
      </c>
      <c r="AD4391" t="str">
        <f t="shared" ca="1" si="4570"/>
        <v>FALSE</v>
      </c>
      <c r="AE4391" s="1" t="str">
        <f t="shared" ca="1" si="4524"/>
        <v>Garage 83</v>
      </c>
      <c r="AF4391" t="str">
        <f t="shared" ca="1" si="4568"/>
        <v>Garage 83</v>
      </c>
    </row>
    <row r="4392" spans="28:32" x14ac:dyDescent="0.25">
      <c r="AB4392" t="str">
        <f t="shared" ref="AB4392:AC4392" si="4580">AB4371</f>
        <v>Supporting Scaffold</v>
      </c>
      <c r="AC4392" t="str">
        <f t="shared" si="4580"/>
        <v>Second Floor Prop.</v>
      </c>
      <c r="AD4392" t="str">
        <f t="shared" ca="1" si="4570"/>
        <v>FALSE</v>
      </c>
      <c r="AE4392" s="1" t="str">
        <f t="shared" ca="1" si="4524"/>
        <v>Garage 83</v>
      </c>
      <c r="AF4392" t="str">
        <f t="shared" ca="1" si="4568"/>
        <v>Garage 83</v>
      </c>
    </row>
    <row r="4393" spans="28:32" x14ac:dyDescent="0.25">
      <c r="AB4393" t="str">
        <f t="shared" ref="AB4393:AC4393" si="4581">AB4372</f>
        <v>External Scaffolding</v>
      </c>
      <c r="AC4393" t="str">
        <f t="shared" si="4581"/>
        <v>Hop-ups</v>
      </c>
      <c r="AD4393" t="b">
        <f t="shared" ca="1" si="4570"/>
        <v>1</v>
      </c>
      <c r="AE4393" s="1" t="str">
        <f t="shared" ca="1" si="4524"/>
        <v>Garage 83</v>
      </c>
      <c r="AF4393" t="str">
        <f t="shared" ca="1" si="4568"/>
        <v>Garage 83</v>
      </c>
    </row>
    <row r="4394" spans="28:32" x14ac:dyDescent="0.25">
      <c r="AB4394" t="str">
        <f t="shared" ref="AB4394:AC4394" si="4582">AB4373</f>
        <v>External Scaffolding</v>
      </c>
      <c r="AC4394" t="str">
        <f t="shared" si="4582"/>
        <v>Adaptions</v>
      </c>
      <c r="AD4394" t="b">
        <f t="shared" ca="1" si="4570"/>
        <v>1</v>
      </c>
      <c r="AE4394" s="1" t="str">
        <f t="shared" ca="1" si="4524"/>
        <v>Garage 83</v>
      </c>
      <c r="AF4394" t="str">
        <f t="shared" ca="1" si="4568"/>
        <v>Garage 83</v>
      </c>
    </row>
    <row r="4395" spans="28:32" x14ac:dyDescent="0.25">
      <c r="AB4395" t="str">
        <f t="shared" ref="AB4395:AC4395" si="4583">AB4374</f>
        <v>External Scaffolding</v>
      </c>
      <c r="AC4395" t="str">
        <f t="shared" si="4583"/>
        <v>Adaption Tower</v>
      </c>
      <c r="AD4395" t="b">
        <f t="shared" ca="1" si="4570"/>
        <v>1</v>
      </c>
      <c r="AE4395" s="1" t="str">
        <f t="shared" ca="1" si="4524"/>
        <v>Garage 83</v>
      </c>
      <c r="AF4395" t="str">
        <f t="shared" ca="1" si="4568"/>
        <v>Garage 83</v>
      </c>
    </row>
    <row r="4396" spans="28:32" x14ac:dyDescent="0.25">
      <c r="AB4396" t="str">
        <f t="shared" ref="AB4396:AC4396" si="4584">AB4375</f>
        <v>External Scaffolding</v>
      </c>
      <c r="AC4396" t="str">
        <f t="shared" si="4584"/>
        <v>Lift 1</v>
      </c>
      <c r="AD4396" t="b">
        <f t="shared" ca="1" si="4570"/>
        <v>1</v>
      </c>
      <c r="AE4396" s="1" t="str">
        <f t="shared" ca="1" si="4524"/>
        <v>Garage 84</v>
      </c>
      <c r="AF4396" t="str">
        <f t="shared" ca="1" si="4568"/>
        <v>Garage 84</v>
      </c>
    </row>
    <row r="4397" spans="28:32" x14ac:dyDescent="0.25">
      <c r="AB4397" t="str">
        <f t="shared" ref="AB4397:AC4397" si="4585">AB4376</f>
        <v>External Scaffolding</v>
      </c>
      <c r="AC4397" t="str">
        <f t="shared" si="4585"/>
        <v>Lift 2</v>
      </c>
      <c r="AD4397" t="b">
        <f t="shared" ca="1" si="4570"/>
        <v>1</v>
      </c>
      <c r="AE4397" s="1" t="str">
        <f t="shared" ca="1" si="4524"/>
        <v>Garage 84</v>
      </c>
      <c r="AF4397" t="str">
        <f t="shared" ca="1" si="4568"/>
        <v>Garage 84</v>
      </c>
    </row>
    <row r="4398" spans="28:32" x14ac:dyDescent="0.25">
      <c r="AB4398" t="str">
        <f t="shared" ref="AB4398:AC4398" si="4586">AB4377</f>
        <v>External Scaffolding</v>
      </c>
      <c r="AC4398" t="str">
        <f t="shared" si="4586"/>
        <v>Lift 3</v>
      </c>
      <c r="AD4398" t="b">
        <f t="shared" ca="1" si="4570"/>
        <v>1</v>
      </c>
      <c r="AE4398" s="1" t="str">
        <f t="shared" ca="1" si="4524"/>
        <v>Garage 84</v>
      </c>
      <c r="AF4398" t="str">
        <f t="shared" ca="1" si="4568"/>
        <v>Garage 84</v>
      </c>
    </row>
    <row r="4399" spans="28:32" x14ac:dyDescent="0.25">
      <c r="AB4399" t="str">
        <f t="shared" ref="AB4399:AC4399" si="4587">AB4378</f>
        <v>External Scaffolding</v>
      </c>
      <c r="AC4399" t="str">
        <f t="shared" si="4587"/>
        <v>Lift 4</v>
      </c>
      <c r="AD4399" t="b">
        <f t="shared" ca="1" si="4570"/>
        <v>0</v>
      </c>
      <c r="AE4399" s="1" t="str">
        <f t="shared" ca="1" si="4524"/>
        <v>Garage 84</v>
      </c>
      <c r="AF4399" t="str">
        <f t="shared" ca="1" si="4568"/>
        <v>Garage 84</v>
      </c>
    </row>
    <row r="4400" spans="28:32" x14ac:dyDescent="0.25">
      <c r="AB4400" t="str">
        <f t="shared" ref="AB4400:AC4400" si="4588">AB4379</f>
        <v>External Scaffolding</v>
      </c>
      <c r="AC4400" t="str">
        <f t="shared" si="4588"/>
        <v>Lift 5</v>
      </c>
      <c r="AD4400" t="b">
        <f t="shared" ca="1" si="4570"/>
        <v>0</v>
      </c>
      <c r="AE4400" s="1" t="str">
        <f t="shared" ca="1" si="4524"/>
        <v>Garage 84</v>
      </c>
      <c r="AF4400" t="str">
        <f t="shared" ca="1" si="4568"/>
        <v>Garage 84</v>
      </c>
    </row>
    <row r="4401" spans="28:32" x14ac:dyDescent="0.25">
      <c r="AB4401" t="str">
        <f t="shared" ref="AB4401:AC4401" si="4589">AB4380</f>
        <v>External Scaffolding</v>
      </c>
      <c r="AC4401" t="str">
        <f t="shared" si="4589"/>
        <v>Lift 6</v>
      </c>
      <c r="AD4401" t="b">
        <f t="shared" ca="1" si="4570"/>
        <v>0</v>
      </c>
      <c r="AE4401" s="1" t="str">
        <f t="shared" ca="1" si="4524"/>
        <v>Garage 84</v>
      </c>
      <c r="AF4401" t="str">
        <f t="shared" ca="1" si="4568"/>
        <v>Garage 84</v>
      </c>
    </row>
    <row r="4402" spans="28:32" x14ac:dyDescent="0.25">
      <c r="AB4402" t="str">
        <f t="shared" ref="AB4402:AC4402" si="4590">AB4381</f>
        <v>Loading Bay</v>
      </c>
      <c r="AC4402" t="str">
        <f t="shared" si="4590"/>
        <v>Lift 1</v>
      </c>
      <c r="AD4402" t="b">
        <f t="shared" ca="1" si="4570"/>
        <v>1</v>
      </c>
      <c r="AE4402" s="1" t="str">
        <f t="shared" ref="AE4402:AE4465" ca="1" si="4591">OFFSET($AD$1,0,FLOOR(ROW(B4374)/21,1))</f>
        <v>Garage 84</v>
      </c>
      <c r="AF4402" t="str">
        <f t="shared" ca="1" si="4568"/>
        <v>Garage 84</v>
      </c>
    </row>
    <row r="4403" spans="28:32" x14ac:dyDescent="0.25">
      <c r="AB4403" t="str">
        <f t="shared" ref="AB4403:AC4403" si="4592">AB4382</f>
        <v>Loading Bay</v>
      </c>
      <c r="AC4403" t="str">
        <f t="shared" si="4592"/>
        <v>Lift 2</v>
      </c>
      <c r="AD4403" t="b">
        <f t="shared" ca="1" si="4570"/>
        <v>1</v>
      </c>
      <c r="AE4403" s="1" t="str">
        <f t="shared" ca="1" si="4591"/>
        <v>Garage 84</v>
      </c>
      <c r="AF4403" t="str">
        <f t="shared" ca="1" si="4568"/>
        <v>Garage 84</v>
      </c>
    </row>
    <row r="4404" spans="28:32" x14ac:dyDescent="0.25">
      <c r="AB4404" t="str">
        <f t="shared" ref="AB4404:AC4404" si="4593">AB4383</f>
        <v>Loading Bay</v>
      </c>
      <c r="AC4404" t="str">
        <f t="shared" si="4593"/>
        <v>Lift 3</v>
      </c>
      <c r="AD4404" t="b">
        <f t="shared" ca="1" si="4570"/>
        <v>1</v>
      </c>
      <c r="AE4404" s="1" t="str">
        <f t="shared" ca="1" si="4591"/>
        <v>Garage 84</v>
      </c>
      <c r="AF4404" t="str">
        <f t="shared" ca="1" si="4568"/>
        <v>Garage 84</v>
      </c>
    </row>
    <row r="4405" spans="28:32" x14ac:dyDescent="0.25">
      <c r="AB4405" t="str">
        <f t="shared" ref="AB4405:AC4405" si="4594">AB4384</f>
        <v>Loading Bay</v>
      </c>
      <c r="AC4405" t="str">
        <f t="shared" si="4594"/>
        <v>Lift 4</v>
      </c>
      <c r="AD4405" t="b">
        <f t="shared" ca="1" si="4570"/>
        <v>0</v>
      </c>
      <c r="AE4405" s="1" t="str">
        <f t="shared" ca="1" si="4591"/>
        <v>Garage 84</v>
      </c>
      <c r="AF4405" t="str">
        <f t="shared" ca="1" si="4568"/>
        <v>Garage 84</v>
      </c>
    </row>
    <row r="4406" spans="28:32" x14ac:dyDescent="0.25">
      <c r="AB4406" t="str">
        <f t="shared" ref="AB4406:AC4406" si="4595">AB4385</f>
        <v>Loading Bay</v>
      </c>
      <c r="AC4406" t="str">
        <f t="shared" si="4595"/>
        <v>Lift 5</v>
      </c>
      <c r="AD4406" t="b">
        <f t="shared" ca="1" si="4570"/>
        <v>0</v>
      </c>
      <c r="AE4406" s="1" t="str">
        <f t="shared" ca="1" si="4591"/>
        <v>Garage 84</v>
      </c>
      <c r="AF4406" t="str">
        <f t="shared" ca="1" si="4568"/>
        <v>Garage 84</v>
      </c>
    </row>
    <row r="4407" spans="28:32" x14ac:dyDescent="0.25">
      <c r="AB4407" t="str">
        <f t="shared" ref="AB4407:AC4407" si="4596">AB4386</f>
        <v>Loading Bay</v>
      </c>
      <c r="AC4407" t="str">
        <f t="shared" si="4596"/>
        <v>Lift 6</v>
      </c>
      <c r="AD4407" t="b">
        <f t="shared" ca="1" si="4570"/>
        <v>0</v>
      </c>
      <c r="AE4407" s="1" t="str">
        <f t="shared" ca="1" si="4591"/>
        <v>Garage 84</v>
      </c>
      <c r="AF4407" t="str">
        <f t="shared" ca="1" si="4568"/>
        <v>Garage 84</v>
      </c>
    </row>
    <row r="4408" spans="28:32" x14ac:dyDescent="0.25">
      <c r="AB4408" t="str">
        <f t="shared" ref="AB4408:AC4408" si="4597">AB4387</f>
        <v>Scaffolding Platform</v>
      </c>
      <c r="AC4408" t="str">
        <f t="shared" si="4597"/>
        <v>Ground Floor</v>
      </c>
      <c r="AD4408" t="b">
        <f t="shared" ca="1" si="4570"/>
        <v>1</v>
      </c>
      <c r="AE4408" s="1" t="str">
        <f t="shared" ca="1" si="4591"/>
        <v>Garage 84</v>
      </c>
      <c r="AF4408" t="str">
        <f t="shared" ca="1" si="4568"/>
        <v>Garage 84</v>
      </c>
    </row>
    <row r="4409" spans="28:32" x14ac:dyDescent="0.25">
      <c r="AB4409" t="str">
        <f t="shared" ref="AB4409:AC4409" si="4598">AB4388</f>
        <v>Scaffolding Platform</v>
      </c>
      <c r="AC4409" t="str">
        <f t="shared" si="4598"/>
        <v>First Floor</v>
      </c>
      <c r="AD4409" t="b">
        <f t="shared" ca="1" si="4570"/>
        <v>0</v>
      </c>
      <c r="AE4409" s="1" t="str">
        <f t="shared" ca="1" si="4591"/>
        <v>Garage 84</v>
      </c>
      <c r="AF4409" t="str">
        <f t="shared" ca="1" si="4568"/>
        <v>Garage 84</v>
      </c>
    </row>
    <row r="4410" spans="28:32" x14ac:dyDescent="0.25">
      <c r="AB4410" t="str">
        <f t="shared" ref="AB4410:AC4410" si="4599">AB4389</f>
        <v>Scaffolding Platform</v>
      </c>
      <c r="AC4410" t="str">
        <f t="shared" si="4599"/>
        <v>Second Floor</v>
      </c>
      <c r="AD4410" t="b">
        <f t="shared" ca="1" si="4570"/>
        <v>0</v>
      </c>
      <c r="AE4410" s="1" t="str">
        <f t="shared" ca="1" si="4591"/>
        <v>Garage 84</v>
      </c>
      <c r="AF4410" t="str">
        <f t="shared" ca="1" si="4568"/>
        <v>Garage 84</v>
      </c>
    </row>
    <row r="4411" spans="28:32" x14ac:dyDescent="0.25">
      <c r="AB4411" t="str">
        <f t="shared" ref="AB4411:AC4411" si="4600">AB4390</f>
        <v>Supporting Scaffold</v>
      </c>
      <c r="AC4411" t="str">
        <f t="shared" si="4600"/>
        <v>Ground Floor Prop.</v>
      </c>
      <c r="AD4411" t="str">
        <f t="shared" ca="1" si="4570"/>
        <v>FALSE</v>
      </c>
      <c r="AE4411" s="1" t="str">
        <f t="shared" ca="1" si="4591"/>
        <v>Garage 84</v>
      </c>
      <c r="AF4411" t="str">
        <f t="shared" ca="1" si="4568"/>
        <v>Garage 84</v>
      </c>
    </row>
    <row r="4412" spans="28:32" x14ac:dyDescent="0.25">
      <c r="AB4412" t="str">
        <f t="shared" ref="AB4412:AC4412" si="4601">AB4391</f>
        <v>Supporting Scaffold</v>
      </c>
      <c r="AC4412" t="str">
        <f t="shared" si="4601"/>
        <v>First Floor Prop.</v>
      </c>
      <c r="AD4412" t="str">
        <f t="shared" ca="1" si="4570"/>
        <v>FALSE</v>
      </c>
      <c r="AE4412" s="1" t="str">
        <f t="shared" ca="1" si="4591"/>
        <v>Garage 84</v>
      </c>
      <c r="AF4412" t="str">
        <f t="shared" ca="1" si="4568"/>
        <v>Garage 84</v>
      </c>
    </row>
    <row r="4413" spans="28:32" x14ac:dyDescent="0.25">
      <c r="AB4413" t="str">
        <f t="shared" ref="AB4413:AC4413" si="4602">AB4392</f>
        <v>Supporting Scaffold</v>
      </c>
      <c r="AC4413" t="str">
        <f t="shared" si="4602"/>
        <v>Second Floor Prop.</v>
      </c>
      <c r="AD4413" t="str">
        <f t="shared" ca="1" si="4570"/>
        <v>FALSE</v>
      </c>
      <c r="AE4413" s="1" t="str">
        <f t="shared" ca="1" si="4591"/>
        <v>Garage 84</v>
      </c>
      <c r="AF4413" t="str">
        <f t="shared" ca="1" si="4568"/>
        <v>Garage 84</v>
      </c>
    </row>
    <row r="4414" spans="28:32" x14ac:dyDescent="0.25">
      <c r="AB4414" t="str">
        <f t="shared" ref="AB4414:AC4414" si="4603">AB4393</f>
        <v>External Scaffolding</v>
      </c>
      <c r="AC4414" t="str">
        <f t="shared" si="4603"/>
        <v>Hop-ups</v>
      </c>
      <c r="AD4414" t="b">
        <f t="shared" ca="1" si="4570"/>
        <v>1</v>
      </c>
      <c r="AE4414" s="1" t="str">
        <f t="shared" ca="1" si="4591"/>
        <v>Garage 84</v>
      </c>
      <c r="AF4414" t="str">
        <f t="shared" ca="1" si="4568"/>
        <v>Garage 84</v>
      </c>
    </row>
    <row r="4415" spans="28:32" x14ac:dyDescent="0.25">
      <c r="AB4415" t="str">
        <f t="shared" ref="AB4415:AC4415" si="4604">AB4394</f>
        <v>External Scaffolding</v>
      </c>
      <c r="AC4415" t="str">
        <f t="shared" si="4604"/>
        <v>Adaptions</v>
      </c>
      <c r="AD4415" t="b">
        <f t="shared" ca="1" si="4570"/>
        <v>1</v>
      </c>
      <c r="AE4415" s="1" t="str">
        <f t="shared" ca="1" si="4591"/>
        <v>Garage 84</v>
      </c>
      <c r="AF4415" t="str">
        <f t="shared" ca="1" si="4568"/>
        <v>Garage 84</v>
      </c>
    </row>
    <row r="4416" spans="28:32" x14ac:dyDescent="0.25">
      <c r="AB4416" t="str">
        <f t="shared" ref="AB4416:AC4416" si="4605">AB4395</f>
        <v>External Scaffolding</v>
      </c>
      <c r="AC4416" t="str">
        <f t="shared" si="4605"/>
        <v>Adaption Tower</v>
      </c>
      <c r="AD4416" t="b">
        <f t="shared" ca="1" si="4570"/>
        <v>1</v>
      </c>
      <c r="AE4416" s="1" t="str">
        <f t="shared" ca="1" si="4591"/>
        <v>Garage 84</v>
      </c>
      <c r="AF4416" t="str">
        <f t="shared" ca="1" si="4568"/>
        <v>Garage 84</v>
      </c>
    </row>
    <row r="4417" spans="28:32" x14ac:dyDescent="0.25">
      <c r="AB4417" t="str">
        <f t="shared" ref="AB4417:AC4417" si="4606">AB4396</f>
        <v>External Scaffolding</v>
      </c>
      <c r="AC4417" t="str">
        <f t="shared" si="4606"/>
        <v>Lift 1</v>
      </c>
      <c r="AD4417" t="b">
        <f t="shared" ca="1" si="4570"/>
        <v>1</v>
      </c>
      <c r="AE4417" s="1" t="str">
        <f t="shared" ca="1" si="4591"/>
        <v>Garage 85</v>
      </c>
      <c r="AF4417" t="str">
        <f t="shared" ca="1" si="4568"/>
        <v>Garage 85</v>
      </c>
    </row>
    <row r="4418" spans="28:32" x14ac:dyDescent="0.25">
      <c r="AB4418" t="str">
        <f t="shared" ref="AB4418:AC4418" si="4607">AB4397</f>
        <v>External Scaffolding</v>
      </c>
      <c r="AC4418" t="str">
        <f t="shared" si="4607"/>
        <v>Lift 2</v>
      </c>
      <c r="AD4418" t="b">
        <f t="shared" ca="1" si="4570"/>
        <v>1</v>
      </c>
      <c r="AE4418" s="1" t="str">
        <f t="shared" ca="1" si="4591"/>
        <v>Garage 85</v>
      </c>
      <c r="AF4418" t="str">
        <f t="shared" ca="1" si="4568"/>
        <v>Garage 85</v>
      </c>
    </row>
    <row r="4419" spans="28:32" x14ac:dyDescent="0.25">
      <c r="AB4419" t="str">
        <f t="shared" ref="AB4419:AC4419" si="4608">AB4398</f>
        <v>External Scaffolding</v>
      </c>
      <c r="AC4419" t="str">
        <f t="shared" si="4608"/>
        <v>Lift 3</v>
      </c>
      <c r="AD4419" t="b">
        <f t="shared" ca="1" si="4570"/>
        <v>1</v>
      </c>
      <c r="AE4419" s="1" t="str">
        <f t="shared" ca="1" si="4591"/>
        <v>Garage 85</v>
      </c>
      <c r="AF4419" t="str">
        <f t="shared" ca="1" si="4568"/>
        <v>Garage 85</v>
      </c>
    </row>
    <row r="4420" spans="28:32" x14ac:dyDescent="0.25">
      <c r="AB4420" t="str">
        <f t="shared" ref="AB4420:AC4420" si="4609">AB4399</f>
        <v>External Scaffolding</v>
      </c>
      <c r="AC4420" t="str">
        <f t="shared" si="4609"/>
        <v>Lift 4</v>
      </c>
      <c r="AD4420" t="b">
        <f t="shared" ca="1" si="4570"/>
        <v>0</v>
      </c>
      <c r="AE4420" s="1" t="str">
        <f t="shared" ca="1" si="4591"/>
        <v>Garage 85</v>
      </c>
      <c r="AF4420" t="str">
        <f t="shared" ca="1" si="4568"/>
        <v>Garage 85</v>
      </c>
    </row>
    <row r="4421" spans="28:32" x14ac:dyDescent="0.25">
      <c r="AB4421" t="str">
        <f t="shared" ref="AB4421:AC4421" si="4610">AB4400</f>
        <v>External Scaffolding</v>
      </c>
      <c r="AC4421" t="str">
        <f t="shared" si="4610"/>
        <v>Lift 5</v>
      </c>
      <c r="AD4421" t="b">
        <f t="shared" ca="1" si="4570"/>
        <v>0</v>
      </c>
      <c r="AE4421" s="1" t="str">
        <f t="shared" ca="1" si="4591"/>
        <v>Garage 85</v>
      </c>
      <c r="AF4421" t="str">
        <f t="shared" ca="1" si="4568"/>
        <v>Garage 85</v>
      </c>
    </row>
    <row r="4422" spans="28:32" x14ac:dyDescent="0.25">
      <c r="AB4422" t="str">
        <f t="shared" ref="AB4422:AC4422" si="4611">AB4401</f>
        <v>External Scaffolding</v>
      </c>
      <c r="AC4422" t="str">
        <f t="shared" si="4611"/>
        <v>Lift 6</v>
      </c>
      <c r="AD4422" t="b">
        <f t="shared" ca="1" si="4570"/>
        <v>0</v>
      </c>
      <c r="AE4422" s="1" t="str">
        <f t="shared" ca="1" si="4591"/>
        <v>Garage 85</v>
      </c>
      <c r="AF4422" t="str">
        <f t="shared" ca="1" si="4568"/>
        <v>Garage 85</v>
      </c>
    </row>
    <row r="4423" spans="28:32" x14ac:dyDescent="0.25">
      <c r="AB4423" t="str">
        <f t="shared" ref="AB4423:AC4423" si="4612">AB4402</f>
        <v>Loading Bay</v>
      </c>
      <c r="AC4423" t="str">
        <f t="shared" si="4612"/>
        <v>Lift 1</v>
      </c>
      <c r="AD4423" t="b">
        <f t="shared" ca="1" si="4570"/>
        <v>1</v>
      </c>
      <c r="AE4423" s="1" t="str">
        <f t="shared" ca="1" si="4591"/>
        <v>Garage 85</v>
      </c>
      <c r="AF4423" t="str">
        <f t="shared" ca="1" si="4568"/>
        <v>Garage 85</v>
      </c>
    </row>
    <row r="4424" spans="28:32" x14ac:dyDescent="0.25">
      <c r="AB4424" t="str">
        <f t="shared" ref="AB4424:AC4424" si="4613">AB4403</f>
        <v>Loading Bay</v>
      </c>
      <c r="AC4424" t="str">
        <f t="shared" si="4613"/>
        <v>Lift 2</v>
      </c>
      <c r="AD4424" t="b">
        <f t="shared" ca="1" si="4570"/>
        <v>1</v>
      </c>
      <c r="AE4424" s="1" t="str">
        <f t="shared" ca="1" si="4591"/>
        <v>Garage 85</v>
      </c>
      <c r="AF4424" t="str">
        <f t="shared" ca="1" si="4568"/>
        <v>Garage 85</v>
      </c>
    </row>
    <row r="4425" spans="28:32" x14ac:dyDescent="0.25">
      <c r="AB4425" t="str">
        <f t="shared" ref="AB4425:AC4425" si="4614">AB4404</f>
        <v>Loading Bay</v>
      </c>
      <c r="AC4425" t="str">
        <f t="shared" si="4614"/>
        <v>Lift 3</v>
      </c>
      <c r="AD4425" t="b">
        <f t="shared" ca="1" si="4570"/>
        <v>1</v>
      </c>
      <c r="AE4425" s="1" t="str">
        <f t="shared" ca="1" si="4591"/>
        <v>Garage 85</v>
      </c>
      <c r="AF4425" t="str">
        <f t="shared" ca="1" si="4568"/>
        <v>Garage 85</v>
      </c>
    </row>
    <row r="4426" spans="28:32" x14ac:dyDescent="0.25">
      <c r="AB4426" t="str">
        <f t="shared" ref="AB4426:AC4426" si="4615">AB4405</f>
        <v>Loading Bay</v>
      </c>
      <c r="AC4426" t="str">
        <f t="shared" si="4615"/>
        <v>Lift 4</v>
      </c>
      <c r="AD4426" t="b">
        <f t="shared" ca="1" si="4570"/>
        <v>0</v>
      </c>
      <c r="AE4426" s="1" t="str">
        <f t="shared" ca="1" si="4591"/>
        <v>Garage 85</v>
      </c>
      <c r="AF4426" t="str">
        <f t="shared" ca="1" si="4568"/>
        <v>Garage 85</v>
      </c>
    </row>
    <row r="4427" spans="28:32" x14ac:dyDescent="0.25">
      <c r="AB4427" t="str">
        <f t="shared" ref="AB4427:AC4427" si="4616">AB4406</f>
        <v>Loading Bay</v>
      </c>
      <c r="AC4427" t="str">
        <f t="shared" si="4616"/>
        <v>Lift 5</v>
      </c>
      <c r="AD4427" t="b">
        <f t="shared" ca="1" si="4570"/>
        <v>0</v>
      </c>
      <c r="AE4427" s="1" t="str">
        <f t="shared" ca="1" si="4591"/>
        <v>Garage 85</v>
      </c>
      <c r="AF4427" t="str">
        <f t="shared" ca="1" si="4568"/>
        <v>Garage 85</v>
      </c>
    </row>
    <row r="4428" spans="28:32" x14ac:dyDescent="0.25">
      <c r="AB4428" t="str">
        <f t="shared" ref="AB4428:AC4428" si="4617">AB4407</f>
        <v>Loading Bay</v>
      </c>
      <c r="AC4428" t="str">
        <f t="shared" si="4617"/>
        <v>Lift 6</v>
      </c>
      <c r="AD4428" t="b">
        <f t="shared" ca="1" si="4570"/>
        <v>0</v>
      </c>
      <c r="AE4428" s="1" t="str">
        <f t="shared" ca="1" si="4591"/>
        <v>Garage 85</v>
      </c>
      <c r="AF4428" t="str">
        <f t="shared" ca="1" si="4568"/>
        <v>Garage 85</v>
      </c>
    </row>
    <row r="4429" spans="28:32" x14ac:dyDescent="0.25">
      <c r="AB4429" t="str">
        <f t="shared" ref="AB4429:AC4429" si="4618">AB4408</f>
        <v>Scaffolding Platform</v>
      </c>
      <c r="AC4429" t="str">
        <f t="shared" si="4618"/>
        <v>Ground Floor</v>
      </c>
      <c r="AD4429" t="b">
        <f t="shared" ca="1" si="4570"/>
        <v>1</v>
      </c>
      <c r="AE4429" s="1" t="str">
        <f t="shared" ca="1" si="4591"/>
        <v>Garage 85</v>
      </c>
      <c r="AF4429" t="str">
        <f t="shared" ca="1" si="4568"/>
        <v>Garage 85</v>
      </c>
    </row>
    <row r="4430" spans="28:32" x14ac:dyDescent="0.25">
      <c r="AB4430" t="str">
        <f t="shared" ref="AB4430:AC4430" si="4619">AB4409</f>
        <v>Scaffolding Platform</v>
      </c>
      <c r="AC4430" t="str">
        <f t="shared" si="4619"/>
        <v>First Floor</v>
      </c>
      <c r="AD4430" t="b">
        <f t="shared" ca="1" si="4570"/>
        <v>0</v>
      </c>
      <c r="AE4430" s="1" t="str">
        <f t="shared" ca="1" si="4591"/>
        <v>Garage 85</v>
      </c>
      <c r="AF4430" t="str">
        <f t="shared" ca="1" si="4568"/>
        <v>Garage 85</v>
      </c>
    </row>
    <row r="4431" spans="28:32" x14ac:dyDescent="0.25">
      <c r="AB4431" t="str">
        <f t="shared" ref="AB4431:AC4431" si="4620">AB4410</f>
        <v>Scaffolding Platform</v>
      </c>
      <c r="AC4431" t="str">
        <f t="shared" si="4620"/>
        <v>Second Floor</v>
      </c>
      <c r="AD4431" t="b">
        <f t="shared" ca="1" si="4570"/>
        <v>0</v>
      </c>
      <c r="AE4431" s="1" t="str">
        <f t="shared" ca="1" si="4591"/>
        <v>Garage 85</v>
      </c>
      <c r="AF4431" t="str">
        <f t="shared" ca="1" si="4568"/>
        <v>Garage 85</v>
      </c>
    </row>
    <row r="4432" spans="28:32" x14ac:dyDescent="0.25">
      <c r="AB4432" t="str">
        <f t="shared" ref="AB4432:AC4432" si="4621">AB4411</f>
        <v>Supporting Scaffold</v>
      </c>
      <c r="AC4432" t="str">
        <f t="shared" si="4621"/>
        <v>Ground Floor Prop.</v>
      </c>
      <c r="AD4432" t="str">
        <f t="shared" ca="1" si="4570"/>
        <v>FALSE</v>
      </c>
      <c r="AE4432" s="1" t="str">
        <f t="shared" ca="1" si="4591"/>
        <v>Garage 85</v>
      </c>
      <c r="AF4432" t="str">
        <f t="shared" ca="1" si="4568"/>
        <v>Garage 85</v>
      </c>
    </row>
    <row r="4433" spans="28:32" x14ac:dyDescent="0.25">
      <c r="AB4433" t="str">
        <f t="shared" ref="AB4433:AC4433" si="4622">AB4412</f>
        <v>Supporting Scaffold</v>
      </c>
      <c r="AC4433" t="str">
        <f t="shared" si="4622"/>
        <v>First Floor Prop.</v>
      </c>
      <c r="AD4433" t="str">
        <f t="shared" ca="1" si="4570"/>
        <v>FALSE</v>
      </c>
      <c r="AE4433" s="1" t="str">
        <f t="shared" ca="1" si="4591"/>
        <v>Garage 85</v>
      </c>
      <c r="AF4433" t="str">
        <f t="shared" ca="1" si="4568"/>
        <v>Garage 85</v>
      </c>
    </row>
    <row r="4434" spans="28:32" x14ac:dyDescent="0.25">
      <c r="AB4434" t="str">
        <f t="shared" ref="AB4434:AC4434" si="4623">AB4413</f>
        <v>Supporting Scaffold</v>
      </c>
      <c r="AC4434" t="str">
        <f t="shared" si="4623"/>
        <v>Second Floor Prop.</v>
      </c>
      <c r="AD4434" t="str">
        <f t="shared" ca="1" si="4570"/>
        <v>FALSE</v>
      </c>
      <c r="AE4434" s="1" t="str">
        <f t="shared" ca="1" si="4591"/>
        <v>Garage 85</v>
      </c>
      <c r="AF4434" t="str">
        <f t="shared" ca="1" si="4568"/>
        <v>Garage 85</v>
      </c>
    </row>
    <row r="4435" spans="28:32" x14ac:dyDescent="0.25">
      <c r="AB4435" t="str">
        <f t="shared" ref="AB4435:AC4435" si="4624">AB4414</f>
        <v>External Scaffolding</v>
      </c>
      <c r="AC4435" t="str">
        <f t="shared" si="4624"/>
        <v>Hop-ups</v>
      </c>
      <c r="AD4435" t="b">
        <f t="shared" ca="1" si="4570"/>
        <v>1</v>
      </c>
      <c r="AE4435" s="1" t="str">
        <f t="shared" ca="1" si="4591"/>
        <v>Garage 85</v>
      </c>
      <c r="AF4435" t="str">
        <f t="shared" ca="1" si="4568"/>
        <v>Garage 85</v>
      </c>
    </row>
    <row r="4436" spans="28:32" x14ac:dyDescent="0.25">
      <c r="AB4436" t="str">
        <f t="shared" ref="AB4436:AC4436" si="4625">AB4415</f>
        <v>External Scaffolding</v>
      </c>
      <c r="AC4436" t="str">
        <f t="shared" si="4625"/>
        <v>Adaptions</v>
      </c>
      <c r="AD4436" t="b">
        <f t="shared" ca="1" si="4570"/>
        <v>1</v>
      </c>
      <c r="AE4436" s="1" t="str">
        <f t="shared" ca="1" si="4591"/>
        <v>Garage 85</v>
      </c>
      <c r="AF4436" t="str">
        <f t="shared" ca="1" si="4568"/>
        <v>Garage 85</v>
      </c>
    </row>
    <row r="4437" spans="28:32" x14ac:dyDescent="0.25">
      <c r="AB4437" t="str">
        <f t="shared" ref="AB4437:AC4437" si="4626">AB4416</f>
        <v>External Scaffolding</v>
      </c>
      <c r="AC4437" t="str">
        <f t="shared" si="4626"/>
        <v>Adaption Tower</v>
      </c>
      <c r="AD4437" t="b">
        <f t="shared" ca="1" si="4570"/>
        <v>1</v>
      </c>
      <c r="AE4437" s="1" t="str">
        <f t="shared" ca="1" si="4591"/>
        <v>Garage 85</v>
      </c>
      <c r="AF4437" t="str">
        <f t="shared" ca="1" si="4568"/>
        <v>Garage 85</v>
      </c>
    </row>
    <row r="4438" spans="28:32" x14ac:dyDescent="0.25">
      <c r="AB4438" t="str">
        <f t="shared" ref="AB4438:AC4438" si="4627">AB4417</f>
        <v>External Scaffolding</v>
      </c>
      <c r="AC4438" t="str">
        <f t="shared" si="4627"/>
        <v>Lift 1</v>
      </c>
      <c r="AD4438" t="b">
        <f t="shared" ca="1" si="4570"/>
        <v>1</v>
      </c>
      <c r="AE4438" s="1" t="str">
        <f t="shared" ca="1" si="4591"/>
        <v>Garage 88-89</v>
      </c>
      <c r="AF4438" t="str">
        <f t="shared" ca="1" si="4568"/>
        <v>Garage 88-89</v>
      </c>
    </row>
    <row r="4439" spans="28:32" x14ac:dyDescent="0.25">
      <c r="AB4439" t="str">
        <f t="shared" ref="AB4439:AC4439" si="4628">AB4418</f>
        <v>External Scaffolding</v>
      </c>
      <c r="AC4439" t="str">
        <f t="shared" si="4628"/>
        <v>Lift 2</v>
      </c>
      <c r="AD4439" t="b">
        <f t="shared" ca="1" si="4570"/>
        <v>1</v>
      </c>
      <c r="AE4439" s="1" t="str">
        <f t="shared" ca="1" si="4591"/>
        <v>Garage 88-89</v>
      </c>
      <c r="AF4439" t="str">
        <f t="shared" ca="1" si="4568"/>
        <v>Garage 88-89</v>
      </c>
    </row>
    <row r="4440" spans="28:32" x14ac:dyDescent="0.25">
      <c r="AB4440" t="str">
        <f t="shared" ref="AB4440:AC4440" si="4629">AB4419</f>
        <v>External Scaffolding</v>
      </c>
      <c r="AC4440" t="str">
        <f t="shared" si="4629"/>
        <v>Lift 3</v>
      </c>
      <c r="AD4440" t="b">
        <f t="shared" ca="1" si="4570"/>
        <v>1</v>
      </c>
      <c r="AE4440" s="1" t="str">
        <f t="shared" ca="1" si="4591"/>
        <v>Garage 88-89</v>
      </c>
      <c r="AF4440" t="str">
        <f t="shared" ca="1" si="4568"/>
        <v>Garage 88-89</v>
      </c>
    </row>
    <row r="4441" spans="28:32" x14ac:dyDescent="0.25">
      <c r="AB4441" t="str">
        <f t="shared" ref="AB4441:AC4441" si="4630">AB4420</f>
        <v>External Scaffolding</v>
      </c>
      <c r="AC4441" t="str">
        <f t="shared" si="4630"/>
        <v>Lift 4</v>
      </c>
      <c r="AD4441" t="b">
        <f t="shared" ca="1" si="4570"/>
        <v>0</v>
      </c>
      <c r="AE4441" s="1" t="str">
        <f t="shared" ca="1" si="4591"/>
        <v>Garage 88-89</v>
      </c>
      <c r="AF4441" t="str">
        <f t="shared" ca="1" si="4568"/>
        <v>Garage 88-89</v>
      </c>
    </row>
    <row r="4442" spans="28:32" x14ac:dyDescent="0.25">
      <c r="AB4442" t="str">
        <f t="shared" ref="AB4442:AC4442" si="4631">AB4421</f>
        <v>External Scaffolding</v>
      </c>
      <c r="AC4442" t="str">
        <f t="shared" si="4631"/>
        <v>Lift 5</v>
      </c>
      <c r="AD4442" t="b">
        <f t="shared" ca="1" si="4570"/>
        <v>0</v>
      </c>
      <c r="AE4442" s="1" t="str">
        <f t="shared" ca="1" si="4591"/>
        <v>Garage 88-89</v>
      </c>
      <c r="AF4442" t="str">
        <f t="shared" ca="1" si="4568"/>
        <v>Garage 88-89</v>
      </c>
    </row>
    <row r="4443" spans="28:32" x14ac:dyDescent="0.25">
      <c r="AB4443" t="str">
        <f t="shared" ref="AB4443:AC4443" si="4632">AB4422</f>
        <v>External Scaffolding</v>
      </c>
      <c r="AC4443" t="str">
        <f t="shared" si="4632"/>
        <v>Lift 6</v>
      </c>
      <c r="AD4443" t="b">
        <f t="shared" ca="1" si="4570"/>
        <v>0</v>
      </c>
      <c r="AE4443" s="1" t="str">
        <f t="shared" ca="1" si="4591"/>
        <v>Garage 88-89</v>
      </c>
      <c r="AF4443" t="str">
        <f t="shared" ca="1" si="4568"/>
        <v>Garage 88-89</v>
      </c>
    </row>
    <row r="4444" spans="28:32" x14ac:dyDescent="0.25">
      <c r="AB4444" t="str">
        <f t="shared" ref="AB4444:AC4444" si="4633">AB4423</f>
        <v>Loading Bay</v>
      </c>
      <c r="AC4444" t="str">
        <f t="shared" si="4633"/>
        <v>Lift 1</v>
      </c>
      <c r="AD4444" t="b">
        <f t="shared" ca="1" si="4570"/>
        <v>1</v>
      </c>
      <c r="AE4444" s="1" t="str">
        <f t="shared" ca="1" si="4591"/>
        <v>Garage 88-89</v>
      </c>
      <c r="AF4444" t="str">
        <f t="shared" ca="1" si="4568"/>
        <v>Garage 88-89</v>
      </c>
    </row>
    <row r="4445" spans="28:32" x14ac:dyDescent="0.25">
      <c r="AB4445" t="str">
        <f t="shared" ref="AB4445:AC4445" si="4634">AB4424</f>
        <v>Loading Bay</v>
      </c>
      <c r="AC4445" t="str">
        <f t="shared" si="4634"/>
        <v>Lift 2</v>
      </c>
      <c r="AD4445" t="b">
        <f t="shared" ca="1" si="4570"/>
        <v>1</v>
      </c>
      <c r="AE4445" s="1" t="str">
        <f t="shared" ca="1" si="4591"/>
        <v>Garage 88-89</v>
      </c>
      <c r="AF4445" t="str">
        <f t="shared" ref="AF4445:AF4508" ca="1" si="4635">IF(LEFT(AE4445,1)="G",AE4445,"Plot "&amp;AE4445)</f>
        <v>Garage 88-89</v>
      </c>
    </row>
    <row r="4446" spans="28:32" x14ac:dyDescent="0.25">
      <c r="AB4446" t="str">
        <f t="shared" ref="AB4446:AC4446" si="4636">AB4425</f>
        <v>Loading Bay</v>
      </c>
      <c r="AC4446" t="str">
        <f t="shared" si="4636"/>
        <v>Lift 3</v>
      </c>
      <c r="AD4446" t="b">
        <f t="shared" ref="AD4446:AD4509" ca="1" si="4637">INDEX($AC$1:$JH$22,MATCH(AC4446,$AC$1:$AC$22,0),MATCH(AE4446,$AC$1:$JH$1,0))</f>
        <v>1</v>
      </c>
      <c r="AE4446" s="1" t="str">
        <f t="shared" ca="1" si="4591"/>
        <v>Garage 88-89</v>
      </c>
      <c r="AF4446" t="str">
        <f t="shared" ca="1" si="4635"/>
        <v>Garage 88-89</v>
      </c>
    </row>
    <row r="4447" spans="28:32" x14ac:dyDescent="0.25">
      <c r="AB4447" t="str">
        <f t="shared" ref="AB4447:AC4447" si="4638">AB4426</f>
        <v>Loading Bay</v>
      </c>
      <c r="AC4447" t="str">
        <f t="shared" si="4638"/>
        <v>Lift 4</v>
      </c>
      <c r="AD4447" t="b">
        <f t="shared" ca="1" si="4637"/>
        <v>0</v>
      </c>
      <c r="AE4447" s="1" t="str">
        <f t="shared" ca="1" si="4591"/>
        <v>Garage 88-89</v>
      </c>
      <c r="AF4447" t="str">
        <f t="shared" ca="1" si="4635"/>
        <v>Garage 88-89</v>
      </c>
    </row>
    <row r="4448" spans="28:32" x14ac:dyDescent="0.25">
      <c r="AB4448" t="str">
        <f t="shared" ref="AB4448:AC4448" si="4639">AB4427</f>
        <v>Loading Bay</v>
      </c>
      <c r="AC4448" t="str">
        <f t="shared" si="4639"/>
        <v>Lift 5</v>
      </c>
      <c r="AD4448" t="b">
        <f t="shared" ca="1" si="4637"/>
        <v>0</v>
      </c>
      <c r="AE4448" s="1" t="str">
        <f t="shared" ca="1" si="4591"/>
        <v>Garage 88-89</v>
      </c>
      <c r="AF4448" t="str">
        <f t="shared" ca="1" si="4635"/>
        <v>Garage 88-89</v>
      </c>
    </row>
    <row r="4449" spans="28:32" x14ac:dyDescent="0.25">
      <c r="AB4449" t="str">
        <f t="shared" ref="AB4449:AC4449" si="4640">AB4428</f>
        <v>Loading Bay</v>
      </c>
      <c r="AC4449" t="str">
        <f t="shared" si="4640"/>
        <v>Lift 6</v>
      </c>
      <c r="AD4449" t="b">
        <f t="shared" ca="1" si="4637"/>
        <v>0</v>
      </c>
      <c r="AE4449" s="1" t="str">
        <f t="shared" ca="1" si="4591"/>
        <v>Garage 88-89</v>
      </c>
      <c r="AF4449" t="str">
        <f t="shared" ca="1" si="4635"/>
        <v>Garage 88-89</v>
      </c>
    </row>
    <row r="4450" spans="28:32" x14ac:dyDescent="0.25">
      <c r="AB4450" t="str">
        <f t="shared" ref="AB4450:AC4450" si="4641">AB4429</f>
        <v>Scaffolding Platform</v>
      </c>
      <c r="AC4450" t="str">
        <f t="shared" si="4641"/>
        <v>Ground Floor</v>
      </c>
      <c r="AD4450" t="b">
        <f t="shared" ca="1" si="4637"/>
        <v>1</v>
      </c>
      <c r="AE4450" s="1" t="str">
        <f t="shared" ca="1" si="4591"/>
        <v>Garage 88-89</v>
      </c>
      <c r="AF4450" t="str">
        <f t="shared" ca="1" si="4635"/>
        <v>Garage 88-89</v>
      </c>
    </row>
    <row r="4451" spans="28:32" x14ac:dyDescent="0.25">
      <c r="AB4451" t="str">
        <f t="shared" ref="AB4451:AC4451" si="4642">AB4430</f>
        <v>Scaffolding Platform</v>
      </c>
      <c r="AC4451" t="str">
        <f t="shared" si="4642"/>
        <v>First Floor</v>
      </c>
      <c r="AD4451" t="b">
        <f t="shared" ca="1" si="4637"/>
        <v>0</v>
      </c>
      <c r="AE4451" s="1" t="str">
        <f t="shared" ca="1" si="4591"/>
        <v>Garage 88-89</v>
      </c>
      <c r="AF4451" t="str">
        <f t="shared" ca="1" si="4635"/>
        <v>Garage 88-89</v>
      </c>
    </row>
    <row r="4452" spans="28:32" x14ac:dyDescent="0.25">
      <c r="AB4452" t="str">
        <f t="shared" ref="AB4452:AC4452" si="4643">AB4431</f>
        <v>Scaffolding Platform</v>
      </c>
      <c r="AC4452" t="str">
        <f t="shared" si="4643"/>
        <v>Second Floor</v>
      </c>
      <c r="AD4452" t="b">
        <f t="shared" ca="1" si="4637"/>
        <v>0</v>
      </c>
      <c r="AE4452" s="1" t="str">
        <f t="shared" ca="1" si="4591"/>
        <v>Garage 88-89</v>
      </c>
      <c r="AF4452" t="str">
        <f t="shared" ca="1" si="4635"/>
        <v>Garage 88-89</v>
      </c>
    </row>
    <row r="4453" spans="28:32" x14ac:dyDescent="0.25">
      <c r="AB4453" t="str">
        <f t="shared" ref="AB4453:AC4453" si="4644">AB4432</f>
        <v>Supporting Scaffold</v>
      </c>
      <c r="AC4453" t="str">
        <f t="shared" si="4644"/>
        <v>Ground Floor Prop.</v>
      </c>
      <c r="AD4453" t="str">
        <f t="shared" ca="1" si="4637"/>
        <v>FALSE</v>
      </c>
      <c r="AE4453" s="1" t="str">
        <f t="shared" ca="1" si="4591"/>
        <v>Garage 88-89</v>
      </c>
      <c r="AF4453" t="str">
        <f t="shared" ca="1" si="4635"/>
        <v>Garage 88-89</v>
      </c>
    </row>
    <row r="4454" spans="28:32" x14ac:dyDescent="0.25">
      <c r="AB4454" t="str">
        <f t="shared" ref="AB4454:AC4454" si="4645">AB4433</f>
        <v>Supporting Scaffold</v>
      </c>
      <c r="AC4454" t="str">
        <f t="shared" si="4645"/>
        <v>First Floor Prop.</v>
      </c>
      <c r="AD4454" t="str">
        <f t="shared" ca="1" si="4637"/>
        <v>FALSE</v>
      </c>
      <c r="AE4454" s="1" t="str">
        <f t="shared" ca="1" si="4591"/>
        <v>Garage 88-89</v>
      </c>
      <c r="AF4454" t="str">
        <f t="shared" ca="1" si="4635"/>
        <v>Garage 88-89</v>
      </c>
    </row>
    <row r="4455" spans="28:32" x14ac:dyDescent="0.25">
      <c r="AB4455" t="str">
        <f t="shared" ref="AB4455:AC4455" si="4646">AB4434</f>
        <v>Supporting Scaffold</v>
      </c>
      <c r="AC4455" t="str">
        <f t="shared" si="4646"/>
        <v>Second Floor Prop.</v>
      </c>
      <c r="AD4455" t="str">
        <f t="shared" ca="1" si="4637"/>
        <v>FALSE</v>
      </c>
      <c r="AE4455" s="1" t="str">
        <f t="shared" ca="1" si="4591"/>
        <v>Garage 88-89</v>
      </c>
      <c r="AF4455" t="str">
        <f t="shared" ca="1" si="4635"/>
        <v>Garage 88-89</v>
      </c>
    </row>
    <row r="4456" spans="28:32" x14ac:dyDescent="0.25">
      <c r="AB4456" t="str">
        <f t="shared" ref="AB4456:AC4456" si="4647">AB4435</f>
        <v>External Scaffolding</v>
      </c>
      <c r="AC4456" t="str">
        <f t="shared" si="4647"/>
        <v>Hop-ups</v>
      </c>
      <c r="AD4456" t="b">
        <f t="shared" ca="1" si="4637"/>
        <v>1</v>
      </c>
      <c r="AE4456" s="1" t="str">
        <f t="shared" ca="1" si="4591"/>
        <v>Garage 88-89</v>
      </c>
      <c r="AF4456" t="str">
        <f t="shared" ca="1" si="4635"/>
        <v>Garage 88-89</v>
      </c>
    </row>
    <row r="4457" spans="28:32" x14ac:dyDescent="0.25">
      <c r="AB4457" t="str">
        <f t="shared" ref="AB4457:AC4457" si="4648">AB4436</f>
        <v>External Scaffolding</v>
      </c>
      <c r="AC4457" t="str">
        <f t="shared" si="4648"/>
        <v>Adaptions</v>
      </c>
      <c r="AD4457" t="b">
        <f t="shared" ca="1" si="4637"/>
        <v>1</v>
      </c>
      <c r="AE4457" s="1" t="str">
        <f t="shared" ca="1" si="4591"/>
        <v>Garage 88-89</v>
      </c>
      <c r="AF4457" t="str">
        <f t="shared" ca="1" si="4635"/>
        <v>Garage 88-89</v>
      </c>
    </row>
    <row r="4458" spans="28:32" x14ac:dyDescent="0.25">
      <c r="AB4458" t="str">
        <f t="shared" ref="AB4458:AC4458" si="4649">AB4437</f>
        <v>External Scaffolding</v>
      </c>
      <c r="AC4458" t="str">
        <f t="shared" si="4649"/>
        <v>Adaption Tower</v>
      </c>
      <c r="AD4458" t="b">
        <f t="shared" ca="1" si="4637"/>
        <v>1</v>
      </c>
      <c r="AE4458" s="1" t="str">
        <f t="shared" ca="1" si="4591"/>
        <v>Garage 88-89</v>
      </c>
      <c r="AF4458" t="str">
        <f t="shared" ca="1" si="4635"/>
        <v>Garage 88-89</v>
      </c>
    </row>
    <row r="4459" spans="28:32" x14ac:dyDescent="0.25">
      <c r="AB4459" t="str">
        <f t="shared" ref="AB4459:AC4459" si="4650">AB4438</f>
        <v>External Scaffolding</v>
      </c>
      <c r="AC4459" t="str">
        <f t="shared" si="4650"/>
        <v>Lift 1</v>
      </c>
      <c r="AD4459" t="b">
        <f t="shared" ca="1" si="4637"/>
        <v>1</v>
      </c>
      <c r="AE4459" s="1" t="str">
        <f t="shared" ca="1" si="4591"/>
        <v>Garage 90</v>
      </c>
      <c r="AF4459" t="str">
        <f t="shared" ca="1" si="4635"/>
        <v>Garage 90</v>
      </c>
    </row>
    <row r="4460" spans="28:32" x14ac:dyDescent="0.25">
      <c r="AB4460" t="str">
        <f t="shared" ref="AB4460:AC4460" si="4651">AB4439</f>
        <v>External Scaffolding</v>
      </c>
      <c r="AC4460" t="str">
        <f t="shared" si="4651"/>
        <v>Lift 2</v>
      </c>
      <c r="AD4460" t="b">
        <f t="shared" ca="1" si="4637"/>
        <v>1</v>
      </c>
      <c r="AE4460" s="1" t="str">
        <f t="shared" ca="1" si="4591"/>
        <v>Garage 90</v>
      </c>
      <c r="AF4460" t="str">
        <f t="shared" ca="1" si="4635"/>
        <v>Garage 90</v>
      </c>
    </row>
    <row r="4461" spans="28:32" x14ac:dyDescent="0.25">
      <c r="AB4461" t="str">
        <f t="shared" ref="AB4461:AC4461" si="4652">AB4440</f>
        <v>External Scaffolding</v>
      </c>
      <c r="AC4461" t="str">
        <f t="shared" si="4652"/>
        <v>Lift 3</v>
      </c>
      <c r="AD4461" t="b">
        <f t="shared" ca="1" si="4637"/>
        <v>1</v>
      </c>
      <c r="AE4461" s="1" t="str">
        <f t="shared" ca="1" si="4591"/>
        <v>Garage 90</v>
      </c>
      <c r="AF4461" t="str">
        <f t="shared" ca="1" si="4635"/>
        <v>Garage 90</v>
      </c>
    </row>
    <row r="4462" spans="28:32" x14ac:dyDescent="0.25">
      <c r="AB4462" t="str">
        <f t="shared" ref="AB4462:AC4462" si="4653">AB4441</f>
        <v>External Scaffolding</v>
      </c>
      <c r="AC4462" t="str">
        <f t="shared" si="4653"/>
        <v>Lift 4</v>
      </c>
      <c r="AD4462" t="b">
        <f t="shared" ca="1" si="4637"/>
        <v>0</v>
      </c>
      <c r="AE4462" s="1" t="str">
        <f t="shared" ca="1" si="4591"/>
        <v>Garage 90</v>
      </c>
      <c r="AF4462" t="str">
        <f t="shared" ca="1" si="4635"/>
        <v>Garage 90</v>
      </c>
    </row>
    <row r="4463" spans="28:32" x14ac:dyDescent="0.25">
      <c r="AB4463" t="str">
        <f t="shared" ref="AB4463:AC4463" si="4654">AB4442</f>
        <v>External Scaffolding</v>
      </c>
      <c r="AC4463" t="str">
        <f t="shared" si="4654"/>
        <v>Lift 5</v>
      </c>
      <c r="AD4463" t="b">
        <f t="shared" ca="1" si="4637"/>
        <v>0</v>
      </c>
      <c r="AE4463" s="1" t="str">
        <f t="shared" ca="1" si="4591"/>
        <v>Garage 90</v>
      </c>
      <c r="AF4463" t="str">
        <f t="shared" ca="1" si="4635"/>
        <v>Garage 90</v>
      </c>
    </row>
    <row r="4464" spans="28:32" x14ac:dyDescent="0.25">
      <c r="AB4464" t="str">
        <f t="shared" ref="AB4464:AC4464" si="4655">AB4443</f>
        <v>External Scaffolding</v>
      </c>
      <c r="AC4464" t="str">
        <f t="shared" si="4655"/>
        <v>Lift 6</v>
      </c>
      <c r="AD4464" t="b">
        <f t="shared" ca="1" si="4637"/>
        <v>0</v>
      </c>
      <c r="AE4464" s="1" t="str">
        <f t="shared" ca="1" si="4591"/>
        <v>Garage 90</v>
      </c>
      <c r="AF4464" t="str">
        <f t="shared" ca="1" si="4635"/>
        <v>Garage 90</v>
      </c>
    </row>
    <row r="4465" spans="28:32" x14ac:dyDescent="0.25">
      <c r="AB4465" t="str">
        <f t="shared" ref="AB4465:AC4465" si="4656">AB4444</f>
        <v>Loading Bay</v>
      </c>
      <c r="AC4465" t="str">
        <f t="shared" si="4656"/>
        <v>Lift 1</v>
      </c>
      <c r="AD4465" t="b">
        <f t="shared" ca="1" si="4637"/>
        <v>1</v>
      </c>
      <c r="AE4465" s="1" t="str">
        <f t="shared" ca="1" si="4591"/>
        <v>Garage 90</v>
      </c>
      <c r="AF4465" t="str">
        <f t="shared" ca="1" si="4635"/>
        <v>Garage 90</v>
      </c>
    </row>
    <row r="4466" spans="28:32" x14ac:dyDescent="0.25">
      <c r="AB4466" t="str">
        <f t="shared" ref="AB4466:AC4466" si="4657">AB4445</f>
        <v>Loading Bay</v>
      </c>
      <c r="AC4466" t="str">
        <f t="shared" si="4657"/>
        <v>Lift 2</v>
      </c>
      <c r="AD4466" t="b">
        <f t="shared" ca="1" si="4637"/>
        <v>1</v>
      </c>
      <c r="AE4466" s="1" t="str">
        <f t="shared" ref="AE4466:AE4529" ca="1" si="4658">OFFSET($AD$1,0,FLOOR(ROW(B4438)/21,1))</f>
        <v>Garage 90</v>
      </c>
      <c r="AF4466" t="str">
        <f t="shared" ca="1" si="4635"/>
        <v>Garage 90</v>
      </c>
    </row>
    <row r="4467" spans="28:32" x14ac:dyDescent="0.25">
      <c r="AB4467" t="str">
        <f t="shared" ref="AB4467:AC4467" si="4659">AB4446</f>
        <v>Loading Bay</v>
      </c>
      <c r="AC4467" t="str">
        <f t="shared" si="4659"/>
        <v>Lift 3</v>
      </c>
      <c r="AD4467" t="b">
        <f t="shared" ca="1" si="4637"/>
        <v>1</v>
      </c>
      <c r="AE4467" s="1" t="str">
        <f t="shared" ca="1" si="4658"/>
        <v>Garage 90</v>
      </c>
      <c r="AF4467" t="str">
        <f t="shared" ca="1" si="4635"/>
        <v>Garage 90</v>
      </c>
    </row>
    <row r="4468" spans="28:32" x14ac:dyDescent="0.25">
      <c r="AB4468" t="str">
        <f t="shared" ref="AB4468:AC4468" si="4660">AB4447</f>
        <v>Loading Bay</v>
      </c>
      <c r="AC4468" t="str">
        <f t="shared" si="4660"/>
        <v>Lift 4</v>
      </c>
      <c r="AD4468" t="b">
        <f t="shared" ca="1" si="4637"/>
        <v>0</v>
      </c>
      <c r="AE4468" s="1" t="str">
        <f t="shared" ca="1" si="4658"/>
        <v>Garage 90</v>
      </c>
      <c r="AF4468" t="str">
        <f t="shared" ca="1" si="4635"/>
        <v>Garage 90</v>
      </c>
    </row>
    <row r="4469" spans="28:32" x14ac:dyDescent="0.25">
      <c r="AB4469" t="str">
        <f t="shared" ref="AB4469:AC4469" si="4661">AB4448</f>
        <v>Loading Bay</v>
      </c>
      <c r="AC4469" t="str">
        <f t="shared" si="4661"/>
        <v>Lift 5</v>
      </c>
      <c r="AD4469" t="b">
        <f t="shared" ca="1" si="4637"/>
        <v>0</v>
      </c>
      <c r="AE4469" s="1" t="str">
        <f t="shared" ca="1" si="4658"/>
        <v>Garage 90</v>
      </c>
      <c r="AF4469" t="str">
        <f t="shared" ca="1" si="4635"/>
        <v>Garage 90</v>
      </c>
    </row>
    <row r="4470" spans="28:32" x14ac:dyDescent="0.25">
      <c r="AB4470" t="str">
        <f t="shared" ref="AB4470:AC4470" si="4662">AB4449</f>
        <v>Loading Bay</v>
      </c>
      <c r="AC4470" t="str">
        <f t="shared" si="4662"/>
        <v>Lift 6</v>
      </c>
      <c r="AD4470" t="b">
        <f t="shared" ca="1" si="4637"/>
        <v>0</v>
      </c>
      <c r="AE4470" s="1" t="str">
        <f t="shared" ca="1" si="4658"/>
        <v>Garage 90</v>
      </c>
      <c r="AF4470" t="str">
        <f t="shared" ca="1" si="4635"/>
        <v>Garage 90</v>
      </c>
    </row>
    <row r="4471" spans="28:32" x14ac:dyDescent="0.25">
      <c r="AB4471" t="str">
        <f t="shared" ref="AB4471:AC4471" si="4663">AB4450</f>
        <v>Scaffolding Platform</v>
      </c>
      <c r="AC4471" t="str">
        <f t="shared" si="4663"/>
        <v>Ground Floor</v>
      </c>
      <c r="AD4471" t="b">
        <f t="shared" ca="1" si="4637"/>
        <v>1</v>
      </c>
      <c r="AE4471" s="1" t="str">
        <f t="shared" ca="1" si="4658"/>
        <v>Garage 90</v>
      </c>
      <c r="AF4471" t="str">
        <f t="shared" ca="1" si="4635"/>
        <v>Garage 90</v>
      </c>
    </row>
    <row r="4472" spans="28:32" x14ac:dyDescent="0.25">
      <c r="AB4472" t="str">
        <f t="shared" ref="AB4472:AC4472" si="4664">AB4451</f>
        <v>Scaffolding Platform</v>
      </c>
      <c r="AC4472" t="str">
        <f t="shared" si="4664"/>
        <v>First Floor</v>
      </c>
      <c r="AD4472" t="b">
        <f t="shared" ca="1" si="4637"/>
        <v>0</v>
      </c>
      <c r="AE4472" s="1" t="str">
        <f t="shared" ca="1" si="4658"/>
        <v>Garage 90</v>
      </c>
      <c r="AF4472" t="str">
        <f t="shared" ca="1" si="4635"/>
        <v>Garage 90</v>
      </c>
    </row>
    <row r="4473" spans="28:32" x14ac:dyDescent="0.25">
      <c r="AB4473" t="str">
        <f t="shared" ref="AB4473:AC4473" si="4665">AB4452</f>
        <v>Scaffolding Platform</v>
      </c>
      <c r="AC4473" t="str">
        <f t="shared" si="4665"/>
        <v>Second Floor</v>
      </c>
      <c r="AD4473" t="b">
        <f t="shared" ca="1" si="4637"/>
        <v>0</v>
      </c>
      <c r="AE4473" s="1" t="str">
        <f t="shared" ca="1" si="4658"/>
        <v>Garage 90</v>
      </c>
      <c r="AF4473" t="str">
        <f t="shared" ca="1" si="4635"/>
        <v>Garage 90</v>
      </c>
    </row>
    <row r="4474" spans="28:32" x14ac:dyDescent="0.25">
      <c r="AB4474" t="str">
        <f t="shared" ref="AB4474:AC4474" si="4666">AB4453</f>
        <v>Supporting Scaffold</v>
      </c>
      <c r="AC4474" t="str">
        <f t="shared" si="4666"/>
        <v>Ground Floor Prop.</v>
      </c>
      <c r="AD4474" t="str">
        <f t="shared" ca="1" si="4637"/>
        <v>FALSE</v>
      </c>
      <c r="AE4474" s="1" t="str">
        <f t="shared" ca="1" si="4658"/>
        <v>Garage 90</v>
      </c>
      <c r="AF4474" t="str">
        <f t="shared" ca="1" si="4635"/>
        <v>Garage 90</v>
      </c>
    </row>
    <row r="4475" spans="28:32" x14ac:dyDescent="0.25">
      <c r="AB4475" t="str">
        <f t="shared" ref="AB4475:AC4475" si="4667">AB4454</f>
        <v>Supporting Scaffold</v>
      </c>
      <c r="AC4475" t="str">
        <f t="shared" si="4667"/>
        <v>First Floor Prop.</v>
      </c>
      <c r="AD4475" t="str">
        <f t="shared" ca="1" si="4637"/>
        <v>FALSE</v>
      </c>
      <c r="AE4475" s="1" t="str">
        <f t="shared" ca="1" si="4658"/>
        <v>Garage 90</v>
      </c>
      <c r="AF4475" t="str">
        <f t="shared" ca="1" si="4635"/>
        <v>Garage 90</v>
      </c>
    </row>
    <row r="4476" spans="28:32" x14ac:dyDescent="0.25">
      <c r="AB4476" t="str">
        <f t="shared" ref="AB4476:AC4476" si="4668">AB4455</f>
        <v>Supporting Scaffold</v>
      </c>
      <c r="AC4476" t="str">
        <f t="shared" si="4668"/>
        <v>Second Floor Prop.</v>
      </c>
      <c r="AD4476" t="str">
        <f t="shared" ca="1" si="4637"/>
        <v>FALSE</v>
      </c>
      <c r="AE4476" s="1" t="str">
        <f t="shared" ca="1" si="4658"/>
        <v>Garage 90</v>
      </c>
      <c r="AF4476" t="str">
        <f t="shared" ca="1" si="4635"/>
        <v>Garage 90</v>
      </c>
    </row>
    <row r="4477" spans="28:32" x14ac:dyDescent="0.25">
      <c r="AB4477" t="str">
        <f t="shared" ref="AB4477:AC4477" si="4669">AB4456</f>
        <v>External Scaffolding</v>
      </c>
      <c r="AC4477" t="str">
        <f t="shared" si="4669"/>
        <v>Hop-ups</v>
      </c>
      <c r="AD4477" t="b">
        <f t="shared" ca="1" si="4637"/>
        <v>1</v>
      </c>
      <c r="AE4477" s="1" t="str">
        <f t="shared" ca="1" si="4658"/>
        <v>Garage 90</v>
      </c>
      <c r="AF4477" t="str">
        <f t="shared" ca="1" si="4635"/>
        <v>Garage 90</v>
      </c>
    </row>
    <row r="4478" spans="28:32" x14ac:dyDescent="0.25">
      <c r="AB4478" t="str">
        <f t="shared" ref="AB4478:AC4478" si="4670">AB4457</f>
        <v>External Scaffolding</v>
      </c>
      <c r="AC4478" t="str">
        <f t="shared" si="4670"/>
        <v>Adaptions</v>
      </c>
      <c r="AD4478" t="b">
        <f t="shared" ca="1" si="4637"/>
        <v>1</v>
      </c>
      <c r="AE4478" s="1" t="str">
        <f t="shared" ca="1" si="4658"/>
        <v>Garage 90</v>
      </c>
      <c r="AF4478" t="str">
        <f t="shared" ca="1" si="4635"/>
        <v>Garage 90</v>
      </c>
    </row>
    <row r="4479" spans="28:32" x14ac:dyDescent="0.25">
      <c r="AB4479" t="str">
        <f t="shared" ref="AB4479:AC4479" si="4671">AB4458</f>
        <v>External Scaffolding</v>
      </c>
      <c r="AC4479" t="str">
        <f t="shared" si="4671"/>
        <v>Adaption Tower</v>
      </c>
      <c r="AD4479" t="b">
        <f t="shared" ca="1" si="4637"/>
        <v>1</v>
      </c>
      <c r="AE4479" s="1" t="str">
        <f t="shared" ca="1" si="4658"/>
        <v>Garage 90</v>
      </c>
      <c r="AF4479" t="str">
        <f t="shared" ca="1" si="4635"/>
        <v>Garage 90</v>
      </c>
    </row>
    <row r="4480" spans="28:32" x14ac:dyDescent="0.25">
      <c r="AB4480" t="str">
        <f t="shared" ref="AB4480:AC4480" si="4672">AB4459</f>
        <v>External Scaffolding</v>
      </c>
      <c r="AC4480" t="str">
        <f t="shared" si="4672"/>
        <v>Lift 1</v>
      </c>
      <c r="AD4480" t="b">
        <f t="shared" ca="1" si="4637"/>
        <v>1</v>
      </c>
      <c r="AE4480" s="1" t="str">
        <f t="shared" ca="1" si="4658"/>
        <v>Garage 109</v>
      </c>
      <c r="AF4480" t="str">
        <f t="shared" ca="1" si="4635"/>
        <v>Garage 109</v>
      </c>
    </row>
    <row r="4481" spans="28:32" x14ac:dyDescent="0.25">
      <c r="AB4481" t="str">
        <f t="shared" ref="AB4481:AC4481" si="4673">AB4460</f>
        <v>External Scaffolding</v>
      </c>
      <c r="AC4481" t="str">
        <f t="shared" si="4673"/>
        <v>Lift 2</v>
      </c>
      <c r="AD4481" t="b">
        <f t="shared" ca="1" si="4637"/>
        <v>1</v>
      </c>
      <c r="AE4481" s="1" t="str">
        <f t="shared" ca="1" si="4658"/>
        <v>Garage 109</v>
      </c>
      <c r="AF4481" t="str">
        <f t="shared" ca="1" si="4635"/>
        <v>Garage 109</v>
      </c>
    </row>
    <row r="4482" spans="28:32" x14ac:dyDescent="0.25">
      <c r="AB4482" t="str">
        <f t="shared" ref="AB4482:AC4482" si="4674">AB4461</f>
        <v>External Scaffolding</v>
      </c>
      <c r="AC4482" t="str">
        <f t="shared" si="4674"/>
        <v>Lift 3</v>
      </c>
      <c r="AD4482" t="b">
        <f t="shared" ca="1" si="4637"/>
        <v>1</v>
      </c>
      <c r="AE4482" s="1" t="str">
        <f t="shared" ca="1" si="4658"/>
        <v>Garage 109</v>
      </c>
      <c r="AF4482" t="str">
        <f t="shared" ca="1" si="4635"/>
        <v>Garage 109</v>
      </c>
    </row>
    <row r="4483" spans="28:32" x14ac:dyDescent="0.25">
      <c r="AB4483" t="str">
        <f t="shared" ref="AB4483:AC4483" si="4675">AB4462</f>
        <v>External Scaffolding</v>
      </c>
      <c r="AC4483" t="str">
        <f t="shared" si="4675"/>
        <v>Lift 4</v>
      </c>
      <c r="AD4483" t="b">
        <f t="shared" ca="1" si="4637"/>
        <v>0</v>
      </c>
      <c r="AE4483" s="1" t="str">
        <f t="shared" ca="1" si="4658"/>
        <v>Garage 109</v>
      </c>
      <c r="AF4483" t="str">
        <f t="shared" ca="1" si="4635"/>
        <v>Garage 109</v>
      </c>
    </row>
    <row r="4484" spans="28:32" x14ac:dyDescent="0.25">
      <c r="AB4484" t="str">
        <f t="shared" ref="AB4484:AC4484" si="4676">AB4463</f>
        <v>External Scaffolding</v>
      </c>
      <c r="AC4484" t="str">
        <f t="shared" si="4676"/>
        <v>Lift 5</v>
      </c>
      <c r="AD4484" t="b">
        <f t="shared" ca="1" si="4637"/>
        <v>0</v>
      </c>
      <c r="AE4484" s="1" t="str">
        <f t="shared" ca="1" si="4658"/>
        <v>Garage 109</v>
      </c>
      <c r="AF4484" t="str">
        <f t="shared" ca="1" si="4635"/>
        <v>Garage 109</v>
      </c>
    </row>
    <row r="4485" spans="28:32" x14ac:dyDescent="0.25">
      <c r="AB4485" t="str">
        <f t="shared" ref="AB4485:AC4485" si="4677">AB4464</f>
        <v>External Scaffolding</v>
      </c>
      <c r="AC4485" t="str">
        <f t="shared" si="4677"/>
        <v>Lift 6</v>
      </c>
      <c r="AD4485" t="b">
        <f t="shared" ca="1" si="4637"/>
        <v>0</v>
      </c>
      <c r="AE4485" s="1" t="str">
        <f t="shared" ca="1" si="4658"/>
        <v>Garage 109</v>
      </c>
      <c r="AF4485" t="str">
        <f t="shared" ca="1" si="4635"/>
        <v>Garage 109</v>
      </c>
    </row>
    <row r="4486" spans="28:32" x14ac:dyDescent="0.25">
      <c r="AB4486" t="str">
        <f t="shared" ref="AB4486:AC4486" si="4678">AB4465</f>
        <v>Loading Bay</v>
      </c>
      <c r="AC4486" t="str">
        <f t="shared" si="4678"/>
        <v>Lift 1</v>
      </c>
      <c r="AD4486" t="b">
        <f t="shared" ca="1" si="4637"/>
        <v>1</v>
      </c>
      <c r="AE4486" s="1" t="str">
        <f t="shared" ca="1" si="4658"/>
        <v>Garage 109</v>
      </c>
      <c r="AF4486" t="str">
        <f t="shared" ca="1" si="4635"/>
        <v>Garage 109</v>
      </c>
    </row>
    <row r="4487" spans="28:32" x14ac:dyDescent="0.25">
      <c r="AB4487" t="str">
        <f t="shared" ref="AB4487:AC4487" si="4679">AB4466</f>
        <v>Loading Bay</v>
      </c>
      <c r="AC4487" t="str">
        <f t="shared" si="4679"/>
        <v>Lift 2</v>
      </c>
      <c r="AD4487" t="b">
        <f t="shared" ca="1" si="4637"/>
        <v>1</v>
      </c>
      <c r="AE4487" s="1" t="str">
        <f t="shared" ca="1" si="4658"/>
        <v>Garage 109</v>
      </c>
      <c r="AF4487" t="str">
        <f t="shared" ca="1" si="4635"/>
        <v>Garage 109</v>
      </c>
    </row>
    <row r="4488" spans="28:32" x14ac:dyDescent="0.25">
      <c r="AB4488" t="str">
        <f t="shared" ref="AB4488:AC4488" si="4680">AB4467</f>
        <v>Loading Bay</v>
      </c>
      <c r="AC4488" t="str">
        <f t="shared" si="4680"/>
        <v>Lift 3</v>
      </c>
      <c r="AD4488" t="b">
        <f t="shared" ca="1" si="4637"/>
        <v>1</v>
      </c>
      <c r="AE4488" s="1" t="str">
        <f t="shared" ca="1" si="4658"/>
        <v>Garage 109</v>
      </c>
      <c r="AF4488" t="str">
        <f t="shared" ca="1" si="4635"/>
        <v>Garage 109</v>
      </c>
    </row>
    <row r="4489" spans="28:32" x14ac:dyDescent="0.25">
      <c r="AB4489" t="str">
        <f t="shared" ref="AB4489:AC4489" si="4681">AB4468</f>
        <v>Loading Bay</v>
      </c>
      <c r="AC4489" t="str">
        <f t="shared" si="4681"/>
        <v>Lift 4</v>
      </c>
      <c r="AD4489" t="b">
        <f t="shared" ca="1" si="4637"/>
        <v>0</v>
      </c>
      <c r="AE4489" s="1" t="str">
        <f t="shared" ca="1" si="4658"/>
        <v>Garage 109</v>
      </c>
      <c r="AF4489" t="str">
        <f t="shared" ca="1" si="4635"/>
        <v>Garage 109</v>
      </c>
    </row>
    <row r="4490" spans="28:32" x14ac:dyDescent="0.25">
      <c r="AB4490" t="str">
        <f t="shared" ref="AB4490:AC4490" si="4682">AB4469</f>
        <v>Loading Bay</v>
      </c>
      <c r="AC4490" t="str">
        <f t="shared" si="4682"/>
        <v>Lift 5</v>
      </c>
      <c r="AD4490" t="b">
        <f t="shared" ca="1" si="4637"/>
        <v>0</v>
      </c>
      <c r="AE4490" s="1" t="str">
        <f t="shared" ca="1" si="4658"/>
        <v>Garage 109</v>
      </c>
      <c r="AF4490" t="str">
        <f t="shared" ca="1" si="4635"/>
        <v>Garage 109</v>
      </c>
    </row>
    <row r="4491" spans="28:32" x14ac:dyDescent="0.25">
      <c r="AB4491" t="str">
        <f t="shared" ref="AB4491:AC4491" si="4683">AB4470</f>
        <v>Loading Bay</v>
      </c>
      <c r="AC4491" t="str">
        <f t="shared" si="4683"/>
        <v>Lift 6</v>
      </c>
      <c r="AD4491" t="b">
        <f t="shared" ca="1" si="4637"/>
        <v>0</v>
      </c>
      <c r="AE4491" s="1" t="str">
        <f t="shared" ca="1" si="4658"/>
        <v>Garage 109</v>
      </c>
      <c r="AF4491" t="str">
        <f t="shared" ca="1" si="4635"/>
        <v>Garage 109</v>
      </c>
    </row>
    <row r="4492" spans="28:32" x14ac:dyDescent="0.25">
      <c r="AB4492" t="str">
        <f t="shared" ref="AB4492:AC4492" si="4684">AB4471</f>
        <v>Scaffolding Platform</v>
      </c>
      <c r="AC4492" t="str">
        <f t="shared" si="4684"/>
        <v>Ground Floor</v>
      </c>
      <c r="AD4492" t="b">
        <f t="shared" ca="1" si="4637"/>
        <v>1</v>
      </c>
      <c r="AE4492" s="1" t="str">
        <f t="shared" ca="1" si="4658"/>
        <v>Garage 109</v>
      </c>
      <c r="AF4492" t="str">
        <f t="shared" ca="1" si="4635"/>
        <v>Garage 109</v>
      </c>
    </row>
    <row r="4493" spans="28:32" x14ac:dyDescent="0.25">
      <c r="AB4493" t="str">
        <f t="shared" ref="AB4493:AC4493" si="4685">AB4472</f>
        <v>Scaffolding Platform</v>
      </c>
      <c r="AC4493" t="str">
        <f t="shared" si="4685"/>
        <v>First Floor</v>
      </c>
      <c r="AD4493" t="b">
        <f t="shared" ca="1" si="4637"/>
        <v>0</v>
      </c>
      <c r="AE4493" s="1" t="str">
        <f t="shared" ca="1" si="4658"/>
        <v>Garage 109</v>
      </c>
      <c r="AF4493" t="str">
        <f t="shared" ca="1" si="4635"/>
        <v>Garage 109</v>
      </c>
    </row>
    <row r="4494" spans="28:32" x14ac:dyDescent="0.25">
      <c r="AB4494" t="str">
        <f t="shared" ref="AB4494:AC4494" si="4686">AB4473</f>
        <v>Scaffolding Platform</v>
      </c>
      <c r="AC4494" t="str">
        <f t="shared" si="4686"/>
        <v>Second Floor</v>
      </c>
      <c r="AD4494" t="b">
        <f t="shared" ca="1" si="4637"/>
        <v>0</v>
      </c>
      <c r="AE4494" s="1" t="str">
        <f t="shared" ca="1" si="4658"/>
        <v>Garage 109</v>
      </c>
      <c r="AF4494" t="str">
        <f t="shared" ca="1" si="4635"/>
        <v>Garage 109</v>
      </c>
    </row>
    <row r="4495" spans="28:32" x14ac:dyDescent="0.25">
      <c r="AB4495" t="str">
        <f t="shared" ref="AB4495:AC4495" si="4687">AB4474</f>
        <v>Supporting Scaffold</v>
      </c>
      <c r="AC4495" t="str">
        <f t="shared" si="4687"/>
        <v>Ground Floor Prop.</v>
      </c>
      <c r="AD4495" t="str">
        <f t="shared" ca="1" si="4637"/>
        <v>FALSE</v>
      </c>
      <c r="AE4495" s="1" t="str">
        <f t="shared" ca="1" si="4658"/>
        <v>Garage 109</v>
      </c>
      <c r="AF4495" t="str">
        <f t="shared" ca="1" si="4635"/>
        <v>Garage 109</v>
      </c>
    </row>
    <row r="4496" spans="28:32" x14ac:dyDescent="0.25">
      <c r="AB4496" t="str">
        <f t="shared" ref="AB4496:AC4496" si="4688">AB4475</f>
        <v>Supporting Scaffold</v>
      </c>
      <c r="AC4496" t="str">
        <f t="shared" si="4688"/>
        <v>First Floor Prop.</v>
      </c>
      <c r="AD4496" t="str">
        <f t="shared" ca="1" si="4637"/>
        <v>FALSE</v>
      </c>
      <c r="AE4496" s="1" t="str">
        <f t="shared" ca="1" si="4658"/>
        <v>Garage 109</v>
      </c>
      <c r="AF4496" t="str">
        <f t="shared" ca="1" si="4635"/>
        <v>Garage 109</v>
      </c>
    </row>
    <row r="4497" spans="28:32" x14ac:dyDescent="0.25">
      <c r="AB4497" t="str">
        <f t="shared" ref="AB4497:AC4497" si="4689">AB4476</f>
        <v>Supporting Scaffold</v>
      </c>
      <c r="AC4497" t="str">
        <f t="shared" si="4689"/>
        <v>Second Floor Prop.</v>
      </c>
      <c r="AD4497" t="str">
        <f t="shared" ca="1" si="4637"/>
        <v>FALSE</v>
      </c>
      <c r="AE4497" s="1" t="str">
        <f t="shared" ca="1" si="4658"/>
        <v>Garage 109</v>
      </c>
      <c r="AF4497" t="str">
        <f t="shared" ca="1" si="4635"/>
        <v>Garage 109</v>
      </c>
    </row>
    <row r="4498" spans="28:32" x14ac:dyDescent="0.25">
      <c r="AB4498" t="str">
        <f t="shared" ref="AB4498:AC4498" si="4690">AB4477</f>
        <v>External Scaffolding</v>
      </c>
      <c r="AC4498" t="str">
        <f t="shared" si="4690"/>
        <v>Hop-ups</v>
      </c>
      <c r="AD4498" t="b">
        <f t="shared" ca="1" si="4637"/>
        <v>1</v>
      </c>
      <c r="AE4498" s="1" t="str">
        <f t="shared" ca="1" si="4658"/>
        <v>Garage 109</v>
      </c>
      <c r="AF4498" t="str">
        <f t="shared" ca="1" si="4635"/>
        <v>Garage 109</v>
      </c>
    </row>
    <row r="4499" spans="28:32" x14ac:dyDescent="0.25">
      <c r="AB4499" t="str">
        <f t="shared" ref="AB4499:AC4499" si="4691">AB4478</f>
        <v>External Scaffolding</v>
      </c>
      <c r="AC4499" t="str">
        <f t="shared" si="4691"/>
        <v>Adaptions</v>
      </c>
      <c r="AD4499" t="b">
        <f t="shared" ca="1" si="4637"/>
        <v>1</v>
      </c>
      <c r="AE4499" s="1" t="str">
        <f t="shared" ca="1" si="4658"/>
        <v>Garage 109</v>
      </c>
      <c r="AF4499" t="str">
        <f t="shared" ca="1" si="4635"/>
        <v>Garage 109</v>
      </c>
    </row>
    <row r="4500" spans="28:32" x14ac:dyDescent="0.25">
      <c r="AB4500" t="str">
        <f t="shared" ref="AB4500:AC4500" si="4692">AB4479</f>
        <v>External Scaffolding</v>
      </c>
      <c r="AC4500" t="str">
        <f t="shared" si="4692"/>
        <v>Adaption Tower</v>
      </c>
      <c r="AD4500" t="b">
        <f t="shared" ca="1" si="4637"/>
        <v>1</v>
      </c>
      <c r="AE4500" s="1" t="str">
        <f t="shared" ca="1" si="4658"/>
        <v>Garage 109</v>
      </c>
      <c r="AF4500" t="str">
        <f t="shared" ca="1" si="4635"/>
        <v>Garage 109</v>
      </c>
    </row>
    <row r="4501" spans="28:32" x14ac:dyDescent="0.25">
      <c r="AB4501" t="str">
        <f t="shared" ref="AB4501:AC4501" si="4693">AB4480</f>
        <v>External Scaffolding</v>
      </c>
      <c r="AC4501" t="str">
        <f t="shared" si="4693"/>
        <v>Lift 1</v>
      </c>
      <c r="AD4501" t="b">
        <f t="shared" ca="1" si="4637"/>
        <v>1</v>
      </c>
      <c r="AE4501" s="1" t="str">
        <f t="shared" ca="1" si="4658"/>
        <v>Garage 120</v>
      </c>
      <c r="AF4501" t="str">
        <f t="shared" ca="1" si="4635"/>
        <v>Garage 120</v>
      </c>
    </row>
    <row r="4502" spans="28:32" x14ac:dyDescent="0.25">
      <c r="AB4502" t="str">
        <f t="shared" ref="AB4502:AC4502" si="4694">AB4481</f>
        <v>External Scaffolding</v>
      </c>
      <c r="AC4502" t="str">
        <f t="shared" si="4694"/>
        <v>Lift 2</v>
      </c>
      <c r="AD4502" t="b">
        <f t="shared" ca="1" si="4637"/>
        <v>1</v>
      </c>
      <c r="AE4502" s="1" t="str">
        <f t="shared" ca="1" si="4658"/>
        <v>Garage 120</v>
      </c>
      <c r="AF4502" t="str">
        <f t="shared" ca="1" si="4635"/>
        <v>Garage 120</v>
      </c>
    </row>
    <row r="4503" spans="28:32" x14ac:dyDescent="0.25">
      <c r="AB4503" t="str">
        <f t="shared" ref="AB4503:AC4503" si="4695">AB4482</f>
        <v>External Scaffolding</v>
      </c>
      <c r="AC4503" t="str">
        <f t="shared" si="4695"/>
        <v>Lift 3</v>
      </c>
      <c r="AD4503" t="b">
        <f t="shared" ca="1" si="4637"/>
        <v>1</v>
      </c>
      <c r="AE4503" s="1" t="str">
        <f t="shared" ca="1" si="4658"/>
        <v>Garage 120</v>
      </c>
      <c r="AF4503" t="str">
        <f t="shared" ca="1" si="4635"/>
        <v>Garage 120</v>
      </c>
    </row>
    <row r="4504" spans="28:32" x14ac:dyDescent="0.25">
      <c r="AB4504" t="str">
        <f t="shared" ref="AB4504:AC4504" si="4696">AB4483</f>
        <v>External Scaffolding</v>
      </c>
      <c r="AC4504" t="str">
        <f t="shared" si="4696"/>
        <v>Lift 4</v>
      </c>
      <c r="AD4504" t="b">
        <f t="shared" ca="1" si="4637"/>
        <v>0</v>
      </c>
      <c r="AE4504" s="1" t="str">
        <f t="shared" ca="1" si="4658"/>
        <v>Garage 120</v>
      </c>
      <c r="AF4504" t="str">
        <f t="shared" ca="1" si="4635"/>
        <v>Garage 120</v>
      </c>
    </row>
    <row r="4505" spans="28:32" x14ac:dyDescent="0.25">
      <c r="AB4505" t="str">
        <f t="shared" ref="AB4505:AC4505" si="4697">AB4484</f>
        <v>External Scaffolding</v>
      </c>
      <c r="AC4505" t="str">
        <f t="shared" si="4697"/>
        <v>Lift 5</v>
      </c>
      <c r="AD4505" t="b">
        <f t="shared" ca="1" si="4637"/>
        <v>0</v>
      </c>
      <c r="AE4505" s="1" t="str">
        <f t="shared" ca="1" si="4658"/>
        <v>Garage 120</v>
      </c>
      <c r="AF4505" t="str">
        <f t="shared" ca="1" si="4635"/>
        <v>Garage 120</v>
      </c>
    </row>
    <row r="4506" spans="28:32" x14ac:dyDescent="0.25">
      <c r="AB4506" t="str">
        <f t="shared" ref="AB4506:AC4506" si="4698">AB4485</f>
        <v>External Scaffolding</v>
      </c>
      <c r="AC4506" t="str">
        <f t="shared" si="4698"/>
        <v>Lift 6</v>
      </c>
      <c r="AD4506" t="b">
        <f t="shared" ca="1" si="4637"/>
        <v>0</v>
      </c>
      <c r="AE4506" s="1" t="str">
        <f t="shared" ca="1" si="4658"/>
        <v>Garage 120</v>
      </c>
      <c r="AF4506" t="str">
        <f t="shared" ca="1" si="4635"/>
        <v>Garage 120</v>
      </c>
    </row>
    <row r="4507" spans="28:32" x14ac:dyDescent="0.25">
      <c r="AB4507" t="str">
        <f t="shared" ref="AB4507:AC4507" si="4699">AB4486</f>
        <v>Loading Bay</v>
      </c>
      <c r="AC4507" t="str">
        <f t="shared" si="4699"/>
        <v>Lift 1</v>
      </c>
      <c r="AD4507" t="b">
        <f t="shared" ca="1" si="4637"/>
        <v>1</v>
      </c>
      <c r="AE4507" s="1" t="str">
        <f t="shared" ca="1" si="4658"/>
        <v>Garage 120</v>
      </c>
      <c r="AF4507" t="str">
        <f t="shared" ca="1" si="4635"/>
        <v>Garage 120</v>
      </c>
    </row>
    <row r="4508" spans="28:32" x14ac:dyDescent="0.25">
      <c r="AB4508" t="str">
        <f t="shared" ref="AB4508:AC4508" si="4700">AB4487</f>
        <v>Loading Bay</v>
      </c>
      <c r="AC4508" t="str">
        <f t="shared" si="4700"/>
        <v>Lift 2</v>
      </c>
      <c r="AD4508" t="b">
        <f t="shared" ca="1" si="4637"/>
        <v>1</v>
      </c>
      <c r="AE4508" s="1" t="str">
        <f t="shared" ca="1" si="4658"/>
        <v>Garage 120</v>
      </c>
      <c r="AF4508" t="str">
        <f t="shared" ca="1" si="4635"/>
        <v>Garage 120</v>
      </c>
    </row>
    <row r="4509" spans="28:32" x14ac:dyDescent="0.25">
      <c r="AB4509" t="str">
        <f t="shared" ref="AB4509:AC4509" si="4701">AB4488</f>
        <v>Loading Bay</v>
      </c>
      <c r="AC4509" t="str">
        <f t="shared" si="4701"/>
        <v>Lift 3</v>
      </c>
      <c r="AD4509" t="b">
        <f t="shared" ca="1" si="4637"/>
        <v>1</v>
      </c>
      <c r="AE4509" s="1" t="str">
        <f t="shared" ca="1" si="4658"/>
        <v>Garage 120</v>
      </c>
      <c r="AF4509" t="str">
        <f t="shared" ref="AF4509:AF4572" ca="1" si="4702">IF(LEFT(AE4509,1)="G",AE4509,"Plot "&amp;AE4509)</f>
        <v>Garage 120</v>
      </c>
    </row>
    <row r="4510" spans="28:32" x14ac:dyDescent="0.25">
      <c r="AB4510" t="str">
        <f t="shared" ref="AB4510:AC4510" si="4703">AB4489</f>
        <v>Loading Bay</v>
      </c>
      <c r="AC4510" t="str">
        <f t="shared" si="4703"/>
        <v>Lift 4</v>
      </c>
      <c r="AD4510" t="b">
        <f t="shared" ref="AD4510:AD4573" ca="1" si="4704">INDEX($AC$1:$JH$22,MATCH(AC4510,$AC$1:$AC$22,0),MATCH(AE4510,$AC$1:$JH$1,0))</f>
        <v>0</v>
      </c>
      <c r="AE4510" s="1" t="str">
        <f t="shared" ca="1" si="4658"/>
        <v>Garage 120</v>
      </c>
      <c r="AF4510" t="str">
        <f t="shared" ca="1" si="4702"/>
        <v>Garage 120</v>
      </c>
    </row>
    <row r="4511" spans="28:32" x14ac:dyDescent="0.25">
      <c r="AB4511" t="str">
        <f t="shared" ref="AB4511:AC4511" si="4705">AB4490</f>
        <v>Loading Bay</v>
      </c>
      <c r="AC4511" t="str">
        <f t="shared" si="4705"/>
        <v>Lift 5</v>
      </c>
      <c r="AD4511" t="b">
        <f t="shared" ca="1" si="4704"/>
        <v>0</v>
      </c>
      <c r="AE4511" s="1" t="str">
        <f t="shared" ca="1" si="4658"/>
        <v>Garage 120</v>
      </c>
      <c r="AF4511" t="str">
        <f t="shared" ca="1" si="4702"/>
        <v>Garage 120</v>
      </c>
    </row>
    <row r="4512" spans="28:32" x14ac:dyDescent="0.25">
      <c r="AB4512" t="str">
        <f t="shared" ref="AB4512:AC4512" si="4706">AB4491</f>
        <v>Loading Bay</v>
      </c>
      <c r="AC4512" t="str">
        <f t="shared" si="4706"/>
        <v>Lift 6</v>
      </c>
      <c r="AD4512" t="b">
        <f t="shared" ca="1" si="4704"/>
        <v>0</v>
      </c>
      <c r="AE4512" s="1" t="str">
        <f t="shared" ca="1" si="4658"/>
        <v>Garage 120</v>
      </c>
      <c r="AF4512" t="str">
        <f t="shared" ca="1" si="4702"/>
        <v>Garage 120</v>
      </c>
    </row>
    <row r="4513" spans="28:32" x14ac:dyDescent="0.25">
      <c r="AB4513" t="str">
        <f t="shared" ref="AB4513:AC4513" si="4707">AB4492</f>
        <v>Scaffolding Platform</v>
      </c>
      <c r="AC4513" t="str">
        <f t="shared" si="4707"/>
        <v>Ground Floor</v>
      </c>
      <c r="AD4513" t="b">
        <f t="shared" ca="1" si="4704"/>
        <v>1</v>
      </c>
      <c r="AE4513" s="1" t="str">
        <f t="shared" ca="1" si="4658"/>
        <v>Garage 120</v>
      </c>
      <c r="AF4513" t="str">
        <f t="shared" ca="1" si="4702"/>
        <v>Garage 120</v>
      </c>
    </row>
    <row r="4514" spans="28:32" x14ac:dyDescent="0.25">
      <c r="AB4514" t="str">
        <f t="shared" ref="AB4514:AC4514" si="4708">AB4493</f>
        <v>Scaffolding Platform</v>
      </c>
      <c r="AC4514" t="str">
        <f t="shared" si="4708"/>
        <v>First Floor</v>
      </c>
      <c r="AD4514" t="b">
        <f t="shared" ca="1" si="4704"/>
        <v>0</v>
      </c>
      <c r="AE4514" s="1" t="str">
        <f t="shared" ca="1" si="4658"/>
        <v>Garage 120</v>
      </c>
      <c r="AF4514" t="str">
        <f t="shared" ca="1" si="4702"/>
        <v>Garage 120</v>
      </c>
    </row>
    <row r="4515" spans="28:32" x14ac:dyDescent="0.25">
      <c r="AB4515" t="str">
        <f t="shared" ref="AB4515:AC4515" si="4709">AB4494</f>
        <v>Scaffolding Platform</v>
      </c>
      <c r="AC4515" t="str">
        <f t="shared" si="4709"/>
        <v>Second Floor</v>
      </c>
      <c r="AD4515" t="b">
        <f t="shared" ca="1" si="4704"/>
        <v>0</v>
      </c>
      <c r="AE4515" s="1" t="str">
        <f t="shared" ca="1" si="4658"/>
        <v>Garage 120</v>
      </c>
      <c r="AF4515" t="str">
        <f t="shared" ca="1" si="4702"/>
        <v>Garage 120</v>
      </c>
    </row>
    <row r="4516" spans="28:32" x14ac:dyDescent="0.25">
      <c r="AB4516" t="str">
        <f t="shared" ref="AB4516:AC4516" si="4710">AB4495</f>
        <v>Supporting Scaffold</v>
      </c>
      <c r="AC4516" t="str">
        <f t="shared" si="4710"/>
        <v>Ground Floor Prop.</v>
      </c>
      <c r="AD4516" t="str">
        <f t="shared" ca="1" si="4704"/>
        <v>FALSE</v>
      </c>
      <c r="AE4516" s="1" t="str">
        <f t="shared" ca="1" si="4658"/>
        <v>Garage 120</v>
      </c>
      <c r="AF4516" t="str">
        <f t="shared" ca="1" si="4702"/>
        <v>Garage 120</v>
      </c>
    </row>
    <row r="4517" spans="28:32" x14ac:dyDescent="0.25">
      <c r="AB4517" t="str">
        <f t="shared" ref="AB4517:AC4517" si="4711">AB4496</f>
        <v>Supporting Scaffold</v>
      </c>
      <c r="AC4517" t="str">
        <f t="shared" si="4711"/>
        <v>First Floor Prop.</v>
      </c>
      <c r="AD4517" t="str">
        <f t="shared" ca="1" si="4704"/>
        <v>FALSE</v>
      </c>
      <c r="AE4517" s="1" t="str">
        <f t="shared" ca="1" si="4658"/>
        <v>Garage 120</v>
      </c>
      <c r="AF4517" t="str">
        <f t="shared" ca="1" si="4702"/>
        <v>Garage 120</v>
      </c>
    </row>
    <row r="4518" spans="28:32" x14ac:dyDescent="0.25">
      <c r="AB4518" t="str">
        <f t="shared" ref="AB4518:AC4518" si="4712">AB4497</f>
        <v>Supporting Scaffold</v>
      </c>
      <c r="AC4518" t="str">
        <f t="shared" si="4712"/>
        <v>Second Floor Prop.</v>
      </c>
      <c r="AD4518" t="str">
        <f t="shared" ca="1" si="4704"/>
        <v>FALSE</v>
      </c>
      <c r="AE4518" s="1" t="str">
        <f t="shared" ca="1" si="4658"/>
        <v>Garage 120</v>
      </c>
      <c r="AF4518" t="str">
        <f t="shared" ca="1" si="4702"/>
        <v>Garage 120</v>
      </c>
    </row>
    <row r="4519" spans="28:32" x14ac:dyDescent="0.25">
      <c r="AB4519" t="str">
        <f t="shared" ref="AB4519:AC4519" si="4713">AB4498</f>
        <v>External Scaffolding</v>
      </c>
      <c r="AC4519" t="str">
        <f t="shared" si="4713"/>
        <v>Hop-ups</v>
      </c>
      <c r="AD4519" t="b">
        <f t="shared" ca="1" si="4704"/>
        <v>1</v>
      </c>
      <c r="AE4519" s="1" t="str">
        <f t="shared" ca="1" si="4658"/>
        <v>Garage 120</v>
      </c>
      <c r="AF4519" t="str">
        <f t="shared" ca="1" si="4702"/>
        <v>Garage 120</v>
      </c>
    </row>
    <row r="4520" spans="28:32" x14ac:dyDescent="0.25">
      <c r="AB4520" t="str">
        <f t="shared" ref="AB4520:AC4520" si="4714">AB4499</f>
        <v>External Scaffolding</v>
      </c>
      <c r="AC4520" t="str">
        <f t="shared" si="4714"/>
        <v>Adaptions</v>
      </c>
      <c r="AD4520" t="b">
        <f t="shared" ca="1" si="4704"/>
        <v>1</v>
      </c>
      <c r="AE4520" s="1" t="str">
        <f t="shared" ca="1" si="4658"/>
        <v>Garage 120</v>
      </c>
      <c r="AF4520" t="str">
        <f t="shared" ca="1" si="4702"/>
        <v>Garage 120</v>
      </c>
    </row>
    <row r="4521" spans="28:32" x14ac:dyDescent="0.25">
      <c r="AB4521" t="str">
        <f t="shared" ref="AB4521:AC4521" si="4715">AB4500</f>
        <v>External Scaffolding</v>
      </c>
      <c r="AC4521" t="str">
        <f t="shared" si="4715"/>
        <v>Adaption Tower</v>
      </c>
      <c r="AD4521" t="b">
        <f t="shared" ca="1" si="4704"/>
        <v>1</v>
      </c>
      <c r="AE4521" s="1" t="str">
        <f t="shared" ca="1" si="4658"/>
        <v>Garage 120</v>
      </c>
      <c r="AF4521" t="str">
        <f t="shared" ca="1" si="4702"/>
        <v>Garage 120</v>
      </c>
    </row>
    <row r="4522" spans="28:32" x14ac:dyDescent="0.25">
      <c r="AB4522" t="str">
        <f t="shared" ref="AB4522:AC4522" si="4716">AB4501</f>
        <v>External Scaffolding</v>
      </c>
      <c r="AC4522" t="str">
        <f t="shared" si="4716"/>
        <v>Lift 1</v>
      </c>
      <c r="AD4522" t="b">
        <f t="shared" ca="1" si="4704"/>
        <v>1</v>
      </c>
      <c r="AE4522" s="1" t="str">
        <f t="shared" ca="1" si="4658"/>
        <v>Garage 121</v>
      </c>
      <c r="AF4522" t="str">
        <f t="shared" ca="1" si="4702"/>
        <v>Garage 121</v>
      </c>
    </row>
    <row r="4523" spans="28:32" x14ac:dyDescent="0.25">
      <c r="AB4523" t="str">
        <f t="shared" ref="AB4523:AC4523" si="4717">AB4502</f>
        <v>External Scaffolding</v>
      </c>
      <c r="AC4523" t="str">
        <f t="shared" si="4717"/>
        <v>Lift 2</v>
      </c>
      <c r="AD4523" t="b">
        <f t="shared" ca="1" si="4704"/>
        <v>1</v>
      </c>
      <c r="AE4523" s="1" t="str">
        <f t="shared" ca="1" si="4658"/>
        <v>Garage 121</v>
      </c>
      <c r="AF4523" t="str">
        <f t="shared" ca="1" si="4702"/>
        <v>Garage 121</v>
      </c>
    </row>
    <row r="4524" spans="28:32" x14ac:dyDescent="0.25">
      <c r="AB4524" t="str">
        <f t="shared" ref="AB4524:AC4524" si="4718">AB4503</f>
        <v>External Scaffolding</v>
      </c>
      <c r="AC4524" t="str">
        <f t="shared" si="4718"/>
        <v>Lift 3</v>
      </c>
      <c r="AD4524" t="b">
        <f t="shared" ca="1" si="4704"/>
        <v>1</v>
      </c>
      <c r="AE4524" s="1" t="str">
        <f t="shared" ca="1" si="4658"/>
        <v>Garage 121</v>
      </c>
      <c r="AF4524" t="str">
        <f t="shared" ca="1" si="4702"/>
        <v>Garage 121</v>
      </c>
    </row>
    <row r="4525" spans="28:32" x14ac:dyDescent="0.25">
      <c r="AB4525" t="str">
        <f t="shared" ref="AB4525:AC4525" si="4719">AB4504</f>
        <v>External Scaffolding</v>
      </c>
      <c r="AC4525" t="str">
        <f t="shared" si="4719"/>
        <v>Lift 4</v>
      </c>
      <c r="AD4525" t="b">
        <f t="shared" ca="1" si="4704"/>
        <v>0</v>
      </c>
      <c r="AE4525" s="1" t="str">
        <f t="shared" ca="1" si="4658"/>
        <v>Garage 121</v>
      </c>
      <c r="AF4525" t="str">
        <f t="shared" ca="1" si="4702"/>
        <v>Garage 121</v>
      </c>
    </row>
    <row r="4526" spans="28:32" x14ac:dyDescent="0.25">
      <c r="AB4526" t="str">
        <f t="shared" ref="AB4526:AC4526" si="4720">AB4505</f>
        <v>External Scaffolding</v>
      </c>
      <c r="AC4526" t="str">
        <f t="shared" si="4720"/>
        <v>Lift 5</v>
      </c>
      <c r="AD4526" t="b">
        <f t="shared" ca="1" si="4704"/>
        <v>0</v>
      </c>
      <c r="AE4526" s="1" t="str">
        <f t="shared" ca="1" si="4658"/>
        <v>Garage 121</v>
      </c>
      <c r="AF4526" t="str">
        <f t="shared" ca="1" si="4702"/>
        <v>Garage 121</v>
      </c>
    </row>
    <row r="4527" spans="28:32" x14ac:dyDescent="0.25">
      <c r="AB4527" t="str">
        <f t="shared" ref="AB4527:AC4527" si="4721">AB4506</f>
        <v>External Scaffolding</v>
      </c>
      <c r="AC4527" t="str">
        <f t="shared" si="4721"/>
        <v>Lift 6</v>
      </c>
      <c r="AD4527" t="b">
        <f t="shared" ca="1" si="4704"/>
        <v>0</v>
      </c>
      <c r="AE4527" s="1" t="str">
        <f t="shared" ca="1" si="4658"/>
        <v>Garage 121</v>
      </c>
      <c r="AF4527" t="str">
        <f t="shared" ca="1" si="4702"/>
        <v>Garage 121</v>
      </c>
    </row>
    <row r="4528" spans="28:32" x14ac:dyDescent="0.25">
      <c r="AB4528" t="str">
        <f t="shared" ref="AB4528:AC4528" si="4722">AB4507</f>
        <v>Loading Bay</v>
      </c>
      <c r="AC4528" t="str">
        <f t="shared" si="4722"/>
        <v>Lift 1</v>
      </c>
      <c r="AD4528" t="b">
        <f t="shared" ca="1" si="4704"/>
        <v>1</v>
      </c>
      <c r="AE4528" s="1" t="str">
        <f t="shared" ca="1" si="4658"/>
        <v>Garage 121</v>
      </c>
      <c r="AF4528" t="str">
        <f t="shared" ca="1" si="4702"/>
        <v>Garage 121</v>
      </c>
    </row>
    <row r="4529" spans="28:32" x14ac:dyDescent="0.25">
      <c r="AB4529" t="str">
        <f t="shared" ref="AB4529:AC4529" si="4723">AB4508</f>
        <v>Loading Bay</v>
      </c>
      <c r="AC4529" t="str">
        <f t="shared" si="4723"/>
        <v>Lift 2</v>
      </c>
      <c r="AD4529" t="b">
        <f t="shared" ca="1" si="4704"/>
        <v>1</v>
      </c>
      <c r="AE4529" s="1" t="str">
        <f t="shared" ca="1" si="4658"/>
        <v>Garage 121</v>
      </c>
      <c r="AF4529" t="str">
        <f t="shared" ca="1" si="4702"/>
        <v>Garage 121</v>
      </c>
    </row>
    <row r="4530" spans="28:32" x14ac:dyDescent="0.25">
      <c r="AB4530" t="str">
        <f t="shared" ref="AB4530:AC4530" si="4724">AB4509</f>
        <v>Loading Bay</v>
      </c>
      <c r="AC4530" t="str">
        <f t="shared" si="4724"/>
        <v>Lift 3</v>
      </c>
      <c r="AD4530" t="b">
        <f t="shared" ca="1" si="4704"/>
        <v>1</v>
      </c>
      <c r="AE4530" s="1" t="str">
        <f t="shared" ref="AE4530:AE4570" ca="1" si="4725">OFFSET($AD$1,0,FLOOR(ROW(B4502)/21,1))</f>
        <v>Garage 121</v>
      </c>
      <c r="AF4530" t="str">
        <f t="shared" ca="1" si="4702"/>
        <v>Garage 121</v>
      </c>
    </row>
    <row r="4531" spans="28:32" x14ac:dyDescent="0.25">
      <c r="AB4531" t="str">
        <f t="shared" ref="AB4531:AC4531" si="4726">AB4510</f>
        <v>Loading Bay</v>
      </c>
      <c r="AC4531" t="str">
        <f t="shared" si="4726"/>
        <v>Lift 4</v>
      </c>
      <c r="AD4531" t="b">
        <f t="shared" ca="1" si="4704"/>
        <v>0</v>
      </c>
      <c r="AE4531" s="1" t="str">
        <f t="shared" ca="1" si="4725"/>
        <v>Garage 121</v>
      </c>
      <c r="AF4531" t="str">
        <f t="shared" ca="1" si="4702"/>
        <v>Garage 121</v>
      </c>
    </row>
    <row r="4532" spans="28:32" x14ac:dyDescent="0.25">
      <c r="AB4532" t="str">
        <f t="shared" ref="AB4532:AC4532" si="4727">AB4511</f>
        <v>Loading Bay</v>
      </c>
      <c r="AC4532" t="str">
        <f t="shared" si="4727"/>
        <v>Lift 5</v>
      </c>
      <c r="AD4532" t="b">
        <f t="shared" ca="1" si="4704"/>
        <v>0</v>
      </c>
      <c r="AE4532" s="1" t="str">
        <f t="shared" ca="1" si="4725"/>
        <v>Garage 121</v>
      </c>
      <c r="AF4532" t="str">
        <f t="shared" ca="1" si="4702"/>
        <v>Garage 121</v>
      </c>
    </row>
    <row r="4533" spans="28:32" x14ac:dyDescent="0.25">
      <c r="AB4533" t="str">
        <f t="shared" ref="AB4533:AC4533" si="4728">AB4512</f>
        <v>Loading Bay</v>
      </c>
      <c r="AC4533" t="str">
        <f t="shared" si="4728"/>
        <v>Lift 6</v>
      </c>
      <c r="AD4533" t="b">
        <f t="shared" ca="1" si="4704"/>
        <v>0</v>
      </c>
      <c r="AE4533" s="1" t="str">
        <f t="shared" ca="1" si="4725"/>
        <v>Garage 121</v>
      </c>
      <c r="AF4533" t="str">
        <f t="shared" ca="1" si="4702"/>
        <v>Garage 121</v>
      </c>
    </row>
    <row r="4534" spans="28:32" x14ac:dyDescent="0.25">
      <c r="AB4534" t="str">
        <f t="shared" ref="AB4534:AC4534" si="4729">AB4513</f>
        <v>Scaffolding Platform</v>
      </c>
      <c r="AC4534" t="str">
        <f t="shared" si="4729"/>
        <v>Ground Floor</v>
      </c>
      <c r="AD4534" t="b">
        <f t="shared" ca="1" si="4704"/>
        <v>1</v>
      </c>
      <c r="AE4534" s="1" t="str">
        <f t="shared" ca="1" si="4725"/>
        <v>Garage 121</v>
      </c>
      <c r="AF4534" t="str">
        <f t="shared" ca="1" si="4702"/>
        <v>Garage 121</v>
      </c>
    </row>
    <row r="4535" spans="28:32" x14ac:dyDescent="0.25">
      <c r="AB4535" t="str">
        <f t="shared" ref="AB4535:AC4535" si="4730">AB4514</f>
        <v>Scaffolding Platform</v>
      </c>
      <c r="AC4535" t="str">
        <f t="shared" si="4730"/>
        <v>First Floor</v>
      </c>
      <c r="AD4535" t="b">
        <f t="shared" ca="1" si="4704"/>
        <v>0</v>
      </c>
      <c r="AE4535" s="1" t="str">
        <f t="shared" ca="1" si="4725"/>
        <v>Garage 121</v>
      </c>
      <c r="AF4535" t="str">
        <f t="shared" ca="1" si="4702"/>
        <v>Garage 121</v>
      </c>
    </row>
    <row r="4536" spans="28:32" x14ac:dyDescent="0.25">
      <c r="AB4536" t="str">
        <f t="shared" ref="AB4536:AC4536" si="4731">AB4515</f>
        <v>Scaffolding Platform</v>
      </c>
      <c r="AC4536" t="str">
        <f t="shared" si="4731"/>
        <v>Second Floor</v>
      </c>
      <c r="AD4536" t="b">
        <f t="shared" ca="1" si="4704"/>
        <v>0</v>
      </c>
      <c r="AE4536" s="1" t="str">
        <f t="shared" ca="1" si="4725"/>
        <v>Garage 121</v>
      </c>
      <c r="AF4536" t="str">
        <f t="shared" ca="1" si="4702"/>
        <v>Garage 121</v>
      </c>
    </row>
    <row r="4537" spans="28:32" x14ac:dyDescent="0.25">
      <c r="AB4537" t="str">
        <f t="shared" ref="AB4537:AC4537" si="4732">AB4516</f>
        <v>Supporting Scaffold</v>
      </c>
      <c r="AC4537" t="str">
        <f t="shared" si="4732"/>
        <v>Ground Floor Prop.</v>
      </c>
      <c r="AD4537" t="str">
        <f t="shared" ca="1" si="4704"/>
        <v>FALSE</v>
      </c>
      <c r="AE4537" s="1" t="str">
        <f t="shared" ca="1" si="4725"/>
        <v>Garage 121</v>
      </c>
      <c r="AF4537" t="str">
        <f t="shared" ca="1" si="4702"/>
        <v>Garage 121</v>
      </c>
    </row>
    <row r="4538" spans="28:32" x14ac:dyDescent="0.25">
      <c r="AB4538" t="str">
        <f t="shared" ref="AB4538:AC4538" si="4733">AB4517</f>
        <v>Supporting Scaffold</v>
      </c>
      <c r="AC4538" t="str">
        <f t="shared" si="4733"/>
        <v>First Floor Prop.</v>
      </c>
      <c r="AD4538" t="str">
        <f t="shared" ca="1" si="4704"/>
        <v>FALSE</v>
      </c>
      <c r="AE4538" s="1" t="str">
        <f t="shared" ca="1" si="4725"/>
        <v>Garage 121</v>
      </c>
      <c r="AF4538" t="str">
        <f t="shared" ca="1" si="4702"/>
        <v>Garage 121</v>
      </c>
    </row>
    <row r="4539" spans="28:32" x14ac:dyDescent="0.25">
      <c r="AB4539" t="str">
        <f t="shared" ref="AB4539:AC4539" si="4734">AB4518</f>
        <v>Supporting Scaffold</v>
      </c>
      <c r="AC4539" t="str">
        <f t="shared" si="4734"/>
        <v>Second Floor Prop.</v>
      </c>
      <c r="AD4539" t="str">
        <f t="shared" ca="1" si="4704"/>
        <v>FALSE</v>
      </c>
      <c r="AE4539" s="1" t="str">
        <f t="shared" ca="1" si="4725"/>
        <v>Garage 121</v>
      </c>
      <c r="AF4539" t="str">
        <f t="shared" ca="1" si="4702"/>
        <v>Garage 121</v>
      </c>
    </row>
    <row r="4540" spans="28:32" x14ac:dyDescent="0.25">
      <c r="AB4540" t="str">
        <f t="shared" ref="AB4540:AC4540" si="4735">AB4519</f>
        <v>External Scaffolding</v>
      </c>
      <c r="AC4540" t="str">
        <f t="shared" si="4735"/>
        <v>Hop-ups</v>
      </c>
      <c r="AD4540" t="b">
        <f t="shared" ca="1" si="4704"/>
        <v>1</v>
      </c>
      <c r="AE4540" s="1" t="str">
        <f t="shared" ca="1" si="4725"/>
        <v>Garage 121</v>
      </c>
      <c r="AF4540" t="str">
        <f t="shared" ca="1" si="4702"/>
        <v>Garage 121</v>
      </c>
    </row>
    <row r="4541" spans="28:32" x14ac:dyDescent="0.25">
      <c r="AB4541" t="str">
        <f t="shared" ref="AB4541:AC4541" si="4736">AB4520</f>
        <v>External Scaffolding</v>
      </c>
      <c r="AC4541" t="str">
        <f t="shared" si="4736"/>
        <v>Adaptions</v>
      </c>
      <c r="AD4541" t="b">
        <f t="shared" ca="1" si="4704"/>
        <v>1</v>
      </c>
      <c r="AE4541" s="1" t="str">
        <f t="shared" ca="1" si="4725"/>
        <v>Garage 121</v>
      </c>
      <c r="AF4541" t="str">
        <f t="shared" ca="1" si="4702"/>
        <v>Garage 121</v>
      </c>
    </row>
    <row r="4542" spans="28:32" x14ac:dyDescent="0.25">
      <c r="AB4542" t="str">
        <f t="shared" ref="AB4542:AC4542" si="4737">AB4521</f>
        <v>External Scaffolding</v>
      </c>
      <c r="AC4542" t="str">
        <f t="shared" si="4737"/>
        <v>Adaption Tower</v>
      </c>
      <c r="AD4542" t="b">
        <f t="shared" ca="1" si="4704"/>
        <v>1</v>
      </c>
      <c r="AE4542" s="1" t="str">
        <f t="shared" ca="1" si="4725"/>
        <v>Garage 121</v>
      </c>
      <c r="AF4542" t="str">
        <f t="shared" ca="1" si="4702"/>
        <v>Garage 121</v>
      </c>
    </row>
    <row r="4543" spans="28:32" x14ac:dyDescent="0.25">
      <c r="AB4543" t="str">
        <f t="shared" ref="AB4543:AC4543" si="4738">AB4522</f>
        <v>External Scaffolding</v>
      </c>
      <c r="AC4543" t="str">
        <f t="shared" si="4738"/>
        <v>Lift 1</v>
      </c>
      <c r="AD4543" t="b">
        <f t="shared" ca="1" si="4704"/>
        <v>1</v>
      </c>
      <c r="AE4543" s="1" t="str">
        <f t="shared" ca="1" si="4725"/>
        <v>Garage 122</v>
      </c>
      <c r="AF4543" t="str">
        <f t="shared" ca="1" si="4702"/>
        <v>Garage 122</v>
      </c>
    </row>
    <row r="4544" spans="28:32" x14ac:dyDescent="0.25">
      <c r="AB4544" t="str">
        <f t="shared" ref="AB4544:AC4544" si="4739">AB4523</f>
        <v>External Scaffolding</v>
      </c>
      <c r="AC4544" t="str">
        <f t="shared" si="4739"/>
        <v>Lift 2</v>
      </c>
      <c r="AD4544" t="b">
        <f t="shared" ca="1" si="4704"/>
        <v>1</v>
      </c>
      <c r="AE4544" s="1" t="str">
        <f t="shared" ca="1" si="4725"/>
        <v>Garage 122</v>
      </c>
      <c r="AF4544" t="str">
        <f t="shared" ca="1" si="4702"/>
        <v>Garage 122</v>
      </c>
    </row>
    <row r="4545" spans="28:32" x14ac:dyDescent="0.25">
      <c r="AB4545" t="str">
        <f t="shared" ref="AB4545:AC4545" si="4740">AB4524</f>
        <v>External Scaffolding</v>
      </c>
      <c r="AC4545" t="str">
        <f t="shared" si="4740"/>
        <v>Lift 3</v>
      </c>
      <c r="AD4545" t="b">
        <f t="shared" ca="1" si="4704"/>
        <v>1</v>
      </c>
      <c r="AE4545" s="1" t="str">
        <f t="shared" ca="1" si="4725"/>
        <v>Garage 122</v>
      </c>
      <c r="AF4545" t="str">
        <f t="shared" ca="1" si="4702"/>
        <v>Garage 122</v>
      </c>
    </row>
    <row r="4546" spans="28:32" x14ac:dyDescent="0.25">
      <c r="AB4546" t="str">
        <f t="shared" ref="AB4546:AC4546" si="4741">AB4525</f>
        <v>External Scaffolding</v>
      </c>
      <c r="AC4546" t="str">
        <f t="shared" si="4741"/>
        <v>Lift 4</v>
      </c>
      <c r="AD4546" t="b">
        <f t="shared" ca="1" si="4704"/>
        <v>0</v>
      </c>
      <c r="AE4546" s="1" t="str">
        <f t="shared" ca="1" si="4725"/>
        <v>Garage 122</v>
      </c>
      <c r="AF4546" t="str">
        <f t="shared" ca="1" si="4702"/>
        <v>Garage 122</v>
      </c>
    </row>
    <row r="4547" spans="28:32" x14ac:dyDescent="0.25">
      <c r="AB4547" t="str">
        <f t="shared" ref="AB4547:AC4547" si="4742">AB4526</f>
        <v>External Scaffolding</v>
      </c>
      <c r="AC4547" t="str">
        <f t="shared" si="4742"/>
        <v>Lift 5</v>
      </c>
      <c r="AD4547" t="b">
        <f t="shared" ca="1" si="4704"/>
        <v>0</v>
      </c>
      <c r="AE4547" s="1" t="str">
        <f t="shared" ca="1" si="4725"/>
        <v>Garage 122</v>
      </c>
      <c r="AF4547" t="str">
        <f t="shared" ca="1" si="4702"/>
        <v>Garage 122</v>
      </c>
    </row>
    <row r="4548" spans="28:32" x14ac:dyDescent="0.25">
      <c r="AB4548" t="str">
        <f t="shared" ref="AB4548:AC4548" si="4743">AB4527</f>
        <v>External Scaffolding</v>
      </c>
      <c r="AC4548" t="str">
        <f t="shared" si="4743"/>
        <v>Lift 6</v>
      </c>
      <c r="AD4548" t="b">
        <f t="shared" ca="1" si="4704"/>
        <v>0</v>
      </c>
      <c r="AE4548" s="1" t="str">
        <f t="shared" ca="1" si="4725"/>
        <v>Garage 122</v>
      </c>
      <c r="AF4548" t="str">
        <f t="shared" ca="1" si="4702"/>
        <v>Garage 122</v>
      </c>
    </row>
    <row r="4549" spans="28:32" x14ac:dyDescent="0.25">
      <c r="AB4549" t="str">
        <f t="shared" ref="AB4549:AC4549" si="4744">AB4528</f>
        <v>Loading Bay</v>
      </c>
      <c r="AC4549" t="str">
        <f t="shared" si="4744"/>
        <v>Lift 1</v>
      </c>
      <c r="AD4549" t="b">
        <f t="shared" ca="1" si="4704"/>
        <v>1</v>
      </c>
      <c r="AE4549" s="1" t="str">
        <f t="shared" ca="1" si="4725"/>
        <v>Garage 122</v>
      </c>
      <c r="AF4549" t="str">
        <f t="shared" ca="1" si="4702"/>
        <v>Garage 122</v>
      </c>
    </row>
    <row r="4550" spans="28:32" x14ac:dyDescent="0.25">
      <c r="AB4550" t="str">
        <f t="shared" ref="AB4550:AC4550" si="4745">AB4529</f>
        <v>Loading Bay</v>
      </c>
      <c r="AC4550" t="str">
        <f t="shared" si="4745"/>
        <v>Lift 2</v>
      </c>
      <c r="AD4550" t="b">
        <f t="shared" ca="1" si="4704"/>
        <v>1</v>
      </c>
      <c r="AE4550" s="1" t="str">
        <f t="shared" ca="1" si="4725"/>
        <v>Garage 122</v>
      </c>
      <c r="AF4550" t="str">
        <f t="shared" ca="1" si="4702"/>
        <v>Garage 122</v>
      </c>
    </row>
    <row r="4551" spans="28:32" x14ac:dyDescent="0.25">
      <c r="AB4551" t="str">
        <f t="shared" ref="AB4551:AC4551" si="4746">AB4530</f>
        <v>Loading Bay</v>
      </c>
      <c r="AC4551" t="str">
        <f t="shared" si="4746"/>
        <v>Lift 3</v>
      </c>
      <c r="AD4551" t="b">
        <f t="shared" ca="1" si="4704"/>
        <v>1</v>
      </c>
      <c r="AE4551" s="1" t="str">
        <f t="shared" ca="1" si="4725"/>
        <v>Garage 122</v>
      </c>
      <c r="AF4551" t="str">
        <f t="shared" ca="1" si="4702"/>
        <v>Garage 122</v>
      </c>
    </row>
    <row r="4552" spans="28:32" x14ac:dyDescent="0.25">
      <c r="AB4552" t="str">
        <f t="shared" ref="AB4552:AC4552" si="4747">AB4531</f>
        <v>Loading Bay</v>
      </c>
      <c r="AC4552" t="str">
        <f t="shared" si="4747"/>
        <v>Lift 4</v>
      </c>
      <c r="AD4552" t="b">
        <f t="shared" ca="1" si="4704"/>
        <v>0</v>
      </c>
      <c r="AE4552" s="1" t="str">
        <f t="shared" ca="1" si="4725"/>
        <v>Garage 122</v>
      </c>
      <c r="AF4552" t="str">
        <f t="shared" ca="1" si="4702"/>
        <v>Garage 122</v>
      </c>
    </row>
    <row r="4553" spans="28:32" x14ac:dyDescent="0.25">
      <c r="AB4553" t="str">
        <f t="shared" ref="AB4553:AC4553" si="4748">AB4532</f>
        <v>Loading Bay</v>
      </c>
      <c r="AC4553" t="str">
        <f t="shared" si="4748"/>
        <v>Lift 5</v>
      </c>
      <c r="AD4553" t="b">
        <f t="shared" ca="1" si="4704"/>
        <v>0</v>
      </c>
      <c r="AE4553" s="1" t="str">
        <f t="shared" ca="1" si="4725"/>
        <v>Garage 122</v>
      </c>
      <c r="AF4553" t="str">
        <f t="shared" ca="1" si="4702"/>
        <v>Garage 122</v>
      </c>
    </row>
    <row r="4554" spans="28:32" x14ac:dyDescent="0.25">
      <c r="AB4554" t="str">
        <f t="shared" ref="AB4554:AC4554" si="4749">AB4533</f>
        <v>Loading Bay</v>
      </c>
      <c r="AC4554" t="str">
        <f t="shared" si="4749"/>
        <v>Lift 6</v>
      </c>
      <c r="AD4554" t="b">
        <f t="shared" ca="1" si="4704"/>
        <v>0</v>
      </c>
      <c r="AE4554" s="1" t="str">
        <f t="shared" ca="1" si="4725"/>
        <v>Garage 122</v>
      </c>
      <c r="AF4554" t="str">
        <f t="shared" ca="1" si="4702"/>
        <v>Garage 122</v>
      </c>
    </row>
    <row r="4555" spans="28:32" x14ac:dyDescent="0.25">
      <c r="AB4555" t="str">
        <f t="shared" ref="AB4555:AC4555" si="4750">AB4534</f>
        <v>Scaffolding Platform</v>
      </c>
      <c r="AC4555" t="str">
        <f t="shared" si="4750"/>
        <v>Ground Floor</v>
      </c>
      <c r="AD4555" t="b">
        <f t="shared" ca="1" si="4704"/>
        <v>1</v>
      </c>
      <c r="AE4555" s="1" t="str">
        <f t="shared" ca="1" si="4725"/>
        <v>Garage 122</v>
      </c>
      <c r="AF4555" t="str">
        <f t="shared" ca="1" si="4702"/>
        <v>Garage 122</v>
      </c>
    </row>
    <row r="4556" spans="28:32" x14ac:dyDescent="0.25">
      <c r="AB4556" t="str">
        <f t="shared" ref="AB4556:AC4556" si="4751">AB4535</f>
        <v>Scaffolding Platform</v>
      </c>
      <c r="AC4556" t="str">
        <f t="shared" si="4751"/>
        <v>First Floor</v>
      </c>
      <c r="AD4556" t="b">
        <f t="shared" ca="1" si="4704"/>
        <v>0</v>
      </c>
      <c r="AE4556" s="1" t="str">
        <f t="shared" ca="1" si="4725"/>
        <v>Garage 122</v>
      </c>
      <c r="AF4556" t="str">
        <f t="shared" ca="1" si="4702"/>
        <v>Garage 122</v>
      </c>
    </row>
    <row r="4557" spans="28:32" x14ac:dyDescent="0.25">
      <c r="AB4557" t="str">
        <f t="shared" ref="AB4557:AC4557" si="4752">AB4536</f>
        <v>Scaffolding Platform</v>
      </c>
      <c r="AC4557" t="str">
        <f t="shared" si="4752"/>
        <v>Second Floor</v>
      </c>
      <c r="AD4557" t="b">
        <f t="shared" ca="1" si="4704"/>
        <v>0</v>
      </c>
      <c r="AE4557" s="1" t="str">
        <f t="shared" ca="1" si="4725"/>
        <v>Garage 122</v>
      </c>
      <c r="AF4557" t="str">
        <f t="shared" ca="1" si="4702"/>
        <v>Garage 122</v>
      </c>
    </row>
    <row r="4558" spans="28:32" x14ac:dyDescent="0.25">
      <c r="AB4558" t="str">
        <f t="shared" ref="AB4558:AC4558" si="4753">AB4537</f>
        <v>Supporting Scaffold</v>
      </c>
      <c r="AC4558" t="str">
        <f t="shared" si="4753"/>
        <v>Ground Floor Prop.</v>
      </c>
      <c r="AD4558" t="str">
        <f t="shared" ca="1" si="4704"/>
        <v>FALSE</v>
      </c>
      <c r="AE4558" s="1" t="str">
        <f t="shared" ca="1" si="4725"/>
        <v>Garage 122</v>
      </c>
      <c r="AF4558" t="str">
        <f t="shared" ca="1" si="4702"/>
        <v>Garage 122</v>
      </c>
    </row>
    <row r="4559" spans="28:32" x14ac:dyDescent="0.25">
      <c r="AB4559" t="str">
        <f t="shared" ref="AB4559:AC4559" si="4754">AB4538</f>
        <v>Supporting Scaffold</v>
      </c>
      <c r="AC4559" t="str">
        <f t="shared" si="4754"/>
        <v>First Floor Prop.</v>
      </c>
      <c r="AD4559" t="str">
        <f t="shared" ca="1" si="4704"/>
        <v>FALSE</v>
      </c>
      <c r="AE4559" s="1" t="str">
        <f t="shared" ca="1" si="4725"/>
        <v>Garage 122</v>
      </c>
      <c r="AF4559" t="str">
        <f t="shared" ca="1" si="4702"/>
        <v>Garage 122</v>
      </c>
    </row>
    <row r="4560" spans="28:32" x14ac:dyDescent="0.25">
      <c r="AB4560" t="str">
        <f t="shared" ref="AB4560:AC4560" si="4755">AB4539</f>
        <v>Supporting Scaffold</v>
      </c>
      <c r="AC4560" t="str">
        <f t="shared" si="4755"/>
        <v>Second Floor Prop.</v>
      </c>
      <c r="AD4560" t="str">
        <f t="shared" ca="1" si="4704"/>
        <v>FALSE</v>
      </c>
      <c r="AE4560" s="1" t="str">
        <f t="shared" ca="1" si="4725"/>
        <v>Garage 122</v>
      </c>
      <c r="AF4560" t="str">
        <f t="shared" ca="1" si="4702"/>
        <v>Garage 122</v>
      </c>
    </row>
    <row r="4561" spans="28:32" x14ac:dyDescent="0.25">
      <c r="AB4561" t="str">
        <f t="shared" ref="AB4561:AC4561" si="4756">AB4540</f>
        <v>External Scaffolding</v>
      </c>
      <c r="AC4561" t="str">
        <f t="shared" si="4756"/>
        <v>Hop-ups</v>
      </c>
      <c r="AD4561" t="b">
        <f t="shared" ca="1" si="4704"/>
        <v>1</v>
      </c>
      <c r="AE4561" s="1" t="str">
        <f t="shared" ca="1" si="4725"/>
        <v>Garage 122</v>
      </c>
      <c r="AF4561" t="str">
        <f t="shared" ca="1" si="4702"/>
        <v>Garage 122</v>
      </c>
    </row>
    <row r="4562" spans="28:32" x14ac:dyDescent="0.25">
      <c r="AB4562" t="str">
        <f t="shared" ref="AB4562:AC4562" si="4757">AB4541</f>
        <v>External Scaffolding</v>
      </c>
      <c r="AC4562" t="str">
        <f t="shared" si="4757"/>
        <v>Adaptions</v>
      </c>
      <c r="AD4562" t="b">
        <f t="shared" ca="1" si="4704"/>
        <v>1</v>
      </c>
      <c r="AE4562" s="1" t="str">
        <f t="shared" ca="1" si="4725"/>
        <v>Garage 122</v>
      </c>
      <c r="AF4562" t="str">
        <f t="shared" ca="1" si="4702"/>
        <v>Garage 122</v>
      </c>
    </row>
    <row r="4563" spans="28:32" x14ac:dyDescent="0.25">
      <c r="AB4563" t="str">
        <f t="shared" ref="AB4563:AC4563" si="4758">AB4542</f>
        <v>External Scaffolding</v>
      </c>
      <c r="AC4563" t="str">
        <f t="shared" si="4758"/>
        <v>Adaption Tower</v>
      </c>
      <c r="AD4563" t="b">
        <f t="shared" ca="1" si="4704"/>
        <v>1</v>
      </c>
      <c r="AE4563" s="1" t="str">
        <f t="shared" ca="1" si="4725"/>
        <v>Garage 122</v>
      </c>
      <c r="AF4563" t="str">
        <f t="shared" ca="1" si="4702"/>
        <v>Garage 122</v>
      </c>
    </row>
    <row r="4564" spans="28:32" x14ac:dyDescent="0.25">
      <c r="AB4564" t="str">
        <f t="shared" ref="AB4564:AC4564" si="4759">AB4543</f>
        <v>External Scaffolding</v>
      </c>
      <c r="AC4564" t="str">
        <f t="shared" si="4759"/>
        <v>Lift 1</v>
      </c>
      <c r="AD4564" t="b">
        <f t="shared" ca="1" si="4704"/>
        <v>1</v>
      </c>
      <c r="AE4564" s="1" t="str">
        <f t="shared" ca="1" si="4725"/>
        <v>Garage 123</v>
      </c>
      <c r="AF4564" t="str">
        <f t="shared" ca="1" si="4702"/>
        <v>Garage 123</v>
      </c>
    </row>
    <row r="4565" spans="28:32" x14ac:dyDescent="0.25">
      <c r="AB4565" t="str">
        <f t="shared" ref="AB4565:AC4565" si="4760">AB4544</f>
        <v>External Scaffolding</v>
      </c>
      <c r="AC4565" t="str">
        <f t="shared" si="4760"/>
        <v>Lift 2</v>
      </c>
      <c r="AD4565" t="b">
        <f t="shared" ca="1" si="4704"/>
        <v>1</v>
      </c>
      <c r="AE4565" s="1" t="str">
        <f t="shared" ca="1" si="4725"/>
        <v>Garage 123</v>
      </c>
      <c r="AF4565" t="str">
        <f t="shared" ca="1" si="4702"/>
        <v>Garage 123</v>
      </c>
    </row>
    <row r="4566" spans="28:32" x14ac:dyDescent="0.25">
      <c r="AB4566" t="str">
        <f t="shared" ref="AB4566:AC4566" si="4761">AB4545</f>
        <v>External Scaffolding</v>
      </c>
      <c r="AC4566" t="str">
        <f t="shared" si="4761"/>
        <v>Lift 3</v>
      </c>
      <c r="AD4566" t="b">
        <f t="shared" ca="1" si="4704"/>
        <v>1</v>
      </c>
      <c r="AE4566" s="1" t="str">
        <f t="shared" ca="1" si="4725"/>
        <v>Garage 123</v>
      </c>
      <c r="AF4566" t="str">
        <f t="shared" ca="1" si="4702"/>
        <v>Garage 123</v>
      </c>
    </row>
    <row r="4567" spans="28:32" x14ac:dyDescent="0.25">
      <c r="AB4567" t="str">
        <f t="shared" ref="AB4567:AC4567" si="4762">AB4546</f>
        <v>External Scaffolding</v>
      </c>
      <c r="AC4567" t="str">
        <f t="shared" si="4762"/>
        <v>Lift 4</v>
      </c>
      <c r="AD4567" t="b">
        <f t="shared" ca="1" si="4704"/>
        <v>0</v>
      </c>
      <c r="AE4567" s="1" t="str">
        <f t="shared" ca="1" si="4725"/>
        <v>Garage 123</v>
      </c>
      <c r="AF4567" t="str">
        <f t="shared" ca="1" si="4702"/>
        <v>Garage 123</v>
      </c>
    </row>
    <row r="4568" spans="28:32" x14ac:dyDescent="0.25">
      <c r="AB4568" t="str">
        <f t="shared" ref="AB4568:AC4568" si="4763">AB4547</f>
        <v>External Scaffolding</v>
      </c>
      <c r="AC4568" t="str">
        <f t="shared" si="4763"/>
        <v>Lift 5</v>
      </c>
      <c r="AD4568" t="b">
        <f t="shared" ca="1" si="4704"/>
        <v>0</v>
      </c>
      <c r="AE4568" s="1" t="str">
        <f t="shared" ca="1" si="4725"/>
        <v>Garage 123</v>
      </c>
      <c r="AF4568" t="str">
        <f t="shared" ca="1" si="4702"/>
        <v>Garage 123</v>
      </c>
    </row>
    <row r="4569" spans="28:32" x14ac:dyDescent="0.25">
      <c r="AB4569" t="str">
        <f t="shared" ref="AB4569:AC4569" si="4764">AB4548</f>
        <v>External Scaffolding</v>
      </c>
      <c r="AC4569" t="str">
        <f t="shared" si="4764"/>
        <v>Lift 6</v>
      </c>
      <c r="AD4569" t="b">
        <f t="shared" ca="1" si="4704"/>
        <v>0</v>
      </c>
      <c r="AE4569" s="1" t="str">
        <f t="shared" ca="1" si="4725"/>
        <v>Garage 123</v>
      </c>
      <c r="AF4569" t="str">
        <f t="shared" ca="1" si="4702"/>
        <v>Garage 123</v>
      </c>
    </row>
    <row r="4570" spans="28:32" x14ac:dyDescent="0.25">
      <c r="AB4570" t="str">
        <f t="shared" ref="AB4570:AC4570" si="4765">AB4549</f>
        <v>Loading Bay</v>
      </c>
      <c r="AC4570" t="str">
        <f t="shared" si="4765"/>
        <v>Lift 1</v>
      </c>
      <c r="AD4570" t="b">
        <f t="shared" ca="1" si="4704"/>
        <v>1</v>
      </c>
      <c r="AE4570" s="1" t="str">
        <f t="shared" ca="1" si="4725"/>
        <v>Garage 123</v>
      </c>
      <c r="AF4570" t="str">
        <f t="shared" ca="1" si="4702"/>
        <v>Garage 123</v>
      </c>
    </row>
    <row r="4571" spans="28:32" x14ac:dyDescent="0.25">
      <c r="AB4571" t="str">
        <f t="shared" ref="AB4571:AC4571" si="4766">AB4550</f>
        <v>Loading Bay</v>
      </c>
      <c r="AC4571" t="str">
        <f t="shared" si="4766"/>
        <v>Lift 2</v>
      </c>
      <c r="AD4571" t="b">
        <f t="shared" ca="1" si="4704"/>
        <v>1</v>
      </c>
      <c r="AE4571" s="1" t="str">
        <f t="shared" ref="AE4571:AE4585" ca="1" si="4767">OFFSET($AD$1,0,FLOOR(ROW(B4543)/21,1))</f>
        <v>Garage 123</v>
      </c>
      <c r="AF4571" t="str">
        <f t="shared" ca="1" si="4702"/>
        <v>Garage 123</v>
      </c>
    </row>
    <row r="4572" spans="28:32" x14ac:dyDescent="0.25">
      <c r="AB4572" t="str">
        <f t="shared" ref="AB4572:AC4572" si="4768">AB4551</f>
        <v>Loading Bay</v>
      </c>
      <c r="AC4572" t="str">
        <f t="shared" si="4768"/>
        <v>Lift 3</v>
      </c>
      <c r="AD4572" t="b">
        <f t="shared" ca="1" si="4704"/>
        <v>1</v>
      </c>
      <c r="AE4572" s="1" t="str">
        <f t="shared" ca="1" si="4767"/>
        <v>Garage 123</v>
      </c>
      <c r="AF4572" t="str">
        <f t="shared" ca="1" si="4702"/>
        <v>Garage 123</v>
      </c>
    </row>
    <row r="4573" spans="28:32" x14ac:dyDescent="0.25">
      <c r="AB4573" t="str">
        <f t="shared" ref="AB4573:AC4573" si="4769">AB4552</f>
        <v>Loading Bay</v>
      </c>
      <c r="AC4573" t="str">
        <f t="shared" si="4769"/>
        <v>Lift 4</v>
      </c>
      <c r="AD4573" t="b">
        <f t="shared" ca="1" si="4704"/>
        <v>0</v>
      </c>
      <c r="AE4573" s="1" t="str">
        <f t="shared" ca="1" si="4767"/>
        <v>Garage 123</v>
      </c>
      <c r="AF4573" t="str">
        <f t="shared" ref="AF4573:AF4636" ca="1" si="4770">IF(LEFT(AE4573,1)="G",AE4573,"Plot "&amp;AE4573)</f>
        <v>Garage 123</v>
      </c>
    </row>
    <row r="4574" spans="28:32" x14ac:dyDescent="0.25">
      <c r="AB4574" t="str">
        <f t="shared" ref="AB4574:AC4574" si="4771">AB4553</f>
        <v>Loading Bay</v>
      </c>
      <c r="AC4574" t="str">
        <f t="shared" si="4771"/>
        <v>Lift 5</v>
      </c>
      <c r="AD4574" t="b">
        <f t="shared" ref="AD4574:AD4637" ca="1" si="4772">INDEX($AC$1:$JH$22,MATCH(AC4574,$AC$1:$AC$22,0),MATCH(AE4574,$AC$1:$JH$1,0))</f>
        <v>0</v>
      </c>
      <c r="AE4574" s="1" t="str">
        <f t="shared" ca="1" si="4767"/>
        <v>Garage 123</v>
      </c>
      <c r="AF4574" t="str">
        <f t="shared" ca="1" si="4770"/>
        <v>Garage 123</v>
      </c>
    </row>
    <row r="4575" spans="28:32" x14ac:dyDescent="0.25">
      <c r="AB4575" t="str">
        <f t="shared" ref="AB4575:AC4575" si="4773">AB4554</f>
        <v>Loading Bay</v>
      </c>
      <c r="AC4575" t="str">
        <f t="shared" si="4773"/>
        <v>Lift 6</v>
      </c>
      <c r="AD4575" t="b">
        <f t="shared" ca="1" si="4772"/>
        <v>0</v>
      </c>
      <c r="AE4575" s="1" t="str">
        <f t="shared" ca="1" si="4767"/>
        <v>Garage 123</v>
      </c>
      <c r="AF4575" t="str">
        <f t="shared" ca="1" si="4770"/>
        <v>Garage 123</v>
      </c>
    </row>
    <row r="4576" spans="28:32" x14ac:dyDescent="0.25">
      <c r="AB4576" t="str">
        <f t="shared" ref="AB4576:AC4576" si="4774">AB4555</f>
        <v>Scaffolding Platform</v>
      </c>
      <c r="AC4576" t="str">
        <f t="shared" si="4774"/>
        <v>Ground Floor</v>
      </c>
      <c r="AD4576" t="b">
        <f t="shared" ca="1" si="4772"/>
        <v>1</v>
      </c>
      <c r="AE4576" s="1" t="str">
        <f t="shared" ca="1" si="4767"/>
        <v>Garage 123</v>
      </c>
      <c r="AF4576" t="str">
        <f t="shared" ca="1" si="4770"/>
        <v>Garage 123</v>
      </c>
    </row>
    <row r="4577" spans="28:32" x14ac:dyDescent="0.25">
      <c r="AB4577" t="str">
        <f t="shared" ref="AB4577:AC4577" si="4775">AB4556</f>
        <v>Scaffolding Platform</v>
      </c>
      <c r="AC4577" t="str">
        <f t="shared" si="4775"/>
        <v>First Floor</v>
      </c>
      <c r="AD4577" t="b">
        <f t="shared" ca="1" si="4772"/>
        <v>0</v>
      </c>
      <c r="AE4577" s="1" t="str">
        <f t="shared" ca="1" si="4767"/>
        <v>Garage 123</v>
      </c>
      <c r="AF4577" t="str">
        <f t="shared" ca="1" si="4770"/>
        <v>Garage 123</v>
      </c>
    </row>
    <row r="4578" spans="28:32" x14ac:dyDescent="0.25">
      <c r="AB4578" t="str">
        <f t="shared" ref="AB4578:AC4578" si="4776">AB4557</f>
        <v>Scaffolding Platform</v>
      </c>
      <c r="AC4578" t="str">
        <f t="shared" si="4776"/>
        <v>Second Floor</v>
      </c>
      <c r="AD4578" t="b">
        <f t="shared" ca="1" si="4772"/>
        <v>0</v>
      </c>
      <c r="AE4578" s="1" t="str">
        <f t="shared" ca="1" si="4767"/>
        <v>Garage 123</v>
      </c>
      <c r="AF4578" t="str">
        <f t="shared" ca="1" si="4770"/>
        <v>Garage 123</v>
      </c>
    </row>
    <row r="4579" spans="28:32" x14ac:dyDescent="0.25">
      <c r="AB4579" t="str">
        <f t="shared" ref="AB4579:AC4579" si="4777">AB4558</f>
        <v>Supporting Scaffold</v>
      </c>
      <c r="AC4579" t="str">
        <f t="shared" si="4777"/>
        <v>Ground Floor Prop.</v>
      </c>
      <c r="AD4579" t="str">
        <f t="shared" ca="1" si="4772"/>
        <v>FALSE</v>
      </c>
      <c r="AE4579" s="1" t="str">
        <f t="shared" ca="1" si="4767"/>
        <v>Garage 123</v>
      </c>
      <c r="AF4579" t="str">
        <f t="shared" ca="1" si="4770"/>
        <v>Garage 123</v>
      </c>
    </row>
    <row r="4580" spans="28:32" x14ac:dyDescent="0.25">
      <c r="AB4580" t="str">
        <f t="shared" ref="AB4580:AC4580" si="4778">AB4559</f>
        <v>Supporting Scaffold</v>
      </c>
      <c r="AC4580" t="str">
        <f t="shared" si="4778"/>
        <v>First Floor Prop.</v>
      </c>
      <c r="AD4580" t="str">
        <f t="shared" ca="1" si="4772"/>
        <v>FALSE</v>
      </c>
      <c r="AE4580" s="1" t="str">
        <f t="shared" ca="1" si="4767"/>
        <v>Garage 123</v>
      </c>
      <c r="AF4580" t="str">
        <f t="shared" ca="1" si="4770"/>
        <v>Garage 123</v>
      </c>
    </row>
    <row r="4581" spans="28:32" x14ac:dyDescent="0.25">
      <c r="AB4581" t="str">
        <f t="shared" ref="AB4581:AC4581" si="4779">AB4560</f>
        <v>Supporting Scaffold</v>
      </c>
      <c r="AC4581" t="str">
        <f t="shared" si="4779"/>
        <v>Second Floor Prop.</v>
      </c>
      <c r="AD4581" t="str">
        <f t="shared" ca="1" si="4772"/>
        <v>FALSE</v>
      </c>
      <c r="AE4581" s="1" t="str">
        <f t="shared" ca="1" si="4767"/>
        <v>Garage 123</v>
      </c>
      <c r="AF4581" t="str">
        <f t="shared" ca="1" si="4770"/>
        <v>Garage 123</v>
      </c>
    </row>
    <row r="4582" spans="28:32" x14ac:dyDescent="0.25">
      <c r="AB4582" t="str">
        <f t="shared" ref="AB4582:AC4582" si="4780">AB4561</f>
        <v>External Scaffolding</v>
      </c>
      <c r="AC4582" t="str">
        <f t="shared" si="4780"/>
        <v>Hop-ups</v>
      </c>
      <c r="AD4582" t="b">
        <f t="shared" ca="1" si="4772"/>
        <v>1</v>
      </c>
      <c r="AE4582" s="1" t="str">
        <f t="shared" ca="1" si="4767"/>
        <v>Garage 123</v>
      </c>
      <c r="AF4582" t="str">
        <f t="shared" ca="1" si="4770"/>
        <v>Garage 123</v>
      </c>
    </row>
    <row r="4583" spans="28:32" x14ac:dyDescent="0.25">
      <c r="AB4583" t="str">
        <f t="shared" ref="AB4583:AC4583" si="4781">AB4562</f>
        <v>External Scaffolding</v>
      </c>
      <c r="AC4583" t="str">
        <f t="shared" si="4781"/>
        <v>Adaptions</v>
      </c>
      <c r="AD4583" t="b">
        <f t="shared" ca="1" si="4772"/>
        <v>1</v>
      </c>
      <c r="AE4583" s="1" t="str">
        <f t="shared" ca="1" si="4767"/>
        <v>Garage 123</v>
      </c>
      <c r="AF4583" t="str">
        <f t="shared" ca="1" si="4770"/>
        <v>Garage 123</v>
      </c>
    </row>
    <row r="4584" spans="28:32" x14ac:dyDescent="0.25">
      <c r="AB4584" t="str">
        <f t="shared" ref="AB4584:AC4584" si="4782">AB4563</f>
        <v>External Scaffolding</v>
      </c>
      <c r="AC4584" t="str">
        <f t="shared" si="4782"/>
        <v>Adaption Tower</v>
      </c>
      <c r="AD4584" t="b">
        <f t="shared" ca="1" si="4772"/>
        <v>1</v>
      </c>
      <c r="AE4584" s="1" t="str">
        <f t="shared" ca="1" si="4767"/>
        <v>Garage 123</v>
      </c>
      <c r="AF4584" t="str">
        <f t="shared" ca="1" si="4770"/>
        <v>Garage 123</v>
      </c>
    </row>
    <row r="4585" spans="28:32" x14ac:dyDescent="0.25">
      <c r="AB4585" t="str">
        <f t="shared" ref="AB4585:AC4585" si="4783">AB4564</f>
        <v>External Scaffolding</v>
      </c>
      <c r="AC4585" t="str">
        <f t="shared" si="4783"/>
        <v>Lift 1</v>
      </c>
      <c r="AD4585" t="b">
        <f t="shared" ca="1" si="4772"/>
        <v>1</v>
      </c>
      <c r="AE4585" s="1" t="str">
        <f t="shared" ca="1" si="4767"/>
        <v>Garage 124</v>
      </c>
      <c r="AF4585" t="str">
        <f t="shared" ca="1" si="4770"/>
        <v>Garage 124</v>
      </c>
    </row>
    <row r="4586" spans="28:32" x14ac:dyDescent="0.25">
      <c r="AB4586" t="str">
        <f t="shared" ref="AB4586:AC4586" si="4784">AB4565</f>
        <v>External Scaffolding</v>
      </c>
      <c r="AC4586" t="str">
        <f t="shared" si="4784"/>
        <v>Lift 2</v>
      </c>
      <c r="AD4586" t="b">
        <f t="shared" ca="1" si="4772"/>
        <v>1</v>
      </c>
      <c r="AE4586" s="1" t="str">
        <f t="shared" ref="AE4586:AE4649" ca="1" si="4785">OFFSET($AD$1,0,FLOOR(ROW(B4558)/21,1))</f>
        <v>Garage 124</v>
      </c>
      <c r="AF4586" t="str">
        <f t="shared" ca="1" si="4770"/>
        <v>Garage 124</v>
      </c>
    </row>
    <row r="4587" spans="28:32" x14ac:dyDescent="0.25">
      <c r="AB4587" t="str">
        <f t="shared" ref="AB4587:AC4587" si="4786">AB4566</f>
        <v>External Scaffolding</v>
      </c>
      <c r="AC4587" t="str">
        <f t="shared" si="4786"/>
        <v>Lift 3</v>
      </c>
      <c r="AD4587" t="b">
        <f t="shared" ca="1" si="4772"/>
        <v>1</v>
      </c>
      <c r="AE4587" s="1" t="str">
        <f t="shared" ca="1" si="4785"/>
        <v>Garage 124</v>
      </c>
      <c r="AF4587" t="str">
        <f t="shared" ca="1" si="4770"/>
        <v>Garage 124</v>
      </c>
    </row>
    <row r="4588" spans="28:32" x14ac:dyDescent="0.25">
      <c r="AB4588" t="str">
        <f t="shared" ref="AB4588:AC4588" si="4787">AB4567</f>
        <v>External Scaffolding</v>
      </c>
      <c r="AC4588" t="str">
        <f t="shared" si="4787"/>
        <v>Lift 4</v>
      </c>
      <c r="AD4588" t="b">
        <f t="shared" ca="1" si="4772"/>
        <v>0</v>
      </c>
      <c r="AE4588" s="1" t="str">
        <f t="shared" ca="1" si="4785"/>
        <v>Garage 124</v>
      </c>
      <c r="AF4588" t="str">
        <f t="shared" ca="1" si="4770"/>
        <v>Garage 124</v>
      </c>
    </row>
    <row r="4589" spans="28:32" x14ac:dyDescent="0.25">
      <c r="AB4589" t="str">
        <f t="shared" ref="AB4589:AC4589" si="4788">AB4568</f>
        <v>External Scaffolding</v>
      </c>
      <c r="AC4589" t="str">
        <f t="shared" si="4788"/>
        <v>Lift 5</v>
      </c>
      <c r="AD4589" t="b">
        <f t="shared" ca="1" si="4772"/>
        <v>0</v>
      </c>
      <c r="AE4589" s="1" t="str">
        <f t="shared" ca="1" si="4785"/>
        <v>Garage 124</v>
      </c>
      <c r="AF4589" t="str">
        <f t="shared" ca="1" si="4770"/>
        <v>Garage 124</v>
      </c>
    </row>
    <row r="4590" spans="28:32" x14ac:dyDescent="0.25">
      <c r="AB4590" t="str">
        <f t="shared" ref="AB4590:AC4590" si="4789">AB4569</f>
        <v>External Scaffolding</v>
      </c>
      <c r="AC4590" t="str">
        <f t="shared" si="4789"/>
        <v>Lift 6</v>
      </c>
      <c r="AD4590" t="b">
        <f t="shared" ca="1" si="4772"/>
        <v>0</v>
      </c>
      <c r="AE4590" s="1" t="str">
        <f t="shared" ca="1" si="4785"/>
        <v>Garage 124</v>
      </c>
      <c r="AF4590" t="str">
        <f t="shared" ca="1" si="4770"/>
        <v>Garage 124</v>
      </c>
    </row>
    <row r="4591" spans="28:32" x14ac:dyDescent="0.25">
      <c r="AB4591" t="str">
        <f t="shared" ref="AB4591:AC4591" si="4790">AB4570</f>
        <v>Loading Bay</v>
      </c>
      <c r="AC4591" t="str">
        <f t="shared" si="4790"/>
        <v>Lift 1</v>
      </c>
      <c r="AD4591" t="b">
        <f t="shared" ca="1" si="4772"/>
        <v>1</v>
      </c>
      <c r="AE4591" s="1" t="str">
        <f t="shared" ca="1" si="4785"/>
        <v>Garage 124</v>
      </c>
      <c r="AF4591" t="str">
        <f t="shared" ca="1" si="4770"/>
        <v>Garage 124</v>
      </c>
    </row>
    <row r="4592" spans="28:32" x14ac:dyDescent="0.25">
      <c r="AB4592" t="str">
        <f t="shared" ref="AB4592:AC4592" si="4791">AB4571</f>
        <v>Loading Bay</v>
      </c>
      <c r="AC4592" t="str">
        <f t="shared" si="4791"/>
        <v>Lift 2</v>
      </c>
      <c r="AD4592" t="b">
        <f t="shared" ca="1" si="4772"/>
        <v>1</v>
      </c>
      <c r="AE4592" s="1" t="str">
        <f t="shared" ca="1" si="4785"/>
        <v>Garage 124</v>
      </c>
      <c r="AF4592" t="str">
        <f t="shared" ca="1" si="4770"/>
        <v>Garage 124</v>
      </c>
    </row>
    <row r="4593" spans="28:32" x14ac:dyDescent="0.25">
      <c r="AB4593" t="str">
        <f t="shared" ref="AB4593:AC4593" si="4792">AB4572</f>
        <v>Loading Bay</v>
      </c>
      <c r="AC4593" t="str">
        <f t="shared" si="4792"/>
        <v>Lift 3</v>
      </c>
      <c r="AD4593" t="b">
        <f t="shared" ca="1" si="4772"/>
        <v>1</v>
      </c>
      <c r="AE4593" s="1" t="str">
        <f t="shared" ca="1" si="4785"/>
        <v>Garage 124</v>
      </c>
      <c r="AF4593" t="str">
        <f t="shared" ca="1" si="4770"/>
        <v>Garage 124</v>
      </c>
    </row>
    <row r="4594" spans="28:32" x14ac:dyDescent="0.25">
      <c r="AB4594" t="str">
        <f t="shared" ref="AB4594:AC4594" si="4793">AB4573</f>
        <v>Loading Bay</v>
      </c>
      <c r="AC4594" t="str">
        <f t="shared" si="4793"/>
        <v>Lift 4</v>
      </c>
      <c r="AD4594" t="b">
        <f t="shared" ca="1" si="4772"/>
        <v>0</v>
      </c>
      <c r="AE4594" s="1" t="str">
        <f t="shared" ca="1" si="4785"/>
        <v>Garage 124</v>
      </c>
      <c r="AF4594" t="str">
        <f t="shared" ca="1" si="4770"/>
        <v>Garage 124</v>
      </c>
    </row>
    <row r="4595" spans="28:32" x14ac:dyDescent="0.25">
      <c r="AB4595" t="str">
        <f t="shared" ref="AB4595:AC4595" si="4794">AB4574</f>
        <v>Loading Bay</v>
      </c>
      <c r="AC4595" t="str">
        <f t="shared" si="4794"/>
        <v>Lift 5</v>
      </c>
      <c r="AD4595" t="b">
        <f t="shared" ca="1" si="4772"/>
        <v>0</v>
      </c>
      <c r="AE4595" s="1" t="str">
        <f t="shared" ca="1" si="4785"/>
        <v>Garage 124</v>
      </c>
      <c r="AF4595" t="str">
        <f t="shared" ca="1" si="4770"/>
        <v>Garage 124</v>
      </c>
    </row>
    <row r="4596" spans="28:32" x14ac:dyDescent="0.25">
      <c r="AB4596" t="str">
        <f t="shared" ref="AB4596:AC4596" si="4795">AB4575</f>
        <v>Loading Bay</v>
      </c>
      <c r="AC4596" t="str">
        <f t="shared" si="4795"/>
        <v>Lift 6</v>
      </c>
      <c r="AD4596" t="b">
        <f t="shared" ca="1" si="4772"/>
        <v>0</v>
      </c>
      <c r="AE4596" s="1" t="str">
        <f t="shared" ca="1" si="4785"/>
        <v>Garage 124</v>
      </c>
      <c r="AF4596" t="str">
        <f t="shared" ca="1" si="4770"/>
        <v>Garage 124</v>
      </c>
    </row>
    <row r="4597" spans="28:32" x14ac:dyDescent="0.25">
      <c r="AB4597" t="str">
        <f t="shared" ref="AB4597:AC4597" si="4796">AB4576</f>
        <v>Scaffolding Platform</v>
      </c>
      <c r="AC4597" t="str">
        <f t="shared" si="4796"/>
        <v>Ground Floor</v>
      </c>
      <c r="AD4597" t="b">
        <f t="shared" ca="1" si="4772"/>
        <v>1</v>
      </c>
      <c r="AE4597" s="1" t="str">
        <f t="shared" ca="1" si="4785"/>
        <v>Garage 124</v>
      </c>
      <c r="AF4597" t="str">
        <f t="shared" ca="1" si="4770"/>
        <v>Garage 124</v>
      </c>
    </row>
    <row r="4598" spans="28:32" x14ac:dyDescent="0.25">
      <c r="AB4598" t="str">
        <f t="shared" ref="AB4598:AC4598" si="4797">AB4577</f>
        <v>Scaffolding Platform</v>
      </c>
      <c r="AC4598" t="str">
        <f t="shared" si="4797"/>
        <v>First Floor</v>
      </c>
      <c r="AD4598" t="b">
        <f t="shared" ca="1" si="4772"/>
        <v>0</v>
      </c>
      <c r="AE4598" s="1" t="str">
        <f t="shared" ca="1" si="4785"/>
        <v>Garage 124</v>
      </c>
      <c r="AF4598" t="str">
        <f t="shared" ca="1" si="4770"/>
        <v>Garage 124</v>
      </c>
    </row>
    <row r="4599" spans="28:32" x14ac:dyDescent="0.25">
      <c r="AB4599" t="str">
        <f t="shared" ref="AB4599:AC4599" si="4798">AB4578</f>
        <v>Scaffolding Platform</v>
      </c>
      <c r="AC4599" t="str">
        <f t="shared" si="4798"/>
        <v>Second Floor</v>
      </c>
      <c r="AD4599" t="b">
        <f t="shared" ca="1" si="4772"/>
        <v>0</v>
      </c>
      <c r="AE4599" s="1" t="str">
        <f t="shared" ca="1" si="4785"/>
        <v>Garage 124</v>
      </c>
      <c r="AF4599" t="str">
        <f t="shared" ca="1" si="4770"/>
        <v>Garage 124</v>
      </c>
    </row>
    <row r="4600" spans="28:32" x14ac:dyDescent="0.25">
      <c r="AB4600" t="str">
        <f t="shared" ref="AB4600:AC4600" si="4799">AB4579</f>
        <v>Supporting Scaffold</v>
      </c>
      <c r="AC4600" t="str">
        <f t="shared" si="4799"/>
        <v>Ground Floor Prop.</v>
      </c>
      <c r="AD4600" t="str">
        <f t="shared" ca="1" si="4772"/>
        <v>FALSE</v>
      </c>
      <c r="AE4600" s="1" t="str">
        <f t="shared" ca="1" si="4785"/>
        <v>Garage 124</v>
      </c>
      <c r="AF4600" t="str">
        <f t="shared" ca="1" si="4770"/>
        <v>Garage 124</v>
      </c>
    </row>
    <row r="4601" spans="28:32" x14ac:dyDescent="0.25">
      <c r="AB4601" t="str">
        <f t="shared" ref="AB4601:AC4601" si="4800">AB4580</f>
        <v>Supporting Scaffold</v>
      </c>
      <c r="AC4601" t="str">
        <f t="shared" si="4800"/>
        <v>First Floor Prop.</v>
      </c>
      <c r="AD4601" t="str">
        <f t="shared" ca="1" si="4772"/>
        <v>FALSE</v>
      </c>
      <c r="AE4601" s="1" t="str">
        <f t="shared" ca="1" si="4785"/>
        <v>Garage 124</v>
      </c>
      <c r="AF4601" t="str">
        <f t="shared" ca="1" si="4770"/>
        <v>Garage 124</v>
      </c>
    </row>
    <row r="4602" spans="28:32" x14ac:dyDescent="0.25">
      <c r="AB4602" t="str">
        <f t="shared" ref="AB4602:AC4602" si="4801">AB4581</f>
        <v>Supporting Scaffold</v>
      </c>
      <c r="AC4602" t="str">
        <f t="shared" si="4801"/>
        <v>Second Floor Prop.</v>
      </c>
      <c r="AD4602" t="str">
        <f t="shared" ca="1" si="4772"/>
        <v>FALSE</v>
      </c>
      <c r="AE4602" s="1" t="str">
        <f t="shared" ca="1" si="4785"/>
        <v>Garage 124</v>
      </c>
      <c r="AF4602" t="str">
        <f t="shared" ca="1" si="4770"/>
        <v>Garage 124</v>
      </c>
    </row>
    <row r="4603" spans="28:32" x14ac:dyDescent="0.25">
      <c r="AB4603" t="str">
        <f t="shared" ref="AB4603:AC4603" si="4802">AB4582</f>
        <v>External Scaffolding</v>
      </c>
      <c r="AC4603" t="str">
        <f t="shared" si="4802"/>
        <v>Hop-ups</v>
      </c>
      <c r="AD4603" t="b">
        <f t="shared" ca="1" si="4772"/>
        <v>1</v>
      </c>
      <c r="AE4603" s="1" t="str">
        <f t="shared" ca="1" si="4785"/>
        <v>Garage 124</v>
      </c>
      <c r="AF4603" t="str">
        <f t="shared" ca="1" si="4770"/>
        <v>Garage 124</v>
      </c>
    </row>
    <row r="4604" spans="28:32" x14ac:dyDescent="0.25">
      <c r="AB4604" t="str">
        <f t="shared" ref="AB4604:AC4604" si="4803">AB4583</f>
        <v>External Scaffolding</v>
      </c>
      <c r="AC4604" t="str">
        <f t="shared" si="4803"/>
        <v>Adaptions</v>
      </c>
      <c r="AD4604" t="b">
        <f t="shared" ca="1" si="4772"/>
        <v>1</v>
      </c>
      <c r="AE4604" s="1" t="str">
        <f t="shared" ca="1" si="4785"/>
        <v>Garage 124</v>
      </c>
      <c r="AF4604" t="str">
        <f t="shared" ca="1" si="4770"/>
        <v>Garage 124</v>
      </c>
    </row>
    <row r="4605" spans="28:32" x14ac:dyDescent="0.25">
      <c r="AB4605" t="str">
        <f t="shared" ref="AB4605:AC4605" si="4804">AB4584</f>
        <v>External Scaffolding</v>
      </c>
      <c r="AC4605" t="str">
        <f t="shared" si="4804"/>
        <v>Adaption Tower</v>
      </c>
      <c r="AD4605" t="b">
        <f t="shared" ca="1" si="4772"/>
        <v>1</v>
      </c>
      <c r="AE4605" s="1" t="str">
        <f t="shared" ca="1" si="4785"/>
        <v>Garage 124</v>
      </c>
      <c r="AF4605" t="str">
        <f t="shared" ca="1" si="4770"/>
        <v>Garage 124</v>
      </c>
    </row>
    <row r="4606" spans="28:32" x14ac:dyDescent="0.25">
      <c r="AB4606" t="str">
        <f t="shared" ref="AB4606:AC4606" si="4805">AB4585</f>
        <v>External Scaffolding</v>
      </c>
      <c r="AC4606" t="str">
        <f t="shared" si="4805"/>
        <v>Lift 1</v>
      </c>
      <c r="AD4606" t="b">
        <f t="shared" ca="1" si="4772"/>
        <v>1</v>
      </c>
      <c r="AE4606" s="1" t="str">
        <f t="shared" ca="1" si="4785"/>
        <v>Garage 125</v>
      </c>
      <c r="AF4606" t="str">
        <f t="shared" ca="1" si="4770"/>
        <v>Garage 125</v>
      </c>
    </row>
    <row r="4607" spans="28:32" x14ac:dyDescent="0.25">
      <c r="AB4607" t="str">
        <f t="shared" ref="AB4607:AC4607" si="4806">AB4586</f>
        <v>External Scaffolding</v>
      </c>
      <c r="AC4607" t="str">
        <f t="shared" si="4806"/>
        <v>Lift 2</v>
      </c>
      <c r="AD4607" t="b">
        <f t="shared" ca="1" si="4772"/>
        <v>1</v>
      </c>
      <c r="AE4607" s="1" t="str">
        <f t="shared" ca="1" si="4785"/>
        <v>Garage 125</v>
      </c>
      <c r="AF4607" t="str">
        <f t="shared" ca="1" si="4770"/>
        <v>Garage 125</v>
      </c>
    </row>
    <row r="4608" spans="28:32" x14ac:dyDescent="0.25">
      <c r="AB4608" t="str">
        <f t="shared" ref="AB4608:AC4608" si="4807">AB4587</f>
        <v>External Scaffolding</v>
      </c>
      <c r="AC4608" t="str">
        <f t="shared" si="4807"/>
        <v>Lift 3</v>
      </c>
      <c r="AD4608" t="b">
        <f t="shared" ca="1" si="4772"/>
        <v>1</v>
      </c>
      <c r="AE4608" s="1" t="str">
        <f t="shared" ca="1" si="4785"/>
        <v>Garage 125</v>
      </c>
      <c r="AF4608" t="str">
        <f t="shared" ca="1" si="4770"/>
        <v>Garage 125</v>
      </c>
    </row>
    <row r="4609" spans="28:32" x14ac:dyDescent="0.25">
      <c r="AB4609" t="str">
        <f t="shared" ref="AB4609:AC4609" si="4808">AB4588</f>
        <v>External Scaffolding</v>
      </c>
      <c r="AC4609" t="str">
        <f t="shared" si="4808"/>
        <v>Lift 4</v>
      </c>
      <c r="AD4609" t="b">
        <f t="shared" ca="1" si="4772"/>
        <v>0</v>
      </c>
      <c r="AE4609" s="1" t="str">
        <f t="shared" ca="1" si="4785"/>
        <v>Garage 125</v>
      </c>
      <c r="AF4609" t="str">
        <f t="shared" ca="1" si="4770"/>
        <v>Garage 125</v>
      </c>
    </row>
    <row r="4610" spans="28:32" x14ac:dyDescent="0.25">
      <c r="AB4610" t="str">
        <f t="shared" ref="AB4610:AC4610" si="4809">AB4589</f>
        <v>External Scaffolding</v>
      </c>
      <c r="AC4610" t="str">
        <f t="shared" si="4809"/>
        <v>Lift 5</v>
      </c>
      <c r="AD4610" t="b">
        <f t="shared" ca="1" si="4772"/>
        <v>0</v>
      </c>
      <c r="AE4610" s="1" t="str">
        <f t="shared" ca="1" si="4785"/>
        <v>Garage 125</v>
      </c>
      <c r="AF4610" t="str">
        <f t="shared" ca="1" si="4770"/>
        <v>Garage 125</v>
      </c>
    </row>
    <row r="4611" spans="28:32" x14ac:dyDescent="0.25">
      <c r="AB4611" t="str">
        <f t="shared" ref="AB4611:AC4611" si="4810">AB4590</f>
        <v>External Scaffolding</v>
      </c>
      <c r="AC4611" t="str">
        <f t="shared" si="4810"/>
        <v>Lift 6</v>
      </c>
      <c r="AD4611" t="b">
        <f t="shared" ca="1" si="4772"/>
        <v>0</v>
      </c>
      <c r="AE4611" s="1" t="str">
        <f t="shared" ca="1" si="4785"/>
        <v>Garage 125</v>
      </c>
      <c r="AF4611" t="str">
        <f t="shared" ca="1" si="4770"/>
        <v>Garage 125</v>
      </c>
    </row>
    <row r="4612" spans="28:32" x14ac:dyDescent="0.25">
      <c r="AB4612" t="str">
        <f t="shared" ref="AB4612:AC4612" si="4811">AB4591</f>
        <v>Loading Bay</v>
      </c>
      <c r="AC4612" t="str">
        <f t="shared" si="4811"/>
        <v>Lift 1</v>
      </c>
      <c r="AD4612" t="b">
        <f t="shared" ca="1" si="4772"/>
        <v>1</v>
      </c>
      <c r="AE4612" s="1" t="str">
        <f t="shared" ca="1" si="4785"/>
        <v>Garage 125</v>
      </c>
      <c r="AF4612" t="str">
        <f t="shared" ca="1" si="4770"/>
        <v>Garage 125</v>
      </c>
    </row>
    <row r="4613" spans="28:32" x14ac:dyDescent="0.25">
      <c r="AB4613" t="str">
        <f t="shared" ref="AB4613:AC4613" si="4812">AB4592</f>
        <v>Loading Bay</v>
      </c>
      <c r="AC4613" t="str">
        <f t="shared" si="4812"/>
        <v>Lift 2</v>
      </c>
      <c r="AD4613" t="b">
        <f t="shared" ca="1" si="4772"/>
        <v>1</v>
      </c>
      <c r="AE4613" s="1" t="str">
        <f t="shared" ca="1" si="4785"/>
        <v>Garage 125</v>
      </c>
      <c r="AF4613" t="str">
        <f t="shared" ca="1" si="4770"/>
        <v>Garage 125</v>
      </c>
    </row>
    <row r="4614" spans="28:32" x14ac:dyDescent="0.25">
      <c r="AB4614" t="str">
        <f t="shared" ref="AB4614:AC4614" si="4813">AB4593</f>
        <v>Loading Bay</v>
      </c>
      <c r="AC4614" t="str">
        <f t="shared" si="4813"/>
        <v>Lift 3</v>
      </c>
      <c r="AD4614" t="b">
        <f t="shared" ca="1" si="4772"/>
        <v>1</v>
      </c>
      <c r="AE4614" s="1" t="str">
        <f t="shared" ca="1" si="4785"/>
        <v>Garage 125</v>
      </c>
      <c r="AF4614" t="str">
        <f t="shared" ca="1" si="4770"/>
        <v>Garage 125</v>
      </c>
    </row>
    <row r="4615" spans="28:32" x14ac:dyDescent="0.25">
      <c r="AB4615" t="str">
        <f t="shared" ref="AB4615:AC4615" si="4814">AB4594</f>
        <v>Loading Bay</v>
      </c>
      <c r="AC4615" t="str">
        <f t="shared" si="4814"/>
        <v>Lift 4</v>
      </c>
      <c r="AD4615" t="b">
        <f t="shared" ca="1" si="4772"/>
        <v>0</v>
      </c>
      <c r="AE4615" s="1" t="str">
        <f t="shared" ca="1" si="4785"/>
        <v>Garage 125</v>
      </c>
      <c r="AF4615" t="str">
        <f t="shared" ca="1" si="4770"/>
        <v>Garage 125</v>
      </c>
    </row>
    <row r="4616" spans="28:32" x14ac:dyDescent="0.25">
      <c r="AB4616" t="str">
        <f t="shared" ref="AB4616:AC4616" si="4815">AB4595</f>
        <v>Loading Bay</v>
      </c>
      <c r="AC4616" t="str">
        <f t="shared" si="4815"/>
        <v>Lift 5</v>
      </c>
      <c r="AD4616" t="b">
        <f t="shared" ca="1" si="4772"/>
        <v>0</v>
      </c>
      <c r="AE4616" s="1" t="str">
        <f t="shared" ca="1" si="4785"/>
        <v>Garage 125</v>
      </c>
      <c r="AF4616" t="str">
        <f t="shared" ca="1" si="4770"/>
        <v>Garage 125</v>
      </c>
    </row>
    <row r="4617" spans="28:32" x14ac:dyDescent="0.25">
      <c r="AB4617" t="str">
        <f t="shared" ref="AB4617:AC4617" si="4816">AB4596</f>
        <v>Loading Bay</v>
      </c>
      <c r="AC4617" t="str">
        <f t="shared" si="4816"/>
        <v>Lift 6</v>
      </c>
      <c r="AD4617" t="b">
        <f t="shared" ca="1" si="4772"/>
        <v>0</v>
      </c>
      <c r="AE4617" s="1" t="str">
        <f t="shared" ca="1" si="4785"/>
        <v>Garage 125</v>
      </c>
      <c r="AF4617" t="str">
        <f t="shared" ca="1" si="4770"/>
        <v>Garage 125</v>
      </c>
    </row>
    <row r="4618" spans="28:32" x14ac:dyDescent="0.25">
      <c r="AB4618" t="str">
        <f t="shared" ref="AB4618:AC4618" si="4817">AB4597</f>
        <v>Scaffolding Platform</v>
      </c>
      <c r="AC4618" t="str">
        <f t="shared" si="4817"/>
        <v>Ground Floor</v>
      </c>
      <c r="AD4618" t="b">
        <f t="shared" ca="1" si="4772"/>
        <v>1</v>
      </c>
      <c r="AE4618" s="1" t="str">
        <f t="shared" ca="1" si="4785"/>
        <v>Garage 125</v>
      </c>
      <c r="AF4618" t="str">
        <f t="shared" ca="1" si="4770"/>
        <v>Garage 125</v>
      </c>
    </row>
    <row r="4619" spans="28:32" x14ac:dyDescent="0.25">
      <c r="AB4619" t="str">
        <f t="shared" ref="AB4619:AC4619" si="4818">AB4598</f>
        <v>Scaffolding Platform</v>
      </c>
      <c r="AC4619" t="str">
        <f t="shared" si="4818"/>
        <v>First Floor</v>
      </c>
      <c r="AD4619" t="b">
        <f t="shared" ca="1" si="4772"/>
        <v>0</v>
      </c>
      <c r="AE4619" s="1" t="str">
        <f t="shared" ca="1" si="4785"/>
        <v>Garage 125</v>
      </c>
      <c r="AF4619" t="str">
        <f t="shared" ca="1" si="4770"/>
        <v>Garage 125</v>
      </c>
    </row>
    <row r="4620" spans="28:32" x14ac:dyDescent="0.25">
      <c r="AB4620" t="str">
        <f t="shared" ref="AB4620:AC4620" si="4819">AB4599</f>
        <v>Scaffolding Platform</v>
      </c>
      <c r="AC4620" t="str">
        <f t="shared" si="4819"/>
        <v>Second Floor</v>
      </c>
      <c r="AD4620" t="b">
        <f t="shared" ca="1" si="4772"/>
        <v>0</v>
      </c>
      <c r="AE4620" s="1" t="str">
        <f t="shared" ca="1" si="4785"/>
        <v>Garage 125</v>
      </c>
      <c r="AF4620" t="str">
        <f t="shared" ca="1" si="4770"/>
        <v>Garage 125</v>
      </c>
    </row>
    <row r="4621" spans="28:32" x14ac:dyDescent="0.25">
      <c r="AB4621" t="str">
        <f t="shared" ref="AB4621:AC4621" si="4820">AB4600</f>
        <v>Supporting Scaffold</v>
      </c>
      <c r="AC4621" t="str">
        <f t="shared" si="4820"/>
        <v>Ground Floor Prop.</v>
      </c>
      <c r="AD4621" t="str">
        <f t="shared" ca="1" si="4772"/>
        <v>FALSE</v>
      </c>
      <c r="AE4621" s="1" t="str">
        <f t="shared" ca="1" si="4785"/>
        <v>Garage 125</v>
      </c>
      <c r="AF4621" t="str">
        <f t="shared" ca="1" si="4770"/>
        <v>Garage 125</v>
      </c>
    </row>
    <row r="4622" spans="28:32" x14ac:dyDescent="0.25">
      <c r="AB4622" t="str">
        <f t="shared" ref="AB4622:AC4622" si="4821">AB4601</f>
        <v>Supporting Scaffold</v>
      </c>
      <c r="AC4622" t="str">
        <f t="shared" si="4821"/>
        <v>First Floor Prop.</v>
      </c>
      <c r="AD4622" t="str">
        <f t="shared" ca="1" si="4772"/>
        <v>FALSE</v>
      </c>
      <c r="AE4622" s="1" t="str">
        <f t="shared" ca="1" si="4785"/>
        <v>Garage 125</v>
      </c>
      <c r="AF4622" t="str">
        <f t="shared" ca="1" si="4770"/>
        <v>Garage 125</v>
      </c>
    </row>
    <row r="4623" spans="28:32" x14ac:dyDescent="0.25">
      <c r="AB4623" t="str">
        <f t="shared" ref="AB4623:AC4623" si="4822">AB4602</f>
        <v>Supporting Scaffold</v>
      </c>
      <c r="AC4623" t="str">
        <f t="shared" si="4822"/>
        <v>Second Floor Prop.</v>
      </c>
      <c r="AD4623" t="str">
        <f t="shared" ca="1" si="4772"/>
        <v>FALSE</v>
      </c>
      <c r="AE4623" s="1" t="str">
        <f t="shared" ca="1" si="4785"/>
        <v>Garage 125</v>
      </c>
      <c r="AF4623" t="str">
        <f t="shared" ca="1" si="4770"/>
        <v>Garage 125</v>
      </c>
    </row>
    <row r="4624" spans="28:32" x14ac:dyDescent="0.25">
      <c r="AB4624" t="str">
        <f t="shared" ref="AB4624:AC4624" si="4823">AB4603</f>
        <v>External Scaffolding</v>
      </c>
      <c r="AC4624" t="str">
        <f t="shared" si="4823"/>
        <v>Hop-ups</v>
      </c>
      <c r="AD4624" t="b">
        <f t="shared" ca="1" si="4772"/>
        <v>1</v>
      </c>
      <c r="AE4624" s="1" t="str">
        <f t="shared" ca="1" si="4785"/>
        <v>Garage 125</v>
      </c>
      <c r="AF4624" t="str">
        <f t="shared" ca="1" si="4770"/>
        <v>Garage 125</v>
      </c>
    </row>
    <row r="4625" spans="28:32" x14ac:dyDescent="0.25">
      <c r="AB4625" t="str">
        <f t="shared" ref="AB4625:AC4625" si="4824">AB4604</f>
        <v>External Scaffolding</v>
      </c>
      <c r="AC4625" t="str">
        <f t="shared" si="4824"/>
        <v>Adaptions</v>
      </c>
      <c r="AD4625" t="b">
        <f t="shared" ca="1" si="4772"/>
        <v>1</v>
      </c>
      <c r="AE4625" s="1" t="str">
        <f t="shared" ca="1" si="4785"/>
        <v>Garage 125</v>
      </c>
      <c r="AF4625" t="str">
        <f t="shared" ca="1" si="4770"/>
        <v>Garage 125</v>
      </c>
    </row>
    <row r="4626" spans="28:32" x14ac:dyDescent="0.25">
      <c r="AB4626" t="str">
        <f t="shared" ref="AB4626:AC4626" si="4825">AB4605</f>
        <v>External Scaffolding</v>
      </c>
      <c r="AC4626" t="str">
        <f t="shared" si="4825"/>
        <v>Adaption Tower</v>
      </c>
      <c r="AD4626" t="b">
        <f t="shared" ca="1" si="4772"/>
        <v>1</v>
      </c>
      <c r="AE4626" s="1" t="str">
        <f t="shared" ca="1" si="4785"/>
        <v>Garage 125</v>
      </c>
      <c r="AF4626" t="str">
        <f t="shared" ca="1" si="4770"/>
        <v>Garage 125</v>
      </c>
    </row>
    <row r="4627" spans="28:32" x14ac:dyDescent="0.25">
      <c r="AB4627" t="str">
        <f t="shared" ref="AB4627:AC4627" si="4826">AB4606</f>
        <v>External Scaffolding</v>
      </c>
      <c r="AC4627" t="str">
        <f t="shared" si="4826"/>
        <v>Lift 1</v>
      </c>
      <c r="AD4627" t="b">
        <f t="shared" ca="1" si="4772"/>
        <v>1</v>
      </c>
      <c r="AE4627" s="1" t="str">
        <f t="shared" ca="1" si="4785"/>
        <v>Garage 132</v>
      </c>
      <c r="AF4627" t="str">
        <f t="shared" ca="1" si="4770"/>
        <v>Garage 132</v>
      </c>
    </row>
    <row r="4628" spans="28:32" x14ac:dyDescent="0.25">
      <c r="AB4628" t="str">
        <f t="shared" ref="AB4628:AC4628" si="4827">AB4607</f>
        <v>External Scaffolding</v>
      </c>
      <c r="AC4628" t="str">
        <f t="shared" si="4827"/>
        <v>Lift 2</v>
      </c>
      <c r="AD4628" t="b">
        <f t="shared" ca="1" si="4772"/>
        <v>1</v>
      </c>
      <c r="AE4628" s="1" t="str">
        <f t="shared" ca="1" si="4785"/>
        <v>Garage 132</v>
      </c>
      <c r="AF4628" t="str">
        <f t="shared" ca="1" si="4770"/>
        <v>Garage 132</v>
      </c>
    </row>
    <row r="4629" spans="28:32" x14ac:dyDescent="0.25">
      <c r="AB4629" t="str">
        <f t="shared" ref="AB4629:AC4629" si="4828">AB4608</f>
        <v>External Scaffolding</v>
      </c>
      <c r="AC4629" t="str">
        <f t="shared" si="4828"/>
        <v>Lift 3</v>
      </c>
      <c r="AD4629" t="b">
        <f t="shared" ca="1" si="4772"/>
        <v>1</v>
      </c>
      <c r="AE4629" s="1" t="str">
        <f t="shared" ca="1" si="4785"/>
        <v>Garage 132</v>
      </c>
      <c r="AF4629" t="str">
        <f t="shared" ca="1" si="4770"/>
        <v>Garage 132</v>
      </c>
    </row>
    <row r="4630" spans="28:32" x14ac:dyDescent="0.25">
      <c r="AB4630" t="str">
        <f t="shared" ref="AB4630:AC4630" si="4829">AB4609</f>
        <v>External Scaffolding</v>
      </c>
      <c r="AC4630" t="str">
        <f t="shared" si="4829"/>
        <v>Lift 4</v>
      </c>
      <c r="AD4630" t="b">
        <f t="shared" ca="1" si="4772"/>
        <v>0</v>
      </c>
      <c r="AE4630" s="1" t="str">
        <f t="shared" ca="1" si="4785"/>
        <v>Garage 132</v>
      </c>
      <c r="AF4630" t="str">
        <f t="shared" ca="1" si="4770"/>
        <v>Garage 132</v>
      </c>
    </row>
    <row r="4631" spans="28:32" x14ac:dyDescent="0.25">
      <c r="AB4631" t="str">
        <f t="shared" ref="AB4631:AC4631" si="4830">AB4610</f>
        <v>External Scaffolding</v>
      </c>
      <c r="AC4631" t="str">
        <f t="shared" si="4830"/>
        <v>Lift 5</v>
      </c>
      <c r="AD4631" t="b">
        <f t="shared" ca="1" si="4772"/>
        <v>0</v>
      </c>
      <c r="AE4631" s="1" t="str">
        <f t="shared" ca="1" si="4785"/>
        <v>Garage 132</v>
      </c>
      <c r="AF4631" t="str">
        <f t="shared" ca="1" si="4770"/>
        <v>Garage 132</v>
      </c>
    </row>
    <row r="4632" spans="28:32" x14ac:dyDescent="0.25">
      <c r="AB4632" t="str">
        <f t="shared" ref="AB4632:AC4632" si="4831">AB4611</f>
        <v>External Scaffolding</v>
      </c>
      <c r="AC4632" t="str">
        <f t="shared" si="4831"/>
        <v>Lift 6</v>
      </c>
      <c r="AD4632" t="b">
        <f t="shared" ca="1" si="4772"/>
        <v>0</v>
      </c>
      <c r="AE4632" s="1" t="str">
        <f t="shared" ca="1" si="4785"/>
        <v>Garage 132</v>
      </c>
      <c r="AF4632" t="str">
        <f t="shared" ca="1" si="4770"/>
        <v>Garage 132</v>
      </c>
    </row>
    <row r="4633" spans="28:32" x14ac:dyDescent="0.25">
      <c r="AB4633" t="str">
        <f t="shared" ref="AB4633:AC4633" si="4832">AB4612</f>
        <v>Loading Bay</v>
      </c>
      <c r="AC4633" t="str">
        <f t="shared" si="4832"/>
        <v>Lift 1</v>
      </c>
      <c r="AD4633" t="b">
        <f t="shared" ca="1" si="4772"/>
        <v>1</v>
      </c>
      <c r="AE4633" s="1" t="str">
        <f t="shared" ca="1" si="4785"/>
        <v>Garage 132</v>
      </c>
      <c r="AF4633" t="str">
        <f t="shared" ca="1" si="4770"/>
        <v>Garage 132</v>
      </c>
    </row>
    <row r="4634" spans="28:32" x14ac:dyDescent="0.25">
      <c r="AB4634" t="str">
        <f t="shared" ref="AB4634:AC4634" si="4833">AB4613</f>
        <v>Loading Bay</v>
      </c>
      <c r="AC4634" t="str">
        <f t="shared" si="4833"/>
        <v>Lift 2</v>
      </c>
      <c r="AD4634" t="b">
        <f t="shared" ca="1" si="4772"/>
        <v>1</v>
      </c>
      <c r="AE4634" s="1" t="str">
        <f t="shared" ca="1" si="4785"/>
        <v>Garage 132</v>
      </c>
      <c r="AF4634" t="str">
        <f t="shared" ca="1" si="4770"/>
        <v>Garage 132</v>
      </c>
    </row>
    <row r="4635" spans="28:32" x14ac:dyDescent="0.25">
      <c r="AB4635" t="str">
        <f t="shared" ref="AB4635:AC4635" si="4834">AB4614</f>
        <v>Loading Bay</v>
      </c>
      <c r="AC4635" t="str">
        <f t="shared" si="4834"/>
        <v>Lift 3</v>
      </c>
      <c r="AD4635" t="b">
        <f t="shared" ca="1" si="4772"/>
        <v>1</v>
      </c>
      <c r="AE4635" s="1" t="str">
        <f t="shared" ca="1" si="4785"/>
        <v>Garage 132</v>
      </c>
      <c r="AF4635" t="str">
        <f t="shared" ca="1" si="4770"/>
        <v>Garage 132</v>
      </c>
    </row>
    <row r="4636" spans="28:32" x14ac:dyDescent="0.25">
      <c r="AB4636" t="str">
        <f t="shared" ref="AB4636:AC4636" si="4835">AB4615</f>
        <v>Loading Bay</v>
      </c>
      <c r="AC4636" t="str">
        <f t="shared" si="4835"/>
        <v>Lift 4</v>
      </c>
      <c r="AD4636" t="b">
        <f t="shared" ca="1" si="4772"/>
        <v>0</v>
      </c>
      <c r="AE4636" s="1" t="str">
        <f t="shared" ca="1" si="4785"/>
        <v>Garage 132</v>
      </c>
      <c r="AF4636" t="str">
        <f t="shared" ca="1" si="4770"/>
        <v>Garage 132</v>
      </c>
    </row>
    <row r="4637" spans="28:32" x14ac:dyDescent="0.25">
      <c r="AB4637" t="str">
        <f t="shared" ref="AB4637:AC4637" si="4836">AB4616</f>
        <v>Loading Bay</v>
      </c>
      <c r="AC4637" t="str">
        <f t="shared" si="4836"/>
        <v>Lift 5</v>
      </c>
      <c r="AD4637" t="b">
        <f t="shared" ca="1" si="4772"/>
        <v>0</v>
      </c>
      <c r="AE4637" s="1" t="str">
        <f t="shared" ca="1" si="4785"/>
        <v>Garage 132</v>
      </c>
      <c r="AF4637" t="str">
        <f t="shared" ref="AF4637:AF4700" ca="1" si="4837">IF(LEFT(AE4637,1)="G",AE4637,"Plot "&amp;AE4637)</f>
        <v>Garage 132</v>
      </c>
    </row>
    <row r="4638" spans="28:32" x14ac:dyDescent="0.25">
      <c r="AB4638" t="str">
        <f t="shared" ref="AB4638:AC4638" si="4838">AB4617</f>
        <v>Loading Bay</v>
      </c>
      <c r="AC4638" t="str">
        <f t="shared" si="4838"/>
        <v>Lift 6</v>
      </c>
      <c r="AD4638" t="b">
        <f t="shared" ref="AD4638:AD4701" ca="1" si="4839">INDEX($AC$1:$JH$22,MATCH(AC4638,$AC$1:$AC$22,0),MATCH(AE4638,$AC$1:$JH$1,0))</f>
        <v>0</v>
      </c>
      <c r="AE4638" s="1" t="str">
        <f t="shared" ca="1" si="4785"/>
        <v>Garage 132</v>
      </c>
      <c r="AF4638" t="str">
        <f t="shared" ca="1" si="4837"/>
        <v>Garage 132</v>
      </c>
    </row>
    <row r="4639" spans="28:32" x14ac:dyDescent="0.25">
      <c r="AB4639" t="str">
        <f t="shared" ref="AB4639:AC4639" si="4840">AB4618</f>
        <v>Scaffolding Platform</v>
      </c>
      <c r="AC4639" t="str">
        <f t="shared" si="4840"/>
        <v>Ground Floor</v>
      </c>
      <c r="AD4639" t="b">
        <f t="shared" ca="1" si="4839"/>
        <v>1</v>
      </c>
      <c r="AE4639" s="1" t="str">
        <f t="shared" ca="1" si="4785"/>
        <v>Garage 132</v>
      </c>
      <c r="AF4639" t="str">
        <f t="shared" ca="1" si="4837"/>
        <v>Garage 132</v>
      </c>
    </row>
    <row r="4640" spans="28:32" x14ac:dyDescent="0.25">
      <c r="AB4640" t="str">
        <f t="shared" ref="AB4640:AC4640" si="4841">AB4619</f>
        <v>Scaffolding Platform</v>
      </c>
      <c r="AC4640" t="str">
        <f t="shared" si="4841"/>
        <v>First Floor</v>
      </c>
      <c r="AD4640" t="b">
        <f t="shared" ca="1" si="4839"/>
        <v>0</v>
      </c>
      <c r="AE4640" s="1" t="str">
        <f t="shared" ca="1" si="4785"/>
        <v>Garage 132</v>
      </c>
      <c r="AF4640" t="str">
        <f t="shared" ca="1" si="4837"/>
        <v>Garage 132</v>
      </c>
    </row>
    <row r="4641" spans="28:32" x14ac:dyDescent="0.25">
      <c r="AB4641" t="str">
        <f t="shared" ref="AB4641:AC4641" si="4842">AB4620</f>
        <v>Scaffolding Platform</v>
      </c>
      <c r="AC4641" t="str">
        <f t="shared" si="4842"/>
        <v>Second Floor</v>
      </c>
      <c r="AD4641" t="b">
        <f t="shared" ca="1" si="4839"/>
        <v>0</v>
      </c>
      <c r="AE4641" s="1" t="str">
        <f t="shared" ca="1" si="4785"/>
        <v>Garage 132</v>
      </c>
      <c r="AF4641" t="str">
        <f t="shared" ca="1" si="4837"/>
        <v>Garage 132</v>
      </c>
    </row>
    <row r="4642" spans="28:32" x14ac:dyDescent="0.25">
      <c r="AB4642" t="str">
        <f t="shared" ref="AB4642:AC4642" si="4843">AB4621</f>
        <v>Supporting Scaffold</v>
      </c>
      <c r="AC4642" t="str">
        <f t="shared" si="4843"/>
        <v>Ground Floor Prop.</v>
      </c>
      <c r="AD4642" t="str">
        <f t="shared" ca="1" si="4839"/>
        <v>FALSE</v>
      </c>
      <c r="AE4642" s="1" t="str">
        <f t="shared" ca="1" si="4785"/>
        <v>Garage 132</v>
      </c>
      <c r="AF4642" t="str">
        <f t="shared" ca="1" si="4837"/>
        <v>Garage 132</v>
      </c>
    </row>
    <row r="4643" spans="28:32" x14ac:dyDescent="0.25">
      <c r="AB4643" t="str">
        <f t="shared" ref="AB4643:AC4643" si="4844">AB4622</f>
        <v>Supporting Scaffold</v>
      </c>
      <c r="AC4643" t="str">
        <f t="shared" si="4844"/>
        <v>First Floor Prop.</v>
      </c>
      <c r="AD4643" t="str">
        <f t="shared" ca="1" si="4839"/>
        <v>FALSE</v>
      </c>
      <c r="AE4643" s="1" t="str">
        <f t="shared" ca="1" si="4785"/>
        <v>Garage 132</v>
      </c>
      <c r="AF4643" t="str">
        <f t="shared" ca="1" si="4837"/>
        <v>Garage 132</v>
      </c>
    </row>
    <row r="4644" spans="28:32" x14ac:dyDescent="0.25">
      <c r="AB4644" t="str">
        <f t="shared" ref="AB4644:AC4644" si="4845">AB4623</f>
        <v>Supporting Scaffold</v>
      </c>
      <c r="AC4644" t="str">
        <f t="shared" si="4845"/>
        <v>Second Floor Prop.</v>
      </c>
      <c r="AD4644" t="str">
        <f t="shared" ca="1" si="4839"/>
        <v>FALSE</v>
      </c>
      <c r="AE4644" s="1" t="str">
        <f t="shared" ca="1" si="4785"/>
        <v>Garage 132</v>
      </c>
      <c r="AF4644" t="str">
        <f t="shared" ca="1" si="4837"/>
        <v>Garage 132</v>
      </c>
    </row>
    <row r="4645" spans="28:32" x14ac:dyDescent="0.25">
      <c r="AB4645" t="str">
        <f t="shared" ref="AB4645:AC4645" si="4846">AB4624</f>
        <v>External Scaffolding</v>
      </c>
      <c r="AC4645" t="str">
        <f t="shared" si="4846"/>
        <v>Hop-ups</v>
      </c>
      <c r="AD4645" t="b">
        <f t="shared" ca="1" si="4839"/>
        <v>1</v>
      </c>
      <c r="AE4645" s="1" t="str">
        <f t="shared" ca="1" si="4785"/>
        <v>Garage 132</v>
      </c>
      <c r="AF4645" t="str">
        <f t="shared" ca="1" si="4837"/>
        <v>Garage 132</v>
      </c>
    </row>
    <row r="4646" spans="28:32" x14ac:dyDescent="0.25">
      <c r="AB4646" t="str">
        <f t="shared" ref="AB4646:AC4646" si="4847">AB4625</f>
        <v>External Scaffolding</v>
      </c>
      <c r="AC4646" t="str">
        <f t="shared" si="4847"/>
        <v>Adaptions</v>
      </c>
      <c r="AD4646" t="b">
        <f t="shared" ca="1" si="4839"/>
        <v>1</v>
      </c>
      <c r="AE4646" s="1" t="str">
        <f t="shared" ca="1" si="4785"/>
        <v>Garage 132</v>
      </c>
      <c r="AF4646" t="str">
        <f t="shared" ca="1" si="4837"/>
        <v>Garage 132</v>
      </c>
    </row>
    <row r="4647" spans="28:32" x14ac:dyDescent="0.25">
      <c r="AB4647" t="str">
        <f t="shared" ref="AB4647:AC4647" si="4848">AB4626</f>
        <v>External Scaffolding</v>
      </c>
      <c r="AC4647" t="str">
        <f t="shared" si="4848"/>
        <v>Adaption Tower</v>
      </c>
      <c r="AD4647" t="b">
        <f t="shared" ca="1" si="4839"/>
        <v>1</v>
      </c>
      <c r="AE4647" s="1" t="str">
        <f t="shared" ca="1" si="4785"/>
        <v>Garage 132</v>
      </c>
      <c r="AF4647" t="str">
        <f t="shared" ca="1" si="4837"/>
        <v>Garage 132</v>
      </c>
    </row>
    <row r="4648" spans="28:32" x14ac:dyDescent="0.25">
      <c r="AB4648" t="str">
        <f t="shared" ref="AB4648:AC4648" si="4849">AB4627</f>
        <v>External Scaffolding</v>
      </c>
      <c r="AC4648" t="str">
        <f t="shared" si="4849"/>
        <v>Lift 1</v>
      </c>
      <c r="AD4648" t="b">
        <f t="shared" ca="1" si="4839"/>
        <v>1</v>
      </c>
      <c r="AE4648" s="1" t="str">
        <f t="shared" ca="1" si="4785"/>
        <v>Garage 135</v>
      </c>
      <c r="AF4648" t="str">
        <f t="shared" ca="1" si="4837"/>
        <v>Garage 135</v>
      </c>
    </row>
    <row r="4649" spans="28:32" x14ac:dyDescent="0.25">
      <c r="AB4649" t="str">
        <f t="shared" ref="AB4649:AC4649" si="4850">AB4628</f>
        <v>External Scaffolding</v>
      </c>
      <c r="AC4649" t="str">
        <f t="shared" si="4850"/>
        <v>Lift 2</v>
      </c>
      <c r="AD4649" t="b">
        <f t="shared" ca="1" si="4839"/>
        <v>1</v>
      </c>
      <c r="AE4649" s="1" t="str">
        <f t="shared" ca="1" si="4785"/>
        <v>Garage 135</v>
      </c>
      <c r="AF4649" t="str">
        <f t="shared" ca="1" si="4837"/>
        <v>Garage 135</v>
      </c>
    </row>
    <row r="4650" spans="28:32" x14ac:dyDescent="0.25">
      <c r="AB4650" t="str">
        <f t="shared" ref="AB4650:AC4650" si="4851">AB4629</f>
        <v>External Scaffolding</v>
      </c>
      <c r="AC4650" t="str">
        <f t="shared" si="4851"/>
        <v>Lift 3</v>
      </c>
      <c r="AD4650" t="b">
        <f t="shared" ca="1" si="4839"/>
        <v>1</v>
      </c>
      <c r="AE4650" s="1" t="str">
        <f t="shared" ref="AE4650:AE4713" ca="1" si="4852">OFFSET($AD$1,0,FLOOR(ROW(B4622)/21,1))</f>
        <v>Garage 135</v>
      </c>
      <c r="AF4650" t="str">
        <f t="shared" ca="1" si="4837"/>
        <v>Garage 135</v>
      </c>
    </row>
    <row r="4651" spans="28:32" x14ac:dyDescent="0.25">
      <c r="AB4651" t="str">
        <f t="shared" ref="AB4651:AC4651" si="4853">AB4630</f>
        <v>External Scaffolding</v>
      </c>
      <c r="AC4651" t="str">
        <f t="shared" si="4853"/>
        <v>Lift 4</v>
      </c>
      <c r="AD4651" t="b">
        <f t="shared" ca="1" si="4839"/>
        <v>0</v>
      </c>
      <c r="AE4651" s="1" t="str">
        <f t="shared" ca="1" si="4852"/>
        <v>Garage 135</v>
      </c>
      <c r="AF4651" t="str">
        <f t="shared" ca="1" si="4837"/>
        <v>Garage 135</v>
      </c>
    </row>
    <row r="4652" spans="28:32" x14ac:dyDescent="0.25">
      <c r="AB4652" t="str">
        <f t="shared" ref="AB4652:AC4652" si="4854">AB4631</f>
        <v>External Scaffolding</v>
      </c>
      <c r="AC4652" t="str">
        <f t="shared" si="4854"/>
        <v>Lift 5</v>
      </c>
      <c r="AD4652" t="b">
        <f t="shared" ca="1" si="4839"/>
        <v>0</v>
      </c>
      <c r="AE4652" s="1" t="str">
        <f t="shared" ca="1" si="4852"/>
        <v>Garage 135</v>
      </c>
      <c r="AF4652" t="str">
        <f t="shared" ca="1" si="4837"/>
        <v>Garage 135</v>
      </c>
    </row>
    <row r="4653" spans="28:32" x14ac:dyDescent="0.25">
      <c r="AB4653" t="str">
        <f t="shared" ref="AB4653:AC4653" si="4855">AB4632</f>
        <v>External Scaffolding</v>
      </c>
      <c r="AC4653" t="str">
        <f t="shared" si="4855"/>
        <v>Lift 6</v>
      </c>
      <c r="AD4653" t="b">
        <f t="shared" ca="1" si="4839"/>
        <v>0</v>
      </c>
      <c r="AE4653" s="1" t="str">
        <f t="shared" ca="1" si="4852"/>
        <v>Garage 135</v>
      </c>
      <c r="AF4653" t="str">
        <f t="shared" ca="1" si="4837"/>
        <v>Garage 135</v>
      </c>
    </row>
    <row r="4654" spans="28:32" x14ac:dyDescent="0.25">
      <c r="AB4654" t="str">
        <f t="shared" ref="AB4654:AC4654" si="4856">AB4633</f>
        <v>Loading Bay</v>
      </c>
      <c r="AC4654" t="str">
        <f t="shared" si="4856"/>
        <v>Lift 1</v>
      </c>
      <c r="AD4654" t="b">
        <f t="shared" ca="1" si="4839"/>
        <v>1</v>
      </c>
      <c r="AE4654" s="1" t="str">
        <f t="shared" ca="1" si="4852"/>
        <v>Garage 135</v>
      </c>
      <c r="AF4654" t="str">
        <f t="shared" ca="1" si="4837"/>
        <v>Garage 135</v>
      </c>
    </row>
    <row r="4655" spans="28:32" x14ac:dyDescent="0.25">
      <c r="AB4655" t="str">
        <f t="shared" ref="AB4655:AC4655" si="4857">AB4634</f>
        <v>Loading Bay</v>
      </c>
      <c r="AC4655" t="str">
        <f t="shared" si="4857"/>
        <v>Lift 2</v>
      </c>
      <c r="AD4655" t="b">
        <f t="shared" ca="1" si="4839"/>
        <v>1</v>
      </c>
      <c r="AE4655" s="1" t="str">
        <f t="shared" ca="1" si="4852"/>
        <v>Garage 135</v>
      </c>
      <c r="AF4655" t="str">
        <f t="shared" ca="1" si="4837"/>
        <v>Garage 135</v>
      </c>
    </row>
    <row r="4656" spans="28:32" x14ac:dyDescent="0.25">
      <c r="AB4656" t="str">
        <f t="shared" ref="AB4656:AC4656" si="4858">AB4635</f>
        <v>Loading Bay</v>
      </c>
      <c r="AC4656" t="str">
        <f t="shared" si="4858"/>
        <v>Lift 3</v>
      </c>
      <c r="AD4656" t="b">
        <f t="shared" ca="1" si="4839"/>
        <v>1</v>
      </c>
      <c r="AE4656" s="1" t="str">
        <f t="shared" ca="1" si="4852"/>
        <v>Garage 135</v>
      </c>
      <c r="AF4656" t="str">
        <f t="shared" ca="1" si="4837"/>
        <v>Garage 135</v>
      </c>
    </row>
    <row r="4657" spans="28:32" x14ac:dyDescent="0.25">
      <c r="AB4657" t="str">
        <f t="shared" ref="AB4657:AC4657" si="4859">AB4636</f>
        <v>Loading Bay</v>
      </c>
      <c r="AC4657" t="str">
        <f t="shared" si="4859"/>
        <v>Lift 4</v>
      </c>
      <c r="AD4657" t="b">
        <f t="shared" ca="1" si="4839"/>
        <v>0</v>
      </c>
      <c r="AE4657" s="1" t="str">
        <f t="shared" ca="1" si="4852"/>
        <v>Garage 135</v>
      </c>
      <c r="AF4657" t="str">
        <f t="shared" ca="1" si="4837"/>
        <v>Garage 135</v>
      </c>
    </row>
    <row r="4658" spans="28:32" x14ac:dyDescent="0.25">
      <c r="AB4658" t="str">
        <f t="shared" ref="AB4658:AC4658" si="4860">AB4637</f>
        <v>Loading Bay</v>
      </c>
      <c r="AC4658" t="str">
        <f t="shared" si="4860"/>
        <v>Lift 5</v>
      </c>
      <c r="AD4658" t="b">
        <f t="shared" ca="1" si="4839"/>
        <v>0</v>
      </c>
      <c r="AE4658" s="1" t="str">
        <f t="shared" ca="1" si="4852"/>
        <v>Garage 135</v>
      </c>
      <c r="AF4658" t="str">
        <f t="shared" ca="1" si="4837"/>
        <v>Garage 135</v>
      </c>
    </row>
    <row r="4659" spans="28:32" x14ac:dyDescent="0.25">
      <c r="AB4659" t="str">
        <f t="shared" ref="AB4659:AC4659" si="4861">AB4638</f>
        <v>Loading Bay</v>
      </c>
      <c r="AC4659" t="str">
        <f t="shared" si="4861"/>
        <v>Lift 6</v>
      </c>
      <c r="AD4659" t="b">
        <f t="shared" ca="1" si="4839"/>
        <v>0</v>
      </c>
      <c r="AE4659" s="1" t="str">
        <f t="shared" ca="1" si="4852"/>
        <v>Garage 135</v>
      </c>
      <c r="AF4659" t="str">
        <f t="shared" ca="1" si="4837"/>
        <v>Garage 135</v>
      </c>
    </row>
    <row r="4660" spans="28:32" x14ac:dyDescent="0.25">
      <c r="AB4660" t="str">
        <f t="shared" ref="AB4660:AC4660" si="4862">AB4639</f>
        <v>Scaffolding Platform</v>
      </c>
      <c r="AC4660" t="str">
        <f t="shared" si="4862"/>
        <v>Ground Floor</v>
      </c>
      <c r="AD4660" t="b">
        <f t="shared" ca="1" si="4839"/>
        <v>1</v>
      </c>
      <c r="AE4660" s="1" t="str">
        <f t="shared" ca="1" si="4852"/>
        <v>Garage 135</v>
      </c>
      <c r="AF4660" t="str">
        <f t="shared" ca="1" si="4837"/>
        <v>Garage 135</v>
      </c>
    </row>
    <row r="4661" spans="28:32" x14ac:dyDescent="0.25">
      <c r="AB4661" t="str">
        <f t="shared" ref="AB4661:AC4661" si="4863">AB4640</f>
        <v>Scaffolding Platform</v>
      </c>
      <c r="AC4661" t="str">
        <f t="shared" si="4863"/>
        <v>First Floor</v>
      </c>
      <c r="AD4661" t="b">
        <f t="shared" ca="1" si="4839"/>
        <v>0</v>
      </c>
      <c r="AE4661" s="1" t="str">
        <f t="shared" ca="1" si="4852"/>
        <v>Garage 135</v>
      </c>
      <c r="AF4661" t="str">
        <f t="shared" ca="1" si="4837"/>
        <v>Garage 135</v>
      </c>
    </row>
    <row r="4662" spans="28:32" x14ac:dyDescent="0.25">
      <c r="AB4662" t="str">
        <f t="shared" ref="AB4662:AC4662" si="4864">AB4641</f>
        <v>Scaffolding Platform</v>
      </c>
      <c r="AC4662" t="str">
        <f t="shared" si="4864"/>
        <v>Second Floor</v>
      </c>
      <c r="AD4662" t="b">
        <f t="shared" ca="1" si="4839"/>
        <v>0</v>
      </c>
      <c r="AE4662" s="1" t="str">
        <f t="shared" ca="1" si="4852"/>
        <v>Garage 135</v>
      </c>
      <c r="AF4662" t="str">
        <f t="shared" ca="1" si="4837"/>
        <v>Garage 135</v>
      </c>
    </row>
    <row r="4663" spans="28:32" x14ac:dyDescent="0.25">
      <c r="AB4663" t="str">
        <f t="shared" ref="AB4663:AC4663" si="4865">AB4642</f>
        <v>Supporting Scaffold</v>
      </c>
      <c r="AC4663" t="str">
        <f t="shared" si="4865"/>
        <v>Ground Floor Prop.</v>
      </c>
      <c r="AD4663" t="str">
        <f t="shared" ca="1" si="4839"/>
        <v>FALSE</v>
      </c>
      <c r="AE4663" s="1" t="str">
        <f t="shared" ca="1" si="4852"/>
        <v>Garage 135</v>
      </c>
      <c r="AF4663" t="str">
        <f t="shared" ca="1" si="4837"/>
        <v>Garage 135</v>
      </c>
    </row>
    <row r="4664" spans="28:32" x14ac:dyDescent="0.25">
      <c r="AB4664" t="str">
        <f t="shared" ref="AB4664:AC4664" si="4866">AB4643</f>
        <v>Supporting Scaffold</v>
      </c>
      <c r="AC4664" t="str">
        <f t="shared" si="4866"/>
        <v>First Floor Prop.</v>
      </c>
      <c r="AD4664" t="str">
        <f t="shared" ca="1" si="4839"/>
        <v>FALSE</v>
      </c>
      <c r="AE4664" s="1" t="str">
        <f t="shared" ca="1" si="4852"/>
        <v>Garage 135</v>
      </c>
      <c r="AF4664" t="str">
        <f t="shared" ca="1" si="4837"/>
        <v>Garage 135</v>
      </c>
    </row>
    <row r="4665" spans="28:32" x14ac:dyDescent="0.25">
      <c r="AB4665" t="str">
        <f t="shared" ref="AB4665:AC4665" si="4867">AB4644</f>
        <v>Supporting Scaffold</v>
      </c>
      <c r="AC4665" t="str">
        <f t="shared" si="4867"/>
        <v>Second Floor Prop.</v>
      </c>
      <c r="AD4665" t="str">
        <f t="shared" ca="1" si="4839"/>
        <v>FALSE</v>
      </c>
      <c r="AE4665" s="1" t="str">
        <f t="shared" ca="1" si="4852"/>
        <v>Garage 135</v>
      </c>
      <c r="AF4665" t="str">
        <f t="shared" ca="1" si="4837"/>
        <v>Garage 135</v>
      </c>
    </row>
    <row r="4666" spans="28:32" x14ac:dyDescent="0.25">
      <c r="AB4666" t="str">
        <f t="shared" ref="AB4666:AC4666" si="4868">AB4645</f>
        <v>External Scaffolding</v>
      </c>
      <c r="AC4666" t="str">
        <f t="shared" si="4868"/>
        <v>Hop-ups</v>
      </c>
      <c r="AD4666" t="b">
        <f t="shared" ca="1" si="4839"/>
        <v>1</v>
      </c>
      <c r="AE4666" s="1" t="str">
        <f t="shared" ca="1" si="4852"/>
        <v>Garage 135</v>
      </c>
      <c r="AF4666" t="str">
        <f t="shared" ca="1" si="4837"/>
        <v>Garage 135</v>
      </c>
    </row>
    <row r="4667" spans="28:32" x14ac:dyDescent="0.25">
      <c r="AB4667" t="str">
        <f t="shared" ref="AB4667:AC4667" si="4869">AB4646</f>
        <v>External Scaffolding</v>
      </c>
      <c r="AC4667" t="str">
        <f t="shared" si="4869"/>
        <v>Adaptions</v>
      </c>
      <c r="AD4667" t="b">
        <f t="shared" ca="1" si="4839"/>
        <v>1</v>
      </c>
      <c r="AE4667" s="1" t="str">
        <f t="shared" ca="1" si="4852"/>
        <v>Garage 135</v>
      </c>
      <c r="AF4667" t="str">
        <f t="shared" ca="1" si="4837"/>
        <v>Garage 135</v>
      </c>
    </row>
    <row r="4668" spans="28:32" x14ac:dyDescent="0.25">
      <c r="AB4668" t="str">
        <f t="shared" ref="AB4668:AC4668" si="4870">AB4647</f>
        <v>External Scaffolding</v>
      </c>
      <c r="AC4668" t="str">
        <f t="shared" si="4870"/>
        <v>Adaption Tower</v>
      </c>
      <c r="AD4668" t="b">
        <f t="shared" ca="1" si="4839"/>
        <v>1</v>
      </c>
      <c r="AE4668" s="1" t="str">
        <f t="shared" ca="1" si="4852"/>
        <v>Garage 135</v>
      </c>
      <c r="AF4668" t="str">
        <f t="shared" ca="1" si="4837"/>
        <v>Garage 135</v>
      </c>
    </row>
    <row r="4669" spans="28:32" x14ac:dyDescent="0.25">
      <c r="AB4669" t="str">
        <f t="shared" ref="AB4669:AC4669" si="4871">AB4648</f>
        <v>External Scaffolding</v>
      </c>
      <c r="AC4669" t="str">
        <f t="shared" si="4871"/>
        <v>Lift 1</v>
      </c>
      <c r="AD4669" t="b">
        <f t="shared" ca="1" si="4839"/>
        <v>1</v>
      </c>
      <c r="AE4669" s="1" t="str">
        <f t="shared" ca="1" si="4852"/>
        <v>Garage 136-137</v>
      </c>
      <c r="AF4669" t="str">
        <f t="shared" ca="1" si="4837"/>
        <v>Garage 136-137</v>
      </c>
    </row>
    <row r="4670" spans="28:32" x14ac:dyDescent="0.25">
      <c r="AB4670" t="str">
        <f t="shared" ref="AB4670:AC4670" si="4872">AB4649</f>
        <v>External Scaffolding</v>
      </c>
      <c r="AC4670" t="str">
        <f t="shared" si="4872"/>
        <v>Lift 2</v>
      </c>
      <c r="AD4670" t="b">
        <f t="shared" ca="1" si="4839"/>
        <v>1</v>
      </c>
      <c r="AE4670" s="1" t="str">
        <f t="shared" ca="1" si="4852"/>
        <v>Garage 136-137</v>
      </c>
      <c r="AF4670" t="str">
        <f t="shared" ca="1" si="4837"/>
        <v>Garage 136-137</v>
      </c>
    </row>
    <row r="4671" spans="28:32" x14ac:dyDescent="0.25">
      <c r="AB4671" t="str">
        <f t="shared" ref="AB4671:AC4671" si="4873">AB4650</f>
        <v>External Scaffolding</v>
      </c>
      <c r="AC4671" t="str">
        <f t="shared" si="4873"/>
        <v>Lift 3</v>
      </c>
      <c r="AD4671" t="b">
        <f t="shared" ca="1" si="4839"/>
        <v>1</v>
      </c>
      <c r="AE4671" s="1" t="str">
        <f t="shared" ca="1" si="4852"/>
        <v>Garage 136-137</v>
      </c>
      <c r="AF4671" t="str">
        <f t="shared" ca="1" si="4837"/>
        <v>Garage 136-137</v>
      </c>
    </row>
    <row r="4672" spans="28:32" x14ac:dyDescent="0.25">
      <c r="AB4672" t="str">
        <f t="shared" ref="AB4672:AC4672" si="4874">AB4651</f>
        <v>External Scaffolding</v>
      </c>
      <c r="AC4672" t="str">
        <f t="shared" si="4874"/>
        <v>Lift 4</v>
      </c>
      <c r="AD4672" t="b">
        <f t="shared" ca="1" si="4839"/>
        <v>0</v>
      </c>
      <c r="AE4672" s="1" t="str">
        <f t="shared" ca="1" si="4852"/>
        <v>Garage 136-137</v>
      </c>
      <c r="AF4672" t="str">
        <f t="shared" ca="1" si="4837"/>
        <v>Garage 136-137</v>
      </c>
    </row>
    <row r="4673" spans="28:32" x14ac:dyDescent="0.25">
      <c r="AB4673" t="str">
        <f t="shared" ref="AB4673:AC4673" si="4875">AB4652</f>
        <v>External Scaffolding</v>
      </c>
      <c r="AC4673" t="str">
        <f t="shared" si="4875"/>
        <v>Lift 5</v>
      </c>
      <c r="AD4673" t="b">
        <f t="shared" ca="1" si="4839"/>
        <v>0</v>
      </c>
      <c r="AE4673" s="1" t="str">
        <f t="shared" ca="1" si="4852"/>
        <v>Garage 136-137</v>
      </c>
      <c r="AF4673" t="str">
        <f t="shared" ca="1" si="4837"/>
        <v>Garage 136-137</v>
      </c>
    </row>
    <row r="4674" spans="28:32" x14ac:dyDescent="0.25">
      <c r="AB4674" t="str">
        <f t="shared" ref="AB4674:AC4674" si="4876">AB4653</f>
        <v>External Scaffolding</v>
      </c>
      <c r="AC4674" t="str">
        <f t="shared" si="4876"/>
        <v>Lift 6</v>
      </c>
      <c r="AD4674" t="b">
        <f t="shared" ca="1" si="4839"/>
        <v>0</v>
      </c>
      <c r="AE4674" s="1" t="str">
        <f t="shared" ca="1" si="4852"/>
        <v>Garage 136-137</v>
      </c>
      <c r="AF4674" t="str">
        <f t="shared" ca="1" si="4837"/>
        <v>Garage 136-137</v>
      </c>
    </row>
    <row r="4675" spans="28:32" x14ac:dyDescent="0.25">
      <c r="AB4675" t="str">
        <f t="shared" ref="AB4675:AC4675" si="4877">AB4654</f>
        <v>Loading Bay</v>
      </c>
      <c r="AC4675" t="str">
        <f t="shared" si="4877"/>
        <v>Lift 1</v>
      </c>
      <c r="AD4675" t="b">
        <f t="shared" ca="1" si="4839"/>
        <v>1</v>
      </c>
      <c r="AE4675" s="1" t="str">
        <f t="shared" ca="1" si="4852"/>
        <v>Garage 136-137</v>
      </c>
      <c r="AF4675" t="str">
        <f t="shared" ca="1" si="4837"/>
        <v>Garage 136-137</v>
      </c>
    </row>
    <row r="4676" spans="28:32" x14ac:dyDescent="0.25">
      <c r="AB4676" t="str">
        <f t="shared" ref="AB4676:AC4676" si="4878">AB4655</f>
        <v>Loading Bay</v>
      </c>
      <c r="AC4676" t="str">
        <f t="shared" si="4878"/>
        <v>Lift 2</v>
      </c>
      <c r="AD4676" t="b">
        <f t="shared" ca="1" si="4839"/>
        <v>1</v>
      </c>
      <c r="AE4676" s="1" t="str">
        <f t="shared" ca="1" si="4852"/>
        <v>Garage 136-137</v>
      </c>
      <c r="AF4676" t="str">
        <f t="shared" ca="1" si="4837"/>
        <v>Garage 136-137</v>
      </c>
    </row>
    <row r="4677" spans="28:32" x14ac:dyDescent="0.25">
      <c r="AB4677" t="str">
        <f t="shared" ref="AB4677:AC4677" si="4879">AB4656</f>
        <v>Loading Bay</v>
      </c>
      <c r="AC4677" t="str">
        <f t="shared" si="4879"/>
        <v>Lift 3</v>
      </c>
      <c r="AD4677" t="b">
        <f t="shared" ca="1" si="4839"/>
        <v>1</v>
      </c>
      <c r="AE4677" s="1" t="str">
        <f t="shared" ca="1" si="4852"/>
        <v>Garage 136-137</v>
      </c>
      <c r="AF4677" t="str">
        <f t="shared" ca="1" si="4837"/>
        <v>Garage 136-137</v>
      </c>
    </row>
    <row r="4678" spans="28:32" x14ac:dyDescent="0.25">
      <c r="AB4678" t="str">
        <f t="shared" ref="AB4678:AC4678" si="4880">AB4657</f>
        <v>Loading Bay</v>
      </c>
      <c r="AC4678" t="str">
        <f t="shared" si="4880"/>
        <v>Lift 4</v>
      </c>
      <c r="AD4678" t="b">
        <f t="shared" ca="1" si="4839"/>
        <v>0</v>
      </c>
      <c r="AE4678" s="1" t="str">
        <f t="shared" ca="1" si="4852"/>
        <v>Garage 136-137</v>
      </c>
      <c r="AF4678" t="str">
        <f t="shared" ca="1" si="4837"/>
        <v>Garage 136-137</v>
      </c>
    </row>
    <row r="4679" spans="28:32" x14ac:dyDescent="0.25">
      <c r="AB4679" t="str">
        <f t="shared" ref="AB4679:AC4679" si="4881">AB4658</f>
        <v>Loading Bay</v>
      </c>
      <c r="AC4679" t="str">
        <f t="shared" si="4881"/>
        <v>Lift 5</v>
      </c>
      <c r="AD4679" t="b">
        <f t="shared" ca="1" si="4839"/>
        <v>0</v>
      </c>
      <c r="AE4679" s="1" t="str">
        <f t="shared" ca="1" si="4852"/>
        <v>Garage 136-137</v>
      </c>
      <c r="AF4679" t="str">
        <f t="shared" ca="1" si="4837"/>
        <v>Garage 136-137</v>
      </c>
    </row>
    <row r="4680" spans="28:32" x14ac:dyDescent="0.25">
      <c r="AB4680" t="str">
        <f t="shared" ref="AB4680:AC4680" si="4882">AB4659</f>
        <v>Loading Bay</v>
      </c>
      <c r="AC4680" t="str">
        <f t="shared" si="4882"/>
        <v>Lift 6</v>
      </c>
      <c r="AD4680" t="b">
        <f t="shared" ca="1" si="4839"/>
        <v>0</v>
      </c>
      <c r="AE4680" s="1" t="str">
        <f t="shared" ca="1" si="4852"/>
        <v>Garage 136-137</v>
      </c>
      <c r="AF4680" t="str">
        <f t="shared" ca="1" si="4837"/>
        <v>Garage 136-137</v>
      </c>
    </row>
    <row r="4681" spans="28:32" x14ac:dyDescent="0.25">
      <c r="AB4681" t="str">
        <f t="shared" ref="AB4681:AC4681" si="4883">AB4660</f>
        <v>Scaffolding Platform</v>
      </c>
      <c r="AC4681" t="str">
        <f t="shared" si="4883"/>
        <v>Ground Floor</v>
      </c>
      <c r="AD4681" t="b">
        <f t="shared" ca="1" si="4839"/>
        <v>1</v>
      </c>
      <c r="AE4681" s="1" t="str">
        <f t="shared" ca="1" si="4852"/>
        <v>Garage 136-137</v>
      </c>
      <c r="AF4681" t="str">
        <f t="shared" ca="1" si="4837"/>
        <v>Garage 136-137</v>
      </c>
    </row>
    <row r="4682" spans="28:32" x14ac:dyDescent="0.25">
      <c r="AB4682" t="str">
        <f t="shared" ref="AB4682:AC4682" si="4884">AB4661</f>
        <v>Scaffolding Platform</v>
      </c>
      <c r="AC4682" t="str">
        <f t="shared" si="4884"/>
        <v>First Floor</v>
      </c>
      <c r="AD4682" t="b">
        <f t="shared" ca="1" si="4839"/>
        <v>0</v>
      </c>
      <c r="AE4682" s="1" t="str">
        <f t="shared" ca="1" si="4852"/>
        <v>Garage 136-137</v>
      </c>
      <c r="AF4682" t="str">
        <f t="shared" ca="1" si="4837"/>
        <v>Garage 136-137</v>
      </c>
    </row>
    <row r="4683" spans="28:32" x14ac:dyDescent="0.25">
      <c r="AB4683" t="str">
        <f t="shared" ref="AB4683:AC4683" si="4885">AB4662</f>
        <v>Scaffolding Platform</v>
      </c>
      <c r="AC4683" t="str">
        <f t="shared" si="4885"/>
        <v>Second Floor</v>
      </c>
      <c r="AD4683" t="b">
        <f t="shared" ca="1" si="4839"/>
        <v>0</v>
      </c>
      <c r="AE4683" s="1" t="str">
        <f t="shared" ca="1" si="4852"/>
        <v>Garage 136-137</v>
      </c>
      <c r="AF4683" t="str">
        <f t="shared" ca="1" si="4837"/>
        <v>Garage 136-137</v>
      </c>
    </row>
    <row r="4684" spans="28:32" x14ac:dyDescent="0.25">
      <c r="AB4684" t="str">
        <f t="shared" ref="AB4684:AC4684" si="4886">AB4663</f>
        <v>Supporting Scaffold</v>
      </c>
      <c r="AC4684" t="str">
        <f t="shared" si="4886"/>
        <v>Ground Floor Prop.</v>
      </c>
      <c r="AD4684" t="str">
        <f t="shared" ca="1" si="4839"/>
        <v>FALSE</v>
      </c>
      <c r="AE4684" s="1" t="str">
        <f t="shared" ca="1" si="4852"/>
        <v>Garage 136-137</v>
      </c>
      <c r="AF4684" t="str">
        <f t="shared" ca="1" si="4837"/>
        <v>Garage 136-137</v>
      </c>
    </row>
    <row r="4685" spans="28:32" x14ac:dyDescent="0.25">
      <c r="AB4685" t="str">
        <f t="shared" ref="AB4685:AC4685" si="4887">AB4664</f>
        <v>Supporting Scaffold</v>
      </c>
      <c r="AC4685" t="str">
        <f t="shared" si="4887"/>
        <v>First Floor Prop.</v>
      </c>
      <c r="AD4685" t="str">
        <f t="shared" ca="1" si="4839"/>
        <v>FALSE</v>
      </c>
      <c r="AE4685" s="1" t="str">
        <f t="shared" ca="1" si="4852"/>
        <v>Garage 136-137</v>
      </c>
      <c r="AF4685" t="str">
        <f t="shared" ca="1" si="4837"/>
        <v>Garage 136-137</v>
      </c>
    </row>
    <row r="4686" spans="28:32" x14ac:dyDescent="0.25">
      <c r="AB4686" t="str">
        <f t="shared" ref="AB4686:AC4686" si="4888">AB4665</f>
        <v>Supporting Scaffold</v>
      </c>
      <c r="AC4686" t="str">
        <f t="shared" si="4888"/>
        <v>Second Floor Prop.</v>
      </c>
      <c r="AD4686" t="str">
        <f t="shared" ca="1" si="4839"/>
        <v>FALSE</v>
      </c>
      <c r="AE4686" s="1" t="str">
        <f t="shared" ca="1" si="4852"/>
        <v>Garage 136-137</v>
      </c>
      <c r="AF4686" t="str">
        <f t="shared" ca="1" si="4837"/>
        <v>Garage 136-137</v>
      </c>
    </row>
    <row r="4687" spans="28:32" x14ac:dyDescent="0.25">
      <c r="AB4687" t="str">
        <f t="shared" ref="AB4687:AC4687" si="4889">AB4666</f>
        <v>External Scaffolding</v>
      </c>
      <c r="AC4687" t="str">
        <f t="shared" si="4889"/>
        <v>Hop-ups</v>
      </c>
      <c r="AD4687" t="b">
        <f t="shared" ca="1" si="4839"/>
        <v>1</v>
      </c>
      <c r="AE4687" s="1" t="str">
        <f t="shared" ca="1" si="4852"/>
        <v>Garage 136-137</v>
      </c>
      <c r="AF4687" t="str">
        <f t="shared" ca="1" si="4837"/>
        <v>Garage 136-137</v>
      </c>
    </row>
    <row r="4688" spans="28:32" x14ac:dyDescent="0.25">
      <c r="AB4688" t="str">
        <f t="shared" ref="AB4688:AC4688" si="4890">AB4667</f>
        <v>External Scaffolding</v>
      </c>
      <c r="AC4688" t="str">
        <f t="shared" si="4890"/>
        <v>Adaptions</v>
      </c>
      <c r="AD4688" t="b">
        <f t="shared" ca="1" si="4839"/>
        <v>1</v>
      </c>
      <c r="AE4688" s="1" t="str">
        <f t="shared" ca="1" si="4852"/>
        <v>Garage 136-137</v>
      </c>
      <c r="AF4688" t="str">
        <f t="shared" ca="1" si="4837"/>
        <v>Garage 136-137</v>
      </c>
    </row>
    <row r="4689" spans="28:32" x14ac:dyDescent="0.25">
      <c r="AB4689" t="str">
        <f t="shared" ref="AB4689:AC4689" si="4891">AB4668</f>
        <v>External Scaffolding</v>
      </c>
      <c r="AC4689" t="str">
        <f t="shared" si="4891"/>
        <v>Adaption Tower</v>
      </c>
      <c r="AD4689" t="b">
        <f t="shared" ca="1" si="4839"/>
        <v>1</v>
      </c>
      <c r="AE4689" s="1" t="str">
        <f t="shared" ca="1" si="4852"/>
        <v>Garage 136-137</v>
      </c>
      <c r="AF4689" t="str">
        <f t="shared" ca="1" si="4837"/>
        <v>Garage 136-137</v>
      </c>
    </row>
    <row r="4690" spans="28:32" x14ac:dyDescent="0.25">
      <c r="AB4690" t="str">
        <f t="shared" ref="AB4690:AC4690" si="4892">AB4669</f>
        <v>External Scaffolding</v>
      </c>
      <c r="AC4690" t="str">
        <f t="shared" si="4892"/>
        <v>Lift 1</v>
      </c>
      <c r="AD4690" t="b">
        <f t="shared" ca="1" si="4839"/>
        <v>1</v>
      </c>
      <c r="AE4690" s="1" t="str">
        <f t="shared" ca="1" si="4852"/>
        <v>Garage 138</v>
      </c>
      <c r="AF4690" t="str">
        <f t="shared" ca="1" si="4837"/>
        <v>Garage 138</v>
      </c>
    </row>
    <row r="4691" spans="28:32" x14ac:dyDescent="0.25">
      <c r="AB4691" t="str">
        <f t="shared" ref="AB4691:AC4691" si="4893">AB4670</f>
        <v>External Scaffolding</v>
      </c>
      <c r="AC4691" t="str">
        <f t="shared" si="4893"/>
        <v>Lift 2</v>
      </c>
      <c r="AD4691" t="b">
        <f t="shared" ca="1" si="4839"/>
        <v>1</v>
      </c>
      <c r="AE4691" s="1" t="str">
        <f t="shared" ca="1" si="4852"/>
        <v>Garage 138</v>
      </c>
      <c r="AF4691" t="str">
        <f t="shared" ca="1" si="4837"/>
        <v>Garage 138</v>
      </c>
    </row>
    <row r="4692" spans="28:32" x14ac:dyDescent="0.25">
      <c r="AB4692" t="str">
        <f t="shared" ref="AB4692:AC4692" si="4894">AB4671</f>
        <v>External Scaffolding</v>
      </c>
      <c r="AC4692" t="str">
        <f t="shared" si="4894"/>
        <v>Lift 3</v>
      </c>
      <c r="AD4692" t="b">
        <f t="shared" ca="1" si="4839"/>
        <v>1</v>
      </c>
      <c r="AE4692" s="1" t="str">
        <f t="shared" ca="1" si="4852"/>
        <v>Garage 138</v>
      </c>
      <c r="AF4692" t="str">
        <f t="shared" ca="1" si="4837"/>
        <v>Garage 138</v>
      </c>
    </row>
    <row r="4693" spans="28:32" x14ac:dyDescent="0.25">
      <c r="AB4693" t="str">
        <f t="shared" ref="AB4693:AC4693" si="4895">AB4672</f>
        <v>External Scaffolding</v>
      </c>
      <c r="AC4693" t="str">
        <f t="shared" si="4895"/>
        <v>Lift 4</v>
      </c>
      <c r="AD4693" t="b">
        <f t="shared" ca="1" si="4839"/>
        <v>0</v>
      </c>
      <c r="AE4693" s="1" t="str">
        <f t="shared" ca="1" si="4852"/>
        <v>Garage 138</v>
      </c>
      <c r="AF4693" t="str">
        <f t="shared" ca="1" si="4837"/>
        <v>Garage 138</v>
      </c>
    </row>
    <row r="4694" spans="28:32" x14ac:dyDescent="0.25">
      <c r="AB4694" t="str">
        <f t="shared" ref="AB4694:AC4694" si="4896">AB4673</f>
        <v>External Scaffolding</v>
      </c>
      <c r="AC4694" t="str">
        <f t="shared" si="4896"/>
        <v>Lift 5</v>
      </c>
      <c r="AD4694" t="b">
        <f t="shared" ca="1" si="4839"/>
        <v>0</v>
      </c>
      <c r="AE4694" s="1" t="str">
        <f t="shared" ca="1" si="4852"/>
        <v>Garage 138</v>
      </c>
      <c r="AF4694" t="str">
        <f t="shared" ca="1" si="4837"/>
        <v>Garage 138</v>
      </c>
    </row>
    <row r="4695" spans="28:32" x14ac:dyDescent="0.25">
      <c r="AB4695" t="str">
        <f t="shared" ref="AB4695:AC4695" si="4897">AB4674</f>
        <v>External Scaffolding</v>
      </c>
      <c r="AC4695" t="str">
        <f t="shared" si="4897"/>
        <v>Lift 6</v>
      </c>
      <c r="AD4695" t="b">
        <f t="shared" ca="1" si="4839"/>
        <v>0</v>
      </c>
      <c r="AE4695" s="1" t="str">
        <f t="shared" ca="1" si="4852"/>
        <v>Garage 138</v>
      </c>
      <c r="AF4695" t="str">
        <f t="shared" ca="1" si="4837"/>
        <v>Garage 138</v>
      </c>
    </row>
    <row r="4696" spans="28:32" x14ac:dyDescent="0.25">
      <c r="AB4696" t="str">
        <f t="shared" ref="AB4696:AC4696" si="4898">AB4675</f>
        <v>Loading Bay</v>
      </c>
      <c r="AC4696" t="str">
        <f t="shared" si="4898"/>
        <v>Lift 1</v>
      </c>
      <c r="AD4696" t="b">
        <f t="shared" ca="1" si="4839"/>
        <v>1</v>
      </c>
      <c r="AE4696" s="1" t="str">
        <f t="shared" ca="1" si="4852"/>
        <v>Garage 138</v>
      </c>
      <c r="AF4696" t="str">
        <f t="shared" ca="1" si="4837"/>
        <v>Garage 138</v>
      </c>
    </row>
    <row r="4697" spans="28:32" x14ac:dyDescent="0.25">
      <c r="AB4697" t="str">
        <f t="shared" ref="AB4697:AC4697" si="4899">AB4676</f>
        <v>Loading Bay</v>
      </c>
      <c r="AC4697" t="str">
        <f t="shared" si="4899"/>
        <v>Lift 2</v>
      </c>
      <c r="AD4697" t="b">
        <f t="shared" ca="1" si="4839"/>
        <v>1</v>
      </c>
      <c r="AE4697" s="1" t="str">
        <f t="shared" ca="1" si="4852"/>
        <v>Garage 138</v>
      </c>
      <c r="AF4697" t="str">
        <f t="shared" ca="1" si="4837"/>
        <v>Garage 138</v>
      </c>
    </row>
    <row r="4698" spans="28:32" x14ac:dyDescent="0.25">
      <c r="AB4698" t="str">
        <f t="shared" ref="AB4698:AC4698" si="4900">AB4677</f>
        <v>Loading Bay</v>
      </c>
      <c r="AC4698" t="str">
        <f t="shared" si="4900"/>
        <v>Lift 3</v>
      </c>
      <c r="AD4698" t="b">
        <f t="shared" ca="1" si="4839"/>
        <v>1</v>
      </c>
      <c r="AE4698" s="1" t="str">
        <f t="shared" ca="1" si="4852"/>
        <v>Garage 138</v>
      </c>
      <c r="AF4698" t="str">
        <f t="shared" ca="1" si="4837"/>
        <v>Garage 138</v>
      </c>
    </row>
    <row r="4699" spans="28:32" x14ac:dyDescent="0.25">
      <c r="AB4699" t="str">
        <f t="shared" ref="AB4699:AC4699" si="4901">AB4678</f>
        <v>Loading Bay</v>
      </c>
      <c r="AC4699" t="str">
        <f t="shared" si="4901"/>
        <v>Lift 4</v>
      </c>
      <c r="AD4699" t="b">
        <f t="shared" ca="1" si="4839"/>
        <v>0</v>
      </c>
      <c r="AE4699" s="1" t="str">
        <f t="shared" ca="1" si="4852"/>
        <v>Garage 138</v>
      </c>
      <c r="AF4699" t="str">
        <f t="shared" ca="1" si="4837"/>
        <v>Garage 138</v>
      </c>
    </row>
    <row r="4700" spans="28:32" x14ac:dyDescent="0.25">
      <c r="AB4700" t="str">
        <f t="shared" ref="AB4700:AC4700" si="4902">AB4679</f>
        <v>Loading Bay</v>
      </c>
      <c r="AC4700" t="str">
        <f t="shared" si="4902"/>
        <v>Lift 5</v>
      </c>
      <c r="AD4700" t="b">
        <f t="shared" ca="1" si="4839"/>
        <v>0</v>
      </c>
      <c r="AE4700" s="1" t="str">
        <f t="shared" ca="1" si="4852"/>
        <v>Garage 138</v>
      </c>
      <c r="AF4700" t="str">
        <f t="shared" ca="1" si="4837"/>
        <v>Garage 138</v>
      </c>
    </row>
    <row r="4701" spans="28:32" x14ac:dyDescent="0.25">
      <c r="AB4701" t="str">
        <f t="shared" ref="AB4701:AC4701" si="4903">AB4680</f>
        <v>Loading Bay</v>
      </c>
      <c r="AC4701" t="str">
        <f t="shared" si="4903"/>
        <v>Lift 6</v>
      </c>
      <c r="AD4701" t="b">
        <f t="shared" ca="1" si="4839"/>
        <v>0</v>
      </c>
      <c r="AE4701" s="1" t="str">
        <f t="shared" ca="1" si="4852"/>
        <v>Garage 138</v>
      </c>
      <c r="AF4701" t="str">
        <f t="shared" ref="AF4701:AF4764" ca="1" si="4904">IF(LEFT(AE4701,1)="G",AE4701,"Plot "&amp;AE4701)</f>
        <v>Garage 138</v>
      </c>
    </row>
    <row r="4702" spans="28:32" x14ac:dyDescent="0.25">
      <c r="AB4702" t="str">
        <f t="shared" ref="AB4702:AC4702" si="4905">AB4681</f>
        <v>Scaffolding Platform</v>
      </c>
      <c r="AC4702" t="str">
        <f t="shared" si="4905"/>
        <v>Ground Floor</v>
      </c>
      <c r="AD4702" t="b">
        <f t="shared" ref="AD4702:AD4765" ca="1" si="4906">INDEX($AC$1:$JH$22,MATCH(AC4702,$AC$1:$AC$22,0),MATCH(AE4702,$AC$1:$JH$1,0))</f>
        <v>1</v>
      </c>
      <c r="AE4702" s="1" t="str">
        <f t="shared" ca="1" si="4852"/>
        <v>Garage 138</v>
      </c>
      <c r="AF4702" t="str">
        <f t="shared" ca="1" si="4904"/>
        <v>Garage 138</v>
      </c>
    </row>
    <row r="4703" spans="28:32" x14ac:dyDescent="0.25">
      <c r="AB4703" t="str">
        <f t="shared" ref="AB4703:AC4703" si="4907">AB4682</f>
        <v>Scaffolding Platform</v>
      </c>
      <c r="AC4703" t="str">
        <f t="shared" si="4907"/>
        <v>First Floor</v>
      </c>
      <c r="AD4703" t="b">
        <f t="shared" ca="1" si="4906"/>
        <v>0</v>
      </c>
      <c r="AE4703" s="1" t="str">
        <f t="shared" ca="1" si="4852"/>
        <v>Garage 138</v>
      </c>
      <c r="AF4703" t="str">
        <f t="shared" ca="1" si="4904"/>
        <v>Garage 138</v>
      </c>
    </row>
    <row r="4704" spans="28:32" x14ac:dyDescent="0.25">
      <c r="AB4704" t="str">
        <f t="shared" ref="AB4704:AC4704" si="4908">AB4683</f>
        <v>Scaffolding Platform</v>
      </c>
      <c r="AC4704" t="str">
        <f t="shared" si="4908"/>
        <v>Second Floor</v>
      </c>
      <c r="AD4704" t="b">
        <f t="shared" ca="1" si="4906"/>
        <v>0</v>
      </c>
      <c r="AE4704" s="1" t="str">
        <f t="shared" ca="1" si="4852"/>
        <v>Garage 138</v>
      </c>
      <c r="AF4704" t="str">
        <f t="shared" ca="1" si="4904"/>
        <v>Garage 138</v>
      </c>
    </row>
    <row r="4705" spans="28:32" x14ac:dyDescent="0.25">
      <c r="AB4705" t="str">
        <f t="shared" ref="AB4705:AC4705" si="4909">AB4684</f>
        <v>Supporting Scaffold</v>
      </c>
      <c r="AC4705" t="str">
        <f t="shared" si="4909"/>
        <v>Ground Floor Prop.</v>
      </c>
      <c r="AD4705" t="str">
        <f t="shared" ca="1" si="4906"/>
        <v>FALSE</v>
      </c>
      <c r="AE4705" s="1" t="str">
        <f t="shared" ca="1" si="4852"/>
        <v>Garage 138</v>
      </c>
      <c r="AF4705" t="str">
        <f t="shared" ca="1" si="4904"/>
        <v>Garage 138</v>
      </c>
    </row>
    <row r="4706" spans="28:32" x14ac:dyDescent="0.25">
      <c r="AB4706" t="str">
        <f t="shared" ref="AB4706:AC4706" si="4910">AB4685</f>
        <v>Supporting Scaffold</v>
      </c>
      <c r="AC4706" t="str">
        <f t="shared" si="4910"/>
        <v>First Floor Prop.</v>
      </c>
      <c r="AD4706" t="str">
        <f t="shared" ca="1" si="4906"/>
        <v>FALSE</v>
      </c>
      <c r="AE4706" s="1" t="str">
        <f t="shared" ca="1" si="4852"/>
        <v>Garage 138</v>
      </c>
      <c r="AF4706" t="str">
        <f t="shared" ca="1" si="4904"/>
        <v>Garage 138</v>
      </c>
    </row>
    <row r="4707" spans="28:32" x14ac:dyDescent="0.25">
      <c r="AB4707" t="str">
        <f t="shared" ref="AB4707:AC4707" si="4911">AB4686</f>
        <v>Supporting Scaffold</v>
      </c>
      <c r="AC4707" t="str">
        <f t="shared" si="4911"/>
        <v>Second Floor Prop.</v>
      </c>
      <c r="AD4707" t="str">
        <f t="shared" ca="1" si="4906"/>
        <v>FALSE</v>
      </c>
      <c r="AE4707" s="1" t="str">
        <f t="shared" ca="1" si="4852"/>
        <v>Garage 138</v>
      </c>
      <c r="AF4707" t="str">
        <f t="shared" ca="1" si="4904"/>
        <v>Garage 138</v>
      </c>
    </row>
    <row r="4708" spans="28:32" x14ac:dyDescent="0.25">
      <c r="AB4708" t="str">
        <f t="shared" ref="AB4708:AC4708" si="4912">AB4687</f>
        <v>External Scaffolding</v>
      </c>
      <c r="AC4708" t="str">
        <f t="shared" si="4912"/>
        <v>Hop-ups</v>
      </c>
      <c r="AD4708" t="b">
        <f t="shared" ca="1" si="4906"/>
        <v>1</v>
      </c>
      <c r="AE4708" s="1" t="str">
        <f t="shared" ca="1" si="4852"/>
        <v>Garage 138</v>
      </c>
      <c r="AF4708" t="str">
        <f t="shared" ca="1" si="4904"/>
        <v>Garage 138</v>
      </c>
    </row>
    <row r="4709" spans="28:32" x14ac:dyDescent="0.25">
      <c r="AB4709" t="str">
        <f t="shared" ref="AB4709:AC4709" si="4913">AB4688</f>
        <v>External Scaffolding</v>
      </c>
      <c r="AC4709" t="str">
        <f t="shared" si="4913"/>
        <v>Adaptions</v>
      </c>
      <c r="AD4709" t="b">
        <f t="shared" ca="1" si="4906"/>
        <v>1</v>
      </c>
      <c r="AE4709" s="1" t="str">
        <f t="shared" ca="1" si="4852"/>
        <v>Garage 138</v>
      </c>
      <c r="AF4709" t="str">
        <f t="shared" ca="1" si="4904"/>
        <v>Garage 138</v>
      </c>
    </row>
    <row r="4710" spans="28:32" x14ac:dyDescent="0.25">
      <c r="AB4710" t="str">
        <f t="shared" ref="AB4710:AC4710" si="4914">AB4689</f>
        <v>External Scaffolding</v>
      </c>
      <c r="AC4710" t="str">
        <f t="shared" si="4914"/>
        <v>Adaption Tower</v>
      </c>
      <c r="AD4710" t="b">
        <f t="shared" ca="1" si="4906"/>
        <v>1</v>
      </c>
      <c r="AE4710" s="1" t="str">
        <f t="shared" ca="1" si="4852"/>
        <v>Garage 138</v>
      </c>
      <c r="AF4710" t="str">
        <f t="shared" ca="1" si="4904"/>
        <v>Garage 138</v>
      </c>
    </row>
    <row r="4711" spans="28:32" x14ac:dyDescent="0.25">
      <c r="AB4711" t="str">
        <f t="shared" ref="AB4711:AC4711" si="4915">AB4690</f>
        <v>External Scaffolding</v>
      </c>
      <c r="AC4711" t="str">
        <f t="shared" si="4915"/>
        <v>Lift 1</v>
      </c>
      <c r="AD4711" t="b">
        <f t="shared" ca="1" si="4906"/>
        <v>1</v>
      </c>
      <c r="AE4711" s="1" t="str">
        <f t="shared" ca="1" si="4852"/>
        <v>Garage 141</v>
      </c>
      <c r="AF4711" t="str">
        <f t="shared" ca="1" si="4904"/>
        <v>Garage 141</v>
      </c>
    </row>
    <row r="4712" spans="28:32" x14ac:dyDescent="0.25">
      <c r="AB4712" t="str">
        <f t="shared" ref="AB4712:AC4712" si="4916">AB4691</f>
        <v>External Scaffolding</v>
      </c>
      <c r="AC4712" t="str">
        <f t="shared" si="4916"/>
        <v>Lift 2</v>
      </c>
      <c r="AD4712" t="b">
        <f t="shared" ca="1" si="4906"/>
        <v>1</v>
      </c>
      <c r="AE4712" s="1" t="str">
        <f t="shared" ca="1" si="4852"/>
        <v>Garage 141</v>
      </c>
      <c r="AF4712" t="str">
        <f t="shared" ca="1" si="4904"/>
        <v>Garage 141</v>
      </c>
    </row>
    <row r="4713" spans="28:32" x14ac:dyDescent="0.25">
      <c r="AB4713" t="str">
        <f t="shared" ref="AB4713:AC4713" si="4917">AB4692</f>
        <v>External Scaffolding</v>
      </c>
      <c r="AC4713" t="str">
        <f t="shared" si="4917"/>
        <v>Lift 3</v>
      </c>
      <c r="AD4713" t="b">
        <f t="shared" ca="1" si="4906"/>
        <v>1</v>
      </c>
      <c r="AE4713" s="1" t="str">
        <f t="shared" ca="1" si="4852"/>
        <v>Garage 141</v>
      </c>
      <c r="AF4713" t="str">
        <f t="shared" ca="1" si="4904"/>
        <v>Garage 141</v>
      </c>
    </row>
    <row r="4714" spans="28:32" x14ac:dyDescent="0.25">
      <c r="AB4714" t="str">
        <f t="shared" ref="AB4714:AC4714" si="4918">AB4693</f>
        <v>External Scaffolding</v>
      </c>
      <c r="AC4714" t="str">
        <f t="shared" si="4918"/>
        <v>Lift 4</v>
      </c>
      <c r="AD4714" t="b">
        <f t="shared" ca="1" si="4906"/>
        <v>0</v>
      </c>
      <c r="AE4714" s="1" t="str">
        <f t="shared" ref="AE4714:AE4777" ca="1" si="4919">OFFSET($AD$1,0,FLOOR(ROW(B4686)/21,1))</f>
        <v>Garage 141</v>
      </c>
      <c r="AF4714" t="str">
        <f t="shared" ca="1" si="4904"/>
        <v>Garage 141</v>
      </c>
    </row>
    <row r="4715" spans="28:32" x14ac:dyDescent="0.25">
      <c r="AB4715" t="str">
        <f t="shared" ref="AB4715:AC4715" si="4920">AB4694</f>
        <v>External Scaffolding</v>
      </c>
      <c r="AC4715" t="str">
        <f t="shared" si="4920"/>
        <v>Lift 5</v>
      </c>
      <c r="AD4715" t="b">
        <f t="shared" ca="1" si="4906"/>
        <v>0</v>
      </c>
      <c r="AE4715" s="1" t="str">
        <f t="shared" ca="1" si="4919"/>
        <v>Garage 141</v>
      </c>
      <c r="AF4715" t="str">
        <f t="shared" ca="1" si="4904"/>
        <v>Garage 141</v>
      </c>
    </row>
    <row r="4716" spans="28:32" x14ac:dyDescent="0.25">
      <c r="AB4716" t="str">
        <f t="shared" ref="AB4716:AC4716" si="4921">AB4695</f>
        <v>External Scaffolding</v>
      </c>
      <c r="AC4716" t="str">
        <f t="shared" si="4921"/>
        <v>Lift 6</v>
      </c>
      <c r="AD4716" t="b">
        <f t="shared" ca="1" si="4906"/>
        <v>0</v>
      </c>
      <c r="AE4716" s="1" t="str">
        <f t="shared" ca="1" si="4919"/>
        <v>Garage 141</v>
      </c>
      <c r="AF4716" t="str">
        <f t="shared" ca="1" si="4904"/>
        <v>Garage 141</v>
      </c>
    </row>
    <row r="4717" spans="28:32" x14ac:dyDescent="0.25">
      <c r="AB4717" t="str">
        <f t="shared" ref="AB4717:AC4717" si="4922">AB4696</f>
        <v>Loading Bay</v>
      </c>
      <c r="AC4717" t="str">
        <f t="shared" si="4922"/>
        <v>Lift 1</v>
      </c>
      <c r="AD4717" t="b">
        <f t="shared" ca="1" si="4906"/>
        <v>1</v>
      </c>
      <c r="AE4717" s="1" t="str">
        <f t="shared" ca="1" si="4919"/>
        <v>Garage 141</v>
      </c>
      <c r="AF4717" t="str">
        <f t="shared" ca="1" si="4904"/>
        <v>Garage 141</v>
      </c>
    </row>
    <row r="4718" spans="28:32" x14ac:dyDescent="0.25">
      <c r="AB4718" t="str">
        <f t="shared" ref="AB4718:AC4718" si="4923">AB4697</f>
        <v>Loading Bay</v>
      </c>
      <c r="AC4718" t="str">
        <f t="shared" si="4923"/>
        <v>Lift 2</v>
      </c>
      <c r="AD4718" t="b">
        <f t="shared" ca="1" si="4906"/>
        <v>1</v>
      </c>
      <c r="AE4718" s="1" t="str">
        <f t="shared" ca="1" si="4919"/>
        <v>Garage 141</v>
      </c>
      <c r="AF4718" t="str">
        <f t="shared" ca="1" si="4904"/>
        <v>Garage 141</v>
      </c>
    </row>
    <row r="4719" spans="28:32" x14ac:dyDescent="0.25">
      <c r="AB4719" t="str">
        <f t="shared" ref="AB4719:AC4719" si="4924">AB4698</f>
        <v>Loading Bay</v>
      </c>
      <c r="AC4719" t="str">
        <f t="shared" si="4924"/>
        <v>Lift 3</v>
      </c>
      <c r="AD4719" t="b">
        <f t="shared" ca="1" si="4906"/>
        <v>1</v>
      </c>
      <c r="AE4719" s="1" t="str">
        <f t="shared" ca="1" si="4919"/>
        <v>Garage 141</v>
      </c>
      <c r="AF4719" t="str">
        <f t="shared" ca="1" si="4904"/>
        <v>Garage 141</v>
      </c>
    </row>
    <row r="4720" spans="28:32" x14ac:dyDescent="0.25">
      <c r="AB4720" t="str">
        <f t="shared" ref="AB4720:AC4720" si="4925">AB4699</f>
        <v>Loading Bay</v>
      </c>
      <c r="AC4720" t="str">
        <f t="shared" si="4925"/>
        <v>Lift 4</v>
      </c>
      <c r="AD4720" t="b">
        <f t="shared" ca="1" si="4906"/>
        <v>0</v>
      </c>
      <c r="AE4720" s="1" t="str">
        <f t="shared" ca="1" si="4919"/>
        <v>Garage 141</v>
      </c>
      <c r="AF4720" t="str">
        <f t="shared" ca="1" si="4904"/>
        <v>Garage 141</v>
      </c>
    </row>
    <row r="4721" spans="28:32" x14ac:dyDescent="0.25">
      <c r="AB4721" t="str">
        <f t="shared" ref="AB4721:AC4721" si="4926">AB4700</f>
        <v>Loading Bay</v>
      </c>
      <c r="AC4721" t="str">
        <f t="shared" si="4926"/>
        <v>Lift 5</v>
      </c>
      <c r="AD4721" t="b">
        <f t="shared" ca="1" si="4906"/>
        <v>0</v>
      </c>
      <c r="AE4721" s="1" t="str">
        <f t="shared" ca="1" si="4919"/>
        <v>Garage 141</v>
      </c>
      <c r="AF4721" t="str">
        <f t="shared" ca="1" si="4904"/>
        <v>Garage 141</v>
      </c>
    </row>
    <row r="4722" spans="28:32" x14ac:dyDescent="0.25">
      <c r="AB4722" t="str">
        <f t="shared" ref="AB4722:AC4722" si="4927">AB4701</f>
        <v>Loading Bay</v>
      </c>
      <c r="AC4722" t="str">
        <f t="shared" si="4927"/>
        <v>Lift 6</v>
      </c>
      <c r="AD4722" t="b">
        <f t="shared" ca="1" si="4906"/>
        <v>0</v>
      </c>
      <c r="AE4722" s="1" t="str">
        <f t="shared" ca="1" si="4919"/>
        <v>Garage 141</v>
      </c>
      <c r="AF4722" t="str">
        <f t="shared" ca="1" si="4904"/>
        <v>Garage 141</v>
      </c>
    </row>
    <row r="4723" spans="28:32" x14ac:dyDescent="0.25">
      <c r="AB4723" t="str">
        <f t="shared" ref="AB4723:AC4723" si="4928">AB4702</f>
        <v>Scaffolding Platform</v>
      </c>
      <c r="AC4723" t="str">
        <f t="shared" si="4928"/>
        <v>Ground Floor</v>
      </c>
      <c r="AD4723" t="b">
        <f t="shared" ca="1" si="4906"/>
        <v>1</v>
      </c>
      <c r="AE4723" s="1" t="str">
        <f t="shared" ca="1" si="4919"/>
        <v>Garage 141</v>
      </c>
      <c r="AF4723" t="str">
        <f t="shared" ca="1" si="4904"/>
        <v>Garage 141</v>
      </c>
    </row>
    <row r="4724" spans="28:32" x14ac:dyDescent="0.25">
      <c r="AB4724" t="str">
        <f t="shared" ref="AB4724:AC4724" si="4929">AB4703</f>
        <v>Scaffolding Platform</v>
      </c>
      <c r="AC4724" t="str">
        <f t="shared" si="4929"/>
        <v>First Floor</v>
      </c>
      <c r="AD4724" t="b">
        <f t="shared" ca="1" si="4906"/>
        <v>0</v>
      </c>
      <c r="AE4724" s="1" t="str">
        <f t="shared" ca="1" si="4919"/>
        <v>Garage 141</v>
      </c>
      <c r="AF4724" t="str">
        <f t="shared" ca="1" si="4904"/>
        <v>Garage 141</v>
      </c>
    </row>
    <row r="4725" spans="28:32" x14ac:dyDescent="0.25">
      <c r="AB4725" t="str">
        <f t="shared" ref="AB4725:AC4725" si="4930">AB4704</f>
        <v>Scaffolding Platform</v>
      </c>
      <c r="AC4725" t="str">
        <f t="shared" si="4930"/>
        <v>Second Floor</v>
      </c>
      <c r="AD4725" t="b">
        <f t="shared" ca="1" si="4906"/>
        <v>0</v>
      </c>
      <c r="AE4725" s="1" t="str">
        <f t="shared" ca="1" si="4919"/>
        <v>Garage 141</v>
      </c>
      <c r="AF4725" t="str">
        <f t="shared" ca="1" si="4904"/>
        <v>Garage 141</v>
      </c>
    </row>
    <row r="4726" spans="28:32" x14ac:dyDescent="0.25">
      <c r="AB4726" t="str">
        <f t="shared" ref="AB4726:AC4726" si="4931">AB4705</f>
        <v>Supporting Scaffold</v>
      </c>
      <c r="AC4726" t="str">
        <f t="shared" si="4931"/>
        <v>Ground Floor Prop.</v>
      </c>
      <c r="AD4726" t="str">
        <f t="shared" ca="1" si="4906"/>
        <v>FALSE</v>
      </c>
      <c r="AE4726" s="1" t="str">
        <f t="shared" ca="1" si="4919"/>
        <v>Garage 141</v>
      </c>
      <c r="AF4726" t="str">
        <f t="shared" ca="1" si="4904"/>
        <v>Garage 141</v>
      </c>
    </row>
    <row r="4727" spans="28:32" x14ac:dyDescent="0.25">
      <c r="AB4727" t="str">
        <f t="shared" ref="AB4727:AC4727" si="4932">AB4706</f>
        <v>Supporting Scaffold</v>
      </c>
      <c r="AC4727" t="str">
        <f t="shared" si="4932"/>
        <v>First Floor Prop.</v>
      </c>
      <c r="AD4727" t="str">
        <f t="shared" ca="1" si="4906"/>
        <v>FALSE</v>
      </c>
      <c r="AE4727" s="1" t="str">
        <f t="shared" ca="1" si="4919"/>
        <v>Garage 141</v>
      </c>
      <c r="AF4727" t="str">
        <f t="shared" ca="1" si="4904"/>
        <v>Garage 141</v>
      </c>
    </row>
    <row r="4728" spans="28:32" x14ac:dyDescent="0.25">
      <c r="AB4728" t="str">
        <f t="shared" ref="AB4728:AC4728" si="4933">AB4707</f>
        <v>Supporting Scaffold</v>
      </c>
      <c r="AC4728" t="str">
        <f t="shared" si="4933"/>
        <v>Second Floor Prop.</v>
      </c>
      <c r="AD4728" t="str">
        <f t="shared" ca="1" si="4906"/>
        <v>FALSE</v>
      </c>
      <c r="AE4728" s="1" t="str">
        <f t="shared" ca="1" si="4919"/>
        <v>Garage 141</v>
      </c>
      <c r="AF4728" t="str">
        <f t="shared" ca="1" si="4904"/>
        <v>Garage 141</v>
      </c>
    </row>
    <row r="4729" spans="28:32" x14ac:dyDescent="0.25">
      <c r="AB4729" t="str">
        <f t="shared" ref="AB4729:AC4729" si="4934">AB4708</f>
        <v>External Scaffolding</v>
      </c>
      <c r="AC4729" t="str">
        <f t="shared" si="4934"/>
        <v>Hop-ups</v>
      </c>
      <c r="AD4729" t="b">
        <f t="shared" ca="1" si="4906"/>
        <v>1</v>
      </c>
      <c r="AE4729" s="1" t="str">
        <f t="shared" ca="1" si="4919"/>
        <v>Garage 141</v>
      </c>
      <c r="AF4729" t="str">
        <f t="shared" ca="1" si="4904"/>
        <v>Garage 141</v>
      </c>
    </row>
    <row r="4730" spans="28:32" x14ac:dyDescent="0.25">
      <c r="AB4730" t="str">
        <f t="shared" ref="AB4730:AC4730" si="4935">AB4709</f>
        <v>External Scaffolding</v>
      </c>
      <c r="AC4730" t="str">
        <f t="shared" si="4935"/>
        <v>Adaptions</v>
      </c>
      <c r="AD4730" t="b">
        <f t="shared" ca="1" si="4906"/>
        <v>1</v>
      </c>
      <c r="AE4730" s="1" t="str">
        <f t="shared" ca="1" si="4919"/>
        <v>Garage 141</v>
      </c>
      <c r="AF4730" t="str">
        <f t="shared" ca="1" si="4904"/>
        <v>Garage 141</v>
      </c>
    </row>
    <row r="4731" spans="28:32" x14ac:dyDescent="0.25">
      <c r="AB4731" t="str">
        <f t="shared" ref="AB4731:AC4731" si="4936">AB4710</f>
        <v>External Scaffolding</v>
      </c>
      <c r="AC4731" t="str">
        <f t="shared" si="4936"/>
        <v>Adaption Tower</v>
      </c>
      <c r="AD4731" t="b">
        <f t="shared" ca="1" si="4906"/>
        <v>1</v>
      </c>
      <c r="AE4731" s="1" t="str">
        <f t="shared" ca="1" si="4919"/>
        <v>Garage 141</v>
      </c>
      <c r="AF4731" t="str">
        <f t="shared" ca="1" si="4904"/>
        <v>Garage 141</v>
      </c>
    </row>
    <row r="4732" spans="28:32" x14ac:dyDescent="0.25">
      <c r="AB4732" t="str">
        <f t="shared" ref="AB4732:AC4732" si="4937">AB4711</f>
        <v>External Scaffolding</v>
      </c>
      <c r="AC4732" t="str">
        <f t="shared" si="4937"/>
        <v>Lift 1</v>
      </c>
      <c r="AD4732" t="b">
        <f t="shared" ca="1" si="4906"/>
        <v>1</v>
      </c>
      <c r="AE4732" s="1" t="str">
        <f t="shared" ca="1" si="4919"/>
        <v>Garage 142-143</v>
      </c>
      <c r="AF4732" t="str">
        <f t="shared" ca="1" si="4904"/>
        <v>Garage 142-143</v>
      </c>
    </row>
    <row r="4733" spans="28:32" x14ac:dyDescent="0.25">
      <c r="AB4733" t="str">
        <f t="shared" ref="AB4733:AC4733" si="4938">AB4712</f>
        <v>External Scaffolding</v>
      </c>
      <c r="AC4733" t="str">
        <f t="shared" si="4938"/>
        <v>Lift 2</v>
      </c>
      <c r="AD4733" t="b">
        <f t="shared" ca="1" si="4906"/>
        <v>1</v>
      </c>
      <c r="AE4733" s="1" t="str">
        <f t="shared" ca="1" si="4919"/>
        <v>Garage 142-143</v>
      </c>
      <c r="AF4733" t="str">
        <f t="shared" ca="1" si="4904"/>
        <v>Garage 142-143</v>
      </c>
    </row>
    <row r="4734" spans="28:32" x14ac:dyDescent="0.25">
      <c r="AB4734" t="str">
        <f t="shared" ref="AB4734:AC4734" si="4939">AB4713</f>
        <v>External Scaffolding</v>
      </c>
      <c r="AC4734" t="str">
        <f t="shared" si="4939"/>
        <v>Lift 3</v>
      </c>
      <c r="AD4734" t="b">
        <f t="shared" ca="1" si="4906"/>
        <v>1</v>
      </c>
      <c r="AE4734" s="1" t="str">
        <f t="shared" ca="1" si="4919"/>
        <v>Garage 142-143</v>
      </c>
      <c r="AF4734" t="str">
        <f t="shared" ca="1" si="4904"/>
        <v>Garage 142-143</v>
      </c>
    </row>
    <row r="4735" spans="28:32" x14ac:dyDescent="0.25">
      <c r="AB4735" t="str">
        <f t="shared" ref="AB4735:AC4735" si="4940">AB4714</f>
        <v>External Scaffolding</v>
      </c>
      <c r="AC4735" t="str">
        <f t="shared" si="4940"/>
        <v>Lift 4</v>
      </c>
      <c r="AD4735" t="b">
        <f t="shared" ca="1" si="4906"/>
        <v>0</v>
      </c>
      <c r="AE4735" s="1" t="str">
        <f t="shared" ca="1" si="4919"/>
        <v>Garage 142-143</v>
      </c>
      <c r="AF4735" t="str">
        <f t="shared" ca="1" si="4904"/>
        <v>Garage 142-143</v>
      </c>
    </row>
    <row r="4736" spans="28:32" x14ac:dyDescent="0.25">
      <c r="AB4736" t="str">
        <f t="shared" ref="AB4736:AC4736" si="4941">AB4715</f>
        <v>External Scaffolding</v>
      </c>
      <c r="AC4736" t="str">
        <f t="shared" si="4941"/>
        <v>Lift 5</v>
      </c>
      <c r="AD4736" t="b">
        <f t="shared" ca="1" si="4906"/>
        <v>0</v>
      </c>
      <c r="AE4736" s="1" t="str">
        <f t="shared" ca="1" si="4919"/>
        <v>Garage 142-143</v>
      </c>
      <c r="AF4736" t="str">
        <f t="shared" ca="1" si="4904"/>
        <v>Garage 142-143</v>
      </c>
    </row>
    <row r="4737" spans="28:32" x14ac:dyDescent="0.25">
      <c r="AB4737" t="str">
        <f t="shared" ref="AB4737:AC4737" si="4942">AB4716</f>
        <v>External Scaffolding</v>
      </c>
      <c r="AC4737" t="str">
        <f t="shared" si="4942"/>
        <v>Lift 6</v>
      </c>
      <c r="AD4737" t="b">
        <f t="shared" ca="1" si="4906"/>
        <v>0</v>
      </c>
      <c r="AE4737" s="1" t="str">
        <f t="shared" ca="1" si="4919"/>
        <v>Garage 142-143</v>
      </c>
      <c r="AF4737" t="str">
        <f t="shared" ca="1" si="4904"/>
        <v>Garage 142-143</v>
      </c>
    </row>
    <row r="4738" spans="28:32" x14ac:dyDescent="0.25">
      <c r="AB4738" t="str">
        <f t="shared" ref="AB4738:AC4738" si="4943">AB4717</f>
        <v>Loading Bay</v>
      </c>
      <c r="AC4738" t="str">
        <f t="shared" si="4943"/>
        <v>Lift 1</v>
      </c>
      <c r="AD4738" t="b">
        <f t="shared" ca="1" si="4906"/>
        <v>1</v>
      </c>
      <c r="AE4738" s="1" t="str">
        <f t="shared" ca="1" si="4919"/>
        <v>Garage 142-143</v>
      </c>
      <c r="AF4738" t="str">
        <f t="shared" ca="1" si="4904"/>
        <v>Garage 142-143</v>
      </c>
    </row>
    <row r="4739" spans="28:32" x14ac:dyDescent="0.25">
      <c r="AB4739" t="str">
        <f t="shared" ref="AB4739:AC4739" si="4944">AB4718</f>
        <v>Loading Bay</v>
      </c>
      <c r="AC4739" t="str">
        <f t="shared" si="4944"/>
        <v>Lift 2</v>
      </c>
      <c r="AD4739" t="b">
        <f t="shared" ca="1" si="4906"/>
        <v>1</v>
      </c>
      <c r="AE4739" s="1" t="str">
        <f t="shared" ca="1" si="4919"/>
        <v>Garage 142-143</v>
      </c>
      <c r="AF4739" t="str">
        <f t="shared" ca="1" si="4904"/>
        <v>Garage 142-143</v>
      </c>
    </row>
    <row r="4740" spans="28:32" x14ac:dyDescent="0.25">
      <c r="AB4740" t="str">
        <f t="shared" ref="AB4740:AC4740" si="4945">AB4719</f>
        <v>Loading Bay</v>
      </c>
      <c r="AC4740" t="str">
        <f t="shared" si="4945"/>
        <v>Lift 3</v>
      </c>
      <c r="AD4740" t="b">
        <f t="shared" ca="1" si="4906"/>
        <v>1</v>
      </c>
      <c r="AE4740" s="1" t="str">
        <f t="shared" ca="1" si="4919"/>
        <v>Garage 142-143</v>
      </c>
      <c r="AF4740" t="str">
        <f t="shared" ca="1" si="4904"/>
        <v>Garage 142-143</v>
      </c>
    </row>
    <row r="4741" spans="28:32" x14ac:dyDescent="0.25">
      <c r="AB4741" t="str">
        <f t="shared" ref="AB4741:AC4741" si="4946">AB4720</f>
        <v>Loading Bay</v>
      </c>
      <c r="AC4741" t="str">
        <f t="shared" si="4946"/>
        <v>Lift 4</v>
      </c>
      <c r="AD4741" t="b">
        <f t="shared" ca="1" si="4906"/>
        <v>0</v>
      </c>
      <c r="AE4741" s="1" t="str">
        <f t="shared" ca="1" si="4919"/>
        <v>Garage 142-143</v>
      </c>
      <c r="AF4741" t="str">
        <f t="shared" ca="1" si="4904"/>
        <v>Garage 142-143</v>
      </c>
    </row>
    <row r="4742" spans="28:32" x14ac:dyDescent="0.25">
      <c r="AB4742" t="str">
        <f t="shared" ref="AB4742:AC4742" si="4947">AB4721</f>
        <v>Loading Bay</v>
      </c>
      <c r="AC4742" t="str">
        <f t="shared" si="4947"/>
        <v>Lift 5</v>
      </c>
      <c r="AD4742" t="b">
        <f t="shared" ca="1" si="4906"/>
        <v>0</v>
      </c>
      <c r="AE4742" s="1" t="str">
        <f t="shared" ca="1" si="4919"/>
        <v>Garage 142-143</v>
      </c>
      <c r="AF4742" t="str">
        <f t="shared" ca="1" si="4904"/>
        <v>Garage 142-143</v>
      </c>
    </row>
    <row r="4743" spans="28:32" x14ac:dyDescent="0.25">
      <c r="AB4743" t="str">
        <f t="shared" ref="AB4743:AC4743" si="4948">AB4722</f>
        <v>Loading Bay</v>
      </c>
      <c r="AC4743" t="str">
        <f t="shared" si="4948"/>
        <v>Lift 6</v>
      </c>
      <c r="AD4743" t="b">
        <f t="shared" ca="1" si="4906"/>
        <v>0</v>
      </c>
      <c r="AE4743" s="1" t="str">
        <f t="shared" ca="1" si="4919"/>
        <v>Garage 142-143</v>
      </c>
      <c r="AF4743" t="str">
        <f t="shared" ca="1" si="4904"/>
        <v>Garage 142-143</v>
      </c>
    </row>
    <row r="4744" spans="28:32" x14ac:dyDescent="0.25">
      <c r="AB4744" t="str">
        <f t="shared" ref="AB4744:AC4744" si="4949">AB4723</f>
        <v>Scaffolding Platform</v>
      </c>
      <c r="AC4744" t="str">
        <f t="shared" si="4949"/>
        <v>Ground Floor</v>
      </c>
      <c r="AD4744" t="b">
        <f t="shared" ca="1" si="4906"/>
        <v>1</v>
      </c>
      <c r="AE4744" s="1" t="str">
        <f t="shared" ca="1" si="4919"/>
        <v>Garage 142-143</v>
      </c>
      <c r="AF4744" t="str">
        <f t="shared" ca="1" si="4904"/>
        <v>Garage 142-143</v>
      </c>
    </row>
    <row r="4745" spans="28:32" x14ac:dyDescent="0.25">
      <c r="AB4745" t="str">
        <f t="shared" ref="AB4745:AC4745" si="4950">AB4724</f>
        <v>Scaffolding Platform</v>
      </c>
      <c r="AC4745" t="str">
        <f t="shared" si="4950"/>
        <v>First Floor</v>
      </c>
      <c r="AD4745" t="b">
        <f t="shared" ca="1" si="4906"/>
        <v>0</v>
      </c>
      <c r="AE4745" s="1" t="str">
        <f t="shared" ca="1" si="4919"/>
        <v>Garage 142-143</v>
      </c>
      <c r="AF4745" t="str">
        <f t="shared" ca="1" si="4904"/>
        <v>Garage 142-143</v>
      </c>
    </row>
    <row r="4746" spans="28:32" x14ac:dyDescent="0.25">
      <c r="AB4746" t="str">
        <f t="shared" ref="AB4746:AC4746" si="4951">AB4725</f>
        <v>Scaffolding Platform</v>
      </c>
      <c r="AC4746" t="str">
        <f t="shared" si="4951"/>
        <v>Second Floor</v>
      </c>
      <c r="AD4746" t="b">
        <f t="shared" ca="1" si="4906"/>
        <v>0</v>
      </c>
      <c r="AE4746" s="1" t="str">
        <f t="shared" ca="1" si="4919"/>
        <v>Garage 142-143</v>
      </c>
      <c r="AF4746" t="str">
        <f t="shared" ca="1" si="4904"/>
        <v>Garage 142-143</v>
      </c>
    </row>
    <row r="4747" spans="28:32" x14ac:dyDescent="0.25">
      <c r="AB4747" t="str">
        <f t="shared" ref="AB4747:AC4747" si="4952">AB4726</f>
        <v>Supporting Scaffold</v>
      </c>
      <c r="AC4747" t="str">
        <f t="shared" si="4952"/>
        <v>Ground Floor Prop.</v>
      </c>
      <c r="AD4747" t="str">
        <f t="shared" ca="1" si="4906"/>
        <v>FALSE</v>
      </c>
      <c r="AE4747" s="1" t="str">
        <f t="shared" ca="1" si="4919"/>
        <v>Garage 142-143</v>
      </c>
      <c r="AF4747" t="str">
        <f t="shared" ca="1" si="4904"/>
        <v>Garage 142-143</v>
      </c>
    </row>
    <row r="4748" spans="28:32" x14ac:dyDescent="0.25">
      <c r="AB4748" t="str">
        <f t="shared" ref="AB4748:AC4748" si="4953">AB4727</f>
        <v>Supporting Scaffold</v>
      </c>
      <c r="AC4748" t="str">
        <f t="shared" si="4953"/>
        <v>First Floor Prop.</v>
      </c>
      <c r="AD4748" t="str">
        <f t="shared" ca="1" si="4906"/>
        <v>FALSE</v>
      </c>
      <c r="AE4748" s="1" t="str">
        <f t="shared" ca="1" si="4919"/>
        <v>Garage 142-143</v>
      </c>
      <c r="AF4748" t="str">
        <f t="shared" ca="1" si="4904"/>
        <v>Garage 142-143</v>
      </c>
    </row>
    <row r="4749" spans="28:32" x14ac:dyDescent="0.25">
      <c r="AB4749" t="str">
        <f t="shared" ref="AB4749:AC4749" si="4954">AB4728</f>
        <v>Supporting Scaffold</v>
      </c>
      <c r="AC4749" t="str">
        <f t="shared" si="4954"/>
        <v>Second Floor Prop.</v>
      </c>
      <c r="AD4749" t="str">
        <f t="shared" ca="1" si="4906"/>
        <v>FALSE</v>
      </c>
      <c r="AE4749" s="1" t="str">
        <f t="shared" ca="1" si="4919"/>
        <v>Garage 142-143</v>
      </c>
      <c r="AF4749" t="str">
        <f t="shared" ca="1" si="4904"/>
        <v>Garage 142-143</v>
      </c>
    </row>
    <row r="4750" spans="28:32" x14ac:dyDescent="0.25">
      <c r="AB4750" t="str">
        <f t="shared" ref="AB4750:AC4750" si="4955">AB4729</f>
        <v>External Scaffolding</v>
      </c>
      <c r="AC4750" t="str">
        <f t="shared" si="4955"/>
        <v>Hop-ups</v>
      </c>
      <c r="AD4750" t="b">
        <f t="shared" ca="1" si="4906"/>
        <v>1</v>
      </c>
      <c r="AE4750" s="1" t="str">
        <f t="shared" ca="1" si="4919"/>
        <v>Garage 142-143</v>
      </c>
      <c r="AF4750" t="str">
        <f t="shared" ca="1" si="4904"/>
        <v>Garage 142-143</v>
      </c>
    </row>
    <row r="4751" spans="28:32" x14ac:dyDescent="0.25">
      <c r="AB4751" t="str">
        <f t="shared" ref="AB4751:AC4751" si="4956">AB4730</f>
        <v>External Scaffolding</v>
      </c>
      <c r="AC4751" t="str">
        <f t="shared" si="4956"/>
        <v>Adaptions</v>
      </c>
      <c r="AD4751" t="b">
        <f t="shared" ca="1" si="4906"/>
        <v>1</v>
      </c>
      <c r="AE4751" s="1" t="str">
        <f t="shared" ca="1" si="4919"/>
        <v>Garage 142-143</v>
      </c>
      <c r="AF4751" t="str">
        <f t="shared" ca="1" si="4904"/>
        <v>Garage 142-143</v>
      </c>
    </row>
    <row r="4752" spans="28:32" x14ac:dyDescent="0.25">
      <c r="AB4752" t="str">
        <f t="shared" ref="AB4752:AC4752" si="4957">AB4731</f>
        <v>External Scaffolding</v>
      </c>
      <c r="AC4752" t="str">
        <f t="shared" si="4957"/>
        <v>Adaption Tower</v>
      </c>
      <c r="AD4752" t="b">
        <f t="shared" ca="1" si="4906"/>
        <v>1</v>
      </c>
      <c r="AE4752" s="1" t="str">
        <f t="shared" ca="1" si="4919"/>
        <v>Garage 142-143</v>
      </c>
      <c r="AF4752" t="str">
        <f t="shared" ca="1" si="4904"/>
        <v>Garage 142-143</v>
      </c>
    </row>
    <row r="4753" spans="28:32" x14ac:dyDescent="0.25">
      <c r="AB4753" t="str">
        <f t="shared" ref="AB4753:AC4753" si="4958">AB4732</f>
        <v>External Scaffolding</v>
      </c>
      <c r="AC4753" t="str">
        <f t="shared" si="4958"/>
        <v>Lift 1</v>
      </c>
      <c r="AD4753" t="b">
        <f t="shared" ca="1" si="4906"/>
        <v>1</v>
      </c>
      <c r="AE4753" s="1" t="str">
        <f t="shared" ca="1" si="4919"/>
        <v>Garage 144</v>
      </c>
      <c r="AF4753" t="str">
        <f t="shared" ca="1" si="4904"/>
        <v>Garage 144</v>
      </c>
    </row>
    <row r="4754" spans="28:32" x14ac:dyDescent="0.25">
      <c r="AB4754" t="str">
        <f t="shared" ref="AB4754:AC4754" si="4959">AB4733</f>
        <v>External Scaffolding</v>
      </c>
      <c r="AC4754" t="str">
        <f t="shared" si="4959"/>
        <v>Lift 2</v>
      </c>
      <c r="AD4754" t="b">
        <f t="shared" ca="1" si="4906"/>
        <v>1</v>
      </c>
      <c r="AE4754" s="1" t="str">
        <f t="shared" ca="1" si="4919"/>
        <v>Garage 144</v>
      </c>
      <c r="AF4754" t="str">
        <f t="shared" ca="1" si="4904"/>
        <v>Garage 144</v>
      </c>
    </row>
    <row r="4755" spans="28:32" x14ac:dyDescent="0.25">
      <c r="AB4755" t="str">
        <f t="shared" ref="AB4755:AC4755" si="4960">AB4734</f>
        <v>External Scaffolding</v>
      </c>
      <c r="AC4755" t="str">
        <f t="shared" si="4960"/>
        <v>Lift 3</v>
      </c>
      <c r="AD4755" t="b">
        <f t="shared" ca="1" si="4906"/>
        <v>1</v>
      </c>
      <c r="AE4755" s="1" t="str">
        <f t="shared" ca="1" si="4919"/>
        <v>Garage 144</v>
      </c>
      <c r="AF4755" t="str">
        <f t="shared" ca="1" si="4904"/>
        <v>Garage 144</v>
      </c>
    </row>
    <row r="4756" spans="28:32" x14ac:dyDescent="0.25">
      <c r="AB4756" t="str">
        <f t="shared" ref="AB4756:AC4756" si="4961">AB4735</f>
        <v>External Scaffolding</v>
      </c>
      <c r="AC4756" t="str">
        <f t="shared" si="4961"/>
        <v>Lift 4</v>
      </c>
      <c r="AD4756" t="b">
        <f t="shared" ca="1" si="4906"/>
        <v>0</v>
      </c>
      <c r="AE4756" s="1" t="str">
        <f t="shared" ca="1" si="4919"/>
        <v>Garage 144</v>
      </c>
      <c r="AF4756" t="str">
        <f t="shared" ca="1" si="4904"/>
        <v>Garage 144</v>
      </c>
    </row>
    <row r="4757" spans="28:32" x14ac:dyDescent="0.25">
      <c r="AB4757" t="str">
        <f t="shared" ref="AB4757:AC4757" si="4962">AB4736</f>
        <v>External Scaffolding</v>
      </c>
      <c r="AC4757" t="str">
        <f t="shared" si="4962"/>
        <v>Lift 5</v>
      </c>
      <c r="AD4757" t="b">
        <f t="shared" ca="1" si="4906"/>
        <v>0</v>
      </c>
      <c r="AE4757" s="1" t="str">
        <f t="shared" ca="1" si="4919"/>
        <v>Garage 144</v>
      </c>
      <c r="AF4757" t="str">
        <f t="shared" ca="1" si="4904"/>
        <v>Garage 144</v>
      </c>
    </row>
    <row r="4758" spans="28:32" x14ac:dyDescent="0.25">
      <c r="AB4758" t="str">
        <f t="shared" ref="AB4758:AC4758" si="4963">AB4737</f>
        <v>External Scaffolding</v>
      </c>
      <c r="AC4758" t="str">
        <f t="shared" si="4963"/>
        <v>Lift 6</v>
      </c>
      <c r="AD4758" t="b">
        <f t="shared" ca="1" si="4906"/>
        <v>0</v>
      </c>
      <c r="AE4758" s="1" t="str">
        <f t="shared" ca="1" si="4919"/>
        <v>Garage 144</v>
      </c>
      <c r="AF4758" t="str">
        <f t="shared" ca="1" si="4904"/>
        <v>Garage 144</v>
      </c>
    </row>
    <row r="4759" spans="28:32" x14ac:dyDescent="0.25">
      <c r="AB4759" t="str">
        <f t="shared" ref="AB4759:AC4759" si="4964">AB4738</f>
        <v>Loading Bay</v>
      </c>
      <c r="AC4759" t="str">
        <f t="shared" si="4964"/>
        <v>Lift 1</v>
      </c>
      <c r="AD4759" t="b">
        <f t="shared" ca="1" si="4906"/>
        <v>1</v>
      </c>
      <c r="AE4759" s="1" t="str">
        <f t="shared" ca="1" si="4919"/>
        <v>Garage 144</v>
      </c>
      <c r="AF4759" t="str">
        <f t="shared" ca="1" si="4904"/>
        <v>Garage 144</v>
      </c>
    </row>
    <row r="4760" spans="28:32" x14ac:dyDescent="0.25">
      <c r="AB4760" t="str">
        <f t="shared" ref="AB4760:AC4760" si="4965">AB4739</f>
        <v>Loading Bay</v>
      </c>
      <c r="AC4760" t="str">
        <f t="shared" si="4965"/>
        <v>Lift 2</v>
      </c>
      <c r="AD4760" t="b">
        <f t="shared" ca="1" si="4906"/>
        <v>1</v>
      </c>
      <c r="AE4760" s="1" t="str">
        <f t="shared" ca="1" si="4919"/>
        <v>Garage 144</v>
      </c>
      <c r="AF4760" t="str">
        <f t="shared" ca="1" si="4904"/>
        <v>Garage 144</v>
      </c>
    </row>
    <row r="4761" spans="28:32" x14ac:dyDescent="0.25">
      <c r="AB4761" t="str">
        <f t="shared" ref="AB4761:AC4761" si="4966">AB4740</f>
        <v>Loading Bay</v>
      </c>
      <c r="AC4761" t="str">
        <f t="shared" si="4966"/>
        <v>Lift 3</v>
      </c>
      <c r="AD4761" t="b">
        <f t="shared" ca="1" si="4906"/>
        <v>1</v>
      </c>
      <c r="AE4761" s="1" t="str">
        <f t="shared" ca="1" si="4919"/>
        <v>Garage 144</v>
      </c>
      <c r="AF4761" t="str">
        <f t="shared" ca="1" si="4904"/>
        <v>Garage 144</v>
      </c>
    </row>
    <row r="4762" spans="28:32" x14ac:dyDescent="0.25">
      <c r="AB4762" t="str">
        <f t="shared" ref="AB4762:AC4762" si="4967">AB4741</f>
        <v>Loading Bay</v>
      </c>
      <c r="AC4762" t="str">
        <f t="shared" si="4967"/>
        <v>Lift 4</v>
      </c>
      <c r="AD4762" t="b">
        <f t="shared" ca="1" si="4906"/>
        <v>0</v>
      </c>
      <c r="AE4762" s="1" t="str">
        <f t="shared" ca="1" si="4919"/>
        <v>Garage 144</v>
      </c>
      <c r="AF4762" t="str">
        <f t="shared" ca="1" si="4904"/>
        <v>Garage 144</v>
      </c>
    </row>
    <row r="4763" spans="28:32" x14ac:dyDescent="0.25">
      <c r="AB4763" t="str">
        <f t="shared" ref="AB4763:AC4763" si="4968">AB4742</f>
        <v>Loading Bay</v>
      </c>
      <c r="AC4763" t="str">
        <f t="shared" si="4968"/>
        <v>Lift 5</v>
      </c>
      <c r="AD4763" t="b">
        <f t="shared" ca="1" si="4906"/>
        <v>0</v>
      </c>
      <c r="AE4763" s="1" t="str">
        <f t="shared" ca="1" si="4919"/>
        <v>Garage 144</v>
      </c>
      <c r="AF4763" t="str">
        <f t="shared" ca="1" si="4904"/>
        <v>Garage 144</v>
      </c>
    </row>
    <row r="4764" spans="28:32" x14ac:dyDescent="0.25">
      <c r="AB4764" t="str">
        <f t="shared" ref="AB4764:AC4764" si="4969">AB4743</f>
        <v>Loading Bay</v>
      </c>
      <c r="AC4764" t="str">
        <f t="shared" si="4969"/>
        <v>Lift 6</v>
      </c>
      <c r="AD4764" t="b">
        <f t="shared" ca="1" si="4906"/>
        <v>0</v>
      </c>
      <c r="AE4764" s="1" t="str">
        <f t="shared" ca="1" si="4919"/>
        <v>Garage 144</v>
      </c>
      <c r="AF4764" t="str">
        <f t="shared" ca="1" si="4904"/>
        <v>Garage 144</v>
      </c>
    </row>
    <row r="4765" spans="28:32" x14ac:dyDescent="0.25">
      <c r="AB4765" t="str">
        <f t="shared" ref="AB4765:AC4765" si="4970">AB4744</f>
        <v>Scaffolding Platform</v>
      </c>
      <c r="AC4765" t="str">
        <f t="shared" si="4970"/>
        <v>Ground Floor</v>
      </c>
      <c r="AD4765" t="b">
        <f t="shared" ca="1" si="4906"/>
        <v>1</v>
      </c>
      <c r="AE4765" s="1" t="str">
        <f t="shared" ca="1" si="4919"/>
        <v>Garage 144</v>
      </c>
      <c r="AF4765" t="str">
        <f t="shared" ref="AF4765:AF4828" ca="1" si="4971">IF(LEFT(AE4765,1)="G",AE4765,"Plot "&amp;AE4765)</f>
        <v>Garage 144</v>
      </c>
    </row>
    <row r="4766" spans="28:32" x14ac:dyDescent="0.25">
      <c r="AB4766" t="str">
        <f t="shared" ref="AB4766:AC4766" si="4972">AB4745</f>
        <v>Scaffolding Platform</v>
      </c>
      <c r="AC4766" t="str">
        <f t="shared" si="4972"/>
        <v>First Floor</v>
      </c>
      <c r="AD4766" t="b">
        <f t="shared" ref="AD4766:AD4829" ca="1" si="4973">INDEX($AC$1:$JH$22,MATCH(AC4766,$AC$1:$AC$22,0),MATCH(AE4766,$AC$1:$JH$1,0))</f>
        <v>0</v>
      </c>
      <c r="AE4766" s="1" t="str">
        <f t="shared" ca="1" si="4919"/>
        <v>Garage 144</v>
      </c>
      <c r="AF4766" t="str">
        <f t="shared" ca="1" si="4971"/>
        <v>Garage 144</v>
      </c>
    </row>
    <row r="4767" spans="28:32" x14ac:dyDescent="0.25">
      <c r="AB4767" t="str">
        <f t="shared" ref="AB4767:AC4767" si="4974">AB4746</f>
        <v>Scaffolding Platform</v>
      </c>
      <c r="AC4767" t="str">
        <f t="shared" si="4974"/>
        <v>Second Floor</v>
      </c>
      <c r="AD4767" t="b">
        <f t="shared" ca="1" si="4973"/>
        <v>0</v>
      </c>
      <c r="AE4767" s="1" t="str">
        <f t="shared" ca="1" si="4919"/>
        <v>Garage 144</v>
      </c>
      <c r="AF4767" t="str">
        <f t="shared" ca="1" si="4971"/>
        <v>Garage 144</v>
      </c>
    </row>
    <row r="4768" spans="28:32" x14ac:dyDescent="0.25">
      <c r="AB4768" t="str">
        <f t="shared" ref="AB4768:AC4768" si="4975">AB4747</f>
        <v>Supporting Scaffold</v>
      </c>
      <c r="AC4768" t="str">
        <f t="shared" si="4975"/>
        <v>Ground Floor Prop.</v>
      </c>
      <c r="AD4768" t="str">
        <f t="shared" ca="1" si="4973"/>
        <v>FALSE</v>
      </c>
      <c r="AE4768" s="1" t="str">
        <f t="shared" ca="1" si="4919"/>
        <v>Garage 144</v>
      </c>
      <c r="AF4768" t="str">
        <f t="shared" ca="1" si="4971"/>
        <v>Garage 144</v>
      </c>
    </row>
    <row r="4769" spans="28:32" x14ac:dyDescent="0.25">
      <c r="AB4769" t="str">
        <f t="shared" ref="AB4769:AC4769" si="4976">AB4748</f>
        <v>Supporting Scaffold</v>
      </c>
      <c r="AC4769" t="str">
        <f t="shared" si="4976"/>
        <v>First Floor Prop.</v>
      </c>
      <c r="AD4769" t="str">
        <f t="shared" ca="1" si="4973"/>
        <v>FALSE</v>
      </c>
      <c r="AE4769" s="1" t="str">
        <f t="shared" ca="1" si="4919"/>
        <v>Garage 144</v>
      </c>
      <c r="AF4769" t="str">
        <f t="shared" ca="1" si="4971"/>
        <v>Garage 144</v>
      </c>
    </row>
    <row r="4770" spans="28:32" x14ac:dyDescent="0.25">
      <c r="AB4770" t="str">
        <f t="shared" ref="AB4770:AC4770" si="4977">AB4749</f>
        <v>Supporting Scaffold</v>
      </c>
      <c r="AC4770" t="str">
        <f t="shared" si="4977"/>
        <v>Second Floor Prop.</v>
      </c>
      <c r="AD4770" t="str">
        <f t="shared" ca="1" si="4973"/>
        <v>FALSE</v>
      </c>
      <c r="AE4770" s="1" t="str">
        <f t="shared" ca="1" si="4919"/>
        <v>Garage 144</v>
      </c>
      <c r="AF4770" t="str">
        <f t="shared" ca="1" si="4971"/>
        <v>Garage 144</v>
      </c>
    </row>
    <row r="4771" spans="28:32" x14ac:dyDescent="0.25">
      <c r="AB4771" t="str">
        <f t="shared" ref="AB4771:AC4771" si="4978">AB4750</f>
        <v>External Scaffolding</v>
      </c>
      <c r="AC4771" t="str">
        <f t="shared" si="4978"/>
        <v>Hop-ups</v>
      </c>
      <c r="AD4771" t="b">
        <f t="shared" ca="1" si="4973"/>
        <v>1</v>
      </c>
      <c r="AE4771" s="1" t="str">
        <f t="shared" ca="1" si="4919"/>
        <v>Garage 144</v>
      </c>
      <c r="AF4771" t="str">
        <f t="shared" ca="1" si="4971"/>
        <v>Garage 144</v>
      </c>
    </row>
    <row r="4772" spans="28:32" x14ac:dyDescent="0.25">
      <c r="AB4772" t="str">
        <f t="shared" ref="AB4772:AC4772" si="4979">AB4751</f>
        <v>External Scaffolding</v>
      </c>
      <c r="AC4772" t="str">
        <f t="shared" si="4979"/>
        <v>Adaptions</v>
      </c>
      <c r="AD4772" t="b">
        <f t="shared" ca="1" si="4973"/>
        <v>1</v>
      </c>
      <c r="AE4772" s="1" t="str">
        <f t="shared" ca="1" si="4919"/>
        <v>Garage 144</v>
      </c>
      <c r="AF4772" t="str">
        <f t="shared" ca="1" si="4971"/>
        <v>Garage 144</v>
      </c>
    </row>
    <row r="4773" spans="28:32" x14ac:dyDescent="0.25">
      <c r="AB4773" t="str">
        <f t="shared" ref="AB4773:AC4773" si="4980">AB4752</f>
        <v>External Scaffolding</v>
      </c>
      <c r="AC4773" t="str">
        <f t="shared" si="4980"/>
        <v>Adaption Tower</v>
      </c>
      <c r="AD4773" t="b">
        <f t="shared" ca="1" si="4973"/>
        <v>1</v>
      </c>
      <c r="AE4773" s="1" t="str">
        <f t="shared" ca="1" si="4919"/>
        <v>Garage 144</v>
      </c>
      <c r="AF4773" t="str">
        <f t="shared" ca="1" si="4971"/>
        <v>Garage 144</v>
      </c>
    </row>
    <row r="4774" spans="28:32" x14ac:dyDescent="0.25">
      <c r="AB4774" t="str">
        <f t="shared" ref="AB4774:AC4774" si="4981">AB4753</f>
        <v>External Scaffolding</v>
      </c>
      <c r="AC4774" t="str">
        <f t="shared" si="4981"/>
        <v>Lift 1</v>
      </c>
      <c r="AD4774" t="b">
        <f t="shared" ca="1" si="4973"/>
        <v>1</v>
      </c>
      <c r="AE4774" s="1" t="str">
        <f t="shared" ca="1" si="4919"/>
        <v>Garage 145-146</v>
      </c>
      <c r="AF4774" t="str">
        <f t="shared" ca="1" si="4971"/>
        <v>Garage 145-146</v>
      </c>
    </row>
    <row r="4775" spans="28:32" x14ac:dyDescent="0.25">
      <c r="AB4775" t="str">
        <f t="shared" ref="AB4775:AC4775" si="4982">AB4754</f>
        <v>External Scaffolding</v>
      </c>
      <c r="AC4775" t="str">
        <f t="shared" si="4982"/>
        <v>Lift 2</v>
      </c>
      <c r="AD4775" t="b">
        <f t="shared" ca="1" si="4973"/>
        <v>1</v>
      </c>
      <c r="AE4775" s="1" t="str">
        <f t="shared" ca="1" si="4919"/>
        <v>Garage 145-146</v>
      </c>
      <c r="AF4775" t="str">
        <f t="shared" ca="1" si="4971"/>
        <v>Garage 145-146</v>
      </c>
    </row>
    <row r="4776" spans="28:32" x14ac:dyDescent="0.25">
      <c r="AB4776" t="str">
        <f t="shared" ref="AB4776:AC4776" si="4983">AB4755</f>
        <v>External Scaffolding</v>
      </c>
      <c r="AC4776" t="str">
        <f t="shared" si="4983"/>
        <v>Lift 3</v>
      </c>
      <c r="AD4776" t="b">
        <f t="shared" ca="1" si="4973"/>
        <v>1</v>
      </c>
      <c r="AE4776" s="1" t="str">
        <f t="shared" ca="1" si="4919"/>
        <v>Garage 145-146</v>
      </c>
      <c r="AF4776" t="str">
        <f t="shared" ca="1" si="4971"/>
        <v>Garage 145-146</v>
      </c>
    </row>
    <row r="4777" spans="28:32" x14ac:dyDescent="0.25">
      <c r="AB4777" t="str">
        <f t="shared" ref="AB4777:AC4777" si="4984">AB4756</f>
        <v>External Scaffolding</v>
      </c>
      <c r="AC4777" t="str">
        <f t="shared" si="4984"/>
        <v>Lift 4</v>
      </c>
      <c r="AD4777" t="b">
        <f t="shared" ca="1" si="4973"/>
        <v>0</v>
      </c>
      <c r="AE4777" s="1" t="str">
        <f t="shared" ca="1" si="4919"/>
        <v>Garage 145-146</v>
      </c>
      <c r="AF4777" t="str">
        <f t="shared" ca="1" si="4971"/>
        <v>Garage 145-146</v>
      </c>
    </row>
    <row r="4778" spans="28:32" x14ac:dyDescent="0.25">
      <c r="AB4778" t="str">
        <f t="shared" ref="AB4778:AC4778" si="4985">AB4757</f>
        <v>External Scaffolding</v>
      </c>
      <c r="AC4778" t="str">
        <f t="shared" si="4985"/>
        <v>Lift 5</v>
      </c>
      <c r="AD4778" t="b">
        <f t="shared" ca="1" si="4973"/>
        <v>0</v>
      </c>
      <c r="AE4778" s="1" t="str">
        <f t="shared" ref="AE4778:AE4841" ca="1" si="4986">OFFSET($AD$1,0,FLOOR(ROW(B4750)/21,1))</f>
        <v>Garage 145-146</v>
      </c>
      <c r="AF4778" t="str">
        <f t="shared" ca="1" si="4971"/>
        <v>Garage 145-146</v>
      </c>
    </row>
    <row r="4779" spans="28:32" x14ac:dyDescent="0.25">
      <c r="AB4779" t="str">
        <f t="shared" ref="AB4779:AC4779" si="4987">AB4758</f>
        <v>External Scaffolding</v>
      </c>
      <c r="AC4779" t="str">
        <f t="shared" si="4987"/>
        <v>Lift 6</v>
      </c>
      <c r="AD4779" t="b">
        <f t="shared" ca="1" si="4973"/>
        <v>0</v>
      </c>
      <c r="AE4779" s="1" t="str">
        <f t="shared" ca="1" si="4986"/>
        <v>Garage 145-146</v>
      </c>
      <c r="AF4779" t="str">
        <f t="shared" ca="1" si="4971"/>
        <v>Garage 145-146</v>
      </c>
    </row>
    <row r="4780" spans="28:32" x14ac:dyDescent="0.25">
      <c r="AB4780" t="str">
        <f t="shared" ref="AB4780:AC4780" si="4988">AB4759</f>
        <v>Loading Bay</v>
      </c>
      <c r="AC4780" t="str">
        <f t="shared" si="4988"/>
        <v>Lift 1</v>
      </c>
      <c r="AD4780" t="b">
        <f t="shared" ca="1" si="4973"/>
        <v>1</v>
      </c>
      <c r="AE4780" s="1" t="str">
        <f t="shared" ca="1" si="4986"/>
        <v>Garage 145-146</v>
      </c>
      <c r="AF4780" t="str">
        <f t="shared" ca="1" si="4971"/>
        <v>Garage 145-146</v>
      </c>
    </row>
    <row r="4781" spans="28:32" x14ac:dyDescent="0.25">
      <c r="AB4781" t="str">
        <f t="shared" ref="AB4781:AC4781" si="4989">AB4760</f>
        <v>Loading Bay</v>
      </c>
      <c r="AC4781" t="str">
        <f t="shared" si="4989"/>
        <v>Lift 2</v>
      </c>
      <c r="AD4781" t="b">
        <f t="shared" ca="1" si="4973"/>
        <v>1</v>
      </c>
      <c r="AE4781" s="1" t="str">
        <f t="shared" ca="1" si="4986"/>
        <v>Garage 145-146</v>
      </c>
      <c r="AF4781" t="str">
        <f t="shared" ca="1" si="4971"/>
        <v>Garage 145-146</v>
      </c>
    </row>
    <row r="4782" spans="28:32" x14ac:dyDescent="0.25">
      <c r="AB4782" t="str">
        <f t="shared" ref="AB4782:AC4782" si="4990">AB4761</f>
        <v>Loading Bay</v>
      </c>
      <c r="AC4782" t="str">
        <f t="shared" si="4990"/>
        <v>Lift 3</v>
      </c>
      <c r="AD4782" t="b">
        <f t="shared" ca="1" si="4973"/>
        <v>1</v>
      </c>
      <c r="AE4782" s="1" t="str">
        <f t="shared" ca="1" si="4986"/>
        <v>Garage 145-146</v>
      </c>
      <c r="AF4782" t="str">
        <f t="shared" ca="1" si="4971"/>
        <v>Garage 145-146</v>
      </c>
    </row>
    <row r="4783" spans="28:32" x14ac:dyDescent="0.25">
      <c r="AB4783" t="str">
        <f t="shared" ref="AB4783:AC4783" si="4991">AB4762</f>
        <v>Loading Bay</v>
      </c>
      <c r="AC4783" t="str">
        <f t="shared" si="4991"/>
        <v>Lift 4</v>
      </c>
      <c r="AD4783" t="b">
        <f t="shared" ca="1" si="4973"/>
        <v>0</v>
      </c>
      <c r="AE4783" s="1" t="str">
        <f t="shared" ca="1" si="4986"/>
        <v>Garage 145-146</v>
      </c>
      <c r="AF4783" t="str">
        <f t="shared" ca="1" si="4971"/>
        <v>Garage 145-146</v>
      </c>
    </row>
    <row r="4784" spans="28:32" x14ac:dyDescent="0.25">
      <c r="AB4784" t="str">
        <f t="shared" ref="AB4784:AC4784" si="4992">AB4763</f>
        <v>Loading Bay</v>
      </c>
      <c r="AC4784" t="str">
        <f t="shared" si="4992"/>
        <v>Lift 5</v>
      </c>
      <c r="AD4784" t="b">
        <f t="shared" ca="1" si="4973"/>
        <v>0</v>
      </c>
      <c r="AE4784" s="1" t="str">
        <f t="shared" ca="1" si="4986"/>
        <v>Garage 145-146</v>
      </c>
      <c r="AF4784" t="str">
        <f t="shared" ca="1" si="4971"/>
        <v>Garage 145-146</v>
      </c>
    </row>
    <row r="4785" spans="28:32" x14ac:dyDescent="0.25">
      <c r="AB4785" t="str">
        <f t="shared" ref="AB4785:AC4785" si="4993">AB4764</f>
        <v>Loading Bay</v>
      </c>
      <c r="AC4785" t="str">
        <f t="shared" si="4993"/>
        <v>Lift 6</v>
      </c>
      <c r="AD4785" t="b">
        <f t="shared" ca="1" si="4973"/>
        <v>0</v>
      </c>
      <c r="AE4785" s="1" t="str">
        <f t="shared" ca="1" si="4986"/>
        <v>Garage 145-146</v>
      </c>
      <c r="AF4785" t="str">
        <f t="shared" ca="1" si="4971"/>
        <v>Garage 145-146</v>
      </c>
    </row>
    <row r="4786" spans="28:32" x14ac:dyDescent="0.25">
      <c r="AB4786" t="str">
        <f t="shared" ref="AB4786:AC4786" si="4994">AB4765</f>
        <v>Scaffolding Platform</v>
      </c>
      <c r="AC4786" t="str">
        <f t="shared" si="4994"/>
        <v>Ground Floor</v>
      </c>
      <c r="AD4786" t="b">
        <f t="shared" ca="1" si="4973"/>
        <v>1</v>
      </c>
      <c r="AE4786" s="1" t="str">
        <f t="shared" ca="1" si="4986"/>
        <v>Garage 145-146</v>
      </c>
      <c r="AF4786" t="str">
        <f t="shared" ca="1" si="4971"/>
        <v>Garage 145-146</v>
      </c>
    </row>
    <row r="4787" spans="28:32" x14ac:dyDescent="0.25">
      <c r="AB4787" t="str">
        <f t="shared" ref="AB4787:AC4787" si="4995">AB4766</f>
        <v>Scaffolding Platform</v>
      </c>
      <c r="AC4787" t="str">
        <f t="shared" si="4995"/>
        <v>First Floor</v>
      </c>
      <c r="AD4787" t="b">
        <f t="shared" ca="1" si="4973"/>
        <v>0</v>
      </c>
      <c r="AE4787" s="1" t="str">
        <f t="shared" ca="1" si="4986"/>
        <v>Garage 145-146</v>
      </c>
      <c r="AF4787" t="str">
        <f t="shared" ca="1" si="4971"/>
        <v>Garage 145-146</v>
      </c>
    </row>
    <row r="4788" spans="28:32" x14ac:dyDescent="0.25">
      <c r="AB4788" t="str">
        <f t="shared" ref="AB4788:AC4788" si="4996">AB4767</f>
        <v>Scaffolding Platform</v>
      </c>
      <c r="AC4788" t="str">
        <f t="shared" si="4996"/>
        <v>Second Floor</v>
      </c>
      <c r="AD4788" t="b">
        <f t="shared" ca="1" si="4973"/>
        <v>0</v>
      </c>
      <c r="AE4788" s="1" t="str">
        <f t="shared" ca="1" si="4986"/>
        <v>Garage 145-146</v>
      </c>
      <c r="AF4788" t="str">
        <f t="shared" ca="1" si="4971"/>
        <v>Garage 145-146</v>
      </c>
    </row>
    <row r="4789" spans="28:32" x14ac:dyDescent="0.25">
      <c r="AB4789" t="str">
        <f t="shared" ref="AB4789:AC4789" si="4997">AB4768</f>
        <v>Supporting Scaffold</v>
      </c>
      <c r="AC4789" t="str">
        <f t="shared" si="4997"/>
        <v>Ground Floor Prop.</v>
      </c>
      <c r="AD4789" t="str">
        <f t="shared" ca="1" si="4973"/>
        <v>FALSE</v>
      </c>
      <c r="AE4789" s="1" t="str">
        <f t="shared" ca="1" si="4986"/>
        <v>Garage 145-146</v>
      </c>
      <c r="AF4789" t="str">
        <f t="shared" ca="1" si="4971"/>
        <v>Garage 145-146</v>
      </c>
    </row>
    <row r="4790" spans="28:32" x14ac:dyDescent="0.25">
      <c r="AB4790" t="str">
        <f t="shared" ref="AB4790:AC4790" si="4998">AB4769</f>
        <v>Supporting Scaffold</v>
      </c>
      <c r="AC4790" t="str">
        <f t="shared" si="4998"/>
        <v>First Floor Prop.</v>
      </c>
      <c r="AD4790" t="str">
        <f t="shared" ca="1" si="4973"/>
        <v>FALSE</v>
      </c>
      <c r="AE4790" s="1" t="str">
        <f t="shared" ca="1" si="4986"/>
        <v>Garage 145-146</v>
      </c>
      <c r="AF4790" t="str">
        <f t="shared" ca="1" si="4971"/>
        <v>Garage 145-146</v>
      </c>
    </row>
    <row r="4791" spans="28:32" x14ac:dyDescent="0.25">
      <c r="AB4791" t="str">
        <f t="shared" ref="AB4791:AC4791" si="4999">AB4770</f>
        <v>Supporting Scaffold</v>
      </c>
      <c r="AC4791" t="str">
        <f t="shared" si="4999"/>
        <v>Second Floor Prop.</v>
      </c>
      <c r="AD4791" t="str">
        <f t="shared" ca="1" si="4973"/>
        <v>FALSE</v>
      </c>
      <c r="AE4791" s="1" t="str">
        <f t="shared" ca="1" si="4986"/>
        <v>Garage 145-146</v>
      </c>
      <c r="AF4791" t="str">
        <f t="shared" ca="1" si="4971"/>
        <v>Garage 145-146</v>
      </c>
    </row>
    <row r="4792" spans="28:32" x14ac:dyDescent="0.25">
      <c r="AB4792" t="str">
        <f t="shared" ref="AB4792:AC4792" si="5000">AB4771</f>
        <v>External Scaffolding</v>
      </c>
      <c r="AC4792" t="str">
        <f t="shared" si="5000"/>
        <v>Hop-ups</v>
      </c>
      <c r="AD4792" t="b">
        <f t="shared" ca="1" si="4973"/>
        <v>1</v>
      </c>
      <c r="AE4792" s="1" t="str">
        <f t="shared" ca="1" si="4986"/>
        <v>Garage 145-146</v>
      </c>
      <c r="AF4792" t="str">
        <f t="shared" ca="1" si="4971"/>
        <v>Garage 145-146</v>
      </c>
    </row>
    <row r="4793" spans="28:32" x14ac:dyDescent="0.25">
      <c r="AB4793" t="str">
        <f t="shared" ref="AB4793:AC4793" si="5001">AB4772</f>
        <v>External Scaffolding</v>
      </c>
      <c r="AC4793" t="str">
        <f t="shared" si="5001"/>
        <v>Adaptions</v>
      </c>
      <c r="AD4793" t="b">
        <f t="shared" ca="1" si="4973"/>
        <v>1</v>
      </c>
      <c r="AE4793" s="1" t="str">
        <f t="shared" ca="1" si="4986"/>
        <v>Garage 145-146</v>
      </c>
      <c r="AF4793" t="str">
        <f t="shared" ca="1" si="4971"/>
        <v>Garage 145-146</v>
      </c>
    </row>
    <row r="4794" spans="28:32" x14ac:dyDescent="0.25">
      <c r="AB4794" t="str">
        <f t="shared" ref="AB4794:AC4794" si="5002">AB4773</f>
        <v>External Scaffolding</v>
      </c>
      <c r="AC4794" t="str">
        <f t="shared" si="5002"/>
        <v>Adaption Tower</v>
      </c>
      <c r="AD4794" t="b">
        <f t="shared" ca="1" si="4973"/>
        <v>1</v>
      </c>
      <c r="AE4794" s="1" t="str">
        <f t="shared" ca="1" si="4986"/>
        <v>Garage 145-146</v>
      </c>
      <c r="AF4794" t="str">
        <f t="shared" ca="1" si="4971"/>
        <v>Garage 145-146</v>
      </c>
    </row>
    <row r="4795" spans="28:32" x14ac:dyDescent="0.25">
      <c r="AB4795" t="str">
        <f t="shared" ref="AB4795:AC4795" si="5003">AB4774</f>
        <v>External Scaffolding</v>
      </c>
      <c r="AC4795" t="str">
        <f t="shared" si="5003"/>
        <v>Lift 1</v>
      </c>
      <c r="AD4795" t="b">
        <f t="shared" ca="1" si="4973"/>
        <v>1</v>
      </c>
      <c r="AE4795" s="1" t="str">
        <f t="shared" ca="1" si="4986"/>
        <v>Garage 147</v>
      </c>
      <c r="AF4795" t="str">
        <f t="shared" ca="1" si="4971"/>
        <v>Garage 147</v>
      </c>
    </row>
    <row r="4796" spans="28:32" x14ac:dyDescent="0.25">
      <c r="AB4796" t="str">
        <f t="shared" ref="AB4796:AC4796" si="5004">AB4775</f>
        <v>External Scaffolding</v>
      </c>
      <c r="AC4796" t="str">
        <f t="shared" si="5004"/>
        <v>Lift 2</v>
      </c>
      <c r="AD4796" t="b">
        <f t="shared" ca="1" si="4973"/>
        <v>1</v>
      </c>
      <c r="AE4796" s="1" t="str">
        <f t="shared" ca="1" si="4986"/>
        <v>Garage 147</v>
      </c>
      <c r="AF4796" t="str">
        <f t="shared" ca="1" si="4971"/>
        <v>Garage 147</v>
      </c>
    </row>
    <row r="4797" spans="28:32" x14ac:dyDescent="0.25">
      <c r="AB4797" t="str">
        <f t="shared" ref="AB4797:AC4797" si="5005">AB4776</f>
        <v>External Scaffolding</v>
      </c>
      <c r="AC4797" t="str">
        <f t="shared" si="5005"/>
        <v>Lift 3</v>
      </c>
      <c r="AD4797" t="b">
        <f t="shared" ca="1" si="4973"/>
        <v>1</v>
      </c>
      <c r="AE4797" s="1" t="str">
        <f t="shared" ca="1" si="4986"/>
        <v>Garage 147</v>
      </c>
      <c r="AF4797" t="str">
        <f t="shared" ca="1" si="4971"/>
        <v>Garage 147</v>
      </c>
    </row>
    <row r="4798" spans="28:32" x14ac:dyDescent="0.25">
      <c r="AB4798" t="str">
        <f t="shared" ref="AB4798:AC4798" si="5006">AB4777</f>
        <v>External Scaffolding</v>
      </c>
      <c r="AC4798" t="str">
        <f t="shared" si="5006"/>
        <v>Lift 4</v>
      </c>
      <c r="AD4798" t="b">
        <f t="shared" ca="1" si="4973"/>
        <v>0</v>
      </c>
      <c r="AE4798" s="1" t="str">
        <f t="shared" ca="1" si="4986"/>
        <v>Garage 147</v>
      </c>
      <c r="AF4798" t="str">
        <f t="shared" ca="1" si="4971"/>
        <v>Garage 147</v>
      </c>
    </row>
    <row r="4799" spans="28:32" x14ac:dyDescent="0.25">
      <c r="AB4799" t="str">
        <f t="shared" ref="AB4799:AC4799" si="5007">AB4778</f>
        <v>External Scaffolding</v>
      </c>
      <c r="AC4799" t="str">
        <f t="shared" si="5007"/>
        <v>Lift 5</v>
      </c>
      <c r="AD4799" t="b">
        <f t="shared" ca="1" si="4973"/>
        <v>0</v>
      </c>
      <c r="AE4799" s="1" t="str">
        <f t="shared" ca="1" si="4986"/>
        <v>Garage 147</v>
      </c>
      <c r="AF4799" t="str">
        <f t="shared" ca="1" si="4971"/>
        <v>Garage 147</v>
      </c>
    </row>
    <row r="4800" spans="28:32" x14ac:dyDescent="0.25">
      <c r="AB4800" t="str">
        <f t="shared" ref="AB4800:AC4800" si="5008">AB4779</f>
        <v>External Scaffolding</v>
      </c>
      <c r="AC4800" t="str">
        <f t="shared" si="5008"/>
        <v>Lift 6</v>
      </c>
      <c r="AD4800" t="b">
        <f t="shared" ca="1" si="4973"/>
        <v>0</v>
      </c>
      <c r="AE4800" s="1" t="str">
        <f t="shared" ca="1" si="4986"/>
        <v>Garage 147</v>
      </c>
      <c r="AF4800" t="str">
        <f t="shared" ca="1" si="4971"/>
        <v>Garage 147</v>
      </c>
    </row>
    <row r="4801" spans="28:32" x14ac:dyDescent="0.25">
      <c r="AB4801" t="str">
        <f t="shared" ref="AB4801:AC4801" si="5009">AB4780</f>
        <v>Loading Bay</v>
      </c>
      <c r="AC4801" t="str">
        <f t="shared" si="5009"/>
        <v>Lift 1</v>
      </c>
      <c r="AD4801" t="b">
        <f t="shared" ca="1" si="4973"/>
        <v>1</v>
      </c>
      <c r="AE4801" s="1" t="str">
        <f t="shared" ca="1" si="4986"/>
        <v>Garage 147</v>
      </c>
      <c r="AF4801" t="str">
        <f t="shared" ca="1" si="4971"/>
        <v>Garage 147</v>
      </c>
    </row>
    <row r="4802" spans="28:32" x14ac:dyDescent="0.25">
      <c r="AB4802" t="str">
        <f t="shared" ref="AB4802:AC4802" si="5010">AB4781</f>
        <v>Loading Bay</v>
      </c>
      <c r="AC4802" t="str">
        <f t="shared" si="5010"/>
        <v>Lift 2</v>
      </c>
      <c r="AD4802" t="b">
        <f t="shared" ca="1" si="4973"/>
        <v>1</v>
      </c>
      <c r="AE4802" s="1" t="str">
        <f t="shared" ca="1" si="4986"/>
        <v>Garage 147</v>
      </c>
      <c r="AF4802" t="str">
        <f t="shared" ca="1" si="4971"/>
        <v>Garage 147</v>
      </c>
    </row>
    <row r="4803" spans="28:32" x14ac:dyDescent="0.25">
      <c r="AB4803" t="str">
        <f t="shared" ref="AB4803:AC4803" si="5011">AB4782</f>
        <v>Loading Bay</v>
      </c>
      <c r="AC4803" t="str">
        <f t="shared" si="5011"/>
        <v>Lift 3</v>
      </c>
      <c r="AD4803" t="b">
        <f t="shared" ca="1" si="4973"/>
        <v>1</v>
      </c>
      <c r="AE4803" s="1" t="str">
        <f t="shared" ca="1" si="4986"/>
        <v>Garage 147</v>
      </c>
      <c r="AF4803" t="str">
        <f t="shared" ca="1" si="4971"/>
        <v>Garage 147</v>
      </c>
    </row>
    <row r="4804" spans="28:32" x14ac:dyDescent="0.25">
      <c r="AB4804" t="str">
        <f t="shared" ref="AB4804:AC4804" si="5012">AB4783</f>
        <v>Loading Bay</v>
      </c>
      <c r="AC4804" t="str">
        <f t="shared" si="5012"/>
        <v>Lift 4</v>
      </c>
      <c r="AD4804" t="b">
        <f t="shared" ca="1" si="4973"/>
        <v>0</v>
      </c>
      <c r="AE4804" s="1" t="str">
        <f t="shared" ca="1" si="4986"/>
        <v>Garage 147</v>
      </c>
      <c r="AF4804" t="str">
        <f t="shared" ca="1" si="4971"/>
        <v>Garage 147</v>
      </c>
    </row>
    <row r="4805" spans="28:32" x14ac:dyDescent="0.25">
      <c r="AB4805" t="str">
        <f t="shared" ref="AB4805:AC4805" si="5013">AB4784</f>
        <v>Loading Bay</v>
      </c>
      <c r="AC4805" t="str">
        <f t="shared" si="5013"/>
        <v>Lift 5</v>
      </c>
      <c r="AD4805" t="b">
        <f t="shared" ca="1" si="4973"/>
        <v>0</v>
      </c>
      <c r="AE4805" s="1" t="str">
        <f t="shared" ca="1" si="4986"/>
        <v>Garage 147</v>
      </c>
      <c r="AF4805" t="str">
        <f t="shared" ca="1" si="4971"/>
        <v>Garage 147</v>
      </c>
    </row>
    <row r="4806" spans="28:32" x14ac:dyDescent="0.25">
      <c r="AB4806" t="str">
        <f t="shared" ref="AB4806:AC4806" si="5014">AB4785</f>
        <v>Loading Bay</v>
      </c>
      <c r="AC4806" t="str">
        <f t="shared" si="5014"/>
        <v>Lift 6</v>
      </c>
      <c r="AD4806" t="b">
        <f t="shared" ca="1" si="4973"/>
        <v>0</v>
      </c>
      <c r="AE4806" s="1" t="str">
        <f t="shared" ca="1" si="4986"/>
        <v>Garage 147</v>
      </c>
      <c r="AF4806" t="str">
        <f t="shared" ca="1" si="4971"/>
        <v>Garage 147</v>
      </c>
    </row>
    <row r="4807" spans="28:32" x14ac:dyDescent="0.25">
      <c r="AB4807" t="str">
        <f t="shared" ref="AB4807:AC4807" si="5015">AB4786</f>
        <v>Scaffolding Platform</v>
      </c>
      <c r="AC4807" t="str">
        <f t="shared" si="5015"/>
        <v>Ground Floor</v>
      </c>
      <c r="AD4807" t="b">
        <f t="shared" ca="1" si="4973"/>
        <v>1</v>
      </c>
      <c r="AE4807" s="1" t="str">
        <f t="shared" ca="1" si="4986"/>
        <v>Garage 147</v>
      </c>
      <c r="AF4807" t="str">
        <f t="shared" ca="1" si="4971"/>
        <v>Garage 147</v>
      </c>
    </row>
    <row r="4808" spans="28:32" x14ac:dyDescent="0.25">
      <c r="AB4808" t="str">
        <f t="shared" ref="AB4808:AC4808" si="5016">AB4787</f>
        <v>Scaffolding Platform</v>
      </c>
      <c r="AC4808" t="str">
        <f t="shared" si="5016"/>
        <v>First Floor</v>
      </c>
      <c r="AD4808" t="b">
        <f t="shared" ca="1" si="4973"/>
        <v>0</v>
      </c>
      <c r="AE4808" s="1" t="str">
        <f t="shared" ca="1" si="4986"/>
        <v>Garage 147</v>
      </c>
      <c r="AF4808" t="str">
        <f t="shared" ca="1" si="4971"/>
        <v>Garage 147</v>
      </c>
    </row>
    <row r="4809" spans="28:32" x14ac:dyDescent="0.25">
      <c r="AB4809" t="str">
        <f t="shared" ref="AB4809:AC4809" si="5017">AB4788</f>
        <v>Scaffolding Platform</v>
      </c>
      <c r="AC4809" t="str">
        <f t="shared" si="5017"/>
        <v>Second Floor</v>
      </c>
      <c r="AD4809" t="b">
        <f t="shared" ca="1" si="4973"/>
        <v>0</v>
      </c>
      <c r="AE4809" s="1" t="str">
        <f t="shared" ca="1" si="4986"/>
        <v>Garage 147</v>
      </c>
      <c r="AF4809" t="str">
        <f t="shared" ca="1" si="4971"/>
        <v>Garage 147</v>
      </c>
    </row>
    <row r="4810" spans="28:32" x14ac:dyDescent="0.25">
      <c r="AB4810" t="str">
        <f t="shared" ref="AB4810:AC4810" si="5018">AB4789</f>
        <v>Supporting Scaffold</v>
      </c>
      <c r="AC4810" t="str">
        <f t="shared" si="5018"/>
        <v>Ground Floor Prop.</v>
      </c>
      <c r="AD4810" t="str">
        <f t="shared" ca="1" si="4973"/>
        <v>FALSE</v>
      </c>
      <c r="AE4810" s="1" t="str">
        <f t="shared" ca="1" si="4986"/>
        <v>Garage 147</v>
      </c>
      <c r="AF4810" t="str">
        <f t="shared" ca="1" si="4971"/>
        <v>Garage 147</v>
      </c>
    </row>
    <row r="4811" spans="28:32" x14ac:dyDescent="0.25">
      <c r="AB4811" t="str">
        <f t="shared" ref="AB4811:AC4811" si="5019">AB4790</f>
        <v>Supporting Scaffold</v>
      </c>
      <c r="AC4811" t="str">
        <f t="shared" si="5019"/>
        <v>First Floor Prop.</v>
      </c>
      <c r="AD4811" t="str">
        <f t="shared" ca="1" si="4973"/>
        <v>FALSE</v>
      </c>
      <c r="AE4811" s="1" t="str">
        <f t="shared" ca="1" si="4986"/>
        <v>Garage 147</v>
      </c>
      <c r="AF4811" t="str">
        <f t="shared" ca="1" si="4971"/>
        <v>Garage 147</v>
      </c>
    </row>
    <row r="4812" spans="28:32" x14ac:dyDescent="0.25">
      <c r="AB4812" t="str">
        <f t="shared" ref="AB4812:AC4812" si="5020">AB4791</f>
        <v>Supporting Scaffold</v>
      </c>
      <c r="AC4812" t="str">
        <f t="shared" si="5020"/>
        <v>Second Floor Prop.</v>
      </c>
      <c r="AD4812" t="str">
        <f t="shared" ca="1" si="4973"/>
        <v>FALSE</v>
      </c>
      <c r="AE4812" s="1" t="str">
        <f t="shared" ca="1" si="4986"/>
        <v>Garage 147</v>
      </c>
      <c r="AF4812" t="str">
        <f t="shared" ca="1" si="4971"/>
        <v>Garage 147</v>
      </c>
    </row>
    <row r="4813" spans="28:32" x14ac:dyDescent="0.25">
      <c r="AB4813" t="str">
        <f t="shared" ref="AB4813:AC4813" si="5021">AB4792</f>
        <v>External Scaffolding</v>
      </c>
      <c r="AC4813" t="str">
        <f t="shared" si="5021"/>
        <v>Hop-ups</v>
      </c>
      <c r="AD4813" t="b">
        <f t="shared" ca="1" si="4973"/>
        <v>1</v>
      </c>
      <c r="AE4813" s="1" t="str">
        <f t="shared" ca="1" si="4986"/>
        <v>Garage 147</v>
      </c>
      <c r="AF4813" t="str">
        <f t="shared" ca="1" si="4971"/>
        <v>Garage 147</v>
      </c>
    </row>
    <row r="4814" spans="28:32" x14ac:dyDescent="0.25">
      <c r="AB4814" t="str">
        <f t="shared" ref="AB4814:AC4814" si="5022">AB4793</f>
        <v>External Scaffolding</v>
      </c>
      <c r="AC4814" t="str">
        <f t="shared" si="5022"/>
        <v>Adaptions</v>
      </c>
      <c r="AD4814" t="b">
        <f t="shared" ca="1" si="4973"/>
        <v>1</v>
      </c>
      <c r="AE4814" s="1" t="str">
        <f t="shared" ca="1" si="4986"/>
        <v>Garage 147</v>
      </c>
      <c r="AF4814" t="str">
        <f t="shared" ca="1" si="4971"/>
        <v>Garage 147</v>
      </c>
    </row>
    <row r="4815" spans="28:32" x14ac:dyDescent="0.25">
      <c r="AB4815" t="str">
        <f t="shared" ref="AB4815:AC4815" si="5023">AB4794</f>
        <v>External Scaffolding</v>
      </c>
      <c r="AC4815" t="str">
        <f t="shared" si="5023"/>
        <v>Adaption Tower</v>
      </c>
      <c r="AD4815" t="b">
        <f t="shared" ca="1" si="4973"/>
        <v>1</v>
      </c>
      <c r="AE4815" s="1" t="str">
        <f t="shared" ca="1" si="4986"/>
        <v>Garage 147</v>
      </c>
      <c r="AF4815" t="str">
        <f t="shared" ca="1" si="4971"/>
        <v>Garage 147</v>
      </c>
    </row>
    <row r="4816" spans="28:32" x14ac:dyDescent="0.25">
      <c r="AB4816" t="str">
        <f t="shared" ref="AB4816:AC4816" si="5024">AB4795</f>
        <v>External Scaffolding</v>
      </c>
      <c r="AC4816" t="str">
        <f t="shared" si="5024"/>
        <v>Lift 1</v>
      </c>
      <c r="AD4816" t="b">
        <f t="shared" ca="1" si="4973"/>
        <v>1</v>
      </c>
      <c r="AE4816" s="1" t="str">
        <f t="shared" ca="1" si="4986"/>
        <v>Garage 150</v>
      </c>
      <c r="AF4816" t="str">
        <f t="shared" ca="1" si="4971"/>
        <v>Garage 150</v>
      </c>
    </row>
    <row r="4817" spans="28:32" x14ac:dyDescent="0.25">
      <c r="AB4817" t="str">
        <f t="shared" ref="AB4817:AC4817" si="5025">AB4796</f>
        <v>External Scaffolding</v>
      </c>
      <c r="AC4817" t="str">
        <f t="shared" si="5025"/>
        <v>Lift 2</v>
      </c>
      <c r="AD4817" t="b">
        <f t="shared" ca="1" si="4973"/>
        <v>1</v>
      </c>
      <c r="AE4817" s="1" t="str">
        <f t="shared" ca="1" si="4986"/>
        <v>Garage 150</v>
      </c>
      <c r="AF4817" t="str">
        <f t="shared" ca="1" si="4971"/>
        <v>Garage 150</v>
      </c>
    </row>
    <row r="4818" spans="28:32" x14ac:dyDescent="0.25">
      <c r="AB4818" t="str">
        <f t="shared" ref="AB4818:AC4818" si="5026">AB4797</f>
        <v>External Scaffolding</v>
      </c>
      <c r="AC4818" t="str">
        <f t="shared" si="5026"/>
        <v>Lift 3</v>
      </c>
      <c r="AD4818" t="b">
        <f t="shared" ca="1" si="4973"/>
        <v>1</v>
      </c>
      <c r="AE4818" s="1" t="str">
        <f t="shared" ca="1" si="4986"/>
        <v>Garage 150</v>
      </c>
      <c r="AF4818" t="str">
        <f t="shared" ca="1" si="4971"/>
        <v>Garage 150</v>
      </c>
    </row>
    <row r="4819" spans="28:32" x14ac:dyDescent="0.25">
      <c r="AB4819" t="str">
        <f t="shared" ref="AB4819:AC4819" si="5027">AB4798</f>
        <v>External Scaffolding</v>
      </c>
      <c r="AC4819" t="str">
        <f t="shared" si="5027"/>
        <v>Lift 4</v>
      </c>
      <c r="AD4819" t="b">
        <f t="shared" ca="1" si="4973"/>
        <v>0</v>
      </c>
      <c r="AE4819" s="1" t="str">
        <f t="shared" ca="1" si="4986"/>
        <v>Garage 150</v>
      </c>
      <c r="AF4819" t="str">
        <f t="shared" ca="1" si="4971"/>
        <v>Garage 150</v>
      </c>
    </row>
    <row r="4820" spans="28:32" x14ac:dyDescent="0.25">
      <c r="AB4820" t="str">
        <f t="shared" ref="AB4820:AC4820" si="5028">AB4799</f>
        <v>External Scaffolding</v>
      </c>
      <c r="AC4820" t="str">
        <f t="shared" si="5028"/>
        <v>Lift 5</v>
      </c>
      <c r="AD4820" t="b">
        <f t="shared" ca="1" si="4973"/>
        <v>0</v>
      </c>
      <c r="AE4820" s="1" t="str">
        <f t="shared" ca="1" si="4986"/>
        <v>Garage 150</v>
      </c>
      <c r="AF4820" t="str">
        <f t="shared" ca="1" si="4971"/>
        <v>Garage 150</v>
      </c>
    </row>
    <row r="4821" spans="28:32" x14ac:dyDescent="0.25">
      <c r="AB4821" t="str">
        <f t="shared" ref="AB4821:AC4821" si="5029">AB4800</f>
        <v>External Scaffolding</v>
      </c>
      <c r="AC4821" t="str">
        <f t="shared" si="5029"/>
        <v>Lift 6</v>
      </c>
      <c r="AD4821" t="b">
        <f t="shared" ca="1" si="4973"/>
        <v>0</v>
      </c>
      <c r="AE4821" s="1" t="str">
        <f t="shared" ca="1" si="4986"/>
        <v>Garage 150</v>
      </c>
      <c r="AF4821" t="str">
        <f t="shared" ca="1" si="4971"/>
        <v>Garage 150</v>
      </c>
    </row>
    <row r="4822" spans="28:32" x14ac:dyDescent="0.25">
      <c r="AB4822" t="str">
        <f t="shared" ref="AB4822:AC4822" si="5030">AB4801</f>
        <v>Loading Bay</v>
      </c>
      <c r="AC4822" t="str">
        <f t="shared" si="5030"/>
        <v>Lift 1</v>
      </c>
      <c r="AD4822" t="b">
        <f t="shared" ca="1" si="4973"/>
        <v>1</v>
      </c>
      <c r="AE4822" s="1" t="str">
        <f t="shared" ca="1" si="4986"/>
        <v>Garage 150</v>
      </c>
      <c r="AF4822" t="str">
        <f t="shared" ca="1" si="4971"/>
        <v>Garage 150</v>
      </c>
    </row>
    <row r="4823" spans="28:32" x14ac:dyDescent="0.25">
      <c r="AB4823" t="str">
        <f t="shared" ref="AB4823:AC4823" si="5031">AB4802</f>
        <v>Loading Bay</v>
      </c>
      <c r="AC4823" t="str">
        <f t="shared" si="5031"/>
        <v>Lift 2</v>
      </c>
      <c r="AD4823" t="b">
        <f t="shared" ca="1" si="4973"/>
        <v>1</v>
      </c>
      <c r="AE4823" s="1" t="str">
        <f t="shared" ca="1" si="4986"/>
        <v>Garage 150</v>
      </c>
      <c r="AF4823" t="str">
        <f t="shared" ca="1" si="4971"/>
        <v>Garage 150</v>
      </c>
    </row>
    <row r="4824" spans="28:32" x14ac:dyDescent="0.25">
      <c r="AB4824" t="str">
        <f t="shared" ref="AB4824:AC4824" si="5032">AB4803</f>
        <v>Loading Bay</v>
      </c>
      <c r="AC4824" t="str">
        <f t="shared" si="5032"/>
        <v>Lift 3</v>
      </c>
      <c r="AD4824" t="b">
        <f t="shared" ca="1" si="4973"/>
        <v>1</v>
      </c>
      <c r="AE4824" s="1" t="str">
        <f t="shared" ca="1" si="4986"/>
        <v>Garage 150</v>
      </c>
      <c r="AF4824" t="str">
        <f t="shared" ca="1" si="4971"/>
        <v>Garage 150</v>
      </c>
    </row>
    <row r="4825" spans="28:32" x14ac:dyDescent="0.25">
      <c r="AB4825" t="str">
        <f t="shared" ref="AB4825:AC4825" si="5033">AB4804</f>
        <v>Loading Bay</v>
      </c>
      <c r="AC4825" t="str">
        <f t="shared" si="5033"/>
        <v>Lift 4</v>
      </c>
      <c r="AD4825" t="b">
        <f t="shared" ca="1" si="4973"/>
        <v>0</v>
      </c>
      <c r="AE4825" s="1" t="str">
        <f t="shared" ca="1" si="4986"/>
        <v>Garage 150</v>
      </c>
      <c r="AF4825" t="str">
        <f t="shared" ca="1" si="4971"/>
        <v>Garage 150</v>
      </c>
    </row>
    <row r="4826" spans="28:32" x14ac:dyDescent="0.25">
      <c r="AB4826" t="str">
        <f t="shared" ref="AB4826:AC4826" si="5034">AB4805</f>
        <v>Loading Bay</v>
      </c>
      <c r="AC4826" t="str">
        <f t="shared" si="5034"/>
        <v>Lift 5</v>
      </c>
      <c r="AD4826" t="b">
        <f t="shared" ca="1" si="4973"/>
        <v>0</v>
      </c>
      <c r="AE4826" s="1" t="str">
        <f t="shared" ca="1" si="4986"/>
        <v>Garage 150</v>
      </c>
      <c r="AF4826" t="str">
        <f t="shared" ca="1" si="4971"/>
        <v>Garage 150</v>
      </c>
    </row>
    <row r="4827" spans="28:32" x14ac:dyDescent="0.25">
      <c r="AB4827" t="str">
        <f t="shared" ref="AB4827:AC4827" si="5035">AB4806</f>
        <v>Loading Bay</v>
      </c>
      <c r="AC4827" t="str">
        <f t="shared" si="5035"/>
        <v>Lift 6</v>
      </c>
      <c r="AD4827" t="b">
        <f t="shared" ca="1" si="4973"/>
        <v>0</v>
      </c>
      <c r="AE4827" s="1" t="str">
        <f t="shared" ca="1" si="4986"/>
        <v>Garage 150</v>
      </c>
      <c r="AF4827" t="str">
        <f t="shared" ca="1" si="4971"/>
        <v>Garage 150</v>
      </c>
    </row>
    <row r="4828" spans="28:32" x14ac:dyDescent="0.25">
      <c r="AB4828" t="str">
        <f t="shared" ref="AB4828:AC4828" si="5036">AB4807</f>
        <v>Scaffolding Platform</v>
      </c>
      <c r="AC4828" t="str">
        <f t="shared" si="5036"/>
        <v>Ground Floor</v>
      </c>
      <c r="AD4828" t="b">
        <f t="shared" ca="1" si="4973"/>
        <v>1</v>
      </c>
      <c r="AE4828" s="1" t="str">
        <f t="shared" ca="1" si="4986"/>
        <v>Garage 150</v>
      </c>
      <c r="AF4828" t="str">
        <f t="shared" ca="1" si="4971"/>
        <v>Garage 150</v>
      </c>
    </row>
    <row r="4829" spans="28:32" x14ac:dyDescent="0.25">
      <c r="AB4829" t="str">
        <f t="shared" ref="AB4829:AC4829" si="5037">AB4808</f>
        <v>Scaffolding Platform</v>
      </c>
      <c r="AC4829" t="str">
        <f t="shared" si="5037"/>
        <v>First Floor</v>
      </c>
      <c r="AD4829" t="b">
        <f t="shared" ca="1" si="4973"/>
        <v>0</v>
      </c>
      <c r="AE4829" s="1" t="str">
        <f t="shared" ca="1" si="4986"/>
        <v>Garage 150</v>
      </c>
      <c r="AF4829" t="str">
        <f t="shared" ref="AF4829:AF4892" ca="1" si="5038">IF(LEFT(AE4829,1)="G",AE4829,"Plot "&amp;AE4829)</f>
        <v>Garage 150</v>
      </c>
    </row>
    <row r="4830" spans="28:32" x14ac:dyDescent="0.25">
      <c r="AB4830" t="str">
        <f t="shared" ref="AB4830:AC4830" si="5039">AB4809</f>
        <v>Scaffolding Platform</v>
      </c>
      <c r="AC4830" t="str">
        <f t="shared" si="5039"/>
        <v>Second Floor</v>
      </c>
      <c r="AD4830" t="b">
        <f t="shared" ref="AD4830:AD4893" ca="1" si="5040">INDEX($AC$1:$JH$22,MATCH(AC4830,$AC$1:$AC$22,0),MATCH(AE4830,$AC$1:$JH$1,0))</f>
        <v>0</v>
      </c>
      <c r="AE4830" s="1" t="str">
        <f t="shared" ca="1" si="4986"/>
        <v>Garage 150</v>
      </c>
      <c r="AF4830" t="str">
        <f t="shared" ca="1" si="5038"/>
        <v>Garage 150</v>
      </c>
    </row>
    <row r="4831" spans="28:32" x14ac:dyDescent="0.25">
      <c r="AB4831" t="str">
        <f t="shared" ref="AB4831:AC4831" si="5041">AB4810</f>
        <v>Supporting Scaffold</v>
      </c>
      <c r="AC4831" t="str">
        <f t="shared" si="5041"/>
        <v>Ground Floor Prop.</v>
      </c>
      <c r="AD4831" t="str">
        <f t="shared" ca="1" si="5040"/>
        <v>FALSE</v>
      </c>
      <c r="AE4831" s="1" t="str">
        <f t="shared" ca="1" si="4986"/>
        <v>Garage 150</v>
      </c>
      <c r="AF4831" t="str">
        <f t="shared" ca="1" si="5038"/>
        <v>Garage 150</v>
      </c>
    </row>
    <row r="4832" spans="28:32" x14ac:dyDescent="0.25">
      <c r="AB4832" t="str">
        <f t="shared" ref="AB4832:AC4832" si="5042">AB4811</f>
        <v>Supporting Scaffold</v>
      </c>
      <c r="AC4832" t="str">
        <f t="shared" si="5042"/>
        <v>First Floor Prop.</v>
      </c>
      <c r="AD4832" t="str">
        <f t="shared" ca="1" si="5040"/>
        <v>FALSE</v>
      </c>
      <c r="AE4832" s="1" t="str">
        <f t="shared" ca="1" si="4986"/>
        <v>Garage 150</v>
      </c>
      <c r="AF4832" t="str">
        <f t="shared" ca="1" si="5038"/>
        <v>Garage 150</v>
      </c>
    </row>
    <row r="4833" spans="28:32" x14ac:dyDescent="0.25">
      <c r="AB4833" t="str">
        <f t="shared" ref="AB4833:AC4833" si="5043">AB4812</f>
        <v>Supporting Scaffold</v>
      </c>
      <c r="AC4833" t="str">
        <f t="shared" si="5043"/>
        <v>Second Floor Prop.</v>
      </c>
      <c r="AD4833" t="str">
        <f t="shared" ca="1" si="5040"/>
        <v>FALSE</v>
      </c>
      <c r="AE4833" s="1" t="str">
        <f t="shared" ca="1" si="4986"/>
        <v>Garage 150</v>
      </c>
      <c r="AF4833" t="str">
        <f t="shared" ca="1" si="5038"/>
        <v>Garage 150</v>
      </c>
    </row>
    <row r="4834" spans="28:32" x14ac:dyDescent="0.25">
      <c r="AB4834" t="str">
        <f t="shared" ref="AB4834:AC4834" si="5044">AB4813</f>
        <v>External Scaffolding</v>
      </c>
      <c r="AC4834" t="str">
        <f t="shared" si="5044"/>
        <v>Hop-ups</v>
      </c>
      <c r="AD4834" t="b">
        <f t="shared" ca="1" si="5040"/>
        <v>1</v>
      </c>
      <c r="AE4834" s="1" t="str">
        <f t="shared" ca="1" si="4986"/>
        <v>Garage 150</v>
      </c>
      <c r="AF4834" t="str">
        <f t="shared" ca="1" si="5038"/>
        <v>Garage 150</v>
      </c>
    </row>
    <row r="4835" spans="28:32" x14ac:dyDescent="0.25">
      <c r="AB4835" t="str">
        <f t="shared" ref="AB4835:AC4835" si="5045">AB4814</f>
        <v>External Scaffolding</v>
      </c>
      <c r="AC4835" t="str">
        <f t="shared" si="5045"/>
        <v>Adaptions</v>
      </c>
      <c r="AD4835" t="b">
        <f t="shared" ca="1" si="5040"/>
        <v>1</v>
      </c>
      <c r="AE4835" s="1" t="str">
        <f t="shared" ca="1" si="4986"/>
        <v>Garage 150</v>
      </c>
      <c r="AF4835" t="str">
        <f t="shared" ca="1" si="5038"/>
        <v>Garage 150</v>
      </c>
    </row>
    <row r="4836" spans="28:32" x14ac:dyDescent="0.25">
      <c r="AB4836" t="str">
        <f t="shared" ref="AB4836:AC4836" si="5046">AB4815</f>
        <v>External Scaffolding</v>
      </c>
      <c r="AC4836" t="str">
        <f t="shared" si="5046"/>
        <v>Adaption Tower</v>
      </c>
      <c r="AD4836" t="b">
        <f t="shared" ca="1" si="5040"/>
        <v>1</v>
      </c>
      <c r="AE4836" s="1" t="str">
        <f t="shared" ca="1" si="4986"/>
        <v>Garage 150</v>
      </c>
      <c r="AF4836" t="str">
        <f t="shared" ca="1" si="5038"/>
        <v>Garage 150</v>
      </c>
    </row>
    <row r="4837" spans="28:32" x14ac:dyDescent="0.25">
      <c r="AB4837" t="str">
        <f t="shared" ref="AB4837:AC4837" si="5047">AB4816</f>
        <v>External Scaffolding</v>
      </c>
      <c r="AC4837" t="str">
        <f t="shared" si="5047"/>
        <v>Lift 1</v>
      </c>
      <c r="AD4837" t="b">
        <f t="shared" ca="1" si="5040"/>
        <v>1</v>
      </c>
      <c r="AE4837" s="1" t="str">
        <f t="shared" ca="1" si="4986"/>
        <v>Garage 151</v>
      </c>
      <c r="AF4837" t="str">
        <f t="shared" ca="1" si="5038"/>
        <v>Garage 151</v>
      </c>
    </row>
    <row r="4838" spans="28:32" x14ac:dyDescent="0.25">
      <c r="AB4838" t="str">
        <f t="shared" ref="AB4838:AC4838" si="5048">AB4817</f>
        <v>External Scaffolding</v>
      </c>
      <c r="AC4838" t="str">
        <f t="shared" si="5048"/>
        <v>Lift 2</v>
      </c>
      <c r="AD4838" t="b">
        <f t="shared" ca="1" si="5040"/>
        <v>1</v>
      </c>
      <c r="AE4838" s="1" t="str">
        <f t="shared" ca="1" si="4986"/>
        <v>Garage 151</v>
      </c>
      <c r="AF4838" t="str">
        <f t="shared" ca="1" si="5038"/>
        <v>Garage 151</v>
      </c>
    </row>
    <row r="4839" spans="28:32" x14ac:dyDescent="0.25">
      <c r="AB4839" t="str">
        <f t="shared" ref="AB4839:AC4839" si="5049">AB4818</f>
        <v>External Scaffolding</v>
      </c>
      <c r="AC4839" t="str">
        <f t="shared" si="5049"/>
        <v>Lift 3</v>
      </c>
      <c r="AD4839" t="b">
        <f t="shared" ca="1" si="5040"/>
        <v>1</v>
      </c>
      <c r="AE4839" s="1" t="str">
        <f t="shared" ca="1" si="4986"/>
        <v>Garage 151</v>
      </c>
      <c r="AF4839" t="str">
        <f t="shared" ca="1" si="5038"/>
        <v>Garage 151</v>
      </c>
    </row>
    <row r="4840" spans="28:32" x14ac:dyDescent="0.25">
      <c r="AB4840" t="str">
        <f t="shared" ref="AB4840:AC4840" si="5050">AB4819</f>
        <v>External Scaffolding</v>
      </c>
      <c r="AC4840" t="str">
        <f t="shared" si="5050"/>
        <v>Lift 4</v>
      </c>
      <c r="AD4840" t="b">
        <f t="shared" ca="1" si="5040"/>
        <v>0</v>
      </c>
      <c r="AE4840" s="1" t="str">
        <f t="shared" ca="1" si="4986"/>
        <v>Garage 151</v>
      </c>
      <c r="AF4840" t="str">
        <f t="shared" ca="1" si="5038"/>
        <v>Garage 151</v>
      </c>
    </row>
    <row r="4841" spans="28:32" x14ac:dyDescent="0.25">
      <c r="AB4841" t="str">
        <f t="shared" ref="AB4841:AC4841" si="5051">AB4820</f>
        <v>External Scaffolding</v>
      </c>
      <c r="AC4841" t="str">
        <f t="shared" si="5051"/>
        <v>Lift 5</v>
      </c>
      <c r="AD4841" t="b">
        <f t="shared" ca="1" si="5040"/>
        <v>0</v>
      </c>
      <c r="AE4841" s="1" t="str">
        <f t="shared" ca="1" si="4986"/>
        <v>Garage 151</v>
      </c>
      <c r="AF4841" t="str">
        <f t="shared" ca="1" si="5038"/>
        <v>Garage 151</v>
      </c>
    </row>
    <row r="4842" spans="28:32" x14ac:dyDescent="0.25">
      <c r="AB4842" t="str">
        <f t="shared" ref="AB4842:AC4842" si="5052">AB4821</f>
        <v>External Scaffolding</v>
      </c>
      <c r="AC4842" t="str">
        <f t="shared" si="5052"/>
        <v>Lift 6</v>
      </c>
      <c r="AD4842" t="b">
        <f t="shared" ca="1" si="5040"/>
        <v>0</v>
      </c>
      <c r="AE4842" s="1" t="str">
        <f t="shared" ref="AE4842:AE4905" ca="1" si="5053">OFFSET($AD$1,0,FLOOR(ROW(B4814)/21,1))</f>
        <v>Garage 151</v>
      </c>
      <c r="AF4842" t="str">
        <f t="shared" ca="1" si="5038"/>
        <v>Garage 151</v>
      </c>
    </row>
    <row r="4843" spans="28:32" x14ac:dyDescent="0.25">
      <c r="AB4843" t="str">
        <f t="shared" ref="AB4843:AC4843" si="5054">AB4822</f>
        <v>Loading Bay</v>
      </c>
      <c r="AC4843" t="str">
        <f t="shared" si="5054"/>
        <v>Lift 1</v>
      </c>
      <c r="AD4843" t="b">
        <f t="shared" ca="1" si="5040"/>
        <v>1</v>
      </c>
      <c r="AE4843" s="1" t="str">
        <f t="shared" ca="1" si="5053"/>
        <v>Garage 151</v>
      </c>
      <c r="AF4843" t="str">
        <f t="shared" ca="1" si="5038"/>
        <v>Garage 151</v>
      </c>
    </row>
    <row r="4844" spans="28:32" x14ac:dyDescent="0.25">
      <c r="AB4844" t="str">
        <f t="shared" ref="AB4844:AC4844" si="5055">AB4823</f>
        <v>Loading Bay</v>
      </c>
      <c r="AC4844" t="str">
        <f t="shared" si="5055"/>
        <v>Lift 2</v>
      </c>
      <c r="AD4844" t="b">
        <f t="shared" ca="1" si="5040"/>
        <v>1</v>
      </c>
      <c r="AE4844" s="1" t="str">
        <f t="shared" ca="1" si="5053"/>
        <v>Garage 151</v>
      </c>
      <c r="AF4844" t="str">
        <f t="shared" ca="1" si="5038"/>
        <v>Garage 151</v>
      </c>
    </row>
    <row r="4845" spans="28:32" x14ac:dyDescent="0.25">
      <c r="AB4845" t="str">
        <f t="shared" ref="AB4845:AC4845" si="5056">AB4824</f>
        <v>Loading Bay</v>
      </c>
      <c r="AC4845" t="str">
        <f t="shared" si="5056"/>
        <v>Lift 3</v>
      </c>
      <c r="AD4845" t="b">
        <f t="shared" ca="1" si="5040"/>
        <v>1</v>
      </c>
      <c r="AE4845" s="1" t="str">
        <f t="shared" ca="1" si="5053"/>
        <v>Garage 151</v>
      </c>
      <c r="AF4845" t="str">
        <f t="shared" ca="1" si="5038"/>
        <v>Garage 151</v>
      </c>
    </row>
    <row r="4846" spans="28:32" x14ac:dyDescent="0.25">
      <c r="AB4846" t="str">
        <f t="shared" ref="AB4846:AC4846" si="5057">AB4825</f>
        <v>Loading Bay</v>
      </c>
      <c r="AC4846" t="str">
        <f t="shared" si="5057"/>
        <v>Lift 4</v>
      </c>
      <c r="AD4846" t="b">
        <f t="shared" ca="1" si="5040"/>
        <v>0</v>
      </c>
      <c r="AE4846" s="1" t="str">
        <f t="shared" ca="1" si="5053"/>
        <v>Garage 151</v>
      </c>
      <c r="AF4846" t="str">
        <f t="shared" ca="1" si="5038"/>
        <v>Garage 151</v>
      </c>
    </row>
    <row r="4847" spans="28:32" x14ac:dyDescent="0.25">
      <c r="AB4847" t="str">
        <f t="shared" ref="AB4847:AC4847" si="5058">AB4826</f>
        <v>Loading Bay</v>
      </c>
      <c r="AC4847" t="str">
        <f t="shared" si="5058"/>
        <v>Lift 5</v>
      </c>
      <c r="AD4847" t="b">
        <f t="shared" ca="1" si="5040"/>
        <v>0</v>
      </c>
      <c r="AE4847" s="1" t="str">
        <f t="shared" ca="1" si="5053"/>
        <v>Garage 151</v>
      </c>
      <c r="AF4847" t="str">
        <f t="shared" ca="1" si="5038"/>
        <v>Garage 151</v>
      </c>
    </row>
    <row r="4848" spans="28:32" x14ac:dyDescent="0.25">
      <c r="AB4848" t="str">
        <f t="shared" ref="AB4848:AC4848" si="5059">AB4827</f>
        <v>Loading Bay</v>
      </c>
      <c r="AC4848" t="str">
        <f t="shared" si="5059"/>
        <v>Lift 6</v>
      </c>
      <c r="AD4848" t="b">
        <f t="shared" ca="1" si="5040"/>
        <v>0</v>
      </c>
      <c r="AE4848" s="1" t="str">
        <f t="shared" ca="1" si="5053"/>
        <v>Garage 151</v>
      </c>
      <c r="AF4848" t="str">
        <f t="shared" ca="1" si="5038"/>
        <v>Garage 151</v>
      </c>
    </row>
    <row r="4849" spans="28:32" x14ac:dyDescent="0.25">
      <c r="AB4849" t="str">
        <f t="shared" ref="AB4849:AC4849" si="5060">AB4828</f>
        <v>Scaffolding Platform</v>
      </c>
      <c r="AC4849" t="str">
        <f t="shared" si="5060"/>
        <v>Ground Floor</v>
      </c>
      <c r="AD4849" t="b">
        <f t="shared" ca="1" si="5040"/>
        <v>1</v>
      </c>
      <c r="AE4849" s="1" t="str">
        <f t="shared" ca="1" si="5053"/>
        <v>Garage 151</v>
      </c>
      <c r="AF4849" t="str">
        <f t="shared" ca="1" si="5038"/>
        <v>Garage 151</v>
      </c>
    </row>
    <row r="4850" spans="28:32" x14ac:dyDescent="0.25">
      <c r="AB4850" t="str">
        <f t="shared" ref="AB4850:AC4850" si="5061">AB4829</f>
        <v>Scaffolding Platform</v>
      </c>
      <c r="AC4850" t="str">
        <f t="shared" si="5061"/>
        <v>First Floor</v>
      </c>
      <c r="AD4850" t="b">
        <f t="shared" ca="1" si="5040"/>
        <v>0</v>
      </c>
      <c r="AE4850" s="1" t="str">
        <f t="shared" ca="1" si="5053"/>
        <v>Garage 151</v>
      </c>
      <c r="AF4850" t="str">
        <f t="shared" ca="1" si="5038"/>
        <v>Garage 151</v>
      </c>
    </row>
    <row r="4851" spans="28:32" x14ac:dyDescent="0.25">
      <c r="AB4851" t="str">
        <f t="shared" ref="AB4851:AC4851" si="5062">AB4830</f>
        <v>Scaffolding Platform</v>
      </c>
      <c r="AC4851" t="str">
        <f t="shared" si="5062"/>
        <v>Second Floor</v>
      </c>
      <c r="AD4851" t="b">
        <f t="shared" ca="1" si="5040"/>
        <v>0</v>
      </c>
      <c r="AE4851" s="1" t="str">
        <f t="shared" ca="1" si="5053"/>
        <v>Garage 151</v>
      </c>
      <c r="AF4851" t="str">
        <f t="shared" ca="1" si="5038"/>
        <v>Garage 151</v>
      </c>
    </row>
    <row r="4852" spans="28:32" x14ac:dyDescent="0.25">
      <c r="AB4852" t="str">
        <f t="shared" ref="AB4852:AC4852" si="5063">AB4831</f>
        <v>Supporting Scaffold</v>
      </c>
      <c r="AC4852" t="str">
        <f t="shared" si="5063"/>
        <v>Ground Floor Prop.</v>
      </c>
      <c r="AD4852" t="str">
        <f t="shared" ca="1" si="5040"/>
        <v>FALSE</v>
      </c>
      <c r="AE4852" s="1" t="str">
        <f t="shared" ca="1" si="5053"/>
        <v>Garage 151</v>
      </c>
      <c r="AF4852" t="str">
        <f t="shared" ca="1" si="5038"/>
        <v>Garage 151</v>
      </c>
    </row>
    <row r="4853" spans="28:32" x14ac:dyDescent="0.25">
      <c r="AB4853" t="str">
        <f t="shared" ref="AB4853:AC4853" si="5064">AB4832</f>
        <v>Supporting Scaffold</v>
      </c>
      <c r="AC4853" t="str">
        <f t="shared" si="5064"/>
        <v>First Floor Prop.</v>
      </c>
      <c r="AD4853" t="str">
        <f t="shared" ca="1" si="5040"/>
        <v>FALSE</v>
      </c>
      <c r="AE4853" s="1" t="str">
        <f t="shared" ca="1" si="5053"/>
        <v>Garage 151</v>
      </c>
      <c r="AF4853" t="str">
        <f t="shared" ca="1" si="5038"/>
        <v>Garage 151</v>
      </c>
    </row>
    <row r="4854" spans="28:32" x14ac:dyDescent="0.25">
      <c r="AB4854" t="str">
        <f t="shared" ref="AB4854:AC4854" si="5065">AB4833</f>
        <v>Supporting Scaffold</v>
      </c>
      <c r="AC4854" t="str">
        <f t="shared" si="5065"/>
        <v>Second Floor Prop.</v>
      </c>
      <c r="AD4854" t="str">
        <f t="shared" ca="1" si="5040"/>
        <v>FALSE</v>
      </c>
      <c r="AE4854" s="1" t="str">
        <f t="shared" ca="1" si="5053"/>
        <v>Garage 151</v>
      </c>
      <c r="AF4854" t="str">
        <f t="shared" ca="1" si="5038"/>
        <v>Garage 151</v>
      </c>
    </row>
    <row r="4855" spans="28:32" x14ac:dyDescent="0.25">
      <c r="AB4855" t="str">
        <f t="shared" ref="AB4855:AC4855" si="5066">AB4834</f>
        <v>External Scaffolding</v>
      </c>
      <c r="AC4855" t="str">
        <f t="shared" si="5066"/>
        <v>Hop-ups</v>
      </c>
      <c r="AD4855" t="b">
        <f t="shared" ca="1" si="5040"/>
        <v>1</v>
      </c>
      <c r="AE4855" s="1" t="str">
        <f t="shared" ca="1" si="5053"/>
        <v>Garage 151</v>
      </c>
      <c r="AF4855" t="str">
        <f t="shared" ca="1" si="5038"/>
        <v>Garage 151</v>
      </c>
    </row>
    <row r="4856" spans="28:32" x14ac:dyDescent="0.25">
      <c r="AB4856" t="str">
        <f t="shared" ref="AB4856:AC4856" si="5067">AB4835</f>
        <v>External Scaffolding</v>
      </c>
      <c r="AC4856" t="str">
        <f t="shared" si="5067"/>
        <v>Adaptions</v>
      </c>
      <c r="AD4856" t="b">
        <f t="shared" ca="1" si="5040"/>
        <v>1</v>
      </c>
      <c r="AE4856" s="1" t="str">
        <f t="shared" ca="1" si="5053"/>
        <v>Garage 151</v>
      </c>
      <c r="AF4856" t="str">
        <f t="shared" ca="1" si="5038"/>
        <v>Garage 151</v>
      </c>
    </row>
    <row r="4857" spans="28:32" x14ac:dyDescent="0.25">
      <c r="AB4857" t="str">
        <f t="shared" ref="AB4857:AC4857" si="5068">AB4836</f>
        <v>External Scaffolding</v>
      </c>
      <c r="AC4857" t="str">
        <f t="shared" si="5068"/>
        <v>Adaption Tower</v>
      </c>
      <c r="AD4857" t="b">
        <f t="shared" ca="1" si="5040"/>
        <v>1</v>
      </c>
      <c r="AE4857" s="1" t="str">
        <f t="shared" ca="1" si="5053"/>
        <v>Garage 151</v>
      </c>
      <c r="AF4857" t="str">
        <f t="shared" ca="1" si="5038"/>
        <v>Garage 151</v>
      </c>
    </row>
    <row r="4858" spans="28:32" x14ac:dyDescent="0.25">
      <c r="AB4858" t="str">
        <f t="shared" ref="AB4858:AC4858" si="5069">AB4837</f>
        <v>External Scaffolding</v>
      </c>
      <c r="AC4858" t="str">
        <f t="shared" si="5069"/>
        <v>Lift 1</v>
      </c>
      <c r="AD4858" t="b">
        <f t="shared" ca="1" si="5040"/>
        <v>1</v>
      </c>
      <c r="AE4858" s="1" t="str">
        <f t="shared" ca="1" si="5053"/>
        <v>Garage 152</v>
      </c>
      <c r="AF4858" t="str">
        <f t="shared" ca="1" si="5038"/>
        <v>Garage 152</v>
      </c>
    </row>
    <row r="4859" spans="28:32" x14ac:dyDescent="0.25">
      <c r="AB4859" t="str">
        <f t="shared" ref="AB4859:AC4859" si="5070">AB4838</f>
        <v>External Scaffolding</v>
      </c>
      <c r="AC4859" t="str">
        <f t="shared" si="5070"/>
        <v>Lift 2</v>
      </c>
      <c r="AD4859" t="b">
        <f t="shared" ca="1" si="5040"/>
        <v>1</v>
      </c>
      <c r="AE4859" s="1" t="str">
        <f t="shared" ca="1" si="5053"/>
        <v>Garage 152</v>
      </c>
      <c r="AF4859" t="str">
        <f t="shared" ca="1" si="5038"/>
        <v>Garage 152</v>
      </c>
    </row>
    <row r="4860" spans="28:32" x14ac:dyDescent="0.25">
      <c r="AB4860" t="str">
        <f t="shared" ref="AB4860:AC4860" si="5071">AB4839</f>
        <v>External Scaffolding</v>
      </c>
      <c r="AC4860" t="str">
        <f t="shared" si="5071"/>
        <v>Lift 3</v>
      </c>
      <c r="AD4860" t="b">
        <f t="shared" ca="1" si="5040"/>
        <v>1</v>
      </c>
      <c r="AE4860" s="1" t="str">
        <f t="shared" ca="1" si="5053"/>
        <v>Garage 152</v>
      </c>
      <c r="AF4860" t="str">
        <f t="shared" ca="1" si="5038"/>
        <v>Garage 152</v>
      </c>
    </row>
    <row r="4861" spans="28:32" x14ac:dyDescent="0.25">
      <c r="AB4861" t="str">
        <f t="shared" ref="AB4861:AC4861" si="5072">AB4840</f>
        <v>External Scaffolding</v>
      </c>
      <c r="AC4861" t="str">
        <f t="shared" si="5072"/>
        <v>Lift 4</v>
      </c>
      <c r="AD4861" t="b">
        <f t="shared" ca="1" si="5040"/>
        <v>0</v>
      </c>
      <c r="AE4861" s="1" t="str">
        <f t="shared" ca="1" si="5053"/>
        <v>Garage 152</v>
      </c>
      <c r="AF4861" t="str">
        <f t="shared" ca="1" si="5038"/>
        <v>Garage 152</v>
      </c>
    </row>
    <row r="4862" spans="28:32" x14ac:dyDescent="0.25">
      <c r="AB4862" t="str">
        <f t="shared" ref="AB4862:AC4862" si="5073">AB4841</f>
        <v>External Scaffolding</v>
      </c>
      <c r="AC4862" t="str">
        <f t="shared" si="5073"/>
        <v>Lift 5</v>
      </c>
      <c r="AD4862" t="b">
        <f t="shared" ca="1" si="5040"/>
        <v>0</v>
      </c>
      <c r="AE4862" s="1" t="str">
        <f t="shared" ca="1" si="5053"/>
        <v>Garage 152</v>
      </c>
      <c r="AF4862" t="str">
        <f t="shared" ca="1" si="5038"/>
        <v>Garage 152</v>
      </c>
    </row>
    <row r="4863" spans="28:32" x14ac:dyDescent="0.25">
      <c r="AB4863" t="str">
        <f t="shared" ref="AB4863:AC4863" si="5074">AB4842</f>
        <v>External Scaffolding</v>
      </c>
      <c r="AC4863" t="str">
        <f t="shared" si="5074"/>
        <v>Lift 6</v>
      </c>
      <c r="AD4863" t="b">
        <f t="shared" ca="1" si="5040"/>
        <v>0</v>
      </c>
      <c r="AE4863" s="1" t="str">
        <f t="shared" ca="1" si="5053"/>
        <v>Garage 152</v>
      </c>
      <c r="AF4863" t="str">
        <f t="shared" ca="1" si="5038"/>
        <v>Garage 152</v>
      </c>
    </row>
    <row r="4864" spans="28:32" x14ac:dyDescent="0.25">
      <c r="AB4864" t="str">
        <f t="shared" ref="AB4864:AC4864" si="5075">AB4843</f>
        <v>Loading Bay</v>
      </c>
      <c r="AC4864" t="str">
        <f t="shared" si="5075"/>
        <v>Lift 1</v>
      </c>
      <c r="AD4864" t="b">
        <f t="shared" ca="1" si="5040"/>
        <v>1</v>
      </c>
      <c r="AE4864" s="1" t="str">
        <f t="shared" ca="1" si="5053"/>
        <v>Garage 152</v>
      </c>
      <c r="AF4864" t="str">
        <f t="shared" ca="1" si="5038"/>
        <v>Garage 152</v>
      </c>
    </row>
    <row r="4865" spans="28:32" x14ac:dyDescent="0.25">
      <c r="AB4865" t="str">
        <f t="shared" ref="AB4865:AC4865" si="5076">AB4844</f>
        <v>Loading Bay</v>
      </c>
      <c r="AC4865" t="str">
        <f t="shared" si="5076"/>
        <v>Lift 2</v>
      </c>
      <c r="AD4865" t="b">
        <f t="shared" ca="1" si="5040"/>
        <v>1</v>
      </c>
      <c r="AE4865" s="1" t="str">
        <f t="shared" ca="1" si="5053"/>
        <v>Garage 152</v>
      </c>
      <c r="AF4865" t="str">
        <f t="shared" ca="1" si="5038"/>
        <v>Garage 152</v>
      </c>
    </row>
    <row r="4866" spans="28:32" x14ac:dyDescent="0.25">
      <c r="AB4866" t="str">
        <f t="shared" ref="AB4866:AC4866" si="5077">AB4845</f>
        <v>Loading Bay</v>
      </c>
      <c r="AC4866" t="str">
        <f t="shared" si="5077"/>
        <v>Lift 3</v>
      </c>
      <c r="AD4866" t="b">
        <f t="shared" ca="1" si="5040"/>
        <v>1</v>
      </c>
      <c r="AE4866" s="1" t="str">
        <f t="shared" ca="1" si="5053"/>
        <v>Garage 152</v>
      </c>
      <c r="AF4866" t="str">
        <f t="shared" ca="1" si="5038"/>
        <v>Garage 152</v>
      </c>
    </row>
    <row r="4867" spans="28:32" x14ac:dyDescent="0.25">
      <c r="AB4867" t="str">
        <f t="shared" ref="AB4867:AC4867" si="5078">AB4846</f>
        <v>Loading Bay</v>
      </c>
      <c r="AC4867" t="str">
        <f t="shared" si="5078"/>
        <v>Lift 4</v>
      </c>
      <c r="AD4867" t="b">
        <f t="shared" ca="1" si="5040"/>
        <v>0</v>
      </c>
      <c r="AE4867" s="1" t="str">
        <f t="shared" ca="1" si="5053"/>
        <v>Garage 152</v>
      </c>
      <c r="AF4867" t="str">
        <f t="shared" ca="1" si="5038"/>
        <v>Garage 152</v>
      </c>
    </row>
    <row r="4868" spans="28:32" x14ac:dyDescent="0.25">
      <c r="AB4868" t="str">
        <f t="shared" ref="AB4868:AC4868" si="5079">AB4847</f>
        <v>Loading Bay</v>
      </c>
      <c r="AC4868" t="str">
        <f t="shared" si="5079"/>
        <v>Lift 5</v>
      </c>
      <c r="AD4868" t="b">
        <f t="shared" ca="1" si="5040"/>
        <v>0</v>
      </c>
      <c r="AE4868" s="1" t="str">
        <f t="shared" ca="1" si="5053"/>
        <v>Garage 152</v>
      </c>
      <c r="AF4868" t="str">
        <f t="shared" ca="1" si="5038"/>
        <v>Garage 152</v>
      </c>
    </row>
    <row r="4869" spans="28:32" x14ac:dyDescent="0.25">
      <c r="AB4869" t="str">
        <f t="shared" ref="AB4869:AC4869" si="5080">AB4848</f>
        <v>Loading Bay</v>
      </c>
      <c r="AC4869" t="str">
        <f t="shared" si="5080"/>
        <v>Lift 6</v>
      </c>
      <c r="AD4869" t="b">
        <f t="shared" ca="1" si="5040"/>
        <v>0</v>
      </c>
      <c r="AE4869" s="1" t="str">
        <f t="shared" ca="1" si="5053"/>
        <v>Garage 152</v>
      </c>
      <c r="AF4869" t="str">
        <f t="shared" ca="1" si="5038"/>
        <v>Garage 152</v>
      </c>
    </row>
    <row r="4870" spans="28:32" x14ac:dyDescent="0.25">
      <c r="AB4870" t="str">
        <f t="shared" ref="AB4870:AC4870" si="5081">AB4849</f>
        <v>Scaffolding Platform</v>
      </c>
      <c r="AC4870" t="str">
        <f t="shared" si="5081"/>
        <v>Ground Floor</v>
      </c>
      <c r="AD4870" t="b">
        <f t="shared" ca="1" si="5040"/>
        <v>1</v>
      </c>
      <c r="AE4870" s="1" t="str">
        <f t="shared" ca="1" si="5053"/>
        <v>Garage 152</v>
      </c>
      <c r="AF4870" t="str">
        <f t="shared" ca="1" si="5038"/>
        <v>Garage 152</v>
      </c>
    </row>
    <row r="4871" spans="28:32" x14ac:dyDescent="0.25">
      <c r="AB4871" t="str">
        <f t="shared" ref="AB4871:AC4871" si="5082">AB4850</f>
        <v>Scaffolding Platform</v>
      </c>
      <c r="AC4871" t="str">
        <f t="shared" si="5082"/>
        <v>First Floor</v>
      </c>
      <c r="AD4871" t="b">
        <f t="shared" ca="1" si="5040"/>
        <v>0</v>
      </c>
      <c r="AE4871" s="1" t="str">
        <f t="shared" ca="1" si="5053"/>
        <v>Garage 152</v>
      </c>
      <c r="AF4871" t="str">
        <f t="shared" ca="1" si="5038"/>
        <v>Garage 152</v>
      </c>
    </row>
    <row r="4872" spans="28:32" x14ac:dyDescent="0.25">
      <c r="AB4872" t="str">
        <f t="shared" ref="AB4872:AC4872" si="5083">AB4851</f>
        <v>Scaffolding Platform</v>
      </c>
      <c r="AC4872" t="str">
        <f t="shared" si="5083"/>
        <v>Second Floor</v>
      </c>
      <c r="AD4872" t="b">
        <f t="shared" ca="1" si="5040"/>
        <v>0</v>
      </c>
      <c r="AE4872" s="1" t="str">
        <f t="shared" ca="1" si="5053"/>
        <v>Garage 152</v>
      </c>
      <c r="AF4872" t="str">
        <f t="shared" ca="1" si="5038"/>
        <v>Garage 152</v>
      </c>
    </row>
    <row r="4873" spans="28:32" x14ac:dyDescent="0.25">
      <c r="AB4873" t="str">
        <f t="shared" ref="AB4873:AC4873" si="5084">AB4852</f>
        <v>Supporting Scaffold</v>
      </c>
      <c r="AC4873" t="str">
        <f t="shared" si="5084"/>
        <v>Ground Floor Prop.</v>
      </c>
      <c r="AD4873" t="str">
        <f t="shared" ca="1" si="5040"/>
        <v>FALSE</v>
      </c>
      <c r="AE4873" s="1" t="str">
        <f t="shared" ca="1" si="5053"/>
        <v>Garage 152</v>
      </c>
      <c r="AF4873" t="str">
        <f t="shared" ca="1" si="5038"/>
        <v>Garage 152</v>
      </c>
    </row>
    <row r="4874" spans="28:32" x14ac:dyDescent="0.25">
      <c r="AB4874" t="str">
        <f t="shared" ref="AB4874:AC4874" si="5085">AB4853</f>
        <v>Supporting Scaffold</v>
      </c>
      <c r="AC4874" t="str">
        <f t="shared" si="5085"/>
        <v>First Floor Prop.</v>
      </c>
      <c r="AD4874" t="str">
        <f t="shared" ca="1" si="5040"/>
        <v>FALSE</v>
      </c>
      <c r="AE4874" s="1" t="str">
        <f t="shared" ca="1" si="5053"/>
        <v>Garage 152</v>
      </c>
      <c r="AF4874" t="str">
        <f t="shared" ca="1" si="5038"/>
        <v>Garage 152</v>
      </c>
    </row>
    <row r="4875" spans="28:32" x14ac:dyDescent="0.25">
      <c r="AB4875" t="str">
        <f t="shared" ref="AB4875:AC4875" si="5086">AB4854</f>
        <v>Supporting Scaffold</v>
      </c>
      <c r="AC4875" t="str">
        <f t="shared" si="5086"/>
        <v>Second Floor Prop.</v>
      </c>
      <c r="AD4875" t="str">
        <f t="shared" ca="1" si="5040"/>
        <v>FALSE</v>
      </c>
      <c r="AE4875" s="1" t="str">
        <f t="shared" ca="1" si="5053"/>
        <v>Garage 152</v>
      </c>
      <c r="AF4875" t="str">
        <f t="shared" ca="1" si="5038"/>
        <v>Garage 152</v>
      </c>
    </row>
    <row r="4876" spans="28:32" x14ac:dyDescent="0.25">
      <c r="AB4876" t="str">
        <f t="shared" ref="AB4876:AC4876" si="5087">AB4855</f>
        <v>External Scaffolding</v>
      </c>
      <c r="AC4876" t="str">
        <f t="shared" si="5087"/>
        <v>Hop-ups</v>
      </c>
      <c r="AD4876" t="b">
        <f t="shared" ca="1" si="5040"/>
        <v>1</v>
      </c>
      <c r="AE4876" s="1" t="str">
        <f t="shared" ca="1" si="5053"/>
        <v>Garage 152</v>
      </c>
      <c r="AF4876" t="str">
        <f t="shared" ca="1" si="5038"/>
        <v>Garage 152</v>
      </c>
    </row>
    <row r="4877" spans="28:32" x14ac:dyDescent="0.25">
      <c r="AB4877" t="str">
        <f t="shared" ref="AB4877:AC4877" si="5088">AB4856</f>
        <v>External Scaffolding</v>
      </c>
      <c r="AC4877" t="str">
        <f t="shared" si="5088"/>
        <v>Adaptions</v>
      </c>
      <c r="AD4877" t="b">
        <f t="shared" ca="1" si="5040"/>
        <v>1</v>
      </c>
      <c r="AE4877" s="1" t="str">
        <f t="shared" ca="1" si="5053"/>
        <v>Garage 152</v>
      </c>
      <c r="AF4877" t="str">
        <f t="shared" ca="1" si="5038"/>
        <v>Garage 152</v>
      </c>
    </row>
    <row r="4878" spans="28:32" x14ac:dyDescent="0.25">
      <c r="AB4878" t="str">
        <f t="shared" ref="AB4878:AC4878" si="5089">AB4857</f>
        <v>External Scaffolding</v>
      </c>
      <c r="AC4878" t="str">
        <f t="shared" si="5089"/>
        <v>Adaption Tower</v>
      </c>
      <c r="AD4878" t="b">
        <f t="shared" ca="1" si="5040"/>
        <v>1</v>
      </c>
      <c r="AE4878" s="1" t="str">
        <f t="shared" ca="1" si="5053"/>
        <v>Garage 152</v>
      </c>
      <c r="AF4878" t="str">
        <f t="shared" ca="1" si="5038"/>
        <v>Garage 152</v>
      </c>
    </row>
    <row r="4879" spans="28:32" x14ac:dyDescent="0.25">
      <c r="AB4879" t="str">
        <f t="shared" ref="AB4879:AC4879" si="5090">AB4858</f>
        <v>External Scaffolding</v>
      </c>
      <c r="AC4879" t="str">
        <f t="shared" si="5090"/>
        <v>Lift 1</v>
      </c>
      <c r="AD4879" t="b">
        <f t="shared" ca="1" si="5040"/>
        <v>1</v>
      </c>
      <c r="AE4879" s="1" t="str">
        <f t="shared" ca="1" si="5053"/>
        <v>Garage 153</v>
      </c>
      <c r="AF4879" t="str">
        <f t="shared" ca="1" si="5038"/>
        <v>Garage 153</v>
      </c>
    </row>
    <row r="4880" spans="28:32" x14ac:dyDescent="0.25">
      <c r="AB4880" t="str">
        <f t="shared" ref="AB4880:AC4880" si="5091">AB4859</f>
        <v>External Scaffolding</v>
      </c>
      <c r="AC4880" t="str">
        <f t="shared" si="5091"/>
        <v>Lift 2</v>
      </c>
      <c r="AD4880" t="b">
        <f t="shared" ca="1" si="5040"/>
        <v>1</v>
      </c>
      <c r="AE4880" s="1" t="str">
        <f t="shared" ca="1" si="5053"/>
        <v>Garage 153</v>
      </c>
      <c r="AF4880" t="str">
        <f t="shared" ca="1" si="5038"/>
        <v>Garage 153</v>
      </c>
    </row>
    <row r="4881" spans="28:32" x14ac:dyDescent="0.25">
      <c r="AB4881" t="str">
        <f t="shared" ref="AB4881:AC4881" si="5092">AB4860</f>
        <v>External Scaffolding</v>
      </c>
      <c r="AC4881" t="str">
        <f t="shared" si="5092"/>
        <v>Lift 3</v>
      </c>
      <c r="AD4881" t="b">
        <f t="shared" ca="1" si="5040"/>
        <v>1</v>
      </c>
      <c r="AE4881" s="1" t="str">
        <f t="shared" ca="1" si="5053"/>
        <v>Garage 153</v>
      </c>
      <c r="AF4881" t="str">
        <f t="shared" ca="1" si="5038"/>
        <v>Garage 153</v>
      </c>
    </row>
    <row r="4882" spans="28:32" x14ac:dyDescent="0.25">
      <c r="AB4882" t="str">
        <f t="shared" ref="AB4882:AC4882" si="5093">AB4861</f>
        <v>External Scaffolding</v>
      </c>
      <c r="AC4882" t="str">
        <f t="shared" si="5093"/>
        <v>Lift 4</v>
      </c>
      <c r="AD4882" t="b">
        <f t="shared" ca="1" si="5040"/>
        <v>0</v>
      </c>
      <c r="AE4882" s="1" t="str">
        <f t="shared" ca="1" si="5053"/>
        <v>Garage 153</v>
      </c>
      <c r="AF4882" t="str">
        <f t="shared" ca="1" si="5038"/>
        <v>Garage 153</v>
      </c>
    </row>
    <row r="4883" spans="28:32" x14ac:dyDescent="0.25">
      <c r="AB4883" t="str">
        <f t="shared" ref="AB4883:AC4883" si="5094">AB4862</f>
        <v>External Scaffolding</v>
      </c>
      <c r="AC4883" t="str">
        <f t="shared" si="5094"/>
        <v>Lift 5</v>
      </c>
      <c r="AD4883" t="b">
        <f t="shared" ca="1" si="5040"/>
        <v>0</v>
      </c>
      <c r="AE4883" s="1" t="str">
        <f t="shared" ca="1" si="5053"/>
        <v>Garage 153</v>
      </c>
      <c r="AF4883" t="str">
        <f t="shared" ca="1" si="5038"/>
        <v>Garage 153</v>
      </c>
    </row>
    <row r="4884" spans="28:32" x14ac:dyDescent="0.25">
      <c r="AB4884" t="str">
        <f t="shared" ref="AB4884:AC4884" si="5095">AB4863</f>
        <v>External Scaffolding</v>
      </c>
      <c r="AC4884" t="str">
        <f t="shared" si="5095"/>
        <v>Lift 6</v>
      </c>
      <c r="AD4884" t="b">
        <f t="shared" ca="1" si="5040"/>
        <v>0</v>
      </c>
      <c r="AE4884" s="1" t="str">
        <f t="shared" ca="1" si="5053"/>
        <v>Garage 153</v>
      </c>
      <c r="AF4884" t="str">
        <f t="shared" ca="1" si="5038"/>
        <v>Garage 153</v>
      </c>
    </row>
    <row r="4885" spans="28:32" x14ac:dyDescent="0.25">
      <c r="AB4885" t="str">
        <f t="shared" ref="AB4885:AC4885" si="5096">AB4864</f>
        <v>Loading Bay</v>
      </c>
      <c r="AC4885" t="str">
        <f t="shared" si="5096"/>
        <v>Lift 1</v>
      </c>
      <c r="AD4885" t="b">
        <f t="shared" ca="1" si="5040"/>
        <v>1</v>
      </c>
      <c r="AE4885" s="1" t="str">
        <f t="shared" ca="1" si="5053"/>
        <v>Garage 153</v>
      </c>
      <c r="AF4885" t="str">
        <f t="shared" ca="1" si="5038"/>
        <v>Garage 153</v>
      </c>
    </row>
    <row r="4886" spans="28:32" x14ac:dyDescent="0.25">
      <c r="AB4886" t="str">
        <f t="shared" ref="AB4886:AC4886" si="5097">AB4865</f>
        <v>Loading Bay</v>
      </c>
      <c r="AC4886" t="str">
        <f t="shared" si="5097"/>
        <v>Lift 2</v>
      </c>
      <c r="AD4886" t="b">
        <f t="shared" ca="1" si="5040"/>
        <v>1</v>
      </c>
      <c r="AE4886" s="1" t="str">
        <f t="shared" ca="1" si="5053"/>
        <v>Garage 153</v>
      </c>
      <c r="AF4886" t="str">
        <f t="shared" ca="1" si="5038"/>
        <v>Garage 153</v>
      </c>
    </row>
    <row r="4887" spans="28:32" x14ac:dyDescent="0.25">
      <c r="AB4887" t="str">
        <f t="shared" ref="AB4887:AC4887" si="5098">AB4866</f>
        <v>Loading Bay</v>
      </c>
      <c r="AC4887" t="str">
        <f t="shared" si="5098"/>
        <v>Lift 3</v>
      </c>
      <c r="AD4887" t="b">
        <f t="shared" ca="1" si="5040"/>
        <v>1</v>
      </c>
      <c r="AE4887" s="1" t="str">
        <f t="shared" ca="1" si="5053"/>
        <v>Garage 153</v>
      </c>
      <c r="AF4887" t="str">
        <f t="shared" ca="1" si="5038"/>
        <v>Garage 153</v>
      </c>
    </row>
    <row r="4888" spans="28:32" x14ac:dyDescent="0.25">
      <c r="AB4888" t="str">
        <f t="shared" ref="AB4888:AC4888" si="5099">AB4867</f>
        <v>Loading Bay</v>
      </c>
      <c r="AC4888" t="str">
        <f t="shared" si="5099"/>
        <v>Lift 4</v>
      </c>
      <c r="AD4888" t="b">
        <f t="shared" ca="1" si="5040"/>
        <v>0</v>
      </c>
      <c r="AE4888" s="1" t="str">
        <f t="shared" ca="1" si="5053"/>
        <v>Garage 153</v>
      </c>
      <c r="AF4888" t="str">
        <f t="shared" ca="1" si="5038"/>
        <v>Garage 153</v>
      </c>
    </row>
    <row r="4889" spans="28:32" x14ac:dyDescent="0.25">
      <c r="AB4889" t="str">
        <f t="shared" ref="AB4889:AC4889" si="5100">AB4868</f>
        <v>Loading Bay</v>
      </c>
      <c r="AC4889" t="str">
        <f t="shared" si="5100"/>
        <v>Lift 5</v>
      </c>
      <c r="AD4889" t="b">
        <f t="shared" ca="1" si="5040"/>
        <v>0</v>
      </c>
      <c r="AE4889" s="1" t="str">
        <f t="shared" ca="1" si="5053"/>
        <v>Garage 153</v>
      </c>
      <c r="AF4889" t="str">
        <f t="shared" ca="1" si="5038"/>
        <v>Garage 153</v>
      </c>
    </row>
    <row r="4890" spans="28:32" x14ac:dyDescent="0.25">
      <c r="AB4890" t="str">
        <f t="shared" ref="AB4890:AC4890" si="5101">AB4869</f>
        <v>Loading Bay</v>
      </c>
      <c r="AC4890" t="str">
        <f t="shared" si="5101"/>
        <v>Lift 6</v>
      </c>
      <c r="AD4890" t="b">
        <f t="shared" ca="1" si="5040"/>
        <v>0</v>
      </c>
      <c r="AE4890" s="1" t="str">
        <f t="shared" ca="1" si="5053"/>
        <v>Garage 153</v>
      </c>
      <c r="AF4890" t="str">
        <f t="shared" ca="1" si="5038"/>
        <v>Garage 153</v>
      </c>
    </row>
    <row r="4891" spans="28:32" x14ac:dyDescent="0.25">
      <c r="AB4891" t="str">
        <f t="shared" ref="AB4891:AC4891" si="5102">AB4870</f>
        <v>Scaffolding Platform</v>
      </c>
      <c r="AC4891" t="str">
        <f t="shared" si="5102"/>
        <v>Ground Floor</v>
      </c>
      <c r="AD4891" t="b">
        <f t="shared" ca="1" si="5040"/>
        <v>1</v>
      </c>
      <c r="AE4891" s="1" t="str">
        <f t="shared" ca="1" si="5053"/>
        <v>Garage 153</v>
      </c>
      <c r="AF4891" t="str">
        <f t="shared" ca="1" si="5038"/>
        <v>Garage 153</v>
      </c>
    </row>
    <row r="4892" spans="28:32" x14ac:dyDescent="0.25">
      <c r="AB4892" t="str">
        <f t="shared" ref="AB4892:AC4892" si="5103">AB4871</f>
        <v>Scaffolding Platform</v>
      </c>
      <c r="AC4892" t="str">
        <f t="shared" si="5103"/>
        <v>First Floor</v>
      </c>
      <c r="AD4892" t="b">
        <f t="shared" ca="1" si="5040"/>
        <v>0</v>
      </c>
      <c r="AE4892" s="1" t="str">
        <f t="shared" ca="1" si="5053"/>
        <v>Garage 153</v>
      </c>
      <c r="AF4892" t="str">
        <f t="shared" ca="1" si="5038"/>
        <v>Garage 153</v>
      </c>
    </row>
    <row r="4893" spans="28:32" x14ac:dyDescent="0.25">
      <c r="AB4893" t="str">
        <f t="shared" ref="AB4893:AC4893" si="5104">AB4872</f>
        <v>Scaffolding Platform</v>
      </c>
      <c r="AC4893" t="str">
        <f t="shared" si="5104"/>
        <v>Second Floor</v>
      </c>
      <c r="AD4893" t="b">
        <f t="shared" ca="1" si="5040"/>
        <v>0</v>
      </c>
      <c r="AE4893" s="1" t="str">
        <f t="shared" ca="1" si="5053"/>
        <v>Garage 153</v>
      </c>
      <c r="AF4893" t="str">
        <f t="shared" ref="AF4893:AF4956" ca="1" si="5105">IF(LEFT(AE4893,1)="G",AE4893,"Plot "&amp;AE4893)</f>
        <v>Garage 153</v>
      </c>
    </row>
    <row r="4894" spans="28:32" x14ac:dyDescent="0.25">
      <c r="AB4894" t="str">
        <f t="shared" ref="AB4894:AC4894" si="5106">AB4873</f>
        <v>Supporting Scaffold</v>
      </c>
      <c r="AC4894" t="str">
        <f t="shared" si="5106"/>
        <v>Ground Floor Prop.</v>
      </c>
      <c r="AD4894" t="str">
        <f t="shared" ref="AD4894:AD4957" ca="1" si="5107">INDEX($AC$1:$JH$22,MATCH(AC4894,$AC$1:$AC$22,0),MATCH(AE4894,$AC$1:$JH$1,0))</f>
        <v>FALSE</v>
      </c>
      <c r="AE4894" s="1" t="str">
        <f t="shared" ca="1" si="5053"/>
        <v>Garage 153</v>
      </c>
      <c r="AF4894" t="str">
        <f t="shared" ca="1" si="5105"/>
        <v>Garage 153</v>
      </c>
    </row>
    <row r="4895" spans="28:32" x14ac:dyDescent="0.25">
      <c r="AB4895" t="str">
        <f t="shared" ref="AB4895:AC4895" si="5108">AB4874</f>
        <v>Supporting Scaffold</v>
      </c>
      <c r="AC4895" t="str">
        <f t="shared" si="5108"/>
        <v>First Floor Prop.</v>
      </c>
      <c r="AD4895" t="str">
        <f t="shared" ca="1" si="5107"/>
        <v>FALSE</v>
      </c>
      <c r="AE4895" s="1" t="str">
        <f t="shared" ca="1" si="5053"/>
        <v>Garage 153</v>
      </c>
      <c r="AF4895" t="str">
        <f t="shared" ca="1" si="5105"/>
        <v>Garage 153</v>
      </c>
    </row>
    <row r="4896" spans="28:32" x14ac:dyDescent="0.25">
      <c r="AB4896" t="str">
        <f t="shared" ref="AB4896:AC4896" si="5109">AB4875</f>
        <v>Supporting Scaffold</v>
      </c>
      <c r="AC4896" t="str">
        <f t="shared" si="5109"/>
        <v>Second Floor Prop.</v>
      </c>
      <c r="AD4896" t="str">
        <f t="shared" ca="1" si="5107"/>
        <v>FALSE</v>
      </c>
      <c r="AE4896" s="1" t="str">
        <f t="shared" ca="1" si="5053"/>
        <v>Garage 153</v>
      </c>
      <c r="AF4896" t="str">
        <f t="shared" ca="1" si="5105"/>
        <v>Garage 153</v>
      </c>
    </row>
    <row r="4897" spans="28:32" x14ac:dyDescent="0.25">
      <c r="AB4897" t="str">
        <f t="shared" ref="AB4897:AC4897" si="5110">AB4876</f>
        <v>External Scaffolding</v>
      </c>
      <c r="AC4897" t="str">
        <f t="shared" si="5110"/>
        <v>Hop-ups</v>
      </c>
      <c r="AD4897" t="b">
        <f t="shared" ca="1" si="5107"/>
        <v>1</v>
      </c>
      <c r="AE4897" s="1" t="str">
        <f t="shared" ca="1" si="5053"/>
        <v>Garage 153</v>
      </c>
      <c r="AF4897" t="str">
        <f t="shared" ca="1" si="5105"/>
        <v>Garage 153</v>
      </c>
    </row>
    <row r="4898" spans="28:32" x14ac:dyDescent="0.25">
      <c r="AB4898" t="str">
        <f t="shared" ref="AB4898:AC4898" si="5111">AB4877</f>
        <v>External Scaffolding</v>
      </c>
      <c r="AC4898" t="str">
        <f t="shared" si="5111"/>
        <v>Adaptions</v>
      </c>
      <c r="AD4898" t="b">
        <f t="shared" ca="1" si="5107"/>
        <v>1</v>
      </c>
      <c r="AE4898" s="1" t="str">
        <f t="shared" ca="1" si="5053"/>
        <v>Garage 153</v>
      </c>
      <c r="AF4898" t="str">
        <f t="shared" ca="1" si="5105"/>
        <v>Garage 153</v>
      </c>
    </row>
    <row r="4899" spans="28:32" x14ac:dyDescent="0.25">
      <c r="AB4899" t="str">
        <f t="shared" ref="AB4899:AC4899" si="5112">AB4878</f>
        <v>External Scaffolding</v>
      </c>
      <c r="AC4899" t="str">
        <f t="shared" si="5112"/>
        <v>Adaption Tower</v>
      </c>
      <c r="AD4899" t="b">
        <f t="shared" ca="1" si="5107"/>
        <v>1</v>
      </c>
      <c r="AE4899" s="1" t="str">
        <f t="shared" ca="1" si="5053"/>
        <v>Garage 153</v>
      </c>
      <c r="AF4899" t="str">
        <f t="shared" ca="1" si="5105"/>
        <v>Garage 153</v>
      </c>
    </row>
    <row r="4900" spans="28:32" x14ac:dyDescent="0.25">
      <c r="AB4900" t="str">
        <f t="shared" ref="AB4900:AC4900" si="5113">AB4879</f>
        <v>External Scaffolding</v>
      </c>
      <c r="AC4900" t="str">
        <f t="shared" si="5113"/>
        <v>Lift 1</v>
      </c>
      <c r="AD4900" t="b">
        <f t="shared" ca="1" si="5107"/>
        <v>1</v>
      </c>
      <c r="AE4900" s="1" t="str">
        <f t="shared" ca="1" si="5053"/>
        <v>Garage 154</v>
      </c>
      <c r="AF4900" t="str">
        <f t="shared" ca="1" si="5105"/>
        <v>Garage 154</v>
      </c>
    </row>
    <row r="4901" spans="28:32" x14ac:dyDescent="0.25">
      <c r="AB4901" t="str">
        <f t="shared" ref="AB4901:AC4901" si="5114">AB4880</f>
        <v>External Scaffolding</v>
      </c>
      <c r="AC4901" t="str">
        <f t="shared" si="5114"/>
        <v>Lift 2</v>
      </c>
      <c r="AD4901" t="b">
        <f t="shared" ca="1" si="5107"/>
        <v>1</v>
      </c>
      <c r="AE4901" s="1" t="str">
        <f t="shared" ca="1" si="5053"/>
        <v>Garage 154</v>
      </c>
      <c r="AF4901" t="str">
        <f t="shared" ca="1" si="5105"/>
        <v>Garage 154</v>
      </c>
    </row>
    <row r="4902" spans="28:32" x14ac:dyDescent="0.25">
      <c r="AB4902" t="str">
        <f t="shared" ref="AB4902:AC4902" si="5115">AB4881</f>
        <v>External Scaffolding</v>
      </c>
      <c r="AC4902" t="str">
        <f t="shared" si="5115"/>
        <v>Lift 3</v>
      </c>
      <c r="AD4902" t="b">
        <f t="shared" ca="1" si="5107"/>
        <v>1</v>
      </c>
      <c r="AE4902" s="1" t="str">
        <f t="shared" ca="1" si="5053"/>
        <v>Garage 154</v>
      </c>
      <c r="AF4902" t="str">
        <f t="shared" ca="1" si="5105"/>
        <v>Garage 154</v>
      </c>
    </row>
    <row r="4903" spans="28:32" x14ac:dyDescent="0.25">
      <c r="AB4903" t="str">
        <f t="shared" ref="AB4903:AC4903" si="5116">AB4882</f>
        <v>External Scaffolding</v>
      </c>
      <c r="AC4903" t="str">
        <f t="shared" si="5116"/>
        <v>Lift 4</v>
      </c>
      <c r="AD4903" t="b">
        <f t="shared" ca="1" si="5107"/>
        <v>0</v>
      </c>
      <c r="AE4903" s="1" t="str">
        <f t="shared" ca="1" si="5053"/>
        <v>Garage 154</v>
      </c>
      <c r="AF4903" t="str">
        <f t="shared" ca="1" si="5105"/>
        <v>Garage 154</v>
      </c>
    </row>
    <row r="4904" spans="28:32" x14ac:dyDescent="0.25">
      <c r="AB4904" t="str">
        <f t="shared" ref="AB4904:AC4904" si="5117">AB4883</f>
        <v>External Scaffolding</v>
      </c>
      <c r="AC4904" t="str">
        <f t="shared" si="5117"/>
        <v>Lift 5</v>
      </c>
      <c r="AD4904" t="b">
        <f t="shared" ca="1" si="5107"/>
        <v>0</v>
      </c>
      <c r="AE4904" s="1" t="str">
        <f t="shared" ca="1" si="5053"/>
        <v>Garage 154</v>
      </c>
      <c r="AF4904" t="str">
        <f t="shared" ca="1" si="5105"/>
        <v>Garage 154</v>
      </c>
    </row>
    <row r="4905" spans="28:32" x14ac:dyDescent="0.25">
      <c r="AB4905" t="str">
        <f t="shared" ref="AB4905:AC4905" si="5118">AB4884</f>
        <v>External Scaffolding</v>
      </c>
      <c r="AC4905" t="str">
        <f t="shared" si="5118"/>
        <v>Lift 6</v>
      </c>
      <c r="AD4905" t="b">
        <f t="shared" ca="1" si="5107"/>
        <v>0</v>
      </c>
      <c r="AE4905" s="1" t="str">
        <f t="shared" ca="1" si="5053"/>
        <v>Garage 154</v>
      </c>
      <c r="AF4905" t="str">
        <f t="shared" ca="1" si="5105"/>
        <v>Garage 154</v>
      </c>
    </row>
    <row r="4906" spans="28:32" x14ac:dyDescent="0.25">
      <c r="AB4906" t="str">
        <f t="shared" ref="AB4906:AC4906" si="5119">AB4885</f>
        <v>Loading Bay</v>
      </c>
      <c r="AC4906" t="str">
        <f t="shared" si="5119"/>
        <v>Lift 1</v>
      </c>
      <c r="AD4906" t="b">
        <f t="shared" ca="1" si="5107"/>
        <v>1</v>
      </c>
      <c r="AE4906" s="1" t="str">
        <f t="shared" ref="AE4906:AE4969" ca="1" si="5120">OFFSET($AD$1,0,FLOOR(ROW(B4878)/21,1))</f>
        <v>Garage 154</v>
      </c>
      <c r="AF4906" t="str">
        <f t="shared" ca="1" si="5105"/>
        <v>Garage 154</v>
      </c>
    </row>
    <row r="4907" spans="28:32" x14ac:dyDescent="0.25">
      <c r="AB4907" t="str">
        <f t="shared" ref="AB4907:AC4907" si="5121">AB4886</f>
        <v>Loading Bay</v>
      </c>
      <c r="AC4907" t="str">
        <f t="shared" si="5121"/>
        <v>Lift 2</v>
      </c>
      <c r="AD4907" t="b">
        <f t="shared" ca="1" si="5107"/>
        <v>1</v>
      </c>
      <c r="AE4907" s="1" t="str">
        <f t="shared" ca="1" si="5120"/>
        <v>Garage 154</v>
      </c>
      <c r="AF4907" t="str">
        <f t="shared" ca="1" si="5105"/>
        <v>Garage 154</v>
      </c>
    </row>
    <row r="4908" spans="28:32" x14ac:dyDescent="0.25">
      <c r="AB4908" t="str">
        <f t="shared" ref="AB4908:AC4908" si="5122">AB4887</f>
        <v>Loading Bay</v>
      </c>
      <c r="AC4908" t="str">
        <f t="shared" si="5122"/>
        <v>Lift 3</v>
      </c>
      <c r="AD4908" t="b">
        <f t="shared" ca="1" si="5107"/>
        <v>1</v>
      </c>
      <c r="AE4908" s="1" t="str">
        <f t="shared" ca="1" si="5120"/>
        <v>Garage 154</v>
      </c>
      <c r="AF4908" t="str">
        <f t="shared" ca="1" si="5105"/>
        <v>Garage 154</v>
      </c>
    </row>
    <row r="4909" spans="28:32" x14ac:dyDescent="0.25">
      <c r="AB4909" t="str">
        <f t="shared" ref="AB4909:AC4909" si="5123">AB4888</f>
        <v>Loading Bay</v>
      </c>
      <c r="AC4909" t="str">
        <f t="shared" si="5123"/>
        <v>Lift 4</v>
      </c>
      <c r="AD4909" t="b">
        <f t="shared" ca="1" si="5107"/>
        <v>0</v>
      </c>
      <c r="AE4909" s="1" t="str">
        <f t="shared" ca="1" si="5120"/>
        <v>Garage 154</v>
      </c>
      <c r="AF4909" t="str">
        <f t="shared" ca="1" si="5105"/>
        <v>Garage 154</v>
      </c>
    </row>
    <row r="4910" spans="28:32" x14ac:dyDescent="0.25">
      <c r="AB4910" t="str">
        <f t="shared" ref="AB4910:AC4910" si="5124">AB4889</f>
        <v>Loading Bay</v>
      </c>
      <c r="AC4910" t="str">
        <f t="shared" si="5124"/>
        <v>Lift 5</v>
      </c>
      <c r="AD4910" t="b">
        <f t="shared" ca="1" si="5107"/>
        <v>0</v>
      </c>
      <c r="AE4910" s="1" t="str">
        <f t="shared" ca="1" si="5120"/>
        <v>Garage 154</v>
      </c>
      <c r="AF4910" t="str">
        <f t="shared" ca="1" si="5105"/>
        <v>Garage 154</v>
      </c>
    </row>
    <row r="4911" spans="28:32" x14ac:dyDescent="0.25">
      <c r="AB4911" t="str">
        <f t="shared" ref="AB4911:AC4911" si="5125">AB4890</f>
        <v>Loading Bay</v>
      </c>
      <c r="AC4911" t="str">
        <f t="shared" si="5125"/>
        <v>Lift 6</v>
      </c>
      <c r="AD4911" t="b">
        <f t="shared" ca="1" si="5107"/>
        <v>0</v>
      </c>
      <c r="AE4911" s="1" t="str">
        <f t="shared" ca="1" si="5120"/>
        <v>Garage 154</v>
      </c>
      <c r="AF4911" t="str">
        <f t="shared" ca="1" si="5105"/>
        <v>Garage 154</v>
      </c>
    </row>
    <row r="4912" spans="28:32" x14ac:dyDescent="0.25">
      <c r="AB4912" t="str">
        <f t="shared" ref="AB4912:AC4912" si="5126">AB4891</f>
        <v>Scaffolding Platform</v>
      </c>
      <c r="AC4912" t="str">
        <f t="shared" si="5126"/>
        <v>Ground Floor</v>
      </c>
      <c r="AD4912" t="b">
        <f t="shared" ca="1" si="5107"/>
        <v>1</v>
      </c>
      <c r="AE4912" s="1" t="str">
        <f t="shared" ca="1" si="5120"/>
        <v>Garage 154</v>
      </c>
      <c r="AF4912" t="str">
        <f t="shared" ca="1" si="5105"/>
        <v>Garage 154</v>
      </c>
    </row>
    <row r="4913" spans="28:32" x14ac:dyDescent="0.25">
      <c r="AB4913" t="str">
        <f t="shared" ref="AB4913:AC4913" si="5127">AB4892</f>
        <v>Scaffolding Platform</v>
      </c>
      <c r="AC4913" t="str">
        <f t="shared" si="5127"/>
        <v>First Floor</v>
      </c>
      <c r="AD4913" t="b">
        <f t="shared" ca="1" si="5107"/>
        <v>0</v>
      </c>
      <c r="AE4913" s="1" t="str">
        <f t="shared" ca="1" si="5120"/>
        <v>Garage 154</v>
      </c>
      <c r="AF4913" t="str">
        <f t="shared" ca="1" si="5105"/>
        <v>Garage 154</v>
      </c>
    </row>
    <row r="4914" spans="28:32" x14ac:dyDescent="0.25">
      <c r="AB4914" t="str">
        <f t="shared" ref="AB4914:AC4914" si="5128">AB4893</f>
        <v>Scaffolding Platform</v>
      </c>
      <c r="AC4914" t="str">
        <f t="shared" si="5128"/>
        <v>Second Floor</v>
      </c>
      <c r="AD4914" t="b">
        <f t="shared" ca="1" si="5107"/>
        <v>0</v>
      </c>
      <c r="AE4914" s="1" t="str">
        <f t="shared" ca="1" si="5120"/>
        <v>Garage 154</v>
      </c>
      <c r="AF4914" t="str">
        <f t="shared" ca="1" si="5105"/>
        <v>Garage 154</v>
      </c>
    </row>
    <row r="4915" spans="28:32" x14ac:dyDescent="0.25">
      <c r="AB4915" t="str">
        <f t="shared" ref="AB4915:AC4915" si="5129">AB4894</f>
        <v>Supporting Scaffold</v>
      </c>
      <c r="AC4915" t="str">
        <f t="shared" si="5129"/>
        <v>Ground Floor Prop.</v>
      </c>
      <c r="AD4915" t="str">
        <f t="shared" ca="1" si="5107"/>
        <v>FALSE</v>
      </c>
      <c r="AE4915" s="1" t="str">
        <f t="shared" ca="1" si="5120"/>
        <v>Garage 154</v>
      </c>
      <c r="AF4915" t="str">
        <f t="shared" ca="1" si="5105"/>
        <v>Garage 154</v>
      </c>
    </row>
    <row r="4916" spans="28:32" x14ac:dyDescent="0.25">
      <c r="AB4916" t="str">
        <f t="shared" ref="AB4916:AC4916" si="5130">AB4895</f>
        <v>Supporting Scaffold</v>
      </c>
      <c r="AC4916" t="str">
        <f t="shared" si="5130"/>
        <v>First Floor Prop.</v>
      </c>
      <c r="AD4916" t="str">
        <f t="shared" ca="1" si="5107"/>
        <v>FALSE</v>
      </c>
      <c r="AE4916" s="1" t="str">
        <f t="shared" ca="1" si="5120"/>
        <v>Garage 154</v>
      </c>
      <c r="AF4916" t="str">
        <f t="shared" ca="1" si="5105"/>
        <v>Garage 154</v>
      </c>
    </row>
    <row r="4917" spans="28:32" x14ac:dyDescent="0.25">
      <c r="AB4917" t="str">
        <f t="shared" ref="AB4917:AC4917" si="5131">AB4896</f>
        <v>Supporting Scaffold</v>
      </c>
      <c r="AC4917" t="str">
        <f t="shared" si="5131"/>
        <v>Second Floor Prop.</v>
      </c>
      <c r="AD4917" t="str">
        <f t="shared" ca="1" si="5107"/>
        <v>FALSE</v>
      </c>
      <c r="AE4917" s="1" t="str">
        <f t="shared" ca="1" si="5120"/>
        <v>Garage 154</v>
      </c>
      <c r="AF4917" t="str">
        <f t="shared" ca="1" si="5105"/>
        <v>Garage 154</v>
      </c>
    </row>
    <row r="4918" spans="28:32" x14ac:dyDescent="0.25">
      <c r="AB4918" t="str">
        <f t="shared" ref="AB4918:AC4918" si="5132">AB4897</f>
        <v>External Scaffolding</v>
      </c>
      <c r="AC4918" t="str">
        <f t="shared" si="5132"/>
        <v>Hop-ups</v>
      </c>
      <c r="AD4918" t="b">
        <f t="shared" ca="1" si="5107"/>
        <v>1</v>
      </c>
      <c r="AE4918" s="1" t="str">
        <f t="shared" ca="1" si="5120"/>
        <v>Garage 154</v>
      </c>
      <c r="AF4918" t="str">
        <f t="shared" ca="1" si="5105"/>
        <v>Garage 154</v>
      </c>
    </row>
    <row r="4919" spans="28:32" x14ac:dyDescent="0.25">
      <c r="AB4919" t="str">
        <f t="shared" ref="AB4919:AC4919" si="5133">AB4898</f>
        <v>External Scaffolding</v>
      </c>
      <c r="AC4919" t="str">
        <f t="shared" si="5133"/>
        <v>Adaptions</v>
      </c>
      <c r="AD4919" t="b">
        <f t="shared" ca="1" si="5107"/>
        <v>1</v>
      </c>
      <c r="AE4919" s="1" t="str">
        <f t="shared" ca="1" si="5120"/>
        <v>Garage 154</v>
      </c>
      <c r="AF4919" t="str">
        <f t="shared" ca="1" si="5105"/>
        <v>Garage 154</v>
      </c>
    </row>
    <row r="4920" spans="28:32" x14ac:dyDescent="0.25">
      <c r="AB4920" t="str">
        <f t="shared" ref="AB4920:AC4920" si="5134">AB4899</f>
        <v>External Scaffolding</v>
      </c>
      <c r="AC4920" t="str">
        <f t="shared" si="5134"/>
        <v>Adaption Tower</v>
      </c>
      <c r="AD4920" t="b">
        <f t="shared" ca="1" si="5107"/>
        <v>1</v>
      </c>
      <c r="AE4920" s="1" t="str">
        <f t="shared" ca="1" si="5120"/>
        <v>Garage 154</v>
      </c>
      <c r="AF4920" t="str">
        <f t="shared" ca="1" si="5105"/>
        <v>Garage 154</v>
      </c>
    </row>
    <row r="4921" spans="28:32" x14ac:dyDescent="0.25">
      <c r="AB4921" t="str">
        <f t="shared" ref="AB4921:AC4921" si="5135">AB4900</f>
        <v>External Scaffolding</v>
      </c>
      <c r="AC4921" t="str">
        <f t="shared" si="5135"/>
        <v>Lift 1</v>
      </c>
      <c r="AD4921" t="b">
        <f t="shared" ca="1" si="5107"/>
        <v>1</v>
      </c>
      <c r="AE4921" s="1" t="str">
        <f t="shared" ca="1" si="5120"/>
        <v>Garage 157</v>
      </c>
      <c r="AF4921" t="str">
        <f t="shared" ca="1" si="5105"/>
        <v>Garage 157</v>
      </c>
    </row>
    <row r="4922" spans="28:32" x14ac:dyDescent="0.25">
      <c r="AB4922" t="str">
        <f t="shared" ref="AB4922:AC4922" si="5136">AB4901</f>
        <v>External Scaffolding</v>
      </c>
      <c r="AC4922" t="str">
        <f t="shared" si="5136"/>
        <v>Lift 2</v>
      </c>
      <c r="AD4922" t="b">
        <f t="shared" ca="1" si="5107"/>
        <v>1</v>
      </c>
      <c r="AE4922" s="1" t="str">
        <f t="shared" ca="1" si="5120"/>
        <v>Garage 157</v>
      </c>
      <c r="AF4922" t="str">
        <f t="shared" ca="1" si="5105"/>
        <v>Garage 157</v>
      </c>
    </row>
    <row r="4923" spans="28:32" x14ac:dyDescent="0.25">
      <c r="AB4923" t="str">
        <f t="shared" ref="AB4923:AC4923" si="5137">AB4902</f>
        <v>External Scaffolding</v>
      </c>
      <c r="AC4923" t="str">
        <f t="shared" si="5137"/>
        <v>Lift 3</v>
      </c>
      <c r="AD4923" t="b">
        <f t="shared" ca="1" si="5107"/>
        <v>1</v>
      </c>
      <c r="AE4923" s="1" t="str">
        <f t="shared" ca="1" si="5120"/>
        <v>Garage 157</v>
      </c>
      <c r="AF4923" t="str">
        <f t="shared" ca="1" si="5105"/>
        <v>Garage 157</v>
      </c>
    </row>
    <row r="4924" spans="28:32" x14ac:dyDescent="0.25">
      <c r="AB4924" t="str">
        <f t="shared" ref="AB4924:AC4924" si="5138">AB4903</f>
        <v>External Scaffolding</v>
      </c>
      <c r="AC4924" t="str">
        <f t="shared" si="5138"/>
        <v>Lift 4</v>
      </c>
      <c r="AD4924" t="b">
        <f t="shared" ca="1" si="5107"/>
        <v>0</v>
      </c>
      <c r="AE4924" s="1" t="str">
        <f t="shared" ca="1" si="5120"/>
        <v>Garage 157</v>
      </c>
      <c r="AF4924" t="str">
        <f t="shared" ca="1" si="5105"/>
        <v>Garage 157</v>
      </c>
    </row>
    <row r="4925" spans="28:32" x14ac:dyDescent="0.25">
      <c r="AB4925" t="str">
        <f t="shared" ref="AB4925:AC4925" si="5139">AB4904</f>
        <v>External Scaffolding</v>
      </c>
      <c r="AC4925" t="str">
        <f t="shared" si="5139"/>
        <v>Lift 5</v>
      </c>
      <c r="AD4925" t="b">
        <f t="shared" ca="1" si="5107"/>
        <v>0</v>
      </c>
      <c r="AE4925" s="1" t="str">
        <f t="shared" ca="1" si="5120"/>
        <v>Garage 157</v>
      </c>
      <c r="AF4925" t="str">
        <f t="shared" ca="1" si="5105"/>
        <v>Garage 157</v>
      </c>
    </row>
    <row r="4926" spans="28:32" x14ac:dyDescent="0.25">
      <c r="AB4926" t="str">
        <f t="shared" ref="AB4926:AC4926" si="5140">AB4905</f>
        <v>External Scaffolding</v>
      </c>
      <c r="AC4926" t="str">
        <f t="shared" si="5140"/>
        <v>Lift 6</v>
      </c>
      <c r="AD4926" t="b">
        <f t="shared" ca="1" si="5107"/>
        <v>0</v>
      </c>
      <c r="AE4926" s="1" t="str">
        <f t="shared" ca="1" si="5120"/>
        <v>Garage 157</v>
      </c>
      <c r="AF4926" t="str">
        <f t="shared" ca="1" si="5105"/>
        <v>Garage 157</v>
      </c>
    </row>
    <row r="4927" spans="28:32" x14ac:dyDescent="0.25">
      <c r="AB4927" t="str">
        <f t="shared" ref="AB4927:AC4927" si="5141">AB4906</f>
        <v>Loading Bay</v>
      </c>
      <c r="AC4927" t="str">
        <f t="shared" si="5141"/>
        <v>Lift 1</v>
      </c>
      <c r="AD4927" t="b">
        <f t="shared" ca="1" si="5107"/>
        <v>1</v>
      </c>
      <c r="AE4927" s="1" t="str">
        <f t="shared" ca="1" si="5120"/>
        <v>Garage 157</v>
      </c>
      <c r="AF4927" t="str">
        <f t="shared" ca="1" si="5105"/>
        <v>Garage 157</v>
      </c>
    </row>
    <row r="4928" spans="28:32" x14ac:dyDescent="0.25">
      <c r="AB4928" t="str">
        <f t="shared" ref="AB4928:AC4928" si="5142">AB4907</f>
        <v>Loading Bay</v>
      </c>
      <c r="AC4928" t="str">
        <f t="shared" si="5142"/>
        <v>Lift 2</v>
      </c>
      <c r="AD4928" t="b">
        <f t="shared" ca="1" si="5107"/>
        <v>1</v>
      </c>
      <c r="AE4928" s="1" t="str">
        <f t="shared" ca="1" si="5120"/>
        <v>Garage 157</v>
      </c>
      <c r="AF4928" t="str">
        <f t="shared" ca="1" si="5105"/>
        <v>Garage 157</v>
      </c>
    </row>
    <row r="4929" spans="28:32" x14ac:dyDescent="0.25">
      <c r="AB4929" t="str">
        <f t="shared" ref="AB4929:AC4929" si="5143">AB4908</f>
        <v>Loading Bay</v>
      </c>
      <c r="AC4929" t="str">
        <f t="shared" si="5143"/>
        <v>Lift 3</v>
      </c>
      <c r="AD4929" t="b">
        <f t="shared" ca="1" si="5107"/>
        <v>1</v>
      </c>
      <c r="AE4929" s="1" t="str">
        <f t="shared" ca="1" si="5120"/>
        <v>Garage 157</v>
      </c>
      <c r="AF4929" t="str">
        <f t="shared" ca="1" si="5105"/>
        <v>Garage 157</v>
      </c>
    </row>
    <row r="4930" spans="28:32" x14ac:dyDescent="0.25">
      <c r="AB4930" t="str">
        <f t="shared" ref="AB4930:AC4930" si="5144">AB4909</f>
        <v>Loading Bay</v>
      </c>
      <c r="AC4930" t="str">
        <f t="shared" si="5144"/>
        <v>Lift 4</v>
      </c>
      <c r="AD4930" t="b">
        <f t="shared" ca="1" si="5107"/>
        <v>0</v>
      </c>
      <c r="AE4930" s="1" t="str">
        <f t="shared" ca="1" si="5120"/>
        <v>Garage 157</v>
      </c>
      <c r="AF4930" t="str">
        <f t="shared" ca="1" si="5105"/>
        <v>Garage 157</v>
      </c>
    </row>
    <row r="4931" spans="28:32" x14ac:dyDescent="0.25">
      <c r="AB4931" t="str">
        <f t="shared" ref="AB4931:AC4931" si="5145">AB4910</f>
        <v>Loading Bay</v>
      </c>
      <c r="AC4931" t="str">
        <f t="shared" si="5145"/>
        <v>Lift 5</v>
      </c>
      <c r="AD4931" t="b">
        <f t="shared" ca="1" si="5107"/>
        <v>0</v>
      </c>
      <c r="AE4931" s="1" t="str">
        <f t="shared" ca="1" si="5120"/>
        <v>Garage 157</v>
      </c>
      <c r="AF4931" t="str">
        <f t="shared" ca="1" si="5105"/>
        <v>Garage 157</v>
      </c>
    </row>
    <row r="4932" spans="28:32" x14ac:dyDescent="0.25">
      <c r="AB4932" t="str">
        <f t="shared" ref="AB4932:AC4932" si="5146">AB4911</f>
        <v>Loading Bay</v>
      </c>
      <c r="AC4932" t="str">
        <f t="shared" si="5146"/>
        <v>Lift 6</v>
      </c>
      <c r="AD4932" t="b">
        <f t="shared" ca="1" si="5107"/>
        <v>0</v>
      </c>
      <c r="AE4932" s="1" t="str">
        <f t="shared" ca="1" si="5120"/>
        <v>Garage 157</v>
      </c>
      <c r="AF4932" t="str">
        <f t="shared" ca="1" si="5105"/>
        <v>Garage 157</v>
      </c>
    </row>
    <row r="4933" spans="28:32" x14ac:dyDescent="0.25">
      <c r="AB4933" t="str">
        <f t="shared" ref="AB4933:AC4933" si="5147">AB4912</f>
        <v>Scaffolding Platform</v>
      </c>
      <c r="AC4933" t="str">
        <f t="shared" si="5147"/>
        <v>Ground Floor</v>
      </c>
      <c r="AD4933" t="b">
        <f t="shared" ca="1" si="5107"/>
        <v>1</v>
      </c>
      <c r="AE4933" s="1" t="str">
        <f t="shared" ca="1" si="5120"/>
        <v>Garage 157</v>
      </c>
      <c r="AF4933" t="str">
        <f t="shared" ca="1" si="5105"/>
        <v>Garage 157</v>
      </c>
    </row>
    <row r="4934" spans="28:32" x14ac:dyDescent="0.25">
      <c r="AB4934" t="str">
        <f t="shared" ref="AB4934:AC4934" si="5148">AB4913</f>
        <v>Scaffolding Platform</v>
      </c>
      <c r="AC4934" t="str">
        <f t="shared" si="5148"/>
        <v>First Floor</v>
      </c>
      <c r="AD4934" t="b">
        <f t="shared" ca="1" si="5107"/>
        <v>0</v>
      </c>
      <c r="AE4934" s="1" t="str">
        <f t="shared" ca="1" si="5120"/>
        <v>Garage 157</v>
      </c>
      <c r="AF4934" t="str">
        <f t="shared" ca="1" si="5105"/>
        <v>Garage 157</v>
      </c>
    </row>
    <row r="4935" spans="28:32" x14ac:dyDescent="0.25">
      <c r="AB4935" t="str">
        <f t="shared" ref="AB4935:AC4935" si="5149">AB4914</f>
        <v>Scaffolding Platform</v>
      </c>
      <c r="AC4935" t="str">
        <f t="shared" si="5149"/>
        <v>Second Floor</v>
      </c>
      <c r="AD4935" t="b">
        <f t="shared" ca="1" si="5107"/>
        <v>0</v>
      </c>
      <c r="AE4935" s="1" t="str">
        <f t="shared" ca="1" si="5120"/>
        <v>Garage 157</v>
      </c>
      <c r="AF4935" t="str">
        <f t="shared" ca="1" si="5105"/>
        <v>Garage 157</v>
      </c>
    </row>
    <row r="4936" spans="28:32" x14ac:dyDescent="0.25">
      <c r="AB4936" t="str">
        <f t="shared" ref="AB4936:AC4936" si="5150">AB4915</f>
        <v>Supporting Scaffold</v>
      </c>
      <c r="AC4936" t="str">
        <f t="shared" si="5150"/>
        <v>Ground Floor Prop.</v>
      </c>
      <c r="AD4936" t="str">
        <f t="shared" ca="1" si="5107"/>
        <v>FALSE</v>
      </c>
      <c r="AE4936" s="1" t="str">
        <f t="shared" ca="1" si="5120"/>
        <v>Garage 157</v>
      </c>
      <c r="AF4936" t="str">
        <f t="shared" ca="1" si="5105"/>
        <v>Garage 157</v>
      </c>
    </row>
    <row r="4937" spans="28:32" x14ac:dyDescent="0.25">
      <c r="AB4937" t="str">
        <f t="shared" ref="AB4937:AC4937" si="5151">AB4916</f>
        <v>Supporting Scaffold</v>
      </c>
      <c r="AC4937" t="str">
        <f t="shared" si="5151"/>
        <v>First Floor Prop.</v>
      </c>
      <c r="AD4937" t="str">
        <f t="shared" ca="1" si="5107"/>
        <v>FALSE</v>
      </c>
      <c r="AE4937" s="1" t="str">
        <f t="shared" ca="1" si="5120"/>
        <v>Garage 157</v>
      </c>
      <c r="AF4937" t="str">
        <f t="shared" ca="1" si="5105"/>
        <v>Garage 157</v>
      </c>
    </row>
    <row r="4938" spans="28:32" x14ac:dyDescent="0.25">
      <c r="AB4938" t="str">
        <f t="shared" ref="AB4938:AC4938" si="5152">AB4917</f>
        <v>Supporting Scaffold</v>
      </c>
      <c r="AC4938" t="str">
        <f t="shared" si="5152"/>
        <v>Second Floor Prop.</v>
      </c>
      <c r="AD4938" t="str">
        <f t="shared" ca="1" si="5107"/>
        <v>FALSE</v>
      </c>
      <c r="AE4938" s="1" t="str">
        <f t="shared" ca="1" si="5120"/>
        <v>Garage 157</v>
      </c>
      <c r="AF4938" t="str">
        <f t="shared" ca="1" si="5105"/>
        <v>Garage 157</v>
      </c>
    </row>
    <row r="4939" spans="28:32" x14ac:dyDescent="0.25">
      <c r="AB4939" t="str">
        <f t="shared" ref="AB4939:AC4939" si="5153">AB4918</f>
        <v>External Scaffolding</v>
      </c>
      <c r="AC4939" t="str">
        <f t="shared" si="5153"/>
        <v>Hop-ups</v>
      </c>
      <c r="AD4939" t="b">
        <f t="shared" ca="1" si="5107"/>
        <v>1</v>
      </c>
      <c r="AE4939" s="1" t="str">
        <f t="shared" ca="1" si="5120"/>
        <v>Garage 157</v>
      </c>
      <c r="AF4939" t="str">
        <f t="shared" ca="1" si="5105"/>
        <v>Garage 157</v>
      </c>
    </row>
    <row r="4940" spans="28:32" x14ac:dyDescent="0.25">
      <c r="AB4940" t="str">
        <f t="shared" ref="AB4940:AC4940" si="5154">AB4919</f>
        <v>External Scaffolding</v>
      </c>
      <c r="AC4940" t="str">
        <f t="shared" si="5154"/>
        <v>Adaptions</v>
      </c>
      <c r="AD4940" t="b">
        <f t="shared" ca="1" si="5107"/>
        <v>1</v>
      </c>
      <c r="AE4940" s="1" t="str">
        <f t="shared" ca="1" si="5120"/>
        <v>Garage 157</v>
      </c>
      <c r="AF4940" t="str">
        <f t="shared" ca="1" si="5105"/>
        <v>Garage 157</v>
      </c>
    </row>
    <row r="4941" spans="28:32" x14ac:dyDescent="0.25">
      <c r="AB4941" t="str">
        <f t="shared" ref="AB4941:AC4941" si="5155">AB4920</f>
        <v>External Scaffolding</v>
      </c>
      <c r="AC4941" t="str">
        <f t="shared" si="5155"/>
        <v>Adaption Tower</v>
      </c>
      <c r="AD4941" t="b">
        <f t="shared" ca="1" si="5107"/>
        <v>1</v>
      </c>
      <c r="AE4941" s="1" t="str">
        <f t="shared" ca="1" si="5120"/>
        <v>Garage 157</v>
      </c>
      <c r="AF4941" t="str">
        <f t="shared" ca="1" si="5105"/>
        <v>Garage 157</v>
      </c>
    </row>
    <row r="4942" spans="28:32" x14ac:dyDescent="0.25">
      <c r="AB4942" t="str">
        <f t="shared" ref="AB4942:AC4942" si="5156">AB4921</f>
        <v>External Scaffolding</v>
      </c>
      <c r="AC4942" t="str">
        <f t="shared" si="5156"/>
        <v>Lift 1</v>
      </c>
      <c r="AD4942" t="b">
        <f t="shared" ca="1" si="5107"/>
        <v>1</v>
      </c>
      <c r="AE4942" s="1" t="str">
        <f t="shared" ca="1" si="5120"/>
        <v>Garage 158-159</v>
      </c>
      <c r="AF4942" t="str">
        <f t="shared" ca="1" si="5105"/>
        <v>Garage 158-159</v>
      </c>
    </row>
    <row r="4943" spans="28:32" x14ac:dyDescent="0.25">
      <c r="AB4943" t="str">
        <f t="shared" ref="AB4943:AC4943" si="5157">AB4922</f>
        <v>External Scaffolding</v>
      </c>
      <c r="AC4943" t="str">
        <f t="shared" si="5157"/>
        <v>Lift 2</v>
      </c>
      <c r="AD4943" t="b">
        <f t="shared" ca="1" si="5107"/>
        <v>1</v>
      </c>
      <c r="AE4943" s="1" t="str">
        <f t="shared" ca="1" si="5120"/>
        <v>Garage 158-159</v>
      </c>
      <c r="AF4943" t="str">
        <f t="shared" ca="1" si="5105"/>
        <v>Garage 158-159</v>
      </c>
    </row>
    <row r="4944" spans="28:32" x14ac:dyDescent="0.25">
      <c r="AB4944" t="str">
        <f t="shared" ref="AB4944:AC4944" si="5158">AB4923</f>
        <v>External Scaffolding</v>
      </c>
      <c r="AC4944" t="str">
        <f t="shared" si="5158"/>
        <v>Lift 3</v>
      </c>
      <c r="AD4944" t="b">
        <f t="shared" ca="1" si="5107"/>
        <v>1</v>
      </c>
      <c r="AE4944" s="1" t="str">
        <f t="shared" ca="1" si="5120"/>
        <v>Garage 158-159</v>
      </c>
      <c r="AF4944" t="str">
        <f t="shared" ca="1" si="5105"/>
        <v>Garage 158-159</v>
      </c>
    </row>
    <row r="4945" spans="28:32" x14ac:dyDescent="0.25">
      <c r="AB4945" t="str">
        <f t="shared" ref="AB4945:AC4945" si="5159">AB4924</f>
        <v>External Scaffolding</v>
      </c>
      <c r="AC4945" t="str">
        <f t="shared" si="5159"/>
        <v>Lift 4</v>
      </c>
      <c r="AD4945" t="b">
        <f t="shared" ca="1" si="5107"/>
        <v>0</v>
      </c>
      <c r="AE4945" s="1" t="str">
        <f t="shared" ca="1" si="5120"/>
        <v>Garage 158-159</v>
      </c>
      <c r="AF4945" t="str">
        <f t="shared" ca="1" si="5105"/>
        <v>Garage 158-159</v>
      </c>
    </row>
    <row r="4946" spans="28:32" x14ac:dyDescent="0.25">
      <c r="AB4946" t="str">
        <f t="shared" ref="AB4946:AC4946" si="5160">AB4925</f>
        <v>External Scaffolding</v>
      </c>
      <c r="AC4946" t="str">
        <f t="shared" si="5160"/>
        <v>Lift 5</v>
      </c>
      <c r="AD4946" t="b">
        <f t="shared" ca="1" si="5107"/>
        <v>0</v>
      </c>
      <c r="AE4946" s="1" t="str">
        <f t="shared" ca="1" si="5120"/>
        <v>Garage 158-159</v>
      </c>
      <c r="AF4946" t="str">
        <f t="shared" ca="1" si="5105"/>
        <v>Garage 158-159</v>
      </c>
    </row>
    <row r="4947" spans="28:32" x14ac:dyDescent="0.25">
      <c r="AB4947" t="str">
        <f t="shared" ref="AB4947:AC4947" si="5161">AB4926</f>
        <v>External Scaffolding</v>
      </c>
      <c r="AC4947" t="str">
        <f t="shared" si="5161"/>
        <v>Lift 6</v>
      </c>
      <c r="AD4947" t="b">
        <f t="shared" ca="1" si="5107"/>
        <v>0</v>
      </c>
      <c r="AE4947" s="1" t="str">
        <f t="shared" ca="1" si="5120"/>
        <v>Garage 158-159</v>
      </c>
      <c r="AF4947" t="str">
        <f t="shared" ca="1" si="5105"/>
        <v>Garage 158-159</v>
      </c>
    </row>
    <row r="4948" spans="28:32" x14ac:dyDescent="0.25">
      <c r="AB4948" t="str">
        <f t="shared" ref="AB4948:AC4948" si="5162">AB4927</f>
        <v>Loading Bay</v>
      </c>
      <c r="AC4948" t="str">
        <f t="shared" si="5162"/>
        <v>Lift 1</v>
      </c>
      <c r="AD4948" t="b">
        <f t="shared" ca="1" si="5107"/>
        <v>1</v>
      </c>
      <c r="AE4948" s="1" t="str">
        <f t="shared" ca="1" si="5120"/>
        <v>Garage 158-159</v>
      </c>
      <c r="AF4948" t="str">
        <f t="shared" ca="1" si="5105"/>
        <v>Garage 158-159</v>
      </c>
    </row>
    <row r="4949" spans="28:32" x14ac:dyDescent="0.25">
      <c r="AB4949" t="str">
        <f t="shared" ref="AB4949:AC4949" si="5163">AB4928</f>
        <v>Loading Bay</v>
      </c>
      <c r="AC4949" t="str">
        <f t="shared" si="5163"/>
        <v>Lift 2</v>
      </c>
      <c r="AD4949" t="b">
        <f t="shared" ca="1" si="5107"/>
        <v>1</v>
      </c>
      <c r="AE4949" s="1" t="str">
        <f t="shared" ca="1" si="5120"/>
        <v>Garage 158-159</v>
      </c>
      <c r="AF4949" t="str">
        <f t="shared" ca="1" si="5105"/>
        <v>Garage 158-159</v>
      </c>
    </row>
    <row r="4950" spans="28:32" x14ac:dyDescent="0.25">
      <c r="AB4950" t="str">
        <f t="shared" ref="AB4950:AC4950" si="5164">AB4929</f>
        <v>Loading Bay</v>
      </c>
      <c r="AC4950" t="str">
        <f t="shared" si="5164"/>
        <v>Lift 3</v>
      </c>
      <c r="AD4950" t="b">
        <f t="shared" ca="1" si="5107"/>
        <v>1</v>
      </c>
      <c r="AE4950" s="1" t="str">
        <f t="shared" ca="1" si="5120"/>
        <v>Garage 158-159</v>
      </c>
      <c r="AF4950" t="str">
        <f t="shared" ca="1" si="5105"/>
        <v>Garage 158-159</v>
      </c>
    </row>
    <row r="4951" spans="28:32" x14ac:dyDescent="0.25">
      <c r="AB4951" t="str">
        <f t="shared" ref="AB4951:AC4951" si="5165">AB4930</f>
        <v>Loading Bay</v>
      </c>
      <c r="AC4951" t="str">
        <f t="shared" si="5165"/>
        <v>Lift 4</v>
      </c>
      <c r="AD4951" t="b">
        <f t="shared" ca="1" si="5107"/>
        <v>0</v>
      </c>
      <c r="AE4951" s="1" t="str">
        <f t="shared" ca="1" si="5120"/>
        <v>Garage 158-159</v>
      </c>
      <c r="AF4951" t="str">
        <f t="shared" ca="1" si="5105"/>
        <v>Garage 158-159</v>
      </c>
    </row>
    <row r="4952" spans="28:32" x14ac:dyDescent="0.25">
      <c r="AB4952" t="str">
        <f t="shared" ref="AB4952:AC4952" si="5166">AB4931</f>
        <v>Loading Bay</v>
      </c>
      <c r="AC4952" t="str">
        <f t="shared" si="5166"/>
        <v>Lift 5</v>
      </c>
      <c r="AD4952" t="b">
        <f t="shared" ca="1" si="5107"/>
        <v>0</v>
      </c>
      <c r="AE4952" s="1" t="str">
        <f t="shared" ca="1" si="5120"/>
        <v>Garage 158-159</v>
      </c>
      <c r="AF4952" t="str">
        <f t="shared" ca="1" si="5105"/>
        <v>Garage 158-159</v>
      </c>
    </row>
    <row r="4953" spans="28:32" x14ac:dyDescent="0.25">
      <c r="AB4953" t="str">
        <f t="shared" ref="AB4953:AC4953" si="5167">AB4932</f>
        <v>Loading Bay</v>
      </c>
      <c r="AC4953" t="str">
        <f t="shared" si="5167"/>
        <v>Lift 6</v>
      </c>
      <c r="AD4953" t="b">
        <f t="shared" ca="1" si="5107"/>
        <v>0</v>
      </c>
      <c r="AE4953" s="1" t="str">
        <f t="shared" ca="1" si="5120"/>
        <v>Garage 158-159</v>
      </c>
      <c r="AF4953" t="str">
        <f t="shared" ca="1" si="5105"/>
        <v>Garage 158-159</v>
      </c>
    </row>
    <row r="4954" spans="28:32" x14ac:dyDescent="0.25">
      <c r="AB4954" t="str">
        <f t="shared" ref="AB4954:AC4954" si="5168">AB4933</f>
        <v>Scaffolding Platform</v>
      </c>
      <c r="AC4954" t="str">
        <f t="shared" si="5168"/>
        <v>Ground Floor</v>
      </c>
      <c r="AD4954" t="b">
        <f t="shared" ca="1" si="5107"/>
        <v>1</v>
      </c>
      <c r="AE4954" s="1" t="str">
        <f t="shared" ca="1" si="5120"/>
        <v>Garage 158-159</v>
      </c>
      <c r="AF4954" t="str">
        <f t="shared" ca="1" si="5105"/>
        <v>Garage 158-159</v>
      </c>
    </row>
    <row r="4955" spans="28:32" x14ac:dyDescent="0.25">
      <c r="AB4955" t="str">
        <f t="shared" ref="AB4955:AC4955" si="5169">AB4934</f>
        <v>Scaffolding Platform</v>
      </c>
      <c r="AC4955" t="str">
        <f t="shared" si="5169"/>
        <v>First Floor</v>
      </c>
      <c r="AD4955" t="b">
        <f t="shared" ca="1" si="5107"/>
        <v>0</v>
      </c>
      <c r="AE4955" s="1" t="str">
        <f t="shared" ca="1" si="5120"/>
        <v>Garage 158-159</v>
      </c>
      <c r="AF4955" t="str">
        <f t="shared" ca="1" si="5105"/>
        <v>Garage 158-159</v>
      </c>
    </row>
    <row r="4956" spans="28:32" x14ac:dyDescent="0.25">
      <c r="AB4956" t="str">
        <f t="shared" ref="AB4956:AC4956" si="5170">AB4935</f>
        <v>Scaffolding Platform</v>
      </c>
      <c r="AC4956" t="str">
        <f t="shared" si="5170"/>
        <v>Second Floor</v>
      </c>
      <c r="AD4956" t="b">
        <f t="shared" ca="1" si="5107"/>
        <v>0</v>
      </c>
      <c r="AE4956" s="1" t="str">
        <f t="shared" ca="1" si="5120"/>
        <v>Garage 158-159</v>
      </c>
      <c r="AF4956" t="str">
        <f t="shared" ca="1" si="5105"/>
        <v>Garage 158-159</v>
      </c>
    </row>
    <row r="4957" spans="28:32" x14ac:dyDescent="0.25">
      <c r="AB4957" t="str">
        <f t="shared" ref="AB4957:AC4957" si="5171">AB4936</f>
        <v>Supporting Scaffold</v>
      </c>
      <c r="AC4957" t="str">
        <f t="shared" si="5171"/>
        <v>Ground Floor Prop.</v>
      </c>
      <c r="AD4957" t="str">
        <f t="shared" ca="1" si="5107"/>
        <v>FALSE</v>
      </c>
      <c r="AE4957" s="1" t="str">
        <f t="shared" ca="1" si="5120"/>
        <v>Garage 158-159</v>
      </c>
      <c r="AF4957" t="str">
        <f t="shared" ref="AF4957:AF5020" ca="1" si="5172">IF(LEFT(AE4957,1)="G",AE4957,"Plot "&amp;AE4957)</f>
        <v>Garage 158-159</v>
      </c>
    </row>
    <row r="4958" spans="28:32" x14ac:dyDescent="0.25">
      <c r="AB4958" t="str">
        <f t="shared" ref="AB4958:AC4958" si="5173">AB4937</f>
        <v>Supporting Scaffold</v>
      </c>
      <c r="AC4958" t="str">
        <f t="shared" si="5173"/>
        <v>First Floor Prop.</v>
      </c>
      <c r="AD4958" t="str">
        <f t="shared" ref="AD4958:AD5021" ca="1" si="5174">INDEX($AC$1:$JH$22,MATCH(AC4958,$AC$1:$AC$22,0),MATCH(AE4958,$AC$1:$JH$1,0))</f>
        <v>FALSE</v>
      </c>
      <c r="AE4958" s="1" t="str">
        <f t="shared" ca="1" si="5120"/>
        <v>Garage 158-159</v>
      </c>
      <c r="AF4958" t="str">
        <f t="shared" ca="1" si="5172"/>
        <v>Garage 158-159</v>
      </c>
    </row>
    <row r="4959" spans="28:32" x14ac:dyDescent="0.25">
      <c r="AB4959" t="str">
        <f t="shared" ref="AB4959:AC4959" si="5175">AB4938</f>
        <v>Supporting Scaffold</v>
      </c>
      <c r="AC4959" t="str">
        <f t="shared" si="5175"/>
        <v>Second Floor Prop.</v>
      </c>
      <c r="AD4959" t="str">
        <f t="shared" ca="1" si="5174"/>
        <v>FALSE</v>
      </c>
      <c r="AE4959" s="1" t="str">
        <f t="shared" ca="1" si="5120"/>
        <v>Garage 158-159</v>
      </c>
      <c r="AF4959" t="str">
        <f t="shared" ca="1" si="5172"/>
        <v>Garage 158-159</v>
      </c>
    </row>
    <row r="4960" spans="28:32" x14ac:dyDescent="0.25">
      <c r="AB4960" t="str">
        <f t="shared" ref="AB4960:AC4960" si="5176">AB4939</f>
        <v>External Scaffolding</v>
      </c>
      <c r="AC4960" t="str">
        <f t="shared" si="5176"/>
        <v>Hop-ups</v>
      </c>
      <c r="AD4960" t="b">
        <f t="shared" ca="1" si="5174"/>
        <v>1</v>
      </c>
      <c r="AE4960" s="1" t="str">
        <f t="shared" ca="1" si="5120"/>
        <v>Garage 158-159</v>
      </c>
      <c r="AF4960" t="str">
        <f t="shared" ca="1" si="5172"/>
        <v>Garage 158-159</v>
      </c>
    </row>
    <row r="4961" spans="28:32" x14ac:dyDescent="0.25">
      <c r="AB4961" t="str">
        <f t="shared" ref="AB4961:AC4961" si="5177">AB4940</f>
        <v>External Scaffolding</v>
      </c>
      <c r="AC4961" t="str">
        <f t="shared" si="5177"/>
        <v>Adaptions</v>
      </c>
      <c r="AD4961" t="b">
        <f t="shared" ca="1" si="5174"/>
        <v>1</v>
      </c>
      <c r="AE4961" s="1" t="str">
        <f t="shared" ca="1" si="5120"/>
        <v>Garage 158-159</v>
      </c>
      <c r="AF4961" t="str">
        <f t="shared" ca="1" si="5172"/>
        <v>Garage 158-159</v>
      </c>
    </row>
    <row r="4962" spans="28:32" x14ac:dyDescent="0.25">
      <c r="AB4962" t="str">
        <f t="shared" ref="AB4962:AC4962" si="5178">AB4941</f>
        <v>External Scaffolding</v>
      </c>
      <c r="AC4962" t="str">
        <f t="shared" si="5178"/>
        <v>Adaption Tower</v>
      </c>
      <c r="AD4962" t="b">
        <f t="shared" ca="1" si="5174"/>
        <v>1</v>
      </c>
      <c r="AE4962" s="1" t="str">
        <f t="shared" ca="1" si="5120"/>
        <v>Garage 158-159</v>
      </c>
      <c r="AF4962" t="str">
        <f t="shared" ca="1" si="5172"/>
        <v>Garage 158-159</v>
      </c>
    </row>
    <row r="4963" spans="28:32" x14ac:dyDescent="0.25">
      <c r="AB4963" t="str">
        <f t="shared" ref="AB4963:AC4963" si="5179">AB4942</f>
        <v>External Scaffolding</v>
      </c>
      <c r="AC4963" t="str">
        <f t="shared" si="5179"/>
        <v>Lift 1</v>
      </c>
      <c r="AD4963" t="b">
        <f t="shared" ca="1" si="5174"/>
        <v>1</v>
      </c>
      <c r="AE4963" s="1" t="str">
        <f t="shared" ca="1" si="5120"/>
        <v>Garage 164-165</v>
      </c>
      <c r="AF4963" t="str">
        <f t="shared" ca="1" si="5172"/>
        <v>Garage 164-165</v>
      </c>
    </row>
    <row r="4964" spans="28:32" x14ac:dyDescent="0.25">
      <c r="AB4964" t="str">
        <f t="shared" ref="AB4964:AC4964" si="5180">AB4943</f>
        <v>External Scaffolding</v>
      </c>
      <c r="AC4964" t="str">
        <f t="shared" si="5180"/>
        <v>Lift 2</v>
      </c>
      <c r="AD4964" t="b">
        <f t="shared" ca="1" si="5174"/>
        <v>1</v>
      </c>
      <c r="AE4964" s="1" t="str">
        <f t="shared" ca="1" si="5120"/>
        <v>Garage 164-165</v>
      </c>
      <c r="AF4964" t="str">
        <f t="shared" ca="1" si="5172"/>
        <v>Garage 164-165</v>
      </c>
    </row>
    <row r="4965" spans="28:32" x14ac:dyDescent="0.25">
      <c r="AB4965" t="str">
        <f t="shared" ref="AB4965:AC4965" si="5181">AB4944</f>
        <v>External Scaffolding</v>
      </c>
      <c r="AC4965" t="str">
        <f t="shared" si="5181"/>
        <v>Lift 3</v>
      </c>
      <c r="AD4965" t="b">
        <f t="shared" ca="1" si="5174"/>
        <v>1</v>
      </c>
      <c r="AE4965" s="1" t="str">
        <f t="shared" ca="1" si="5120"/>
        <v>Garage 164-165</v>
      </c>
      <c r="AF4965" t="str">
        <f t="shared" ca="1" si="5172"/>
        <v>Garage 164-165</v>
      </c>
    </row>
    <row r="4966" spans="28:32" x14ac:dyDescent="0.25">
      <c r="AB4966" t="str">
        <f t="shared" ref="AB4966:AC4966" si="5182">AB4945</f>
        <v>External Scaffolding</v>
      </c>
      <c r="AC4966" t="str">
        <f t="shared" si="5182"/>
        <v>Lift 4</v>
      </c>
      <c r="AD4966" t="b">
        <f t="shared" ca="1" si="5174"/>
        <v>0</v>
      </c>
      <c r="AE4966" s="1" t="str">
        <f t="shared" ca="1" si="5120"/>
        <v>Garage 164-165</v>
      </c>
      <c r="AF4966" t="str">
        <f t="shared" ca="1" si="5172"/>
        <v>Garage 164-165</v>
      </c>
    </row>
    <row r="4967" spans="28:32" x14ac:dyDescent="0.25">
      <c r="AB4967" t="str">
        <f t="shared" ref="AB4967:AC4967" si="5183">AB4946</f>
        <v>External Scaffolding</v>
      </c>
      <c r="AC4967" t="str">
        <f t="shared" si="5183"/>
        <v>Lift 5</v>
      </c>
      <c r="AD4967" t="b">
        <f t="shared" ca="1" si="5174"/>
        <v>0</v>
      </c>
      <c r="AE4967" s="1" t="str">
        <f t="shared" ca="1" si="5120"/>
        <v>Garage 164-165</v>
      </c>
      <c r="AF4967" t="str">
        <f t="shared" ca="1" si="5172"/>
        <v>Garage 164-165</v>
      </c>
    </row>
    <row r="4968" spans="28:32" x14ac:dyDescent="0.25">
      <c r="AB4968" t="str">
        <f t="shared" ref="AB4968:AC4968" si="5184">AB4947</f>
        <v>External Scaffolding</v>
      </c>
      <c r="AC4968" t="str">
        <f t="shared" si="5184"/>
        <v>Lift 6</v>
      </c>
      <c r="AD4968" t="b">
        <f t="shared" ca="1" si="5174"/>
        <v>0</v>
      </c>
      <c r="AE4968" s="1" t="str">
        <f t="shared" ca="1" si="5120"/>
        <v>Garage 164-165</v>
      </c>
      <c r="AF4968" t="str">
        <f t="shared" ca="1" si="5172"/>
        <v>Garage 164-165</v>
      </c>
    </row>
    <row r="4969" spans="28:32" x14ac:dyDescent="0.25">
      <c r="AB4969" t="str">
        <f t="shared" ref="AB4969:AC4969" si="5185">AB4948</f>
        <v>Loading Bay</v>
      </c>
      <c r="AC4969" t="str">
        <f t="shared" si="5185"/>
        <v>Lift 1</v>
      </c>
      <c r="AD4969" t="b">
        <f t="shared" ca="1" si="5174"/>
        <v>1</v>
      </c>
      <c r="AE4969" s="1" t="str">
        <f t="shared" ca="1" si="5120"/>
        <v>Garage 164-165</v>
      </c>
      <c r="AF4969" t="str">
        <f t="shared" ca="1" si="5172"/>
        <v>Garage 164-165</v>
      </c>
    </row>
    <row r="4970" spans="28:32" x14ac:dyDescent="0.25">
      <c r="AB4970" t="str">
        <f t="shared" ref="AB4970:AC4970" si="5186">AB4949</f>
        <v>Loading Bay</v>
      </c>
      <c r="AC4970" t="str">
        <f t="shared" si="5186"/>
        <v>Lift 2</v>
      </c>
      <c r="AD4970" t="b">
        <f t="shared" ca="1" si="5174"/>
        <v>1</v>
      </c>
      <c r="AE4970" s="1" t="str">
        <f t="shared" ref="AE4970:AE5033" ca="1" si="5187">OFFSET($AD$1,0,FLOOR(ROW(B4942)/21,1))</f>
        <v>Garage 164-165</v>
      </c>
      <c r="AF4970" t="str">
        <f t="shared" ca="1" si="5172"/>
        <v>Garage 164-165</v>
      </c>
    </row>
    <row r="4971" spans="28:32" x14ac:dyDescent="0.25">
      <c r="AB4971" t="str">
        <f t="shared" ref="AB4971:AC4971" si="5188">AB4950</f>
        <v>Loading Bay</v>
      </c>
      <c r="AC4971" t="str">
        <f t="shared" si="5188"/>
        <v>Lift 3</v>
      </c>
      <c r="AD4971" t="b">
        <f t="shared" ca="1" si="5174"/>
        <v>1</v>
      </c>
      <c r="AE4971" s="1" t="str">
        <f t="shared" ca="1" si="5187"/>
        <v>Garage 164-165</v>
      </c>
      <c r="AF4971" t="str">
        <f t="shared" ca="1" si="5172"/>
        <v>Garage 164-165</v>
      </c>
    </row>
    <row r="4972" spans="28:32" x14ac:dyDescent="0.25">
      <c r="AB4972" t="str">
        <f t="shared" ref="AB4972:AC4972" si="5189">AB4951</f>
        <v>Loading Bay</v>
      </c>
      <c r="AC4972" t="str">
        <f t="shared" si="5189"/>
        <v>Lift 4</v>
      </c>
      <c r="AD4972" t="b">
        <f t="shared" ca="1" si="5174"/>
        <v>0</v>
      </c>
      <c r="AE4972" s="1" t="str">
        <f t="shared" ca="1" si="5187"/>
        <v>Garage 164-165</v>
      </c>
      <c r="AF4972" t="str">
        <f t="shared" ca="1" si="5172"/>
        <v>Garage 164-165</v>
      </c>
    </row>
    <row r="4973" spans="28:32" x14ac:dyDescent="0.25">
      <c r="AB4973" t="str">
        <f t="shared" ref="AB4973:AC4973" si="5190">AB4952</f>
        <v>Loading Bay</v>
      </c>
      <c r="AC4973" t="str">
        <f t="shared" si="5190"/>
        <v>Lift 5</v>
      </c>
      <c r="AD4973" t="b">
        <f t="shared" ca="1" si="5174"/>
        <v>0</v>
      </c>
      <c r="AE4973" s="1" t="str">
        <f t="shared" ca="1" si="5187"/>
        <v>Garage 164-165</v>
      </c>
      <c r="AF4973" t="str">
        <f t="shared" ca="1" si="5172"/>
        <v>Garage 164-165</v>
      </c>
    </row>
    <row r="4974" spans="28:32" x14ac:dyDescent="0.25">
      <c r="AB4974" t="str">
        <f t="shared" ref="AB4974:AC4974" si="5191">AB4953</f>
        <v>Loading Bay</v>
      </c>
      <c r="AC4974" t="str">
        <f t="shared" si="5191"/>
        <v>Lift 6</v>
      </c>
      <c r="AD4974" t="b">
        <f t="shared" ca="1" si="5174"/>
        <v>0</v>
      </c>
      <c r="AE4974" s="1" t="str">
        <f t="shared" ca="1" si="5187"/>
        <v>Garage 164-165</v>
      </c>
      <c r="AF4974" t="str">
        <f t="shared" ca="1" si="5172"/>
        <v>Garage 164-165</v>
      </c>
    </row>
    <row r="4975" spans="28:32" x14ac:dyDescent="0.25">
      <c r="AB4975" t="str">
        <f t="shared" ref="AB4975:AC4975" si="5192">AB4954</f>
        <v>Scaffolding Platform</v>
      </c>
      <c r="AC4975" t="str">
        <f t="shared" si="5192"/>
        <v>Ground Floor</v>
      </c>
      <c r="AD4975" t="b">
        <f t="shared" ca="1" si="5174"/>
        <v>1</v>
      </c>
      <c r="AE4975" s="1" t="str">
        <f t="shared" ca="1" si="5187"/>
        <v>Garage 164-165</v>
      </c>
      <c r="AF4975" t="str">
        <f t="shared" ca="1" si="5172"/>
        <v>Garage 164-165</v>
      </c>
    </row>
    <row r="4976" spans="28:32" x14ac:dyDescent="0.25">
      <c r="AB4976" t="str">
        <f t="shared" ref="AB4976:AC4976" si="5193">AB4955</f>
        <v>Scaffolding Platform</v>
      </c>
      <c r="AC4976" t="str">
        <f t="shared" si="5193"/>
        <v>First Floor</v>
      </c>
      <c r="AD4976" t="b">
        <f t="shared" ca="1" si="5174"/>
        <v>0</v>
      </c>
      <c r="AE4976" s="1" t="str">
        <f t="shared" ca="1" si="5187"/>
        <v>Garage 164-165</v>
      </c>
      <c r="AF4976" t="str">
        <f t="shared" ca="1" si="5172"/>
        <v>Garage 164-165</v>
      </c>
    </row>
    <row r="4977" spans="28:32" x14ac:dyDescent="0.25">
      <c r="AB4977" t="str">
        <f t="shared" ref="AB4977:AC4977" si="5194">AB4956</f>
        <v>Scaffolding Platform</v>
      </c>
      <c r="AC4977" t="str">
        <f t="shared" si="5194"/>
        <v>Second Floor</v>
      </c>
      <c r="AD4977" t="b">
        <f t="shared" ca="1" si="5174"/>
        <v>0</v>
      </c>
      <c r="AE4977" s="1" t="str">
        <f t="shared" ca="1" si="5187"/>
        <v>Garage 164-165</v>
      </c>
      <c r="AF4977" t="str">
        <f t="shared" ca="1" si="5172"/>
        <v>Garage 164-165</v>
      </c>
    </row>
    <row r="4978" spans="28:32" x14ac:dyDescent="0.25">
      <c r="AB4978" t="str">
        <f t="shared" ref="AB4978:AC4978" si="5195">AB4957</f>
        <v>Supporting Scaffold</v>
      </c>
      <c r="AC4978" t="str">
        <f t="shared" si="5195"/>
        <v>Ground Floor Prop.</v>
      </c>
      <c r="AD4978" t="str">
        <f t="shared" ca="1" si="5174"/>
        <v>FALSE</v>
      </c>
      <c r="AE4978" s="1" t="str">
        <f t="shared" ca="1" si="5187"/>
        <v>Garage 164-165</v>
      </c>
      <c r="AF4978" t="str">
        <f t="shared" ca="1" si="5172"/>
        <v>Garage 164-165</v>
      </c>
    </row>
    <row r="4979" spans="28:32" x14ac:dyDescent="0.25">
      <c r="AB4979" t="str">
        <f t="shared" ref="AB4979:AC4979" si="5196">AB4958</f>
        <v>Supporting Scaffold</v>
      </c>
      <c r="AC4979" t="str">
        <f t="shared" si="5196"/>
        <v>First Floor Prop.</v>
      </c>
      <c r="AD4979" t="str">
        <f t="shared" ca="1" si="5174"/>
        <v>FALSE</v>
      </c>
      <c r="AE4979" s="1" t="str">
        <f t="shared" ca="1" si="5187"/>
        <v>Garage 164-165</v>
      </c>
      <c r="AF4979" t="str">
        <f t="shared" ca="1" si="5172"/>
        <v>Garage 164-165</v>
      </c>
    </row>
    <row r="4980" spans="28:32" x14ac:dyDescent="0.25">
      <c r="AB4980" t="str">
        <f t="shared" ref="AB4980:AC4980" si="5197">AB4959</f>
        <v>Supporting Scaffold</v>
      </c>
      <c r="AC4980" t="str">
        <f t="shared" si="5197"/>
        <v>Second Floor Prop.</v>
      </c>
      <c r="AD4980" t="str">
        <f t="shared" ca="1" si="5174"/>
        <v>FALSE</v>
      </c>
      <c r="AE4980" s="1" t="str">
        <f t="shared" ca="1" si="5187"/>
        <v>Garage 164-165</v>
      </c>
      <c r="AF4980" t="str">
        <f t="shared" ca="1" si="5172"/>
        <v>Garage 164-165</v>
      </c>
    </row>
    <row r="4981" spans="28:32" x14ac:dyDescent="0.25">
      <c r="AB4981" t="str">
        <f t="shared" ref="AB4981:AC4981" si="5198">AB4960</f>
        <v>External Scaffolding</v>
      </c>
      <c r="AC4981" t="str">
        <f t="shared" si="5198"/>
        <v>Hop-ups</v>
      </c>
      <c r="AD4981" t="b">
        <f t="shared" ca="1" si="5174"/>
        <v>1</v>
      </c>
      <c r="AE4981" s="1" t="str">
        <f t="shared" ca="1" si="5187"/>
        <v>Garage 164-165</v>
      </c>
      <c r="AF4981" t="str">
        <f t="shared" ca="1" si="5172"/>
        <v>Garage 164-165</v>
      </c>
    </row>
    <row r="4982" spans="28:32" x14ac:dyDescent="0.25">
      <c r="AB4982" t="str">
        <f t="shared" ref="AB4982:AC4982" si="5199">AB4961</f>
        <v>External Scaffolding</v>
      </c>
      <c r="AC4982" t="str">
        <f t="shared" si="5199"/>
        <v>Adaptions</v>
      </c>
      <c r="AD4982" t="b">
        <f t="shared" ca="1" si="5174"/>
        <v>1</v>
      </c>
      <c r="AE4982" s="1" t="str">
        <f t="shared" ca="1" si="5187"/>
        <v>Garage 164-165</v>
      </c>
      <c r="AF4982" t="str">
        <f t="shared" ca="1" si="5172"/>
        <v>Garage 164-165</v>
      </c>
    </row>
    <row r="4983" spans="28:32" x14ac:dyDescent="0.25">
      <c r="AB4983" t="str">
        <f t="shared" ref="AB4983:AC4983" si="5200">AB4962</f>
        <v>External Scaffolding</v>
      </c>
      <c r="AC4983" t="str">
        <f t="shared" si="5200"/>
        <v>Adaption Tower</v>
      </c>
      <c r="AD4983" t="b">
        <f t="shared" ca="1" si="5174"/>
        <v>1</v>
      </c>
      <c r="AE4983" s="1" t="str">
        <f t="shared" ca="1" si="5187"/>
        <v>Garage 164-165</v>
      </c>
      <c r="AF4983" t="str">
        <f t="shared" ca="1" si="5172"/>
        <v>Garage 164-165</v>
      </c>
    </row>
    <row r="4984" spans="28:32" x14ac:dyDescent="0.25">
      <c r="AB4984" t="str">
        <f t="shared" ref="AB4984:AC4984" si="5201">AB4963</f>
        <v>External Scaffolding</v>
      </c>
      <c r="AC4984" t="str">
        <f t="shared" si="5201"/>
        <v>Lift 1</v>
      </c>
      <c r="AD4984" t="b">
        <f t="shared" ca="1" si="5174"/>
        <v>1</v>
      </c>
      <c r="AE4984" s="1" t="str">
        <f t="shared" ca="1" si="5187"/>
        <v>Garage 168-169-172</v>
      </c>
      <c r="AF4984" t="str">
        <f t="shared" ca="1" si="5172"/>
        <v>Garage 168-169-172</v>
      </c>
    </row>
    <row r="4985" spans="28:32" x14ac:dyDescent="0.25">
      <c r="AB4985" t="str">
        <f t="shared" ref="AB4985:AC4985" si="5202">AB4964</f>
        <v>External Scaffolding</v>
      </c>
      <c r="AC4985" t="str">
        <f t="shared" si="5202"/>
        <v>Lift 2</v>
      </c>
      <c r="AD4985" t="b">
        <f t="shared" ca="1" si="5174"/>
        <v>1</v>
      </c>
      <c r="AE4985" s="1" t="str">
        <f t="shared" ca="1" si="5187"/>
        <v>Garage 168-169-172</v>
      </c>
      <c r="AF4985" t="str">
        <f t="shared" ca="1" si="5172"/>
        <v>Garage 168-169-172</v>
      </c>
    </row>
    <row r="4986" spans="28:32" x14ac:dyDescent="0.25">
      <c r="AB4986" t="str">
        <f t="shared" ref="AB4986:AC4986" si="5203">AB4965</f>
        <v>External Scaffolding</v>
      </c>
      <c r="AC4986" t="str">
        <f t="shared" si="5203"/>
        <v>Lift 3</v>
      </c>
      <c r="AD4986" t="b">
        <f t="shared" ca="1" si="5174"/>
        <v>1</v>
      </c>
      <c r="AE4986" s="1" t="str">
        <f t="shared" ca="1" si="5187"/>
        <v>Garage 168-169-172</v>
      </c>
      <c r="AF4986" t="str">
        <f t="shared" ca="1" si="5172"/>
        <v>Garage 168-169-172</v>
      </c>
    </row>
    <row r="4987" spans="28:32" x14ac:dyDescent="0.25">
      <c r="AB4987" t="str">
        <f t="shared" ref="AB4987:AC4987" si="5204">AB4966</f>
        <v>External Scaffolding</v>
      </c>
      <c r="AC4987" t="str">
        <f t="shared" si="5204"/>
        <v>Lift 4</v>
      </c>
      <c r="AD4987" t="b">
        <f t="shared" ca="1" si="5174"/>
        <v>0</v>
      </c>
      <c r="AE4987" s="1" t="str">
        <f t="shared" ca="1" si="5187"/>
        <v>Garage 168-169-172</v>
      </c>
      <c r="AF4987" t="str">
        <f t="shared" ca="1" si="5172"/>
        <v>Garage 168-169-172</v>
      </c>
    </row>
    <row r="4988" spans="28:32" x14ac:dyDescent="0.25">
      <c r="AB4988" t="str">
        <f t="shared" ref="AB4988:AC4988" si="5205">AB4967</f>
        <v>External Scaffolding</v>
      </c>
      <c r="AC4988" t="str">
        <f t="shared" si="5205"/>
        <v>Lift 5</v>
      </c>
      <c r="AD4988" t="b">
        <f t="shared" ca="1" si="5174"/>
        <v>0</v>
      </c>
      <c r="AE4988" s="1" t="str">
        <f t="shared" ca="1" si="5187"/>
        <v>Garage 168-169-172</v>
      </c>
      <c r="AF4988" t="str">
        <f t="shared" ca="1" si="5172"/>
        <v>Garage 168-169-172</v>
      </c>
    </row>
    <row r="4989" spans="28:32" x14ac:dyDescent="0.25">
      <c r="AB4989" t="str">
        <f t="shared" ref="AB4989:AC4989" si="5206">AB4968</f>
        <v>External Scaffolding</v>
      </c>
      <c r="AC4989" t="str">
        <f t="shared" si="5206"/>
        <v>Lift 6</v>
      </c>
      <c r="AD4989" t="b">
        <f t="shared" ca="1" si="5174"/>
        <v>0</v>
      </c>
      <c r="AE4989" s="1" t="str">
        <f t="shared" ca="1" si="5187"/>
        <v>Garage 168-169-172</v>
      </c>
      <c r="AF4989" t="str">
        <f t="shared" ca="1" si="5172"/>
        <v>Garage 168-169-172</v>
      </c>
    </row>
    <row r="4990" spans="28:32" x14ac:dyDescent="0.25">
      <c r="AB4990" t="str">
        <f t="shared" ref="AB4990:AC4990" si="5207">AB4969</f>
        <v>Loading Bay</v>
      </c>
      <c r="AC4990" t="str">
        <f t="shared" si="5207"/>
        <v>Lift 1</v>
      </c>
      <c r="AD4990" t="b">
        <f t="shared" ca="1" si="5174"/>
        <v>1</v>
      </c>
      <c r="AE4990" s="1" t="str">
        <f t="shared" ca="1" si="5187"/>
        <v>Garage 168-169-172</v>
      </c>
      <c r="AF4990" t="str">
        <f t="shared" ca="1" si="5172"/>
        <v>Garage 168-169-172</v>
      </c>
    </row>
    <row r="4991" spans="28:32" x14ac:dyDescent="0.25">
      <c r="AB4991" t="str">
        <f t="shared" ref="AB4991:AC4991" si="5208">AB4970</f>
        <v>Loading Bay</v>
      </c>
      <c r="AC4991" t="str">
        <f t="shared" si="5208"/>
        <v>Lift 2</v>
      </c>
      <c r="AD4991" t="b">
        <f t="shared" ca="1" si="5174"/>
        <v>1</v>
      </c>
      <c r="AE4991" s="1" t="str">
        <f t="shared" ca="1" si="5187"/>
        <v>Garage 168-169-172</v>
      </c>
      <c r="AF4991" t="str">
        <f t="shared" ca="1" si="5172"/>
        <v>Garage 168-169-172</v>
      </c>
    </row>
    <row r="4992" spans="28:32" x14ac:dyDescent="0.25">
      <c r="AB4992" t="str">
        <f t="shared" ref="AB4992:AC4992" si="5209">AB4971</f>
        <v>Loading Bay</v>
      </c>
      <c r="AC4992" t="str">
        <f t="shared" si="5209"/>
        <v>Lift 3</v>
      </c>
      <c r="AD4992" t="b">
        <f t="shared" ca="1" si="5174"/>
        <v>1</v>
      </c>
      <c r="AE4992" s="1" t="str">
        <f t="shared" ca="1" si="5187"/>
        <v>Garage 168-169-172</v>
      </c>
      <c r="AF4992" t="str">
        <f t="shared" ca="1" si="5172"/>
        <v>Garage 168-169-172</v>
      </c>
    </row>
    <row r="4993" spans="28:32" x14ac:dyDescent="0.25">
      <c r="AB4993" t="str">
        <f t="shared" ref="AB4993:AC4993" si="5210">AB4972</f>
        <v>Loading Bay</v>
      </c>
      <c r="AC4993" t="str">
        <f t="shared" si="5210"/>
        <v>Lift 4</v>
      </c>
      <c r="AD4993" t="b">
        <f t="shared" ca="1" si="5174"/>
        <v>0</v>
      </c>
      <c r="AE4993" s="1" t="str">
        <f t="shared" ca="1" si="5187"/>
        <v>Garage 168-169-172</v>
      </c>
      <c r="AF4993" t="str">
        <f t="shared" ca="1" si="5172"/>
        <v>Garage 168-169-172</v>
      </c>
    </row>
    <row r="4994" spans="28:32" x14ac:dyDescent="0.25">
      <c r="AB4994" t="str">
        <f t="shared" ref="AB4994:AC4994" si="5211">AB4973</f>
        <v>Loading Bay</v>
      </c>
      <c r="AC4994" t="str">
        <f t="shared" si="5211"/>
        <v>Lift 5</v>
      </c>
      <c r="AD4994" t="b">
        <f t="shared" ca="1" si="5174"/>
        <v>0</v>
      </c>
      <c r="AE4994" s="1" t="str">
        <f t="shared" ca="1" si="5187"/>
        <v>Garage 168-169-172</v>
      </c>
      <c r="AF4994" t="str">
        <f t="shared" ca="1" si="5172"/>
        <v>Garage 168-169-172</v>
      </c>
    </row>
    <row r="4995" spans="28:32" x14ac:dyDescent="0.25">
      <c r="AB4995" t="str">
        <f t="shared" ref="AB4995:AC4995" si="5212">AB4974</f>
        <v>Loading Bay</v>
      </c>
      <c r="AC4995" t="str">
        <f t="shared" si="5212"/>
        <v>Lift 6</v>
      </c>
      <c r="AD4995" t="b">
        <f t="shared" ca="1" si="5174"/>
        <v>0</v>
      </c>
      <c r="AE4995" s="1" t="str">
        <f t="shared" ca="1" si="5187"/>
        <v>Garage 168-169-172</v>
      </c>
      <c r="AF4995" t="str">
        <f t="shared" ca="1" si="5172"/>
        <v>Garage 168-169-172</v>
      </c>
    </row>
    <row r="4996" spans="28:32" x14ac:dyDescent="0.25">
      <c r="AB4996" t="str">
        <f t="shared" ref="AB4996:AC4996" si="5213">AB4975</f>
        <v>Scaffolding Platform</v>
      </c>
      <c r="AC4996" t="str">
        <f t="shared" si="5213"/>
        <v>Ground Floor</v>
      </c>
      <c r="AD4996" t="b">
        <f t="shared" ca="1" si="5174"/>
        <v>1</v>
      </c>
      <c r="AE4996" s="1" t="str">
        <f t="shared" ca="1" si="5187"/>
        <v>Garage 168-169-172</v>
      </c>
      <c r="AF4996" t="str">
        <f t="shared" ca="1" si="5172"/>
        <v>Garage 168-169-172</v>
      </c>
    </row>
    <row r="4997" spans="28:32" x14ac:dyDescent="0.25">
      <c r="AB4997" t="str">
        <f t="shared" ref="AB4997:AC4997" si="5214">AB4976</f>
        <v>Scaffolding Platform</v>
      </c>
      <c r="AC4997" t="str">
        <f t="shared" si="5214"/>
        <v>First Floor</v>
      </c>
      <c r="AD4997" t="b">
        <f t="shared" ca="1" si="5174"/>
        <v>0</v>
      </c>
      <c r="AE4997" s="1" t="str">
        <f t="shared" ca="1" si="5187"/>
        <v>Garage 168-169-172</v>
      </c>
      <c r="AF4997" t="str">
        <f t="shared" ca="1" si="5172"/>
        <v>Garage 168-169-172</v>
      </c>
    </row>
    <row r="4998" spans="28:32" x14ac:dyDescent="0.25">
      <c r="AB4998" t="str">
        <f t="shared" ref="AB4998:AC4998" si="5215">AB4977</f>
        <v>Scaffolding Platform</v>
      </c>
      <c r="AC4998" t="str">
        <f t="shared" si="5215"/>
        <v>Second Floor</v>
      </c>
      <c r="AD4998" t="b">
        <f t="shared" ca="1" si="5174"/>
        <v>0</v>
      </c>
      <c r="AE4998" s="1" t="str">
        <f t="shared" ca="1" si="5187"/>
        <v>Garage 168-169-172</v>
      </c>
      <c r="AF4998" t="str">
        <f t="shared" ca="1" si="5172"/>
        <v>Garage 168-169-172</v>
      </c>
    </row>
    <row r="4999" spans="28:32" x14ac:dyDescent="0.25">
      <c r="AB4999" t="str">
        <f t="shared" ref="AB4999:AC4999" si="5216">AB4978</f>
        <v>Supporting Scaffold</v>
      </c>
      <c r="AC4999" t="str">
        <f t="shared" si="5216"/>
        <v>Ground Floor Prop.</v>
      </c>
      <c r="AD4999" t="str">
        <f t="shared" ca="1" si="5174"/>
        <v>FALSE</v>
      </c>
      <c r="AE4999" s="1" t="str">
        <f t="shared" ca="1" si="5187"/>
        <v>Garage 168-169-172</v>
      </c>
      <c r="AF4999" t="str">
        <f t="shared" ca="1" si="5172"/>
        <v>Garage 168-169-172</v>
      </c>
    </row>
    <row r="5000" spans="28:32" x14ac:dyDescent="0.25">
      <c r="AB5000" t="str">
        <f t="shared" ref="AB5000:AC5000" si="5217">AB4979</f>
        <v>Supporting Scaffold</v>
      </c>
      <c r="AC5000" t="str">
        <f t="shared" si="5217"/>
        <v>First Floor Prop.</v>
      </c>
      <c r="AD5000" t="str">
        <f t="shared" ca="1" si="5174"/>
        <v>FALSE</v>
      </c>
      <c r="AE5000" s="1" t="str">
        <f t="shared" ca="1" si="5187"/>
        <v>Garage 168-169-172</v>
      </c>
      <c r="AF5000" t="str">
        <f t="shared" ca="1" si="5172"/>
        <v>Garage 168-169-172</v>
      </c>
    </row>
    <row r="5001" spans="28:32" x14ac:dyDescent="0.25">
      <c r="AB5001" t="str">
        <f t="shared" ref="AB5001:AC5001" si="5218">AB4980</f>
        <v>Supporting Scaffold</v>
      </c>
      <c r="AC5001" t="str">
        <f t="shared" si="5218"/>
        <v>Second Floor Prop.</v>
      </c>
      <c r="AD5001" t="str">
        <f t="shared" ca="1" si="5174"/>
        <v>FALSE</v>
      </c>
      <c r="AE5001" s="1" t="str">
        <f t="shared" ca="1" si="5187"/>
        <v>Garage 168-169-172</v>
      </c>
      <c r="AF5001" t="str">
        <f t="shared" ca="1" si="5172"/>
        <v>Garage 168-169-172</v>
      </c>
    </row>
    <row r="5002" spans="28:32" x14ac:dyDescent="0.25">
      <c r="AB5002" t="str">
        <f t="shared" ref="AB5002:AC5002" si="5219">AB4981</f>
        <v>External Scaffolding</v>
      </c>
      <c r="AC5002" t="str">
        <f t="shared" si="5219"/>
        <v>Hop-ups</v>
      </c>
      <c r="AD5002" t="b">
        <f t="shared" ca="1" si="5174"/>
        <v>1</v>
      </c>
      <c r="AE5002" s="1" t="str">
        <f t="shared" ca="1" si="5187"/>
        <v>Garage 168-169-172</v>
      </c>
      <c r="AF5002" t="str">
        <f t="shared" ca="1" si="5172"/>
        <v>Garage 168-169-172</v>
      </c>
    </row>
    <row r="5003" spans="28:32" x14ac:dyDescent="0.25">
      <c r="AB5003" t="str">
        <f t="shared" ref="AB5003:AC5003" si="5220">AB4982</f>
        <v>External Scaffolding</v>
      </c>
      <c r="AC5003" t="str">
        <f t="shared" si="5220"/>
        <v>Adaptions</v>
      </c>
      <c r="AD5003" t="b">
        <f t="shared" ca="1" si="5174"/>
        <v>1</v>
      </c>
      <c r="AE5003" s="1" t="str">
        <f t="shared" ca="1" si="5187"/>
        <v>Garage 168-169-172</v>
      </c>
      <c r="AF5003" t="str">
        <f t="shared" ca="1" si="5172"/>
        <v>Garage 168-169-172</v>
      </c>
    </row>
    <row r="5004" spans="28:32" x14ac:dyDescent="0.25">
      <c r="AB5004" t="str">
        <f t="shared" ref="AB5004:AC5004" si="5221">AB4983</f>
        <v>External Scaffolding</v>
      </c>
      <c r="AC5004" t="str">
        <f t="shared" si="5221"/>
        <v>Adaption Tower</v>
      </c>
      <c r="AD5004" t="b">
        <f t="shared" ca="1" si="5174"/>
        <v>1</v>
      </c>
      <c r="AE5004" s="1" t="str">
        <f t="shared" ca="1" si="5187"/>
        <v>Garage 168-169-172</v>
      </c>
      <c r="AF5004" t="str">
        <f t="shared" ca="1" si="5172"/>
        <v>Garage 168-169-172</v>
      </c>
    </row>
    <row r="5005" spans="28:32" x14ac:dyDescent="0.25">
      <c r="AB5005" t="str">
        <f t="shared" ref="AB5005:AC5005" si="5222">AB4984</f>
        <v>External Scaffolding</v>
      </c>
      <c r="AC5005" t="str">
        <f t="shared" si="5222"/>
        <v>Lift 1</v>
      </c>
      <c r="AD5005" t="b">
        <f t="shared" ca="1" si="5174"/>
        <v>1</v>
      </c>
      <c r="AE5005" s="1" t="str">
        <f t="shared" ca="1" si="5187"/>
        <v>Garage 170-171</v>
      </c>
      <c r="AF5005" t="str">
        <f t="shared" ca="1" si="5172"/>
        <v>Garage 170-171</v>
      </c>
    </row>
    <row r="5006" spans="28:32" x14ac:dyDescent="0.25">
      <c r="AB5006" t="str">
        <f t="shared" ref="AB5006:AC5006" si="5223">AB4985</f>
        <v>External Scaffolding</v>
      </c>
      <c r="AC5006" t="str">
        <f t="shared" si="5223"/>
        <v>Lift 2</v>
      </c>
      <c r="AD5006" t="b">
        <f t="shared" ca="1" si="5174"/>
        <v>1</v>
      </c>
      <c r="AE5006" s="1" t="str">
        <f t="shared" ca="1" si="5187"/>
        <v>Garage 170-171</v>
      </c>
      <c r="AF5006" t="str">
        <f t="shared" ca="1" si="5172"/>
        <v>Garage 170-171</v>
      </c>
    </row>
    <row r="5007" spans="28:32" x14ac:dyDescent="0.25">
      <c r="AB5007" t="str">
        <f t="shared" ref="AB5007:AC5007" si="5224">AB4986</f>
        <v>External Scaffolding</v>
      </c>
      <c r="AC5007" t="str">
        <f t="shared" si="5224"/>
        <v>Lift 3</v>
      </c>
      <c r="AD5007" t="b">
        <f t="shared" ca="1" si="5174"/>
        <v>1</v>
      </c>
      <c r="AE5007" s="1" t="str">
        <f t="shared" ca="1" si="5187"/>
        <v>Garage 170-171</v>
      </c>
      <c r="AF5007" t="str">
        <f t="shared" ca="1" si="5172"/>
        <v>Garage 170-171</v>
      </c>
    </row>
    <row r="5008" spans="28:32" x14ac:dyDescent="0.25">
      <c r="AB5008" t="str">
        <f t="shared" ref="AB5008:AC5008" si="5225">AB4987</f>
        <v>External Scaffolding</v>
      </c>
      <c r="AC5008" t="str">
        <f t="shared" si="5225"/>
        <v>Lift 4</v>
      </c>
      <c r="AD5008" t="b">
        <f t="shared" ca="1" si="5174"/>
        <v>0</v>
      </c>
      <c r="AE5008" s="1" t="str">
        <f t="shared" ca="1" si="5187"/>
        <v>Garage 170-171</v>
      </c>
      <c r="AF5008" t="str">
        <f t="shared" ca="1" si="5172"/>
        <v>Garage 170-171</v>
      </c>
    </row>
    <row r="5009" spans="28:32" x14ac:dyDescent="0.25">
      <c r="AB5009" t="str">
        <f t="shared" ref="AB5009:AC5009" si="5226">AB4988</f>
        <v>External Scaffolding</v>
      </c>
      <c r="AC5009" t="str">
        <f t="shared" si="5226"/>
        <v>Lift 5</v>
      </c>
      <c r="AD5009" t="b">
        <f t="shared" ca="1" si="5174"/>
        <v>0</v>
      </c>
      <c r="AE5009" s="1" t="str">
        <f t="shared" ca="1" si="5187"/>
        <v>Garage 170-171</v>
      </c>
      <c r="AF5009" t="str">
        <f t="shared" ca="1" si="5172"/>
        <v>Garage 170-171</v>
      </c>
    </row>
    <row r="5010" spans="28:32" x14ac:dyDescent="0.25">
      <c r="AB5010" t="str">
        <f t="shared" ref="AB5010:AC5010" si="5227">AB4989</f>
        <v>External Scaffolding</v>
      </c>
      <c r="AC5010" t="str">
        <f t="shared" si="5227"/>
        <v>Lift 6</v>
      </c>
      <c r="AD5010" t="b">
        <f t="shared" ca="1" si="5174"/>
        <v>0</v>
      </c>
      <c r="AE5010" s="1" t="str">
        <f t="shared" ca="1" si="5187"/>
        <v>Garage 170-171</v>
      </c>
      <c r="AF5010" t="str">
        <f t="shared" ca="1" si="5172"/>
        <v>Garage 170-171</v>
      </c>
    </row>
    <row r="5011" spans="28:32" x14ac:dyDescent="0.25">
      <c r="AB5011" t="str">
        <f t="shared" ref="AB5011:AC5011" si="5228">AB4990</f>
        <v>Loading Bay</v>
      </c>
      <c r="AC5011" t="str">
        <f t="shared" si="5228"/>
        <v>Lift 1</v>
      </c>
      <c r="AD5011" t="b">
        <f t="shared" ca="1" si="5174"/>
        <v>1</v>
      </c>
      <c r="AE5011" s="1" t="str">
        <f t="shared" ca="1" si="5187"/>
        <v>Garage 170-171</v>
      </c>
      <c r="AF5011" t="str">
        <f t="shared" ca="1" si="5172"/>
        <v>Garage 170-171</v>
      </c>
    </row>
    <row r="5012" spans="28:32" x14ac:dyDescent="0.25">
      <c r="AB5012" t="str">
        <f t="shared" ref="AB5012:AC5012" si="5229">AB4991</f>
        <v>Loading Bay</v>
      </c>
      <c r="AC5012" t="str">
        <f t="shared" si="5229"/>
        <v>Lift 2</v>
      </c>
      <c r="AD5012" t="b">
        <f t="shared" ca="1" si="5174"/>
        <v>1</v>
      </c>
      <c r="AE5012" s="1" t="str">
        <f t="shared" ca="1" si="5187"/>
        <v>Garage 170-171</v>
      </c>
      <c r="AF5012" t="str">
        <f t="shared" ca="1" si="5172"/>
        <v>Garage 170-171</v>
      </c>
    </row>
    <row r="5013" spans="28:32" x14ac:dyDescent="0.25">
      <c r="AB5013" t="str">
        <f t="shared" ref="AB5013:AC5013" si="5230">AB4992</f>
        <v>Loading Bay</v>
      </c>
      <c r="AC5013" t="str">
        <f t="shared" si="5230"/>
        <v>Lift 3</v>
      </c>
      <c r="AD5013" t="b">
        <f t="shared" ca="1" si="5174"/>
        <v>1</v>
      </c>
      <c r="AE5013" s="1" t="str">
        <f t="shared" ca="1" si="5187"/>
        <v>Garage 170-171</v>
      </c>
      <c r="AF5013" t="str">
        <f t="shared" ca="1" si="5172"/>
        <v>Garage 170-171</v>
      </c>
    </row>
    <row r="5014" spans="28:32" x14ac:dyDescent="0.25">
      <c r="AB5014" t="str">
        <f t="shared" ref="AB5014:AC5014" si="5231">AB4993</f>
        <v>Loading Bay</v>
      </c>
      <c r="AC5014" t="str">
        <f t="shared" si="5231"/>
        <v>Lift 4</v>
      </c>
      <c r="AD5014" t="b">
        <f t="shared" ca="1" si="5174"/>
        <v>0</v>
      </c>
      <c r="AE5014" s="1" t="str">
        <f t="shared" ca="1" si="5187"/>
        <v>Garage 170-171</v>
      </c>
      <c r="AF5014" t="str">
        <f t="shared" ca="1" si="5172"/>
        <v>Garage 170-171</v>
      </c>
    </row>
    <row r="5015" spans="28:32" x14ac:dyDescent="0.25">
      <c r="AB5015" t="str">
        <f t="shared" ref="AB5015:AC5015" si="5232">AB4994</f>
        <v>Loading Bay</v>
      </c>
      <c r="AC5015" t="str">
        <f t="shared" si="5232"/>
        <v>Lift 5</v>
      </c>
      <c r="AD5015" t="b">
        <f t="shared" ca="1" si="5174"/>
        <v>0</v>
      </c>
      <c r="AE5015" s="1" t="str">
        <f t="shared" ca="1" si="5187"/>
        <v>Garage 170-171</v>
      </c>
      <c r="AF5015" t="str">
        <f t="shared" ca="1" si="5172"/>
        <v>Garage 170-171</v>
      </c>
    </row>
    <row r="5016" spans="28:32" x14ac:dyDescent="0.25">
      <c r="AB5016" t="str">
        <f t="shared" ref="AB5016:AC5016" si="5233">AB4995</f>
        <v>Loading Bay</v>
      </c>
      <c r="AC5016" t="str">
        <f t="shared" si="5233"/>
        <v>Lift 6</v>
      </c>
      <c r="AD5016" t="b">
        <f t="shared" ca="1" si="5174"/>
        <v>0</v>
      </c>
      <c r="AE5016" s="1" t="str">
        <f t="shared" ca="1" si="5187"/>
        <v>Garage 170-171</v>
      </c>
      <c r="AF5016" t="str">
        <f t="shared" ca="1" si="5172"/>
        <v>Garage 170-171</v>
      </c>
    </row>
    <row r="5017" spans="28:32" x14ac:dyDescent="0.25">
      <c r="AB5017" t="str">
        <f t="shared" ref="AB5017:AC5017" si="5234">AB4996</f>
        <v>Scaffolding Platform</v>
      </c>
      <c r="AC5017" t="str">
        <f t="shared" si="5234"/>
        <v>Ground Floor</v>
      </c>
      <c r="AD5017" t="b">
        <f t="shared" ca="1" si="5174"/>
        <v>1</v>
      </c>
      <c r="AE5017" s="1" t="str">
        <f t="shared" ca="1" si="5187"/>
        <v>Garage 170-171</v>
      </c>
      <c r="AF5017" t="str">
        <f t="shared" ca="1" si="5172"/>
        <v>Garage 170-171</v>
      </c>
    </row>
    <row r="5018" spans="28:32" x14ac:dyDescent="0.25">
      <c r="AB5018" t="str">
        <f t="shared" ref="AB5018:AC5018" si="5235">AB4997</f>
        <v>Scaffolding Platform</v>
      </c>
      <c r="AC5018" t="str">
        <f t="shared" si="5235"/>
        <v>First Floor</v>
      </c>
      <c r="AD5018" t="b">
        <f t="shared" ca="1" si="5174"/>
        <v>0</v>
      </c>
      <c r="AE5018" s="1" t="str">
        <f t="shared" ca="1" si="5187"/>
        <v>Garage 170-171</v>
      </c>
      <c r="AF5018" t="str">
        <f t="shared" ca="1" si="5172"/>
        <v>Garage 170-171</v>
      </c>
    </row>
    <row r="5019" spans="28:32" x14ac:dyDescent="0.25">
      <c r="AB5019" t="str">
        <f t="shared" ref="AB5019:AC5019" si="5236">AB4998</f>
        <v>Scaffolding Platform</v>
      </c>
      <c r="AC5019" t="str">
        <f t="shared" si="5236"/>
        <v>Second Floor</v>
      </c>
      <c r="AD5019" t="b">
        <f t="shared" ca="1" si="5174"/>
        <v>0</v>
      </c>
      <c r="AE5019" s="1" t="str">
        <f t="shared" ca="1" si="5187"/>
        <v>Garage 170-171</v>
      </c>
      <c r="AF5019" t="str">
        <f t="shared" ca="1" si="5172"/>
        <v>Garage 170-171</v>
      </c>
    </row>
    <row r="5020" spans="28:32" x14ac:dyDescent="0.25">
      <c r="AB5020" t="str">
        <f t="shared" ref="AB5020:AC5020" si="5237">AB4999</f>
        <v>Supporting Scaffold</v>
      </c>
      <c r="AC5020" t="str">
        <f t="shared" si="5237"/>
        <v>Ground Floor Prop.</v>
      </c>
      <c r="AD5020" t="str">
        <f t="shared" ca="1" si="5174"/>
        <v>FALSE</v>
      </c>
      <c r="AE5020" s="1" t="str">
        <f t="shared" ca="1" si="5187"/>
        <v>Garage 170-171</v>
      </c>
      <c r="AF5020" t="str">
        <f t="shared" ca="1" si="5172"/>
        <v>Garage 170-171</v>
      </c>
    </row>
    <row r="5021" spans="28:32" x14ac:dyDescent="0.25">
      <c r="AB5021" t="str">
        <f t="shared" ref="AB5021:AC5021" si="5238">AB5000</f>
        <v>Supporting Scaffold</v>
      </c>
      <c r="AC5021" t="str">
        <f t="shared" si="5238"/>
        <v>First Floor Prop.</v>
      </c>
      <c r="AD5021" t="str">
        <f t="shared" ca="1" si="5174"/>
        <v>FALSE</v>
      </c>
      <c r="AE5021" s="1" t="str">
        <f t="shared" ca="1" si="5187"/>
        <v>Garage 170-171</v>
      </c>
      <c r="AF5021" t="str">
        <f t="shared" ref="AF5021:AF5046" ca="1" si="5239">IF(LEFT(AE5021,1)="G",AE5021,"Plot "&amp;AE5021)</f>
        <v>Garage 170-171</v>
      </c>
    </row>
    <row r="5022" spans="28:32" x14ac:dyDescent="0.25">
      <c r="AB5022" t="str">
        <f t="shared" ref="AB5022:AC5022" si="5240">AB5001</f>
        <v>Supporting Scaffold</v>
      </c>
      <c r="AC5022" t="str">
        <f t="shared" si="5240"/>
        <v>Second Floor Prop.</v>
      </c>
      <c r="AD5022" t="str">
        <f t="shared" ref="AD5022:AD5046" ca="1" si="5241">INDEX($AC$1:$JH$22,MATCH(AC5022,$AC$1:$AC$22,0),MATCH(AE5022,$AC$1:$JH$1,0))</f>
        <v>FALSE</v>
      </c>
      <c r="AE5022" s="1" t="str">
        <f t="shared" ca="1" si="5187"/>
        <v>Garage 170-171</v>
      </c>
      <c r="AF5022" t="str">
        <f t="shared" ca="1" si="5239"/>
        <v>Garage 170-171</v>
      </c>
    </row>
    <row r="5023" spans="28:32" x14ac:dyDescent="0.25">
      <c r="AB5023" t="str">
        <f t="shared" ref="AB5023:AC5023" si="5242">AB5002</f>
        <v>External Scaffolding</v>
      </c>
      <c r="AC5023" t="str">
        <f t="shared" si="5242"/>
        <v>Hop-ups</v>
      </c>
      <c r="AD5023" t="b">
        <f t="shared" ca="1" si="5241"/>
        <v>1</v>
      </c>
      <c r="AE5023" s="1" t="str">
        <f t="shared" ca="1" si="5187"/>
        <v>Garage 170-171</v>
      </c>
      <c r="AF5023" t="str">
        <f t="shared" ca="1" si="5239"/>
        <v>Garage 170-171</v>
      </c>
    </row>
    <row r="5024" spans="28:32" x14ac:dyDescent="0.25">
      <c r="AB5024" t="str">
        <f t="shared" ref="AB5024:AC5024" si="5243">AB5003</f>
        <v>External Scaffolding</v>
      </c>
      <c r="AC5024" t="str">
        <f t="shared" si="5243"/>
        <v>Adaptions</v>
      </c>
      <c r="AD5024" t="b">
        <f t="shared" ca="1" si="5241"/>
        <v>1</v>
      </c>
      <c r="AE5024" s="1" t="str">
        <f t="shared" ca="1" si="5187"/>
        <v>Garage 170-171</v>
      </c>
      <c r="AF5024" t="str">
        <f t="shared" ca="1" si="5239"/>
        <v>Garage 170-171</v>
      </c>
    </row>
    <row r="5025" spans="28:32" x14ac:dyDescent="0.25">
      <c r="AB5025" t="str">
        <f t="shared" ref="AB5025:AC5025" si="5244">AB5004</f>
        <v>External Scaffolding</v>
      </c>
      <c r="AC5025" t="str">
        <f t="shared" si="5244"/>
        <v>Adaption Tower</v>
      </c>
      <c r="AD5025" t="b">
        <f t="shared" ca="1" si="5241"/>
        <v>1</v>
      </c>
      <c r="AE5025" s="1" t="str">
        <f t="shared" ca="1" si="5187"/>
        <v>Garage 170-171</v>
      </c>
      <c r="AF5025" t="str">
        <f t="shared" ca="1" si="5239"/>
        <v>Garage 170-171</v>
      </c>
    </row>
    <row r="5026" spans="28:32" x14ac:dyDescent="0.25">
      <c r="AB5026" t="str">
        <f t="shared" ref="AB5026:AC5026" si="5245">AB5005</f>
        <v>External Scaffolding</v>
      </c>
      <c r="AC5026" t="str">
        <f t="shared" si="5245"/>
        <v>Lift 1</v>
      </c>
      <c r="AD5026" t="b">
        <f t="shared" ca="1" si="5241"/>
        <v>1</v>
      </c>
      <c r="AE5026" s="1" t="str">
        <f t="shared" ca="1" si="5187"/>
        <v>Garage 173</v>
      </c>
      <c r="AF5026" t="str">
        <f t="shared" ca="1" si="5239"/>
        <v>Garage 173</v>
      </c>
    </row>
    <row r="5027" spans="28:32" x14ac:dyDescent="0.25">
      <c r="AB5027" t="str">
        <f t="shared" ref="AB5027:AC5027" si="5246">AB5006</f>
        <v>External Scaffolding</v>
      </c>
      <c r="AC5027" t="str">
        <f t="shared" si="5246"/>
        <v>Lift 2</v>
      </c>
      <c r="AD5027" t="b">
        <f t="shared" ca="1" si="5241"/>
        <v>1</v>
      </c>
      <c r="AE5027" s="1" t="str">
        <f t="shared" ca="1" si="5187"/>
        <v>Garage 173</v>
      </c>
      <c r="AF5027" t="str">
        <f t="shared" ca="1" si="5239"/>
        <v>Garage 173</v>
      </c>
    </row>
    <row r="5028" spans="28:32" x14ac:dyDescent="0.25">
      <c r="AB5028" t="str">
        <f t="shared" ref="AB5028:AC5028" si="5247">AB5007</f>
        <v>External Scaffolding</v>
      </c>
      <c r="AC5028" t="str">
        <f t="shared" si="5247"/>
        <v>Lift 3</v>
      </c>
      <c r="AD5028" t="b">
        <f t="shared" ca="1" si="5241"/>
        <v>1</v>
      </c>
      <c r="AE5028" s="1" t="str">
        <f t="shared" ca="1" si="5187"/>
        <v>Garage 173</v>
      </c>
      <c r="AF5028" t="str">
        <f t="shared" ca="1" si="5239"/>
        <v>Garage 173</v>
      </c>
    </row>
    <row r="5029" spans="28:32" x14ac:dyDescent="0.25">
      <c r="AB5029" t="str">
        <f t="shared" ref="AB5029:AC5029" si="5248">AB5008</f>
        <v>External Scaffolding</v>
      </c>
      <c r="AC5029" t="str">
        <f t="shared" si="5248"/>
        <v>Lift 4</v>
      </c>
      <c r="AD5029" t="b">
        <f t="shared" ca="1" si="5241"/>
        <v>0</v>
      </c>
      <c r="AE5029" s="1" t="str">
        <f t="shared" ca="1" si="5187"/>
        <v>Garage 173</v>
      </c>
      <c r="AF5029" t="str">
        <f t="shared" ca="1" si="5239"/>
        <v>Garage 173</v>
      </c>
    </row>
    <row r="5030" spans="28:32" x14ac:dyDescent="0.25">
      <c r="AB5030" t="str">
        <f t="shared" ref="AB5030:AC5030" si="5249">AB5009</f>
        <v>External Scaffolding</v>
      </c>
      <c r="AC5030" t="str">
        <f t="shared" si="5249"/>
        <v>Lift 5</v>
      </c>
      <c r="AD5030" t="b">
        <f t="shared" ca="1" si="5241"/>
        <v>0</v>
      </c>
      <c r="AE5030" s="1" t="str">
        <f t="shared" ca="1" si="5187"/>
        <v>Garage 173</v>
      </c>
      <c r="AF5030" t="str">
        <f t="shared" ca="1" si="5239"/>
        <v>Garage 173</v>
      </c>
    </row>
    <row r="5031" spans="28:32" x14ac:dyDescent="0.25">
      <c r="AB5031" t="str">
        <f t="shared" ref="AB5031:AC5031" si="5250">AB5010</f>
        <v>External Scaffolding</v>
      </c>
      <c r="AC5031" t="str">
        <f t="shared" si="5250"/>
        <v>Lift 6</v>
      </c>
      <c r="AD5031" t="b">
        <f t="shared" ca="1" si="5241"/>
        <v>0</v>
      </c>
      <c r="AE5031" s="1" t="str">
        <f t="shared" ca="1" si="5187"/>
        <v>Garage 173</v>
      </c>
      <c r="AF5031" t="str">
        <f t="shared" ca="1" si="5239"/>
        <v>Garage 173</v>
      </c>
    </row>
    <row r="5032" spans="28:32" x14ac:dyDescent="0.25">
      <c r="AB5032" t="str">
        <f t="shared" ref="AB5032:AC5032" si="5251">AB5011</f>
        <v>Loading Bay</v>
      </c>
      <c r="AC5032" t="str">
        <f t="shared" si="5251"/>
        <v>Lift 1</v>
      </c>
      <c r="AD5032" t="b">
        <f t="shared" ca="1" si="5241"/>
        <v>1</v>
      </c>
      <c r="AE5032" s="1" t="str">
        <f t="shared" ca="1" si="5187"/>
        <v>Garage 173</v>
      </c>
      <c r="AF5032" t="str">
        <f t="shared" ca="1" si="5239"/>
        <v>Garage 173</v>
      </c>
    </row>
    <row r="5033" spans="28:32" x14ac:dyDescent="0.25">
      <c r="AB5033" t="str">
        <f t="shared" ref="AB5033:AC5033" si="5252">AB5012</f>
        <v>Loading Bay</v>
      </c>
      <c r="AC5033" t="str">
        <f t="shared" si="5252"/>
        <v>Lift 2</v>
      </c>
      <c r="AD5033" t="b">
        <f t="shared" ca="1" si="5241"/>
        <v>1</v>
      </c>
      <c r="AE5033" s="1" t="str">
        <f t="shared" ca="1" si="5187"/>
        <v>Garage 173</v>
      </c>
      <c r="AF5033" t="str">
        <f t="shared" ca="1" si="5239"/>
        <v>Garage 173</v>
      </c>
    </row>
    <row r="5034" spans="28:32" x14ac:dyDescent="0.25">
      <c r="AB5034" t="str">
        <f t="shared" ref="AB5034:AC5034" si="5253">AB5013</f>
        <v>Loading Bay</v>
      </c>
      <c r="AC5034" t="str">
        <f t="shared" si="5253"/>
        <v>Lift 3</v>
      </c>
      <c r="AD5034" t="b">
        <f t="shared" ca="1" si="5241"/>
        <v>1</v>
      </c>
      <c r="AE5034" s="1" t="str">
        <f t="shared" ref="AE5034:AE5046" ca="1" si="5254">OFFSET($AD$1,0,FLOOR(ROW(B5006)/21,1))</f>
        <v>Garage 173</v>
      </c>
      <c r="AF5034" t="str">
        <f t="shared" ca="1" si="5239"/>
        <v>Garage 173</v>
      </c>
    </row>
    <row r="5035" spans="28:32" x14ac:dyDescent="0.25">
      <c r="AB5035" t="str">
        <f t="shared" ref="AB5035:AC5035" si="5255">AB5014</f>
        <v>Loading Bay</v>
      </c>
      <c r="AC5035" t="str">
        <f t="shared" si="5255"/>
        <v>Lift 4</v>
      </c>
      <c r="AD5035" t="b">
        <f t="shared" ca="1" si="5241"/>
        <v>0</v>
      </c>
      <c r="AE5035" s="1" t="str">
        <f t="shared" ca="1" si="5254"/>
        <v>Garage 173</v>
      </c>
      <c r="AF5035" t="str">
        <f t="shared" ca="1" si="5239"/>
        <v>Garage 173</v>
      </c>
    </row>
    <row r="5036" spans="28:32" x14ac:dyDescent="0.25">
      <c r="AB5036" t="str">
        <f t="shared" ref="AB5036:AC5036" si="5256">AB5015</f>
        <v>Loading Bay</v>
      </c>
      <c r="AC5036" t="str">
        <f t="shared" si="5256"/>
        <v>Lift 5</v>
      </c>
      <c r="AD5036" t="b">
        <f t="shared" ca="1" si="5241"/>
        <v>0</v>
      </c>
      <c r="AE5036" s="1" t="str">
        <f t="shared" ca="1" si="5254"/>
        <v>Garage 173</v>
      </c>
      <c r="AF5036" t="str">
        <f t="shared" ca="1" si="5239"/>
        <v>Garage 173</v>
      </c>
    </row>
    <row r="5037" spans="28:32" x14ac:dyDescent="0.25">
      <c r="AB5037" t="str">
        <f t="shared" ref="AB5037:AC5037" si="5257">AB5016</f>
        <v>Loading Bay</v>
      </c>
      <c r="AC5037" t="str">
        <f t="shared" si="5257"/>
        <v>Lift 6</v>
      </c>
      <c r="AD5037" t="b">
        <f t="shared" ca="1" si="5241"/>
        <v>0</v>
      </c>
      <c r="AE5037" s="1" t="str">
        <f t="shared" ca="1" si="5254"/>
        <v>Garage 173</v>
      </c>
      <c r="AF5037" t="str">
        <f t="shared" ca="1" si="5239"/>
        <v>Garage 173</v>
      </c>
    </row>
    <row r="5038" spans="28:32" x14ac:dyDescent="0.25">
      <c r="AB5038" t="str">
        <f t="shared" ref="AB5038:AC5038" si="5258">AB5017</f>
        <v>Scaffolding Platform</v>
      </c>
      <c r="AC5038" t="str">
        <f t="shared" si="5258"/>
        <v>Ground Floor</v>
      </c>
      <c r="AD5038" t="b">
        <f t="shared" ca="1" si="5241"/>
        <v>1</v>
      </c>
      <c r="AE5038" s="1" t="str">
        <f t="shared" ca="1" si="5254"/>
        <v>Garage 173</v>
      </c>
      <c r="AF5038" t="str">
        <f t="shared" ca="1" si="5239"/>
        <v>Garage 173</v>
      </c>
    </row>
    <row r="5039" spans="28:32" x14ac:dyDescent="0.25">
      <c r="AB5039" t="str">
        <f t="shared" ref="AB5039:AC5039" si="5259">AB5018</f>
        <v>Scaffolding Platform</v>
      </c>
      <c r="AC5039" t="str">
        <f t="shared" si="5259"/>
        <v>First Floor</v>
      </c>
      <c r="AD5039" t="b">
        <f t="shared" ca="1" si="5241"/>
        <v>0</v>
      </c>
      <c r="AE5039" s="1" t="str">
        <f t="shared" ca="1" si="5254"/>
        <v>Garage 173</v>
      </c>
      <c r="AF5039" t="str">
        <f t="shared" ca="1" si="5239"/>
        <v>Garage 173</v>
      </c>
    </row>
    <row r="5040" spans="28:32" x14ac:dyDescent="0.25">
      <c r="AB5040" t="str">
        <f t="shared" ref="AB5040:AC5040" si="5260">AB5019</f>
        <v>Scaffolding Platform</v>
      </c>
      <c r="AC5040" t="str">
        <f t="shared" si="5260"/>
        <v>Second Floor</v>
      </c>
      <c r="AD5040" t="b">
        <f t="shared" ca="1" si="5241"/>
        <v>0</v>
      </c>
      <c r="AE5040" s="1" t="str">
        <f t="shared" ca="1" si="5254"/>
        <v>Garage 173</v>
      </c>
      <c r="AF5040" t="str">
        <f t="shared" ca="1" si="5239"/>
        <v>Garage 173</v>
      </c>
    </row>
    <row r="5041" spans="28:32" x14ac:dyDescent="0.25">
      <c r="AB5041" t="str">
        <f t="shared" ref="AB5041:AC5041" si="5261">AB5020</f>
        <v>Supporting Scaffold</v>
      </c>
      <c r="AC5041" t="str">
        <f t="shared" si="5261"/>
        <v>Ground Floor Prop.</v>
      </c>
      <c r="AD5041" t="str">
        <f t="shared" ca="1" si="5241"/>
        <v>FALSE</v>
      </c>
      <c r="AE5041" s="1" t="str">
        <f t="shared" ca="1" si="5254"/>
        <v>Garage 173</v>
      </c>
      <c r="AF5041" t="str">
        <f t="shared" ca="1" si="5239"/>
        <v>Garage 173</v>
      </c>
    </row>
    <row r="5042" spans="28:32" x14ac:dyDescent="0.25">
      <c r="AB5042" t="str">
        <f t="shared" ref="AB5042:AC5042" si="5262">AB5021</f>
        <v>Supporting Scaffold</v>
      </c>
      <c r="AC5042" t="str">
        <f t="shared" si="5262"/>
        <v>First Floor Prop.</v>
      </c>
      <c r="AD5042" t="str">
        <f t="shared" ca="1" si="5241"/>
        <v>FALSE</v>
      </c>
      <c r="AE5042" s="1" t="str">
        <f t="shared" ca="1" si="5254"/>
        <v>Garage 173</v>
      </c>
      <c r="AF5042" t="str">
        <f t="shared" ca="1" si="5239"/>
        <v>Garage 173</v>
      </c>
    </row>
    <row r="5043" spans="28:32" x14ac:dyDescent="0.25">
      <c r="AB5043" t="str">
        <f t="shared" ref="AB5043:AC5043" si="5263">AB5022</f>
        <v>Supporting Scaffold</v>
      </c>
      <c r="AC5043" t="str">
        <f t="shared" si="5263"/>
        <v>Second Floor Prop.</v>
      </c>
      <c r="AD5043" t="str">
        <f t="shared" ca="1" si="5241"/>
        <v>FALSE</v>
      </c>
      <c r="AE5043" s="1" t="str">
        <f t="shared" ca="1" si="5254"/>
        <v>Garage 173</v>
      </c>
      <c r="AF5043" t="str">
        <f t="shared" ca="1" si="5239"/>
        <v>Garage 173</v>
      </c>
    </row>
    <row r="5044" spans="28:32" x14ac:dyDescent="0.25">
      <c r="AB5044" t="str">
        <f t="shared" ref="AB5044:AC5044" si="5264">AB5023</f>
        <v>External Scaffolding</v>
      </c>
      <c r="AC5044" t="str">
        <f t="shared" si="5264"/>
        <v>Hop-ups</v>
      </c>
      <c r="AD5044" t="b">
        <f t="shared" ca="1" si="5241"/>
        <v>1</v>
      </c>
      <c r="AE5044" s="1" t="str">
        <f t="shared" ca="1" si="5254"/>
        <v>Garage 173</v>
      </c>
      <c r="AF5044" t="str">
        <f t="shared" ca="1" si="5239"/>
        <v>Garage 173</v>
      </c>
    </row>
    <row r="5045" spans="28:32" x14ac:dyDescent="0.25">
      <c r="AB5045" t="str">
        <f t="shared" ref="AB5045:AC5045" si="5265">AB5024</f>
        <v>External Scaffolding</v>
      </c>
      <c r="AC5045" t="str">
        <f t="shared" si="5265"/>
        <v>Adaptions</v>
      </c>
      <c r="AD5045" t="b">
        <f t="shared" ca="1" si="5241"/>
        <v>1</v>
      </c>
      <c r="AE5045" s="1" t="str">
        <f t="shared" ca="1" si="5254"/>
        <v>Garage 173</v>
      </c>
      <c r="AF5045" t="str">
        <f t="shared" ca="1" si="5239"/>
        <v>Garage 173</v>
      </c>
    </row>
    <row r="5046" spans="28:32" x14ac:dyDescent="0.25">
      <c r="AB5046" t="str">
        <f t="shared" ref="AB5046:AC5046" si="5266">AB5025</f>
        <v>External Scaffolding</v>
      </c>
      <c r="AC5046" t="str">
        <f t="shared" si="5266"/>
        <v>Adaption Tower</v>
      </c>
      <c r="AD5046" t="b">
        <f t="shared" ca="1" si="5241"/>
        <v>1</v>
      </c>
      <c r="AE5046" s="1" t="str">
        <f t="shared" ca="1" si="5254"/>
        <v>Garage 173</v>
      </c>
      <c r="AF5046" t="str">
        <f t="shared" ca="1" si="5239"/>
        <v>Garage 173</v>
      </c>
    </row>
    <row r="5047" spans="28:32" x14ac:dyDescent="0.25">
      <c r="AE5047" s="1"/>
    </row>
    <row r="5048" spans="28:32" x14ac:dyDescent="0.25">
      <c r="AE5048" s="1"/>
    </row>
    <row r="5049" spans="28:32" x14ac:dyDescent="0.25">
      <c r="AE5049" s="1"/>
    </row>
    <row r="5050" spans="28:32" x14ac:dyDescent="0.25">
      <c r="AE5050" s="1"/>
    </row>
    <row r="5051" spans="28:32" x14ac:dyDescent="0.25">
      <c r="AE5051" s="1"/>
    </row>
    <row r="5052" spans="28:32" x14ac:dyDescent="0.25">
      <c r="AE5052" s="1"/>
    </row>
    <row r="5053" spans="28:32" x14ac:dyDescent="0.25">
      <c r="AE5053" s="1"/>
    </row>
    <row r="5054" spans="28:32" x14ac:dyDescent="0.25">
      <c r="AE5054" s="1"/>
    </row>
    <row r="5055" spans="28:32" x14ac:dyDescent="0.25">
      <c r="AE5055" s="1"/>
    </row>
    <row r="5056" spans="28:32" x14ac:dyDescent="0.25">
      <c r="AE5056" s="1"/>
    </row>
    <row r="5057" spans="31:31" x14ac:dyDescent="0.25">
      <c r="AE5057" s="1"/>
    </row>
    <row r="5058" spans="31:31" x14ac:dyDescent="0.25">
      <c r="AE5058" s="1"/>
    </row>
    <row r="5059" spans="31:31" x14ac:dyDescent="0.25">
      <c r="AE5059" s="1"/>
    </row>
    <row r="5060" spans="31:31" x14ac:dyDescent="0.25">
      <c r="AE5060" s="1"/>
    </row>
    <row r="5061" spans="31:31" x14ac:dyDescent="0.25">
      <c r="AE5061" s="1"/>
    </row>
    <row r="5062" spans="31:31" x14ac:dyDescent="0.25">
      <c r="AE5062" s="1"/>
    </row>
    <row r="5063" spans="31:31" x14ac:dyDescent="0.25">
      <c r="AE5063" s="1"/>
    </row>
    <row r="5064" spans="31:31" x14ac:dyDescent="0.25">
      <c r="AE5064" s="1"/>
    </row>
    <row r="5065" spans="31:31" x14ac:dyDescent="0.25">
      <c r="AE5065" s="1"/>
    </row>
    <row r="5066" spans="31:31" x14ac:dyDescent="0.25">
      <c r="AE5066" s="1"/>
    </row>
    <row r="5067" spans="31:31" x14ac:dyDescent="0.25">
      <c r="AE5067" s="1"/>
    </row>
    <row r="5068" spans="31:31" x14ac:dyDescent="0.25">
      <c r="AE5068" s="1"/>
    </row>
    <row r="5069" spans="31:31" x14ac:dyDescent="0.25">
      <c r="AE5069" s="1"/>
    </row>
    <row r="5070" spans="31:31" x14ac:dyDescent="0.25">
      <c r="AE5070" s="1"/>
    </row>
    <row r="5071" spans="31:31" x14ac:dyDescent="0.25">
      <c r="AE5071" s="1"/>
    </row>
    <row r="5072" spans="31:31" x14ac:dyDescent="0.25">
      <c r="AE5072" s="1"/>
    </row>
    <row r="5073" spans="31:31" x14ac:dyDescent="0.25">
      <c r="AE5073" s="1"/>
    </row>
    <row r="5074" spans="31:31" x14ac:dyDescent="0.25">
      <c r="AE5074" s="1"/>
    </row>
    <row r="5075" spans="31:31" x14ac:dyDescent="0.25">
      <c r="AE5075" s="1"/>
    </row>
    <row r="5076" spans="31:31" x14ac:dyDescent="0.25">
      <c r="AE5076" s="1"/>
    </row>
    <row r="5077" spans="31:31" x14ac:dyDescent="0.25">
      <c r="AE5077" s="1"/>
    </row>
    <row r="5078" spans="31:31" x14ac:dyDescent="0.25">
      <c r="AE5078" s="1"/>
    </row>
    <row r="5079" spans="31:31" x14ac:dyDescent="0.25">
      <c r="AE5079" s="1"/>
    </row>
    <row r="5080" spans="31:31" x14ac:dyDescent="0.25">
      <c r="AE5080" s="1"/>
    </row>
    <row r="5081" spans="31:31" x14ac:dyDescent="0.25">
      <c r="AE5081" s="1"/>
    </row>
    <row r="5082" spans="31:31" x14ac:dyDescent="0.25">
      <c r="AE5082" s="1"/>
    </row>
    <row r="5083" spans="31:31" x14ac:dyDescent="0.25">
      <c r="AE5083" s="1"/>
    </row>
    <row r="5084" spans="31:31" x14ac:dyDescent="0.25">
      <c r="AE5084" s="1"/>
    </row>
    <row r="5085" spans="31:31" x14ac:dyDescent="0.25">
      <c r="AE5085" s="1"/>
    </row>
    <row r="5086" spans="31:31" x14ac:dyDescent="0.25">
      <c r="AE5086" s="1"/>
    </row>
    <row r="5087" spans="31:31" x14ac:dyDescent="0.25">
      <c r="AE5087" s="1"/>
    </row>
    <row r="5088" spans="31:31" x14ac:dyDescent="0.25">
      <c r="AE5088" s="1"/>
    </row>
    <row r="5089" spans="31:31" x14ac:dyDescent="0.25">
      <c r="AE5089" s="1"/>
    </row>
    <row r="5090" spans="31:31" x14ac:dyDescent="0.25">
      <c r="AE5090" s="1"/>
    </row>
    <row r="5091" spans="31:31" x14ac:dyDescent="0.25">
      <c r="AE5091" s="1"/>
    </row>
    <row r="5092" spans="31:31" x14ac:dyDescent="0.25">
      <c r="AE5092" s="1"/>
    </row>
    <row r="5093" spans="31:31" x14ac:dyDescent="0.25">
      <c r="AE5093" s="1"/>
    </row>
    <row r="5094" spans="31:31" x14ac:dyDescent="0.25">
      <c r="AE5094" s="1"/>
    </row>
    <row r="5095" spans="31:31" x14ac:dyDescent="0.25">
      <c r="AE5095" s="1"/>
    </row>
    <row r="5096" spans="31:31" x14ac:dyDescent="0.25">
      <c r="AE5096" s="1"/>
    </row>
    <row r="5097" spans="31:31" x14ac:dyDescent="0.25">
      <c r="AE5097" s="1"/>
    </row>
    <row r="5098" spans="31:31" x14ac:dyDescent="0.25">
      <c r="AE5098" s="1"/>
    </row>
    <row r="5099" spans="31:31" x14ac:dyDescent="0.25">
      <c r="AE5099" s="1"/>
    </row>
    <row r="5100" spans="31:31" x14ac:dyDescent="0.25">
      <c r="AE5100" s="1"/>
    </row>
    <row r="5101" spans="31:31" x14ac:dyDescent="0.25">
      <c r="AE5101" s="1"/>
    </row>
    <row r="5102" spans="31:31" x14ac:dyDescent="0.25">
      <c r="AE5102" s="1"/>
    </row>
    <row r="5103" spans="31:31" x14ac:dyDescent="0.25">
      <c r="AE5103" s="1"/>
    </row>
    <row r="5104" spans="31:31" x14ac:dyDescent="0.25">
      <c r="AE5104" s="1"/>
    </row>
    <row r="5105" spans="31:31" x14ac:dyDescent="0.25">
      <c r="AE5105" s="1"/>
    </row>
    <row r="5106" spans="31:31" x14ac:dyDescent="0.25">
      <c r="AE5106" s="1"/>
    </row>
    <row r="5107" spans="31:31" x14ac:dyDescent="0.25">
      <c r="AE5107" s="1"/>
    </row>
    <row r="5108" spans="31:31" x14ac:dyDescent="0.25">
      <c r="AE5108" s="1"/>
    </row>
    <row r="5109" spans="31:31" x14ac:dyDescent="0.25">
      <c r="AE5109" s="1"/>
    </row>
    <row r="5110" spans="31:31" x14ac:dyDescent="0.25">
      <c r="AE5110" s="1"/>
    </row>
    <row r="5111" spans="31:31" x14ac:dyDescent="0.25">
      <c r="AE5111" s="1"/>
    </row>
    <row r="5112" spans="31:31" x14ac:dyDescent="0.25">
      <c r="AE5112" s="1"/>
    </row>
    <row r="5113" spans="31:31" x14ac:dyDescent="0.25">
      <c r="AE5113" s="1"/>
    </row>
    <row r="5114" spans="31:31" x14ac:dyDescent="0.25">
      <c r="AE5114" s="1"/>
    </row>
    <row r="5115" spans="31:31" x14ac:dyDescent="0.25">
      <c r="AE5115" s="1"/>
    </row>
    <row r="5116" spans="31:31" x14ac:dyDescent="0.25">
      <c r="AE5116" s="1"/>
    </row>
    <row r="5117" spans="31:31" x14ac:dyDescent="0.25">
      <c r="AE5117" s="1"/>
    </row>
    <row r="5118" spans="31:31" x14ac:dyDescent="0.25">
      <c r="AE5118" s="1"/>
    </row>
    <row r="5119" spans="31:31" x14ac:dyDescent="0.25">
      <c r="AE5119" s="1"/>
    </row>
    <row r="5120" spans="31:31" x14ac:dyDescent="0.25">
      <c r="AE5120" s="1"/>
    </row>
    <row r="5121" spans="31:31" x14ac:dyDescent="0.25">
      <c r="AE5121" s="1"/>
    </row>
    <row r="5122" spans="31:31" x14ac:dyDescent="0.25">
      <c r="AE5122" s="1"/>
    </row>
    <row r="5123" spans="31:31" x14ac:dyDescent="0.25">
      <c r="AE5123" s="1"/>
    </row>
    <row r="5124" spans="31:31" x14ac:dyDescent="0.25">
      <c r="AE5124" s="1"/>
    </row>
    <row r="5125" spans="31:31" x14ac:dyDescent="0.25">
      <c r="AE5125" s="1"/>
    </row>
    <row r="5126" spans="31:31" x14ac:dyDescent="0.25">
      <c r="AE5126" s="1"/>
    </row>
    <row r="5127" spans="31:31" x14ac:dyDescent="0.25">
      <c r="AE5127" s="1"/>
    </row>
    <row r="5128" spans="31:31" x14ac:dyDescent="0.25">
      <c r="AE5128" s="1"/>
    </row>
    <row r="5129" spans="31:31" x14ac:dyDescent="0.25">
      <c r="AE5129" s="1"/>
    </row>
    <row r="5130" spans="31:31" x14ac:dyDescent="0.25">
      <c r="AE5130" s="1"/>
    </row>
    <row r="5131" spans="31:31" x14ac:dyDescent="0.25">
      <c r="AE5131" s="1"/>
    </row>
    <row r="5132" spans="31:31" x14ac:dyDescent="0.25">
      <c r="AE5132" s="1"/>
    </row>
    <row r="5133" spans="31:31" x14ac:dyDescent="0.25">
      <c r="AE5133" s="1"/>
    </row>
    <row r="5134" spans="31:31" x14ac:dyDescent="0.25">
      <c r="AE5134" s="1"/>
    </row>
    <row r="5135" spans="31:31" x14ac:dyDescent="0.25">
      <c r="AE5135" s="1"/>
    </row>
    <row r="5136" spans="31:31" x14ac:dyDescent="0.25">
      <c r="AE5136" s="1"/>
    </row>
    <row r="5137" spans="31:31" x14ac:dyDescent="0.25">
      <c r="AE5137" s="1"/>
    </row>
    <row r="5138" spans="31:31" x14ac:dyDescent="0.25">
      <c r="AE5138" s="1"/>
    </row>
    <row r="5139" spans="31:31" x14ac:dyDescent="0.25">
      <c r="AE5139" s="1"/>
    </row>
    <row r="5140" spans="31:31" x14ac:dyDescent="0.25">
      <c r="AE5140" s="1"/>
    </row>
    <row r="5141" spans="31:31" x14ac:dyDescent="0.25">
      <c r="AE5141" s="1"/>
    </row>
    <row r="5142" spans="31:31" x14ac:dyDescent="0.25">
      <c r="AE5142" s="1"/>
    </row>
    <row r="5143" spans="31:31" x14ac:dyDescent="0.25">
      <c r="AE5143" s="1"/>
    </row>
    <row r="5144" spans="31:31" x14ac:dyDescent="0.25">
      <c r="AE5144" s="1"/>
    </row>
    <row r="5145" spans="31:31" x14ac:dyDescent="0.25">
      <c r="AE5145" s="1"/>
    </row>
    <row r="5146" spans="31:31" x14ac:dyDescent="0.25">
      <c r="AE5146" s="1"/>
    </row>
    <row r="5147" spans="31:31" x14ac:dyDescent="0.25">
      <c r="AE5147" s="1"/>
    </row>
    <row r="5148" spans="31:31" x14ac:dyDescent="0.25">
      <c r="AE5148" s="1"/>
    </row>
    <row r="5149" spans="31:31" x14ac:dyDescent="0.25">
      <c r="AE5149" s="1"/>
    </row>
    <row r="5150" spans="31:31" x14ac:dyDescent="0.25">
      <c r="AE5150" s="1"/>
    </row>
    <row r="5151" spans="31:31" x14ac:dyDescent="0.25">
      <c r="AE5151" s="1"/>
    </row>
    <row r="5152" spans="31:31" x14ac:dyDescent="0.25">
      <c r="AE5152" s="1"/>
    </row>
    <row r="5153" spans="31:31" x14ac:dyDescent="0.25">
      <c r="AE5153" s="1"/>
    </row>
    <row r="5154" spans="31:31" x14ac:dyDescent="0.25">
      <c r="AE5154" s="1"/>
    </row>
    <row r="5155" spans="31:31" x14ac:dyDescent="0.25">
      <c r="AE5155" s="1"/>
    </row>
    <row r="5156" spans="31:31" x14ac:dyDescent="0.25">
      <c r="AE5156" s="1"/>
    </row>
    <row r="5157" spans="31:31" x14ac:dyDescent="0.25">
      <c r="AE5157" s="1"/>
    </row>
    <row r="5158" spans="31:31" x14ac:dyDescent="0.25">
      <c r="AE5158" s="1"/>
    </row>
    <row r="5159" spans="31:31" x14ac:dyDescent="0.25">
      <c r="AE5159" s="1"/>
    </row>
    <row r="5160" spans="31:31" x14ac:dyDescent="0.25">
      <c r="AE5160" s="1"/>
    </row>
    <row r="5161" spans="31:31" x14ac:dyDescent="0.25">
      <c r="AE5161" s="1"/>
    </row>
    <row r="5162" spans="31:31" x14ac:dyDescent="0.25">
      <c r="AE5162" s="1"/>
    </row>
    <row r="5163" spans="31:31" x14ac:dyDescent="0.25">
      <c r="AE5163" s="1"/>
    </row>
    <row r="5164" spans="31:31" x14ac:dyDescent="0.25">
      <c r="AE5164" s="1"/>
    </row>
    <row r="5165" spans="31:31" x14ac:dyDescent="0.25">
      <c r="AE5165" s="1"/>
    </row>
    <row r="5166" spans="31:31" x14ac:dyDescent="0.25">
      <c r="AE5166" s="1"/>
    </row>
    <row r="5167" spans="31:31" x14ac:dyDescent="0.25">
      <c r="AE5167" s="1"/>
    </row>
    <row r="5168" spans="31:31" x14ac:dyDescent="0.25">
      <c r="AE5168" s="1"/>
    </row>
    <row r="5169" spans="31:31" x14ac:dyDescent="0.25">
      <c r="AE5169" s="1"/>
    </row>
    <row r="5170" spans="31:31" x14ac:dyDescent="0.25">
      <c r="AE5170" s="1"/>
    </row>
    <row r="5171" spans="31:31" x14ac:dyDescent="0.25">
      <c r="AE5171" s="1"/>
    </row>
    <row r="5172" spans="31:31" x14ac:dyDescent="0.25">
      <c r="AE5172" s="1"/>
    </row>
    <row r="5173" spans="31:31" x14ac:dyDescent="0.25">
      <c r="AE5173" s="1"/>
    </row>
    <row r="5174" spans="31:31" x14ac:dyDescent="0.25">
      <c r="AE5174" s="1"/>
    </row>
    <row r="5175" spans="31:31" x14ac:dyDescent="0.25">
      <c r="AE5175" s="1"/>
    </row>
    <row r="5176" spans="31:31" x14ac:dyDescent="0.25">
      <c r="AE5176" s="1"/>
    </row>
    <row r="5177" spans="31:31" x14ac:dyDescent="0.25">
      <c r="AE5177" s="1"/>
    </row>
    <row r="5178" spans="31:31" x14ac:dyDescent="0.25">
      <c r="AE5178" s="1"/>
    </row>
    <row r="5179" spans="31:31" x14ac:dyDescent="0.25">
      <c r="AE5179" s="1"/>
    </row>
    <row r="5180" spans="31:31" x14ac:dyDescent="0.25">
      <c r="AE5180" s="1"/>
    </row>
    <row r="5181" spans="31:31" x14ac:dyDescent="0.25">
      <c r="AE5181" s="1"/>
    </row>
    <row r="5182" spans="31:31" x14ac:dyDescent="0.25">
      <c r="AE5182" s="1"/>
    </row>
    <row r="5183" spans="31:31" x14ac:dyDescent="0.25">
      <c r="AE5183" s="1"/>
    </row>
    <row r="5184" spans="31:31" x14ac:dyDescent="0.25">
      <c r="AE5184" s="1"/>
    </row>
    <row r="5185" spans="31:31" x14ac:dyDescent="0.25">
      <c r="AE5185" s="1"/>
    </row>
    <row r="5186" spans="31:31" x14ac:dyDescent="0.25">
      <c r="AE5186" s="1"/>
    </row>
    <row r="5187" spans="31:31" x14ac:dyDescent="0.25">
      <c r="AE5187" s="1"/>
    </row>
    <row r="5188" spans="31:31" x14ac:dyDescent="0.25">
      <c r="AE5188" s="1"/>
    </row>
    <row r="5189" spans="31:31" x14ac:dyDescent="0.25">
      <c r="AE5189" s="1"/>
    </row>
    <row r="5190" spans="31:31" x14ac:dyDescent="0.25">
      <c r="AE5190" s="1"/>
    </row>
    <row r="5191" spans="31:31" x14ac:dyDescent="0.25">
      <c r="AE5191" s="1"/>
    </row>
    <row r="5192" spans="31:31" x14ac:dyDescent="0.25">
      <c r="AE5192" s="1"/>
    </row>
    <row r="5193" spans="31:31" x14ac:dyDescent="0.25">
      <c r="AE5193" s="1"/>
    </row>
    <row r="5194" spans="31:31" x14ac:dyDescent="0.25">
      <c r="AE5194" s="1"/>
    </row>
    <row r="5195" spans="31:31" x14ac:dyDescent="0.25">
      <c r="AE5195" s="1"/>
    </row>
    <row r="5196" spans="31:31" x14ac:dyDescent="0.25">
      <c r="AE5196" s="1"/>
    </row>
    <row r="5197" spans="31:31" x14ac:dyDescent="0.25">
      <c r="AE5197" s="1"/>
    </row>
    <row r="5198" spans="31:31" x14ac:dyDescent="0.25">
      <c r="AE5198" s="1"/>
    </row>
    <row r="5199" spans="31:31" x14ac:dyDescent="0.25">
      <c r="AE5199" s="1"/>
    </row>
    <row r="5200" spans="31:31" x14ac:dyDescent="0.25">
      <c r="AE5200" s="1"/>
    </row>
    <row r="5201" spans="31:31" x14ac:dyDescent="0.25">
      <c r="AE5201" s="1"/>
    </row>
    <row r="5202" spans="31:31" x14ac:dyDescent="0.25">
      <c r="AE5202" s="1"/>
    </row>
    <row r="5203" spans="31:31" x14ac:dyDescent="0.25">
      <c r="AE5203" s="1"/>
    </row>
    <row r="5204" spans="31:31" x14ac:dyDescent="0.25">
      <c r="AE5204" s="1"/>
    </row>
    <row r="5205" spans="31:31" x14ac:dyDescent="0.25">
      <c r="AE5205" s="1"/>
    </row>
    <row r="5206" spans="31:31" x14ac:dyDescent="0.25">
      <c r="AE5206" s="1"/>
    </row>
    <row r="5207" spans="31:31" x14ac:dyDescent="0.25">
      <c r="AE5207" s="1"/>
    </row>
    <row r="5208" spans="31:31" x14ac:dyDescent="0.25">
      <c r="AE5208" s="1"/>
    </row>
    <row r="5209" spans="31:31" x14ac:dyDescent="0.25">
      <c r="AE5209" s="1"/>
    </row>
    <row r="5210" spans="31:31" x14ac:dyDescent="0.25">
      <c r="AE5210" s="1"/>
    </row>
    <row r="5211" spans="31:31" x14ac:dyDescent="0.25">
      <c r="AE5211" s="1"/>
    </row>
    <row r="5212" spans="31:31" x14ac:dyDescent="0.25">
      <c r="AE5212" s="1"/>
    </row>
    <row r="5213" spans="31:31" x14ac:dyDescent="0.25">
      <c r="AE5213" s="1"/>
    </row>
    <row r="5214" spans="31:31" x14ac:dyDescent="0.25">
      <c r="AE5214" s="1"/>
    </row>
    <row r="5215" spans="31:31" x14ac:dyDescent="0.25">
      <c r="AE5215" s="1"/>
    </row>
    <row r="5216" spans="31:31" x14ac:dyDescent="0.25">
      <c r="AE5216" s="1"/>
    </row>
    <row r="5217" spans="31:31" x14ac:dyDescent="0.25">
      <c r="AE5217" s="1"/>
    </row>
    <row r="5218" spans="31:31" x14ac:dyDescent="0.25">
      <c r="AE5218" s="1"/>
    </row>
    <row r="5219" spans="31:31" x14ac:dyDescent="0.25">
      <c r="AE5219" s="1"/>
    </row>
    <row r="5220" spans="31:31" x14ac:dyDescent="0.25">
      <c r="AE5220" s="1"/>
    </row>
    <row r="5221" spans="31:31" x14ac:dyDescent="0.25">
      <c r="AE5221" s="1"/>
    </row>
    <row r="5222" spans="31:31" x14ac:dyDescent="0.25">
      <c r="AE5222" s="1"/>
    </row>
    <row r="5223" spans="31:31" x14ac:dyDescent="0.25">
      <c r="AE5223" s="1"/>
    </row>
    <row r="5224" spans="31:31" x14ac:dyDescent="0.25">
      <c r="AE5224" s="1"/>
    </row>
    <row r="5225" spans="31:31" x14ac:dyDescent="0.25">
      <c r="AE5225" s="1"/>
    </row>
    <row r="5226" spans="31:31" x14ac:dyDescent="0.25">
      <c r="AE5226" s="1"/>
    </row>
    <row r="5227" spans="31:31" x14ac:dyDescent="0.25">
      <c r="AE5227" s="1"/>
    </row>
    <row r="5228" spans="31:31" x14ac:dyDescent="0.25">
      <c r="AE5228" s="1"/>
    </row>
    <row r="5229" spans="31:31" x14ac:dyDescent="0.25">
      <c r="AE5229" s="1"/>
    </row>
    <row r="5230" spans="31:31" x14ac:dyDescent="0.25">
      <c r="AE5230" s="1"/>
    </row>
    <row r="5231" spans="31:31" x14ac:dyDescent="0.25">
      <c r="AE5231" s="1"/>
    </row>
    <row r="5232" spans="31:31" x14ac:dyDescent="0.25">
      <c r="AE5232" s="1"/>
    </row>
    <row r="5233" spans="31:31" x14ac:dyDescent="0.25">
      <c r="AE5233" s="1"/>
    </row>
    <row r="5234" spans="31:31" x14ac:dyDescent="0.25">
      <c r="AE5234" s="1"/>
    </row>
    <row r="5235" spans="31:31" x14ac:dyDescent="0.25">
      <c r="AE5235" s="1"/>
    </row>
    <row r="5236" spans="31:31" x14ac:dyDescent="0.25">
      <c r="AE5236" s="1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AB77F-0854-4495-A1AB-081FC7FC3D6A}">
  <sheetPr codeName="Sheet2"/>
  <dimension ref="A1:D239"/>
  <sheetViews>
    <sheetView topLeftCell="A203" workbookViewId="0">
      <selection activeCell="D2" sqref="D2:D239"/>
    </sheetView>
  </sheetViews>
  <sheetFormatPr defaultRowHeight="15" x14ac:dyDescent="0.25"/>
  <cols>
    <col min="1" max="1" width="18.28515625" bestFit="1" customWidth="1"/>
    <col min="2" max="2" width="19" bestFit="1" customWidth="1"/>
    <col min="4" max="4" width="14.140625" bestFit="1" customWidth="1"/>
  </cols>
  <sheetData>
    <row r="1" spans="1:4" x14ac:dyDescent="0.25">
      <c r="A1" t="s">
        <v>92</v>
      </c>
      <c r="B1" t="s">
        <v>93</v>
      </c>
      <c r="C1" t="s">
        <v>94</v>
      </c>
      <c r="D1" t="s">
        <v>95</v>
      </c>
    </row>
    <row r="2" spans="1:4" x14ac:dyDescent="0.25">
      <c r="A2" t="s">
        <v>0</v>
      </c>
      <c r="B2" t="s">
        <v>79</v>
      </c>
      <c r="C2" t="b">
        <v>1</v>
      </c>
      <c r="D2" t="s">
        <v>3</v>
      </c>
    </row>
    <row r="3" spans="1:4" x14ac:dyDescent="0.25">
      <c r="A3" t="s">
        <v>1</v>
      </c>
      <c r="B3" t="s">
        <v>79</v>
      </c>
      <c r="C3" t="b">
        <v>1</v>
      </c>
      <c r="D3" t="s">
        <v>3</v>
      </c>
    </row>
    <row r="4" spans="1:4" x14ac:dyDescent="0.25">
      <c r="A4" t="s">
        <v>0</v>
      </c>
      <c r="B4" t="s">
        <v>79</v>
      </c>
      <c r="C4" t="b">
        <v>1</v>
      </c>
      <c r="D4" t="s">
        <v>4</v>
      </c>
    </row>
    <row r="5" spans="1:4" x14ac:dyDescent="0.25">
      <c r="A5" t="s">
        <v>1</v>
      </c>
      <c r="B5" t="s">
        <v>79</v>
      </c>
      <c r="C5" t="b">
        <v>1</v>
      </c>
      <c r="D5" t="s">
        <v>4</v>
      </c>
    </row>
    <row r="6" spans="1:4" x14ac:dyDescent="0.25">
      <c r="A6" t="s">
        <v>0</v>
      </c>
      <c r="B6" t="s">
        <v>79</v>
      </c>
      <c r="C6" t="b">
        <v>1</v>
      </c>
      <c r="D6" t="s">
        <v>5</v>
      </c>
    </row>
    <row r="7" spans="1:4" x14ac:dyDescent="0.25">
      <c r="A7" t="s">
        <v>1</v>
      </c>
      <c r="B7" t="s">
        <v>79</v>
      </c>
      <c r="C7" t="b">
        <v>1</v>
      </c>
      <c r="D7" t="s">
        <v>5</v>
      </c>
    </row>
    <row r="8" spans="1:4" x14ac:dyDescent="0.25">
      <c r="A8" t="s">
        <v>0</v>
      </c>
      <c r="B8" t="s">
        <v>79</v>
      </c>
      <c r="C8" t="b">
        <v>1</v>
      </c>
      <c r="D8" t="s">
        <v>6</v>
      </c>
    </row>
    <row r="9" spans="1:4" x14ac:dyDescent="0.25">
      <c r="A9" t="s">
        <v>1</v>
      </c>
      <c r="B9" t="s">
        <v>79</v>
      </c>
      <c r="C9" t="b">
        <v>1</v>
      </c>
      <c r="D9" t="s">
        <v>6</v>
      </c>
    </row>
    <row r="10" spans="1:4" x14ac:dyDescent="0.25">
      <c r="A10" t="s">
        <v>0</v>
      </c>
      <c r="B10" t="s">
        <v>79</v>
      </c>
      <c r="C10" t="b">
        <v>1</v>
      </c>
      <c r="D10" t="s">
        <v>7</v>
      </c>
    </row>
    <row r="11" spans="1:4" x14ac:dyDescent="0.25">
      <c r="A11" t="s">
        <v>1</v>
      </c>
      <c r="B11" t="s">
        <v>79</v>
      </c>
      <c r="C11" t="b">
        <v>1</v>
      </c>
      <c r="D11" t="s">
        <v>7</v>
      </c>
    </row>
    <row r="12" spans="1:4" x14ac:dyDescent="0.25">
      <c r="A12" t="s">
        <v>0</v>
      </c>
      <c r="B12" t="s">
        <v>79</v>
      </c>
      <c r="C12" t="b">
        <v>1</v>
      </c>
      <c r="D12" t="s">
        <v>8</v>
      </c>
    </row>
    <row r="13" spans="1:4" x14ac:dyDescent="0.25">
      <c r="A13" t="s">
        <v>1</v>
      </c>
      <c r="B13" t="s">
        <v>79</v>
      </c>
      <c r="C13" t="b">
        <v>1</v>
      </c>
      <c r="D13" t="s">
        <v>8</v>
      </c>
    </row>
    <row r="14" spans="1:4" x14ac:dyDescent="0.25">
      <c r="A14" t="s">
        <v>0</v>
      </c>
      <c r="B14" t="s">
        <v>79</v>
      </c>
      <c r="C14" t="b">
        <v>1</v>
      </c>
      <c r="D14" t="s">
        <v>9</v>
      </c>
    </row>
    <row r="15" spans="1:4" x14ac:dyDescent="0.25">
      <c r="A15" t="s">
        <v>1</v>
      </c>
      <c r="B15" t="s">
        <v>79</v>
      </c>
      <c r="C15" t="b">
        <v>1</v>
      </c>
      <c r="D15" t="s">
        <v>9</v>
      </c>
    </row>
    <row r="16" spans="1:4" x14ac:dyDescent="0.25">
      <c r="A16" t="s">
        <v>0</v>
      </c>
      <c r="B16" t="s">
        <v>79</v>
      </c>
      <c r="C16" t="b">
        <v>1</v>
      </c>
      <c r="D16" t="s">
        <v>10</v>
      </c>
    </row>
    <row r="17" spans="1:4" x14ac:dyDescent="0.25">
      <c r="A17" t="s">
        <v>1</v>
      </c>
      <c r="B17" t="s">
        <v>79</v>
      </c>
      <c r="C17" t="b">
        <v>1</v>
      </c>
      <c r="D17" t="s">
        <v>10</v>
      </c>
    </row>
    <row r="18" spans="1:4" x14ac:dyDescent="0.25">
      <c r="A18" t="s">
        <v>0</v>
      </c>
      <c r="B18" t="s">
        <v>79</v>
      </c>
      <c r="C18" t="b">
        <v>1</v>
      </c>
      <c r="D18" t="s">
        <v>11</v>
      </c>
    </row>
    <row r="19" spans="1:4" x14ac:dyDescent="0.25">
      <c r="A19" t="s">
        <v>1</v>
      </c>
      <c r="B19" t="s">
        <v>79</v>
      </c>
      <c r="C19" t="b">
        <v>1</v>
      </c>
      <c r="D19" t="s">
        <v>11</v>
      </c>
    </row>
    <row r="20" spans="1:4" x14ac:dyDescent="0.25">
      <c r="A20" t="s">
        <v>0</v>
      </c>
      <c r="B20" t="s">
        <v>79</v>
      </c>
      <c r="C20" t="b">
        <v>1</v>
      </c>
      <c r="D20" t="s">
        <v>12</v>
      </c>
    </row>
    <row r="21" spans="1:4" x14ac:dyDescent="0.25">
      <c r="A21" t="s">
        <v>1</v>
      </c>
      <c r="B21" t="s">
        <v>79</v>
      </c>
      <c r="C21" t="b">
        <v>1</v>
      </c>
      <c r="D21" t="s">
        <v>12</v>
      </c>
    </row>
    <row r="22" spans="1:4" x14ac:dyDescent="0.25">
      <c r="A22" t="s">
        <v>0</v>
      </c>
      <c r="B22" t="s">
        <v>79</v>
      </c>
      <c r="C22" t="b">
        <v>1</v>
      </c>
      <c r="D22" t="s">
        <v>13</v>
      </c>
    </row>
    <row r="23" spans="1:4" x14ac:dyDescent="0.25">
      <c r="A23" t="s">
        <v>1</v>
      </c>
      <c r="B23" t="s">
        <v>79</v>
      </c>
      <c r="C23" t="b">
        <v>1</v>
      </c>
      <c r="D23" t="s">
        <v>13</v>
      </c>
    </row>
    <row r="24" spans="1:4" x14ac:dyDescent="0.25">
      <c r="A24" t="s">
        <v>0</v>
      </c>
      <c r="B24" t="s">
        <v>79</v>
      </c>
      <c r="C24" t="b">
        <v>1</v>
      </c>
      <c r="D24" t="s">
        <v>14</v>
      </c>
    </row>
    <row r="25" spans="1:4" x14ac:dyDescent="0.25">
      <c r="A25" t="s">
        <v>1</v>
      </c>
      <c r="B25" t="s">
        <v>79</v>
      </c>
      <c r="C25" t="b">
        <v>1</v>
      </c>
      <c r="D25" t="s">
        <v>14</v>
      </c>
    </row>
    <row r="26" spans="1:4" x14ac:dyDescent="0.25">
      <c r="A26" t="s">
        <v>0</v>
      </c>
      <c r="B26" t="s">
        <v>79</v>
      </c>
      <c r="C26" t="b">
        <v>1</v>
      </c>
      <c r="D26" t="s">
        <v>15</v>
      </c>
    </row>
    <row r="27" spans="1:4" x14ac:dyDescent="0.25">
      <c r="A27" t="s">
        <v>1</v>
      </c>
      <c r="B27" t="s">
        <v>79</v>
      </c>
      <c r="C27" t="b">
        <v>1</v>
      </c>
      <c r="D27" t="s">
        <v>15</v>
      </c>
    </row>
    <row r="28" spans="1:4" x14ac:dyDescent="0.25">
      <c r="A28" t="s">
        <v>0</v>
      </c>
      <c r="B28" t="s">
        <v>79</v>
      </c>
      <c r="C28" t="b">
        <v>1</v>
      </c>
      <c r="D28" t="s">
        <v>16</v>
      </c>
    </row>
    <row r="29" spans="1:4" x14ac:dyDescent="0.25">
      <c r="A29" t="s">
        <v>1</v>
      </c>
      <c r="B29" t="s">
        <v>79</v>
      </c>
      <c r="C29" t="b">
        <v>1</v>
      </c>
      <c r="D29" t="s">
        <v>16</v>
      </c>
    </row>
    <row r="30" spans="1:4" x14ac:dyDescent="0.25">
      <c r="A30" t="s">
        <v>0</v>
      </c>
      <c r="B30" t="s">
        <v>79</v>
      </c>
      <c r="C30" t="b">
        <v>1</v>
      </c>
      <c r="D30" t="s">
        <v>17</v>
      </c>
    </row>
    <row r="31" spans="1:4" x14ac:dyDescent="0.25">
      <c r="A31" t="s">
        <v>1</v>
      </c>
      <c r="B31" t="s">
        <v>79</v>
      </c>
      <c r="C31" t="b">
        <v>1</v>
      </c>
      <c r="D31" t="s">
        <v>17</v>
      </c>
    </row>
    <row r="32" spans="1:4" x14ac:dyDescent="0.25">
      <c r="A32" t="s">
        <v>0</v>
      </c>
      <c r="B32" t="s">
        <v>79</v>
      </c>
      <c r="C32" t="b">
        <v>1</v>
      </c>
      <c r="D32" t="s">
        <v>18</v>
      </c>
    </row>
    <row r="33" spans="1:4" x14ac:dyDescent="0.25">
      <c r="A33" t="s">
        <v>1</v>
      </c>
      <c r="B33" t="s">
        <v>79</v>
      </c>
      <c r="C33" t="b">
        <v>1</v>
      </c>
      <c r="D33" t="s">
        <v>18</v>
      </c>
    </row>
    <row r="34" spans="1:4" x14ac:dyDescent="0.25">
      <c r="A34" t="s">
        <v>0</v>
      </c>
      <c r="B34" t="s">
        <v>79</v>
      </c>
      <c r="C34" t="b">
        <v>1</v>
      </c>
      <c r="D34" t="s">
        <v>19</v>
      </c>
    </row>
    <row r="35" spans="1:4" x14ac:dyDescent="0.25">
      <c r="A35" t="s">
        <v>1</v>
      </c>
      <c r="B35" t="s">
        <v>79</v>
      </c>
      <c r="C35" t="b">
        <v>1</v>
      </c>
      <c r="D35" t="s">
        <v>19</v>
      </c>
    </row>
    <row r="36" spans="1:4" x14ac:dyDescent="0.25">
      <c r="A36" t="s">
        <v>0</v>
      </c>
      <c r="B36" t="s">
        <v>79</v>
      </c>
      <c r="C36" t="b">
        <v>1</v>
      </c>
      <c r="D36" t="s">
        <v>20</v>
      </c>
    </row>
    <row r="37" spans="1:4" x14ac:dyDescent="0.25">
      <c r="A37" t="s">
        <v>1</v>
      </c>
      <c r="B37" t="s">
        <v>79</v>
      </c>
      <c r="C37" t="b">
        <v>1</v>
      </c>
      <c r="D37" t="s">
        <v>20</v>
      </c>
    </row>
    <row r="38" spans="1:4" x14ac:dyDescent="0.25">
      <c r="A38" t="s">
        <v>0</v>
      </c>
      <c r="B38" t="s">
        <v>79</v>
      </c>
      <c r="C38" t="b">
        <v>1</v>
      </c>
      <c r="D38" t="s">
        <v>21</v>
      </c>
    </row>
    <row r="39" spans="1:4" x14ac:dyDescent="0.25">
      <c r="A39" t="s">
        <v>1</v>
      </c>
      <c r="B39" t="s">
        <v>79</v>
      </c>
      <c r="C39" t="b">
        <v>1</v>
      </c>
      <c r="D39" t="s">
        <v>21</v>
      </c>
    </row>
    <row r="40" spans="1:4" x14ac:dyDescent="0.25">
      <c r="A40" t="s">
        <v>0</v>
      </c>
      <c r="B40" t="s">
        <v>79</v>
      </c>
      <c r="C40" t="b">
        <v>1</v>
      </c>
      <c r="D40" t="s">
        <v>22</v>
      </c>
    </row>
    <row r="41" spans="1:4" x14ac:dyDescent="0.25">
      <c r="A41" t="s">
        <v>1</v>
      </c>
      <c r="B41" t="s">
        <v>79</v>
      </c>
      <c r="C41" t="b">
        <v>1</v>
      </c>
      <c r="D41" t="s">
        <v>22</v>
      </c>
    </row>
    <row r="42" spans="1:4" x14ac:dyDescent="0.25">
      <c r="A42" t="s">
        <v>0</v>
      </c>
      <c r="B42" t="s">
        <v>79</v>
      </c>
      <c r="C42" t="b">
        <v>1</v>
      </c>
      <c r="D42" t="s">
        <v>23</v>
      </c>
    </row>
    <row r="43" spans="1:4" x14ac:dyDescent="0.25">
      <c r="A43" t="s">
        <v>1</v>
      </c>
      <c r="B43" t="s">
        <v>79</v>
      </c>
      <c r="C43" t="b">
        <v>1</v>
      </c>
      <c r="D43" t="s">
        <v>23</v>
      </c>
    </row>
    <row r="44" spans="1:4" x14ac:dyDescent="0.25">
      <c r="A44" t="s">
        <v>0</v>
      </c>
      <c r="B44" t="s">
        <v>79</v>
      </c>
      <c r="C44" t="b">
        <v>1</v>
      </c>
      <c r="D44" t="s">
        <v>24</v>
      </c>
    </row>
    <row r="45" spans="1:4" x14ac:dyDescent="0.25">
      <c r="A45" t="s">
        <v>1</v>
      </c>
      <c r="B45" t="s">
        <v>79</v>
      </c>
      <c r="C45" t="b">
        <v>1</v>
      </c>
      <c r="D45" t="s">
        <v>24</v>
      </c>
    </row>
    <row r="46" spans="1:4" x14ac:dyDescent="0.25">
      <c r="A46" t="s">
        <v>0</v>
      </c>
      <c r="B46" t="s">
        <v>79</v>
      </c>
      <c r="C46" t="b">
        <v>1</v>
      </c>
      <c r="D46" t="s">
        <v>25</v>
      </c>
    </row>
    <row r="47" spans="1:4" x14ac:dyDescent="0.25">
      <c r="A47" t="s">
        <v>1</v>
      </c>
      <c r="B47" t="s">
        <v>79</v>
      </c>
      <c r="C47" t="b">
        <v>1</v>
      </c>
      <c r="D47" t="s">
        <v>25</v>
      </c>
    </row>
    <row r="48" spans="1:4" x14ac:dyDescent="0.25">
      <c r="A48" t="s">
        <v>0</v>
      </c>
      <c r="B48" t="s">
        <v>79</v>
      </c>
      <c r="C48" t="b">
        <v>1</v>
      </c>
      <c r="D48" t="s">
        <v>26</v>
      </c>
    </row>
    <row r="49" spans="1:4" x14ac:dyDescent="0.25">
      <c r="A49" t="s">
        <v>1</v>
      </c>
      <c r="B49" t="s">
        <v>79</v>
      </c>
      <c r="C49" t="b">
        <v>1</v>
      </c>
      <c r="D49" t="s">
        <v>26</v>
      </c>
    </row>
    <row r="50" spans="1:4" x14ac:dyDescent="0.25">
      <c r="A50" t="s">
        <v>0</v>
      </c>
      <c r="B50" t="s">
        <v>79</v>
      </c>
      <c r="C50" t="b">
        <v>1</v>
      </c>
      <c r="D50" t="s">
        <v>27</v>
      </c>
    </row>
    <row r="51" spans="1:4" x14ac:dyDescent="0.25">
      <c r="A51" t="s">
        <v>1</v>
      </c>
      <c r="B51" t="s">
        <v>79</v>
      </c>
      <c r="C51" t="b">
        <v>1</v>
      </c>
      <c r="D51" t="s">
        <v>27</v>
      </c>
    </row>
    <row r="52" spans="1:4" x14ac:dyDescent="0.25">
      <c r="A52" t="s">
        <v>0</v>
      </c>
      <c r="B52" t="s">
        <v>79</v>
      </c>
      <c r="C52" t="b">
        <v>1</v>
      </c>
      <c r="D52" t="s">
        <v>28</v>
      </c>
    </row>
    <row r="53" spans="1:4" x14ac:dyDescent="0.25">
      <c r="A53" t="s">
        <v>1</v>
      </c>
      <c r="B53" t="s">
        <v>79</v>
      </c>
      <c r="C53" t="b">
        <v>1</v>
      </c>
      <c r="D53" t="s">
        <v>28</v>
      </c>
    </row>
    <row r="54" spans="1:4" x14ac:dyDescent="0.25">
      <c r="A54" t="s">
        <v>0</v>
      </c>
      <c r="B54" t="s">
        <v>79</v>
      </c>
      <c r="C54" t="b">
        <v>1</v>
      </c>
      <c r="D54" t="s">
        <v>29</v>
      </c>
    </row>
    <row r="55" spans="1:4" x14ac:dyDescent="0.25">
      <c r="A55" t="s">
        <v>1</v>
      </c>
      <c r="B55" t="s">
        <v>79</v>
      </c>
      <c r="C55" t="b">
        <v>1</v>
      </c>
      <c r="D55" t="s">
        <v>29</v>
      </c>
    </row>
    <row r="56" spans="1:4" x14ac:dyDescent="0.25">
      <c r="A56" t="s">
        <v>0</v>
      </c>
      <c r="B56" t="s">
        <v>79</v>
      </c>
      <c r="C56" t="b">
        <v>1</v>
      </c>
      <c r="D56" t="s">
        <v>30</v>
      </c>
    </row>
    <row r="57" spans="1:4" x14ac:dyDescent="0.25">
      <c r="A57" t="s">
        <v>1</v>
      </c>
      <c r="B57" t="s">
        <v>79</v>
      </c>
      <c r="C57" t="b">
        <v>1</v>
      </c>
      <c r="D57" t="s">
        <v>30</v>
      </c>
    </row>
    <row r="58" spans="1:4" x14ac:dyDescent="0.25">
      <c r="A58" t="s">
        <v>0</v>
      </c>
      <c r="B58" t="s">
        <v>79</v>
      </c>
      <c r="C58" t="b">
        <v>1</v>
      </c>
      <c r="D58" t="s">
        <v>31</v>
      </c>
    </row>
    <row r="59" spans="1:4" x14ac:dyDescent="0.25">
      <c r="A59" t="s">
        <v>1</v>
      </c>
      <c r="B59" t="s">
        <v>79</v>
      </c>
      <c r="C59" t="b">
        <v>1</v>
      </c>
      <c r="D59" t="s">
        <v>31</v>
      </c>
    </row>
    <row r="60" spans="1:4" x14ac:dyDescent="0.25">
      <c r="A60" t="s">
        <v>0</v>
      </c>
      <c r="B60" t="s">
        <v>79</v>
      </c>
      <c r="C60" t="b">
        <v>1</v>
      </c>
      <c r="D60" t="s">
        <v>32</v>
      </c>
    </row>
    <row r="61" spans="1:4" x14ac:dyDescent="0.25">
      <c r="A61" t="s">
        <v>1</v>
      </c>
      <c r="B61" t="s">
        <v>79</v>
      </c>
      <c r="C61" t="b">
        <v>1</v>
      </c>
      <c r="D61" t="s">
        <v>32</v>
      </c>
    </row>
    <row r="62" spans="1:4" x14ac:dyDescent="0.25">
      <c r="A62" t="s">
        <v>0</v>
      </c>
      <c r="B62" t="s">
        <v>79</v>
      </c>
      <c r="C62" t="b">
        <v>1</v>
      </c>
      <c r="D62" t="s">
        <v>33</v>
      </c>
    </row>
    <row r="63" spans="1:4" x14ac:dyDescent="0.25">
      <c r="A63" t="s">
        <v>1</v>
      </c>
      <c r="B63" t="s">
        <v>79</v>
      </c>
      <c r="C63" t="b">
        <v>1</v>
      </c>
      <c r="D63" t="s">
        <v>33</v>
      </c>
    </row>
    <row r="64" spans="1:4" x14ac:dyDescent="0.25">
      <c r="A64" t="s">
        <v>0</v>
      </c>
      <c r="B64" t="s">
        <v>79</v>
      </c>
      <c r="C64" t="b">
        <v>1</v>
      </c>
      <c r="D64" t="s">
        <v>34</v>
      </c>
    </row>
    <row r="65" spans="1:4" x14ac:dyDescent="0.25">
      <c r="A65" t="s">
        <v>1</v>
      </c>
      <c r="B65" t="s">
        <v>79</v>
      </c>
      <c r="C65" t="b">
        <v>1</v>
      </c>
      <c r="D65" t="s">
        <v>34</v>
      </c>
    </row>
    <row r="66" spans="1:4" x14ac:dyDescent="0.25">
      <c r="A66" t="s">
        <v>0</v>
      </c>
      <c r="B66" t="s">
        <v>79</v>
      </c>
      <c r="C66" t="b">
        <v>1</v>
      </c>
      <c r="D66" t="s">
        <v>35</v>
      </c>
    </row>
    <row r="67" spans="1:4" x14ac:dyDescent="0.25">
      <c r="A67" t="s">
        <v>1</v>
      </c>
      <c r="B67" t="s">
        <v>79</v>
      </c>
      <c r="C67" t="b">
        <v>1</v>
      </c>
      <c r="D67" t="s">
        <v>35</v>
      </c>
    </row>
    <row r="68" spans="1:4" x14ac:dyDescent="0.25">
      <c r="A68" t="s">
        <v>0</v>
      </c>
      <c r="B68" t="s">
        <v>79</v>
      </c>
      <c r="C68" t="b">
        <v>1</v>
      </c>
      <c r="D68" t="s">
        <v>36</v>
      </c>
    </row>
    <row r="69" spans="1:4" x14ac:dyDescent="0.25">
      <c r="A69" t="s">
        <v>1</v>
      </c>
      <c r="B69" t="s">
        <v>79</v>
      </c>
      <c r="C69" t="b">
        <v>1</v>
      </c>
      <c r="D69" t="s">
        <v>36</v>
      </c>
    </row>
    <row r="70" spans="1:4" x14ac:dyDescent="0.25">
      <c r="A70" t="s">
        <v>0</v>
      </c>
      <c r="B70" t="s">
        <v>79</v>
      </c>
      <c r="C70" t="b">
        <v>1</v>
      </c>
      <c r="D70" t="s">
        <v>37</v>
      </c>
    </row>
    <row r="71" spans="1:4" x14ac:dyDescent="0.25">
      <c r="A71" t="s">
        <v>1</v>
      </c>
      <c r="B71" t="s">
        <v>79</v>
      </c>
      <c r="C71" t="b">
        <v>1</v>
      </c>
      <c r="D71" t="s">
        <v>37</v>
      </c>
    </row>
    <row r="72" spans="1:4" x14ac:dyDescent="0.25">
      <c r="A72" t="s">
        <v>0</v>
      </c>
      <c r="B72" t="s">
        <v>79</v>
      </c>
      <c r="C72" t="b">
        <v>1</v>
      </c>
      <c r="D72" t="s">
        <v>38</v>
      </c>
    </row>
    <row r="73" spans="1:4" x14ac:dyDescent="0.25">
      <c r="A73" t="s">
        <v>1</v>
      </c>
      <c r="B73" t="s">
        <v>79</v>
      </c>
      <c r="C73" t="b">
        <v>1</v>
      </c>
      <c r="D73" t="s">
        <v>38</v>
      </c>
    </row>
    <row r="74" spans="1:4" x14ac:dyDescent="0.25">
      <c r="A74" t="s">
        <v>0</v>
      </c>
      <c r="B74" t="s">
        <v>79</v>
      </c>
      <c r="C74" t="b">
        <v>1</v>
      </c>
      <c r="D74" t="s">
        <v>39</v>
      </c>
    </row>
    <row r="75" spans="1:4" x14ac:dyDescent="0.25">
      <c r="A75" t="s">
        <v>1</v>
      </c>
      <c r="B75" t="s">
        <v>79</v>
      </c>
      <c r="C75" t="b">
        <v>1</v>
      </c>
      <c r="D75" t="s">
        <v>39</v>
      </c>
    </row>
    <row r="76" spans="1:4" x14ac:dyDescent="0.25">
      <c r="A76" t="s">
        <v>0</v>
      </c>
      <c r="B76" t="s">
        <v>79</v>
      </c>
      <c r="C76" t="b">
        <v>1</v>
      </c>
      <c r="D76" t="s">
        <v>40</v>
      </c>
    </row>
    <row r="77" spans="1:4" x14ac:dyDescent="0.25">
      <c r="A77" t="s">
        <v>1</v>
      </c>
      <c r="B77" t="s">
        <v>79</v>
      </c>
      <c r="C77" t="b">
        <v>1</v>
      </c>
      <c r="D77" t="s">
        <v>40</v>
      </c>
    </row>
    <row r="78" spans="1:4" x14ac:dyDescent="0.25">
      <c r="A78" t="s">
        <v>0</v>
      </c>
      <c r="B78" t="s">
        <v>79</v>
      </c>
      <c r="C78" t="b">
        <v>1</v>
      </c>
      <c r="D78" t="s">
        <v>41</v>
      </c>
    </row>
    <row r="79" spans="1:4" x14ac:dyDescent="0.25">
      <c r="A79" t="s">
        <v>1</v>
      </c>
      <c r="B79" t="s">
        <v>79</v>
      </c>
      <c r="C79" t="b">
        <v>1</v>
      </c>
      <c r="D79" t="s">
        <v>41</v>
      </c>
    </row>
    <row r="80" spans="1:4" x14ac:dyDescent="0.25">
      <c r="A80" t="s">
        <v>0</v>
      </c>
      <c r="B80" t="s">
        <v>79</v>
      </c>
      <c r="C80" t="b">
        <v>1</v>
      </c>
      <c r="D80" t="s">
        <v>42</v>
      </c>
    </row>
    <row r="81" spans="1:4" x14ac:dyDescent="0.25">
      <c r="A81" t="s">
        <v>1</v>
      </c>
      <c r="B81" t="s">
        <v>79</v>
      </c>
      <c r="C81" t="b">
        <v>1</v>
      </c>
      <c r="D81" t="s">
        <v>42</v>
      </c>
    </row>
    <row r="82" spans="1:4" x14ac:dyDescent="0.25">
      <c r="A82" t="s">
        <v>0</v>
      </c>
      <c r="B82" t="s">
        <v>79</v>
      </c>
      <c r="C82" t="b">
        <v>1</v>
      </c>
      <c r="D82" t="s">
        <v>43</v>
      </c>
    </row>
    <row r="83" spans="1:4" x14ac:dyDescent="0.25">
      <c r="A83" t="s">
        <v>1</v>
      </c>
      <c r="B83" t="s">
        <v>79</v>
      </c>
      <c r="C83" t="b">
        <v>1</v>
      </c>
      <c r="D83" t="s">
        <v>43</v>
      </c>
    </row>
    <row r="84" spans="1:4" x14ac:dyDescent="0.25">
      <c r="A84" t="s">
        <v>0</v>
      </c>
      <c r="B84" t="s">
        <v>79</v>
      </c>
      <c r="C84" t="b">
        <v>1</v>
      </c>
      <c r="D84" t="s">
        <v>44</v>
      </c>
    </row>
    <row r="85" spans="1:4" x14ac:dyDescent="0.25">
      <c r="A85" t="s">
        <v>1</v>
      </c>
      <c r="B85" t="s">
        <v>79</v>
      </c>
      <c r="C85" t="b">
        <v>1</v>
      </c>
      <c r="D85" t="s">
        <v>44</v>
      </c>
    </row>
    <row r="86" spans="1:4" x14ac:dyDescent="0.25">
      <c r="A86" t="s">
        <v>0</v>
      </c>
      <c r="B86" t="s">
        <v>79</v>
      </c>
      <c r="C86" t="b">
        <v>1</v>
      </c>
      <c r="D86" t="s">
        <v>45</v>
      </c>
    </row>
    <row r="87" spans="1:4" x14ac:dyDescent="0.25">
      <c r="A87" t="s">
        <v>1</v>
      </c>
      <c r="B87" t="s">
        <v>79</v>
      </c>
      <c r="C87" t="b">
        <v>1</v>
      </c>
      <c r="D87" t="s">
        <v>45</v>
      </c>
    </row>
    <row r="88" spans="1:4" x14ac:dyDescent="0.25">
      <c r="A88" t="s">
        <v>0</v>
      </c>
      <c r="B88" t="s">
        <v>79</v>
      </c>
      <c r="C88" t="b">
        <v>1</v>
      </c>
      <c r="D88" t="s">
        <v>46</v>
      </c>
    </row>
    <row r="89" spans="1:4" x14ac:dyDescent="0.25">
      <c r="A89" t="s">
        <v>1</v>
      </c>
      <c r="B89" t="s">
        <v>79</v>
      </c>
      <c r="C89" t="b">
        <v>1</v>
      </c>
      <c r="D89" t="s">
        <v>46</v>
      </c>
    </row>
    <row r="90" spans="1:4" x14ac:dyDescent="0.25">
      <c r="A90" t="s">
        <v>0</v>
      </c>
      <c r="B90" t="s">
        <v>79</v>
      </c>
      <c r="C90" t="b">
        <v>1</v>
      </c>
      <c r="D90" t="s">
        <v>47</v>
      </c>
    </row>
    <row r="91" spans="1:4" x14ac:dyDescent="0.25">
      <c r="A91" t="s">
        <v>1</v>
      </c>
      <c r="B91" t="s">
        <v>79</v>
      </c>
      <c r="C91" t="b">
        <v>1</v>
      </c>
      <c r="D91" t="s">
        <v>47</v>
      </c>
    </row>
    <row r="92" spans="1:4" x14ac:dyDescent="0.25">
      <c r="A92" t="s">
        <v>0</v>
      </c>
      <c r="B92" t="s">
        <v>79</v>
      </c>
      <c r="C92" t="b">
        <v>1</v>
      </c>
      <c r="D92" t="s">
        <v>48</v>
      </c>
    </row>
    <row r="93" spans="1:4" x14ac:dyDescent="0.25">
      <c r="A93" t="s">
        <v>1</v>
      </c>
      <c r="B93" t="s">
        <v>79</v>
      </c>
      <c r="C93" t="b">
        <v>1</v>
      </c>
      <c r="D93" t="s">
        <v>48</v>
      </c>
    </row>
    <row r="94" spans="1:4" x14ac:dyDescent="0.25">
      <c r="A94" t="s">
        <v>0</v>
      </c>
      <c r="B94" t="s">
        <v>79</v>
      </c>
      <c r="C94" t="b">
        <v>1</v>
      </c>
      <c r="D94" t="s">
        <v>49</v>
      </c>
    </row>
    <row r="95" spans="1:4" x14ac:dyDescent="0.25">
      <c r="A95" t="s">
        <v>1</v>
      </c>
      <c r="B95" t="s">
        <v>79</v>
      </c>
      <c r="C95" t="b">
        <v>1</v>
      </c>
      <c r="D95" t="s">
        <v>49</v>
      </c>
    </row>
    <row r="96" spans="1:4" x14ac:dyDescent="0.25">
      <c r="A96" t="s">
        <v>0</v>
      </c>
      <c r="B96" t="s">
        <v>79</v>
      </c>
      <c r="C96" t="b">
        <v>1</v>
      </c>
      <c r="D96" t="s">
        <v>50</v>
      </c>
    </row>
    <row r="97" spans="1:4" x14ac:dyDescent="0.25">
      <c r="A97" t="s">
        <v>1</v>
      </c>
      <c r="B97" t="s">
        <v>79</v>
      </c>
      <c r="C97" t="b">
        <v>1</v>
      </c>
      <c r="D97" t="s">
        <v>50</v>
      </c>
    </row>
    <row r="98" spans="1:4" x14ac:dyDescent="0.25">
      <c r="A98" t="s">
        <v>0</v>
      </c>
      <c r="B98" t="s">
        <v>79</v>
      </c>
      <c r="C98" t="b">
        <v>1</v>
      </c>
      <c r="D98" t="s">
        <v>51</v>
      </c>
    </row>
    <row r="99" spans="1:4" x14ac:dyDescent="0.25">
      <c r="A99" t="s">
        <v>1</v>
      </c>
      <c r="B99" t="s">
        <v>79</v>
      </c>
      <c r="C99" t="b">
        <v>1</v>
      </c>
      <c r="D99" t="s">
        <v>51</v>
      </c>
    </row>
    <row r="100" spans="1:4" x14ac:dyDescent="0.25">
      <c r="A100" t="s">
        <v>0</v>
      </c>
      <c r="B100" t="s">
        <v>79</v>
      </c>
      <c r="C100" t="b">
        <v>1</v>
      </c>
      <c r="D100" t="s">
        <v>52</v>
      </c>
    </row>
    <row r="101" spans="1:4" x14ac:dyDescent="0.25">
      <c r="A101" t="s">
        <v>1</v>
      </c>
      <c r="B101" t="s">
        <v>79</v>
      </c>
      <c r="C101" t="b">
        <v>1</v>
      </c>
      <c r="D101" t="s">
        <v>52</v>
      </c>
    </row>
    <row r="102" spans="1:4" x14ac:dyDescent="0.25">
      <c r="A102" t="s">
        <v>0</v>
      </c>
      <c r="B102" t="s">
        <v>79</v>
      </c>
      <c r="C102" t="b">
        <v>1</v>
      </c>
      <c r="D102" t="s">
        <v>53</v>
      </c>
    </row>
    <row r="103" spans="1:4" x14ac:dyDescent="0.25">
      <c r="A103" t="s">
        <v>1</v>
      </c>
      <c r="B103" t="s">
        <v>79</v>
      </c>
      <c r="C103" t="b">
        <v>1</v>
      </c>
      <c r="D103" t="s">
        <v>53</v>
      </c>
    </row>
    <row r="104" spans="1:4" x14ac:dyDescent="0.25">
      <c r="A104" t="s">
        <v>0</v>
      </c>
      <c r="B104" t="s">
        <v>79</v>
      </c>
      <c r="C104" t="b">
        <v>1</v>
      </c>
      <c r="D104" t="s">
        <v>54</v>
      </c>
    </row>
    <row r="105" spans="1:4" x14ac:dyDescent="0.25">
      <c r="A105" t="s">
        <v>1</v>
      </c>
      <c r="B105" t="s">
        <v>79</v>
      </c>
      <c r="C105" t="b">
        <v>1</v>
      </c>
      <c r="D105" t="s">
        <v>54</v>
      </c>
    </row>
    <row r="106" spans="1:4" x14ac:dyDescent="0.25">
      <c r="A106" t="s">
        <v>0</v>
      </c>
      <c r="B106" t="s">
        <v>79</v>
      </c>
      <c r="C106" t="b">
        <v>1</v>
      </c>
      <c r="D106" t="s">
        <v>55</v>
      </c>
    </row>
    <row r="107" spans="1:4" x14ac:dyDescent="0.25">
      <c r="A107" t="s">
        <v>1</v>
      </c>
      <c r="B107" t="s">
        <v>79</v>
      </c>
      <c r="C107" t="b">
        <v>1</v>
      </c>
      <c r="D107" t="s">
        <v>55</v>
      </c>
    </row>
    <row r="108" spans="1:4" x14ac:dyDescent="0.25">
      <c r="A108" t="s">
        <v>0</v>
      </c>
      <c r="B108" t="s">
        <v>79</v>
      </c>
      <c r="C108" t="b">
        <v>1</v>
      </c>
      <c r="D108" t="s">
        <v>56</v>
      </c>
    </row>
    <row r="109" spans="1:4" x14ac:dyDescent="0.25">
      <c r="A109" t="s">
        <v>1</v>
      </c>
      <c r="B109" t="s">
        <v>79</v>
      </c>
      <c r="C109" t="b">
        <v>1</v>
      </c>
      <c r="D109" t="s">
        <v>56</v>
      </c>
    </row>
    <row r="110" spans="1:4" x14ac:dyDescent="0.25">
      <c r="A110" t="s">
        <v>0</v>
      </c>
      <c r="B110" t="s">
        <v>79</v>
      </c>
      <c r="C110" t="b">
        <v>1</v>
      </c>
      <c r="D110" t="s">
        <v>57</v>
      </c>
    </row>
    <row r="111" spans="1:4" x14ac:dyDescent="0.25">
      <c r="A111" t="s">
        <v>1</v>
      </c>
      <c r="B111" t="s">
        <v>79</v>
      </c>
      <c r="C111" t="b">
        <v>1</v>
      </c>
      <c r="D111" t="s">
        <v>57</v>
      </c>
    </row>
    <row r="112" spans="1:4" x14ac:dyDescent="0.25">
      <c r="A112" t="s">
        <v>0</v>
      </c>
      <c r="B112" t="s">
        <v>79</v>
      </c>
      <c r="C112" t="b">
        <v>1</v>
      </c>
      <c r="D112" t="s">
        <v>58</v>
      </c>
    </row>
    <row r="113" spans="1:4" x14ac:dyDescent="0.25">
      <c r="A113" t="s">
        <v>1</v>
      </c>
      <c r="B113" t="s">
        <v>79</v>
      </c>
      <c r="C113" t="b">
        <v>1</v>
      </c>
      <c r="D113" t="s">
        <v>58</v>
      </c>
    </row>
    <row r="114" spans="1:4" x14ac:dyDescent="0.25">
      <c r="A114" t="s">
        <v>0</v>
      </c>
      <c r="B114" t="s">
        <v>79</v>
      </c>
      <c r="C114" t="b">
        <v>1</v>
      </c>
      <c r="D114" t="s">
        <v>59</v>
      </c>
    </row>
    <row r="115" spans="1:4" x14ac:dyDescent="0.25">
      <c r="A115" t="s">
        <v>1</v>
      </c>
      <c r="B115" t="s">
        <v>79</v>
      </c>
      <c r="C115" t="b">
        <v>1</v>
      </c>
      <c r="D115" t="s">
        <v>59</v>
      </c>
    </row>
    <row r="116" spans="1:4" x14ac:dyDescent="0.25">
      <c r="A116" t="s">
        <v>0</v>
      </c>
      <c r="B116" t="s">
        <v>79</v>
      </c>
      <c r="C116" t="b">
        <v>1</v>
      </c>
      <c r="D116" t="s">
        <v>60</v>
      </c>
    </row>
    <row r="117" spans="1:4" x14ac:dyDescent="0.25">
      <c r="A117" t="s">
        <v>1</v>
      </c>
      <c r="B117" t="s">
        <v>79</v>
      </c>
      <c r="C117" t="b">
        <v>1</v>
      </c>
      <c r="D117" t="s">
        <v>60</v>
      </c>
    </row>
    <row r="118" spans="1:4" x14ac:dyDescent="0.25">
      <c r="A118" t="s">
        <v>0</v>
      </c>
      <c r="B118" t="s">
        <v>79</v>
      </c>
      <c r="C118" t="b">
        <v>1</v>
      </c>
      <c r="D118" t="s">
        <v>61</v>
      </c>
    </row>
    <row r="119" spans="1:4" x14ac:dyDescent="0.25">
      <c r="A119" t="s">
        <v>1</v>
      </c>
      <c r="B119" t="s">
        <v>79</v>
      </c>
      <c r="C119" t="b">
        <v>1</v>
      </c>
      <c r="D119" t="s">
        <v>61</v>
      </c>
    </row>
    <row r="120" spans="1:4" x14ac:dyDescent="0.25">
      <c r="A120" t="s">
        <v>0</v>
      </c>
      <c r="B120" t="s">
        <v>79</v>
      </c>
      <c r="C120" t="b">
        <v>1</v>
      </c>
      <c r="D120" t="s">
        <v>62</v>
      </c>
    </row>
    <row r="121" spans="1:4" x14ac:dyDescent="0.25">
      <c r="A121" t="s">
        <v>1</v>
      </c>
      <c r="B121" t="s">
        <v>79</v>
      </c>
      <c r="C121" t="b">
        <v>1</v>
      </c>
      <c r="D121" t="s">
        <v>62</v>
      </c>
    </row>
    <row r="122" spans="1:4" x14ac:dyDescent="0.25">
      <c r="A122" t="s">
        <v>0</v>
      </c>
      <c r="B122" t="s">
        <v>79</v>
      </c>
      <c r="C122" t="b">
        <v>1</v>
      </c>
      <c r="D122" t="s">
        <v>63</v>
      </c>
    </row>
    <row r="123" spans="1:4" x14ac:dyDescent="0.25">
      <c r="A123" t="s">
        <v>1</v>
      </c>
      <c r="B123" t="s">
        <v>79</v>
      </c>
      <c r="C123" t="b">
        <v>1</v>
      </c>
      <c r="D123" t="s">
        <v>63</v>
      </c>
    </row>
    <row r="124" spans="1:4" x14ac:dyDescent="0.25">
      <c r="A124" t="s">
        <v>0</v>
      </c>
      <c r="B124" t="s">
        <v>79</v>
      </c>
      <c r="C124" t="b">
        <v>1</v>
      </c>
      <c r="D124" t="s">
        <v>64</v>
      </c>
    </row>
    <row r="125" spans="1:4" x14ac:dyDescent="0.25">
      <c r="A125" t="s">
        <v>1</v>
      </c>
      <c r="B125" t="s">
        <v>79</v>
      </c>
      <c r="C125" t="b">
        <v>1</v>
      </c>
      <c r="D125" t="s">
        <v>64</v>
      </c>
    </row>
    <row r="126" spans="1:4" x14ac:dyDescent="0.25">
      <c r="A126" t="s">
        <v>0</v>
      </c>
      <c r="B126" t="s">
        <v>79</v>
      </c>
      <c r="C126" t="b">
        <v>1</v>
      </c>
      <c r="D126" t="s">
        <v>65</v>
      </c>
    </row>
    <row r="127" spans="1:4" x14ac:dyDescent="0.25">
      <c r="A127" t="s">
        <v>1</v>
      </c>
      <c r="B127" t="s">
        <v>79</v>
      </c>
      <c r="C127" t="b">
        <v>1</v>
      </c>
      <c r="D127" t="s">
        <v>65</v>
      </c>
    </row>
    <row r="128" spans="1:4" x14ac:dyDescent="0.25">
      <c r="A128" t="s">
        <v>0</v>
      </c>
      <c r="B128" t="s">
        <v>79</v>
      </c>
      <c r="C128" t="b">
        <v>1</v>
      </c>
      <c r="D128" t="s">
        <v>66</v>
      </c>
    </row>
    <row r="129" spans="1:4" x14ac:dyDescent="0.25">
      <c r="A129" t="s">
        <v>1</v>
      </c>
      <c r="B129" t="s">
        <v>79</v>
      </c>
      <c r="C129" t="b">
        <v>1</v>
      </c>
      <c r="D129" t="s">
        <v>66</v>
      </c>
    </row>
    <row r="130" spans="1:4" x14ac:dyDescent="0.25">
      <c r="A130" t="s">
        <v>0</v>
      </c>
      <c r="B130" t="s">
        <v>79</v>
      </c>
      <c r="C130" t="b">
        <v>1</v>
      </c>
      <c r="D130" t="s">
        <v>67</v>
      </c>
    </row>
    <row r="131" spans="1:4" x14ac:dyDescent="0.25">
      <c r="A131" t="s">
        <v>1</v>
      </c>
      <c r="B131" t="s">
        <v>79</v>
      </c>
      <c r="C131" t="b">
        <v>1</v>
      </c>
      <c r="D131" t="s">
        <v>67</v>
      </c>
    </row>
    <row r="132" spans="1:4" x14ac:dyDescent="0.25">
      <c r="A132" t="s">
        <v>0</v>
      </c>
      <c r="B132" t="s">
        <v>79</v>
      </c>
      <c r="C132" t="b">
        <v>1</v>
      </c>
      <c r="D132" t="s">
        <v>68</v>
      </c>
    </row>
    <row r="133" spans="1:4" x14ac:dyDescent="0.25">
      <c r="A133" t="s">
        <v>1</v>
      </c>
      <c r="B133" t="s">
        <v>79</v>
      </c>
      <c r="C133" t="b">
        <v>1</v>
      </c>
      <c r="D133" t="s">
        <v>68</v>
      </c>
    </row>
    <row r="134" spans="1:4" x14ac:dyDescent="0.25">
      <c r="A134" t="s">
        <v>0</v>
      </c>
      <c r="B134" t="s">
        <v>79</v>
      </c>
      <c r="C134" t="b">
        <v>1</v>
      </c>
      <c r="D134" t="s">
        <v>69</v>
      </c>
    </row>
    <row r="135" spans="1:4" x14ac:dyDescent="0.25">
      <c r="A135" t="s">
        <v>1</v>
      </c>
      <c r="B135" t="s">
        <v>79</v>
      </c>
      <c r="C135" t="b">
        <v>1</v>
      </c>
      <c r="D135" t="s">
        <v>69</v>
      </c>
    </row>
    <row r="136" spans="1:4" x14ac:dyDescent="0.25">
      <c r="A136" t="s">
        <v>0</v>
      </c>
      <c r="B136" t="s">
        <v>79</v>
      </c>
      <c r="C136" t="b">
        <v>1</v>
      </c>
      <c r="D136" t="s">
        <v>70</v>
      </c>
    </row>
    <row r="137" spans="1:4" x14ac:dyDescent="0.25">
      <c r="A137" t="s">
        <v>1</v>
      </c>
      <c r="B137" t="s">
        <v>79</v>
      </c>
      <c r="C137" t="b">
        <v>1</v>
      </c>
      <c r="D137" t="s">
        <v>70</v>
      </c>
    </row>
    <row r="138" spans="1:4" x14ac:dyDescent="0.25">
      <c r="A138" t="s">
        <v>0</v>
      </c>
      <c r="B138" t="s">
        <v>79</v>
      </c>
      <c r="C138" t="b">
        <v>1</v>
      </c>
      <c r="D138" t="s">
        <v>71</v>
      </c>
    </row>
    <row r="139" spans="1:4" x14ac:dyDescent="0.25">
      <c r="A139" t="s">
        <v>1</v>
      </c>
      <c r="B139" t="s">
        <v>79</v>
      </c>
      <c r="C139" t="b">
        <v>1</v>
      </c>
      <c r="D139" t="s">
        <v>71</v>
      </c>
    </row>
    <row r="140" spans="1:4" x14ac:dyDescent="0.25">
      <c r="A140" t="s">
        <v>0</v>
      </c>
      <c r="B140" t="s">
        <v>79</v>
      </c>
      <c r="C140" t="b">
        <v>1</v>
      </c>
      <c r="D140" t="s">
        <v>72</v>
      </c>
    </row>
    <row r="141" spans="1:4" x14ac:dyDescent="0.25">
      <c r="A141" t="s">
        <v>1</v>
      </c>
      <c r="B141" t="s">
        <v>79</v>
      </c>
      <c r="C141" t="b">
        <v>1</v>
      </c>
      <c r="D141" t="s">
        <v>72</v>
      </c>
    </row>
    <row r="142" spans="1:4" x14ac:dyDescent="0.25">
      <c r="A142" t="s">
        <v>0</v>
      </c>
      <c r="B142" t="s">
        <v>79</v>
      </c>
      <c r="C142" t="b">
        <v>1</v>
      </c>
      <c r="D142" t="s">
        <v>73</v>
      </c>
    </row>
    <row r="143" spans="1:4" x14ac:dyDescent="0.25">
      <c r="A143" t="s">
        <v>1</v>
      </c>
      <c r="B143" t="s">
        <v>79</v>
      </c>
      <c r="C143" t="b">
        <v>1</v>
      </c>
      <c r="D143" t="s">
        <v>73</v>
      </c>
    </row>
    <row r="144" spans="1:4" x14ac:dyDescent="0.25">
      <c r="A144" t="s">
        <v>0</v>
      </c>
      <c r="B144" t="s">
        <v>79</v>
      </c>
      <c r="C144" t="b">
        <v>1</v>
      </c>
      <c r="D144" t="s">
        <v>26</v>
      </c>
    </row>
    <row r="145" spans="1:4" x14ac:dyDescent="0.25">
      <c r="A145" t="s">
        <v>1</v>
      </c>
      <c r="B145" t="s">
        <v>79</v>
      </c>
      <c r="C145" t="b">
        <v>1</v>
      </c>
      <c r="D145" t="s">
        <v>26</v>
      </c>
    </row>
    <row r="146" spans="1:4" x14ac:dyDescent="0.25">
      <c r="A146" t="s">
        <v>0</v>
      </c>
      <c r="B146" t="s">
        <v>79</v>
      </c>
      <c r="C146" t="b">
        <v>1</v>
      </c>
      <c r="D146" t="s">
        <v>27</v>
      </c>
    </row>
    <row r="147" spans="1:4" x14ac:dyDescent="0.25">
      <c r="A147" t="s">
        <v>1</v>
      </c>
      <c r="B147" t="s">
        <v>79</v>
      </c>
      <c r="C147" t="b">
        <v>1</v>
      </c>
      <c r="D147" t="s">
        <v>27</v>
      </c>
    </row>
    <row r="148" spans="1:4" x14ac:dyDescent="0.25">
      <c r="A148" t="s">
        <v>0</v>
      </c>
      <c r="B148" t="s">
        <v>79</v>
      </c>
      <c r="C148" t="b">
        <v>1</v>
      </c>
      <c r="D148" t="s">
        <v>28</v>
      </c>
    </row>
    <row r="149" spans="1:4" x14ac:dyDescent="0.25">
      <c r="A149" t="s">
        <v>1</v>
      </c>
      <c r="B149" t="s">
        <v>79</v>
      </c>
      <c r="C149" t="b">
        <v>1</v>
      </c>
      <c r="D149" t="s">
        <v>28</v>
      </c>
    </row>
    <row r="150" spans="1:4" x14ac:dyDescent="0.25">
      <c r="A150" t="s">
        <v>0</v>
      </c>
      <c r="B150" t="s">
        <v>79</v>
      </c>
      <c r="C150" t="b">
        <v>1</v>
      </c>
      <c r="D150" t="s">
        <v>29</v>
      </c>
    </row>
    <row r="151" spans="1:4" x14ac:dyDescent="0.25">
      <c r="A151" t="s">
        <v>1</v>
      </c>
      <c r="B151" t="s">
        <v>79</v>
      </c>
      <c r="C151" t="b">
        <v>1</v>
      </c>
      <c r="D151" t="s">
        <v>29</v>
      </c>
    </row>
    <row r="152" spans="1:4" x14ac:dyDescent="0.25">
      <c r="A152" t="s">
        <v>0</v>
      </c>
      <c r="B152" t="s">
        <v>79</v>
      </c>
      <c r="C152" t="b">
        <v>1</v>
      </c>
      <c r="D152" t="s">
        <v>30</v>
      </c>
    </row>
    <row r="153" spans="1:4" x14ac:dyDescent="0.25">
      <c r="A153" t="s">
        <v>1</v>
      </c>
      <c r="B153" t="s">
        <v>79</v>
      </c>
      <c r="C153" t="b">
        <v>1</v>
      </c>
      <c r="D153" t="s">
        <v>30</v>
      </c>
    </row>
    <row r="154" spans="1:4" x14ac:dyDescent="0.25">
      <c r="A154" t="s">
        <v>0</v>
      </c>
      <c r="B154" t="s">
        <v>79</v>
      </c>
      <c r="C154" t="b">
        <v>1</v>
      </c>
      <c r="D154" t="s">
        <v>31</v>
      </c>
    </row>
    <row r="155" spans="1:4" x14ac:dyDescent="0.25">
      <c r="A155" t="s">
        <v>1</v>
      </c>
      <c r="B155" t="s">
        <v>79</v>
      </c>
      <c r="C155" t="b">
        <v>1</v>
      </c>
      <c r="D155" t="s">
        <v>31</v>
      </c>
    </row>
    <row r="156" spans="1:4" x14ac:dyDescent="0.25">
      <c r="A156" t="s">
        <v>0</v>
      </c>
      <c r="B156" t="s">
        <v>79</v>
      </c>
      <c r="C156" t="b">
        <v>1</v>
      </c>
      <c r="D156" t="s">
        <v>32</v>
      </c>
    </row>
    <row r="157" spans="1:4" x14ac:dyDescent="0.25">
      <c r="A157" t="s">
        <v>1</v>
      </c>
      <c r="B157" t="s">
        <v>79</v>
      </c>
      <c r="C157" t="b">
        <v>1</v>
      </c>
      <c r="D157" t="s">
        <v>32</v>
      </c>
    </row>
    <row r="158" spans="1:4" x14ac:dyDescent="0.25">
      <c r="A158" t="s">
        <v>0</v>
      </c>
      <c r="B158" t="s">
        <v>79</v>
      </c>
      <c r="C158" t="b">
        <v>1</v>
      </c>
      <c r="D158" t="s">
        <v>33</v>
      </c>
    </row>
    <row r="159" spans="1:4" x14ac:dyDescent="0.25">
      <c r="A159" t="s">
        <v>1</v>
      </c>
      <c r="B159" t="s">
        <v>79</v>
      </c>
      <c r="C159" t="b">
        <v>1</v>
      </c>
      <c r="D159" t="s">
        <v>33</v>
      </c>
    </row>
    <row r="160" spans="1:4" x14ac:dyDescent="0.25">
      <c r="A160" t="s">
        <v>0</v>
      </c>
      <c r="B160" t="s">
        <v>79</v>
      </c>
      <c r="C160" t="b">
        <v>1</v>
      </c>
      <c r="D160" t="s">
        <v>34</v>
      </c>
    </row>
    <row r="161" spans="1:4" x14ac:dyDescent="0.25">
      <c r="A161" t="s">
        <v>1</v>
      </c>
      <c r="B161" t="s">
        <v>79</v>
      </c>
      <c r="C161" t="b">
        <v>1</v>
      </c>
      <c r="D161" t="s">
        <v>34</v>
      </c>
    </row>
    <row r="162" spans="1:4" x14ac:dyDescent="0.25">
      <c r="A162" t="s">
        <v>0</v>
      </c>
      <c r="B162" t="s">
        <v>79</v>
      </c>
      <c r="C162" t="b">
        <v>1</v>
      </c>
      <c r="D162" t="s">
        <v>35</v>
      </c>
    </row>
    <row r="163" spans="1:4" x14ac:dyDescent="0.25">
      <c r="A163" t="s">
        <v>1</v>
      </c>
      <c r="B163" t="s">
        <v>79</v>
      </c>
      <c r="C163" t="b">
        <v>1</v>
      </c>
      <c r="D163" t="s">
        <v>35</v>
      </c>
    </row>
    <row r="164" spans="1:4" x14ac:dyDescent="0.25">
      <c r="A164" t="s">
        <v>0</v>
      </c>
      <c r="B164" t="s">
        <v>79</v>
      </c>
      <c r="C164" t="b">
        <v>1</v>
      </c>
      <c r="D164" t="s">
        <v>36</v>
      </c>
    </row>
    <row r="165" spans="1:4" x14ac:dyDescent="0.25">
      <c r="A165" t="s">
        <v>1</v>
      </c>
      <c r="B165" t="s">
        <v>79</v>
      </c>
      <c r="C165" t="b">
        <v>1</v>
      </c>
      <c r="D165" t="s">
        <v>36</v>
      </c>
    </row>
    <row r="166" spans="1:4" x14ac:dyDescent="0.25">
      <c r="A166" t="s">
        <v>0</v>
      </c>
      <c r="B166" t="s">
        <v>79</v>
      </c>
      <c r="C166" t="b">
        <v>1</v>
      </c>
      <c r="D166" t="s">
        <v>37</v>
      </c>
    </row>
    <row r="167" spans="1:4" x14ac:dyDescent="0.25">
      <c r="A167" t="s">
        <v>1</v>
      </c>
      <c r="B167" t="s">
        <v>79</v>
      </c>
      <c r="C167" t="b">
        <v>1</v>
      </c>
      <c r="D167" t="s">
        <v>37</v>
      </c>
    </row>
    <row r="168" spans="1:4" x14ac:dyDescent="0.25">
      <c r="A168" t="s">
        <v>0</v>
      </c>
      <c r="B168" t="s">
        <v>79</v>
      </c>
      <c r="C168" t="b">
        <v>1</v>
      </c>
      <c r="D168" t="s">
        <v>38</v>
      </c>
    </row>
    <row r="169" spans="1:4" x14ac:dyDescent="0.25">
      <c r="A169" t="s">
        <v>1</v>
      </c>
      <c r="B169" t="s">
        <v>79</v>
      </c>
      <c r="C169" t="b">
        <v>1</v>
      </c>
      <c r="D169" t="s">
        <v>38</v>
      </c>
    </row>
    <row r="170" spans="1:4" x14ac:dyDescent="0.25">
      <c r="A170" t="s">
        <v>0</v>
      </c>
      <c r="B170" t="s">
        <v>79</v>
      </c>
      <c r="C170" t="b">
        <v>1</v>
      </c>
      <c r="D170" t="s">
        <v>39</v>
      </c>
    </row>
    <row r="171" spans="1:4" x14ac:dyDescent="0.25">
      <c r="A171" t="s">
        <v>1</v>
      </c>
      <c r="B171" t="s">
        <v>79</v>
      </c>
      <c r="C171" t="b">
        <v>1</v>
      </c>
      <c r="D171" t="s">
        <v>39</v>
      </c>
    </row>
    <row r="172" spans="1:4" x14ac:dyDescent="0.25">
      <c r="A172" t="s">
        <v>0</v>
      </c>
      <c r="B172" t="s">
        <v>79</v>
      </c>
      <c r="C172" t="b">
        <v>1</v>
      </c>
      <c r="D172" t="s">
        <v>40</v>
      </c>
    </row>
    <row r="173" spans="1:4" x14ac:dyDescent="0.25">
      <c r="A173" t="s">
        <v>1</v>
      </c>
      <c r="B173" t="s">
        <v>79</v>
      </c>
      <c r="C173" t="b">
        <v>1</v>
      </c>
      <c r="D173" t="s">
        <v>40</v>
      </c>
    </row>
    <row r="174" spans="1:4" x14ac:dyDescent="0.25">
      <c r="A174" t="s">
        <v>0</v>
      </c>
      <c r="B174" t="s">
        <v>79</v>
      </c>
      <c r="C174" t="b">
        <v>1</v>
      </c>
      <c r="D174" t="s">
        <v>41</v>
      </c>
    </row>
    <row r="175" spans="1:4" x14ac:dyDescent="0.25">
      <c r="A175" t="s">
        <v>1</v>
      </c>
      <c r="B175" t="s">
        <v>79</v>
      </c>
      <c r="C175" t="b">
        <v>1</v>
      </c>
      <c r="D175" t="s">
        <v>41</v>
      </c>
    </row>
    <row r="176" spans="1:4" x14ac:dyDescent="0.25">
      <c r="A176" t="s">
        <v>0</v>
      </c>
      <c r="B176" t="s">
        <v>79</v>
      </c>
      <c r="C176" t="b">
        <v>1</v>
      </c>
      <c r="D176" t="s">
        <v>42</v>
      </c>
    </row>
    <row r="177" spans="1:4" x14ac:dyDescent="0.25">
      <c r="A177" t="s">
        <v>1</v>
      </c>
      <c r="B177" t="s">
        <v>79</v>
      </c>
      <c r="C177" t="b">
        <v>1</v>
      </c>
      <c r="D177" t="s">
        <v>42</v>
      </c>
    </row>
    <row r="178" spans="1:4" x14ac:dyDescent="0.25">
      <c r="A178" t="s">
        <v>0</v>
      </c>
      <c r="B178" t="s">
        <v>79</v>
      </c>
      <c r="C178" t="b">
        <v>1</v>
      </c>
      <c r="D178" t="s">
        <v>43</v>
      </c>
    </row>
    <row r="179" spans="1:4" x14ac:dyDescent="0.25">
      <c r="A179" t="s">
        <v>1</v>
      </c>
      <c r="B179" t="s">
        <v>79</v>
      </c>
      <c r="C179" t="b">
        <v>1</v>
      </c>
      <c r="D179" t="s">
        <v>43</v>
      </c>
    </row>
    <row r="180" spans="1:4" x14ac:dyDescent="0.25">
      <c r="A180" t="s">
        <v>0</v>
      </c>
      <c r="B180" t="s">
        <v>79</v>
      </c>
      <c r="C180" t="b">
        <v>1</v>
      </c>
      <c r="D180" t="s">
        <v>44</v>
      </c>
    </row>
    <row r="181" spans="1:4" x14ac:dyDescent="0.25">
      <c r="A181" t="s">
        <v>1</v>
      </c>
      <c r="B181" t="s">
        <v>79</v>
      </c>
      <c r="C181" t="b">
        <v>1</v>
      </c>
      <c r="D181" t="s">
        <v>44</v>
      </c>
    </row>
    <row r="182" spans="1:4" x14ac:dyDescent="0.25">
      <c r="A182" t="s">
        <v>0</v>
      </c>
      <c r="B182" t="s">
        <v>79</v>
      </c>
      <c r="C182" t="b">
        <v>1</v>
      </c>
      <c r="D182" t="s">
        <v>45</v>
      </c>
    </row>
    <row r="183" spans="1:4" x14ac:dyDescent="0.25">
      <c r="A183" t="s">
        <v>1</v>
      </c>
      <c r="B183" t="s">
        <v>79</v>
      </c>
      <c r="C183" t="b">
        <v>1</v>
      </c>
      <c r="D183" t="s">
        <v>45</v>
      </c>
    </row>
    <row r="184" spans="1:4" x14ac:dyDescent="0.25">
      <c r="A184" t="s">
        <v>0</v>
      </c>
      <c r="B184" t="s">
        <v>79</v>
      </c>
      <c r="C184" t="b">
        <v>1</v>
      </c>
      <c r="D184" t="s">
        <v>46</v>
      </c>
    </row>
    <row r="185" spans="1:4" x14ac:dyDescent="0.25">
      <c r="A185" t="s">
        <v>1</v>
      </c>
      <c r="B185" t="s">
        <v>79</v>
      </c>
      <c r="C185" t="b">
        <v>1</v>
      </c>
      <c r="D185" t="s">
        <v>46</v>
      </c>
    </row>
    <row r="186" spans="1:4" x14ac:dyDescent="0.25">
      <c r="A186" t="s">
        <v>0</v>
      </c>
      <c r="B186" t="s">
        <v>79</v>
      </c>
      <c r="C186" t="b">
        <v>1</v>
      </c>
      <c r="D186" t="s">
        <v>47</v>
      </c>
    </row>
    <row r="187" spans="1:4" x14ac:dyDescent="0.25">
      <c r="A187" t="s">
        <v>1</v>
      </c>
      <c r="B187" t="s">
        <v>79</v>
      </c>
      <c r="C187" t="b">
        <v>1</v>
      </c>
      <c r="D187" t="s">
        <v>47</v>
      </c>
    </row>
    <row r="188" spans="1:4" x14ac:dyDescent="0.25">
      <c r="A188" t="s">
        <v>0</v>
      </c>
      <c r="B188" t="s">
        <v>79</v>
      </c>
      <c r="C188" t="b">
        <v>1</v>
      </c>
      <c r="D188" t="s">
        <v>48</v>
      </c>
    </row>
    <row r="189" spans="1:4" x14ac:dyDescent="0.25">
      <c r="A189" t="s">
        <v>1</v>
      </c>
      <c r="B189" t="s">
        <v>79</v>
      </c>
      <c r="C189" t="b">
        <v>1</v>
      </c>
      <c r="D189" t="s">
        <v>48</v>
      </c>
    </row>
    <row r="190" spans="1:4" x14ac:dyDescent="0.25">
      <c r="A190" t="s">
        <v>0</v>
      </c>
      <c r="B190" t="s">
        <v>79</v>
      </c>
      <c r="C190" t="b">
        <v>1</v>
      </c>
      <c r="D190" t="s">
        <v>49</v>
      </c>
    </row>
    <row r="191" spans="1:4" x14ac:dyDescent="0.25">
      <c r="A191" t="s">
        <v>1</v>
      </c>
      <c r="B191" t="s">
        <v>79</v>
      </c>
      <c r="C191" t="b">
        <v>1</v>
      </c>
      <c r="D191" t="s">
        <v>49</v>
      </c>
    </row>
    <row r="192" spans="1:4" x14ac:dyDescent="0.25">
      <c r="A192" t="s">
        <v>0</v>
      </c>
      <c r="B192" t="s">
        <v>79</v>
      </c>
      <c r="C192" t="b">
        <v>1</v>
      </c>
      <c r="D192" t="s">
        <v>50</v>
      </c>
    </row>
    <row r="193" spans="1:4" x14ac:dyDescent="0.25">
      <c r="A193" t="s">
        <v>1</v>
      </c>
      <c r="B193" t="s">
        <v>79</v>
      </c>
      <c r="C193" t="b">
        <v>1</v>
      </c>
      <c r="D193" t="s">
        <v>50</v>
      </c>
    </row>
    <row r="194" spans="1:4" x14ac:dyDescent="0.25">
      <c r="A194" t="s">
        <v>0</v>
      </c>
      <c r="B194" t="s">
        <v>79</v>
      </c>
      <c r="C194" t="b">
        <v>1</v>
      </c>
      <c r="D194" t="s">
        <v>51</v>
      </c>
    </row>
    <row r="195" spans="1:4" x14ac:dyDescent="0.25">
      <c r="A195" t="s">
        <v>1</v>
      </c>
      <c r="B195" t="s">
        <v>79</v>
      </c>
      <c r="C195" t="b">
        <v>1</v>
      </c>
      <c r="D195" t="s">
        <v>51</v>
      </c>
    </row>
    <row r="196" spans="1:4" x14ac:dyDescent="0.25">
      <c r="A196" t="s">
        <v>0</v>
      </c>
      <c r="B196" t="s">
        <v>79</v>
      </c>
      <c r="C196" t="b">
        <v>1</v>
      </c>
      <c r="D196" t="s">
        <v>52</v>
      </c>
    </row>
    <row r="197" spans="1:4" x14ac:dyDescent="0.25">
      <c r="A197" t="s">
        <v>1</v>
      </c>
      <c r="B197" t="s">
        <v>79</v>
      </c>
      <c r="C197" t="b">
        <v>1</v>
      </c>
      <c r="D197" t="s">
        <v>52</v>
      </c>
    </row>
    <row r="198" spans="1:4" x14ac:dyDescent="0.25">
      <c r="A198" t="s">
        <v>0</v>
      </c>
      <c r="B198" t="s">
        <v>79</v>
      </c>
      <c r="C198" t="b">
        <v>1</v>
      </c>
      <c r="D198" t="s">
        <v>53</v>
      </c>
    </row>
    <row r="199" spans="1:4" x14ac:dyDescent="0.25">
      <c r="A199" t="s">
        <v>1</v>
      </c>
      <c r="B199" t="s">
        <v>79</v>
      </c>
      <c r="C199" t="b">
        <v>1</v>
      </c>
      <c r="D199" t="s">
        <v>53</v>
      </c>
    </row>
    <row r="200" spans="1:4" x14ac:dyDescent="0.25">
      <c r="A200" t="s">
        <v>0</v>
      </c>
      <c r="B200" t="s">
        <v>79</v>
      </c>
      <c r="C200" t="b">
        <v>1</v>
      </c>
      <c r="D200" t="s">
        <v>54</v>
      </c>
    </row>
    <row r="201" spans="1:4" x14ac:dyDescent="0.25">
      <c r="A201" t="s">
        <v>1</v>
      </c>
      <c r="B201" t="s">
        <v>79</v>
      </c>
      <c r="C201" t="b">
        <v>1</v>
      </c>
      <c r="D201" t="s">
        <v>54</v>
      </c>
    </row>
    <row r="202" spans="1:4" x14ac:dyDescent="0.25">
      <c r="A202" t="s">
        <v>0</v>
      </c>
      <c r="B202" t="s">
        <v>79</v>
      </c>
      <c r="C202" t="b">
        <v>1</v>
      </c>
      <c r="D202" t="s">
        <v>55</v>
      </c>
    </row>
    <row r="203" spans="1:4" x14ac:dyDescent="0.25">
      <c r="A203" t="s">
        <v>1</v>
      </c>
      <c r="B203" t="s">
        <v>79</v>
      </c>
      <c r="C203" t="b">
        <v>1</v>
      </c>
      <c r="D203" t="s">
        <v>55</v>
      </c>
    </row>
    <row r="204" spans="1:4" x14ac:dyDescent="0.25">
      <c r="A204" t="s">
        <v>0</v>
      </c>
      <c r="B204" t="s">
        <v>79</v>
      </c>
      <c r="C204" t="b">
        <v>1</v>
      </c>
      <c r="D204" t="s">
        <v>56</v>
      </c>
    </row>
    <row r="205" spans="1:4" x14ac:dyDescent="0.25">
      <c r="A205" t="s">
        <v>1</v>
      </c>
      <c r="B205" t="s">
        <v>79</v>
      </c>
      <c r="C205" t="b">
        <v>1</v>
      </c>
      <c r="D205" t="s">
        <v>56</v>
      </c>
    </row>
    <row r="206" spans="1:4" x14ac:dyDescent="0.25">
      <c r="A206" t="s">
        <v>0</v>
      </c>
      <c r="B206" t="s">
        <v>79</v>
      </c>
      <c r="C206" t="b">
        <v>1</v>
      </c>
      <c r="D206" t="s">
        <v>57</v>
      </c>
    </row>
    <row r="207" spans="1:4" x14ac:dyDescent="0.25">
      <c r="A207" t="s">
        <v>1</v>
      </c>
      <c r="B207" t="s">
        <v>79</v>
      </c>
      <c r="C207" t="b">
        <v>1</v>
      </c>
      <c r="D207" t="s">
        <v>57</v>
      </c>
    </row>
    <row r="208" spans="1:4" x14ac:dyDescent="0.25">
      <c r="A208" t="s">
        <v>0</v>
      </c>
      <c r="B208" t="s">
        <v>79</v>
      </c>
      <c r="C208" t="b">
        <v>1</v>
      </c>
      <c r="D208" t="s">
        <v>58</v>
      </c>
    </row>
    <row r="209" spans="1:4" x14ac:dyDescent="0.25">
      <c r="A209" t="s">
        <v>1</v>
      </c>
      <c r="B209" t="s">
        <v>79</v>
      </c>
      <c r="C209" t="b">
        <v>1</v>
      </c>
      <c r="D209" t="s">
        <v>58</v>
      </c>
    </row>
    <row r="210" spans="1:4" x14ac:dyDescent="0.25">
      <c r="A210" t="s">
        <v>0</v>
      </c>
      <c r="B210" t="s">
        <v>79</v>
      </c>
      <c r="C210" t="b">
        <v>1</v>
      </c>
      <c r="D210" t="s">
        <v>59</v>
      </c>
    </row>
    <row r="211" spans="1:4" x14ac:dyDescent="0.25">
      <c r="A211" t="s">
        <v>1</v>
      </c>
      <c r="B211" t="s">
        <v>79</v>
      </c>
      <c r="C211" t="b">
        <v>1</v>
      </c>
      <c r="D211" t="s">
        <v>59</v>
      </c>
    </row>
    <row r="212" spans="1:4" x14ac:dyDescent="0.25">
      <c r="A212" t="s">
        <v>0</v>
      </c>
      <c r="B212" t="s">
        <v>79</v>
      </c>
      <c r="C212" t="b">
        <v>1</v>
      </c>
      <c r="D212" t="s">
        <v>60</v>
      </c>
    </row>
    <row r="213" spans="1:4" x14ac:dyDescent="0.25">
      <c r="A213" t="s">
        <v>1</v>
      </c>
      <c r="B213" t="s">
        <v>79</v>
      </c>
      <c r="C213" t="b">
        <v>1</v>
      </c>
      <c r="D213" t="s">
        <v>60</v>
      </c>
    </row>
    <row r="214" spans="1:4" x14ac:dyDescent="0.25">
      <c r="A214" t="s">
        <v>0</v>
      </c>
      <c r="B214" t="s">
        <v>79</v>
      </c>
      <c r="C214" t="b">
        <v>1</v>
      </c>
      <c r="D214" t="s">
        <v>61</v>
      </c>
    </row>
    <row r="215" spans="1:4" x14ac:dyDescent="0.25">
      <c r="A215" t="s">
        <v>1</v>
      </c>
      <c r="B215" t="s">
        <v>79</v>
      </c>
      <c r="C215" t="b">
        <v>1</v>
      </c>
      <c r="D215" t="s">
        <v>61</v>
      </c>
    </row>
    <row r="216" spans="1:4" x14ac:dyDescent="0.25">
      <c r="A216" t="s">
        <v>0</v>
      </c>
      <c r="B216" t="s">
        <v>79</v>
      </c>
      <c r="C216" t="b">
        <v>1</v>
      </c>
      <c r="D216" t="s">
        <v>62</v>
      </c>
    </row>
    <row r="217" spans="1:4" x14ac:dyDescent="0.25">
      <c r="A217" t="s">
        <v>1</v>
      </c>
      <c r="B217" t="s">
        <v>79</v>
      </c>
      <c r="C217" t="b">
        <v>1</v>
      </c>
      <c r="D217" t="s">
        <v>62</v>
      </c>
    </row>
    <row r="218" spans="1:4" x14ac:dyDescent="0.25">
      <c r="A218" t="s">
        <v>0</v>
      </c>
      <c r="B218" t="s">
        <v>79</v>
      </c>
      <c r="C218" t="b">
        <v>1</v>
      </c>
      <c r="D218" t="s">
        <v>63</v>
      </c>
    </row>
    <row r="219" spans="1:4" x14ac:dyDescent="0.25">
      <c r="A219" t="s">
        <v>1</v>
      </c>
      <c r="B219" t="s">
        <v>79</v>
      </c>
      <c r="C219" t="b">
        <v>1</v>
      </c>
      <c r="D219" t="s">
        <v>63</v>
      </c>
    </row>
    <row r="220" spans="1:4" x14ac:dyDescent="0.25">
      <c r="A220" t="s">
        <v>0</v>
      </c>
      <c r="B220" t="s">
        <v>79</v>
      </c>
      <c r="C220" t="b">
        <v>1</v>
      </c>
      <c r="D220" t="s">
        <v>64</v>
      </c>
    </row>
    <row r="221" spans="1:4" x14ac:dyDescent="0.25">
      <c r="A221" t="s">
        <v>1</v>
      </c>
      <c r="B221" t="s">
        <v>79</v>
      </c>
      <c r="C221" t="b">
        <v>1</v>
      </c>
      <c r="D221" t="s">
        <v>64</v>
      </c>
    </row>
    <row r="222" spans="1:4" x14ac:dyDescent="0.25">
      <c r="A222" t="s">
        <v>0</v>
      </c>
      <c r="B222" t="s">
        <v>79</v>
      </c>
      <c r="C222" t="b">
        <v>1</v>
      </c>
      <c r="D222" t="s">
        <v>65</v>
      </c>
    </row>
    <row r="223" spans="1:4" x14ac:dyDescent="0.25">
      <c r="A223" t="s">
        <v>1</v>
      </c>
      <c r="B223" t="s">
        <v>79</v>
      </c>
      <c r="C223" t="b">
        <v>1</v>
      </c>
      <c r="D223" t="s">
        <v>65</v>
      </c>
    </row>
    <row r="224" spans="1:4" x14ac:dyDescent="0.25">
      <c r="A224" t="s">
        <v>0</v>
      </c>
      <c r="B224" t="s">
        <v>79</v>
      </c>
      <c r="C224" t="b">
        <v>1</v>
      </c>
      <c r="D224" t="s">
        <v>66</v>
      </c>
    </row>
    <row r="225" spans="1:4" x14ac:dyDescent="0.25">
      <c r="A225" t="s">
        <v>1</v>
      </c>
      <c r="B225" t="s">
        <v>79</v>
      </c>
      <c r="C225" t="b">
        <v>1</v>
      </c>
      <c r="D225" t="s">
        <v>66</v>
      </c>
    </row>
    <row r="226" spans="1:4" x14ac:dyDescent="0.25">
      <c r="A226" t="s">
        <v>0</v>
      </c>
      <c r="B226" t="s">
        <v>79</v>
      </c>
      <c r="C226" t="b">
        <v>1</v>
      </c>
      <c r="D226" t="s">
        <v>67</v>
      </c>
    </row>
    <row r="227" spans="1:4" x14ac:dyDescent="0.25">
      <c r="A227" t="s">
        <v>1</v>
      </c>
      <c r="B227" t="s">
        <v>79</v>
      </c>
      <c r="C227" t="b">
        <v>1</v>
      </c>
      <c r="D227" t="s">
        <v>67</v>
      </c>
    </row>
    <row r="228" spans="1:4" x14ac:dyDescent="0.25">
      <c r="A228" t="s">
        <v>0</v>
      </c>
      <c r="B228" t="s">
        <v>79</v>
      </c>
      <c r="C228" t="b">
        <v>1</v>
      </c>
      <c r="D228" t="s">
        <v>68</v>
      </c>
    </row>
    <row r="229" spans="1:4" x14ac:dyDescent="0.25">
      <c r="A229" t="s">
        <v>1</v>
      </c>
      <c r="B229" t="s">
        <v>79</v>
      </c>
      <c r="C229" t="b">
        <v>1</v>
      </c>
      <c r="D229" t="s">
        <v>68</v>
      </c>
    </row>
    <row r="230" spans="1:4" x14ac:dyDescent="0.25">
      <c r="A230" t="s">
        <v>0</v>
      </c>
      <c r="B230" t="s">
        <v>79</v>
      </c>
      <c r="C230" t="b">
        <v>1</v>
      </c>
      <c r="D230" t="s">
        <v>69</v>
      </c>
    </row>
    <row r="231" spans="1:4" x14ac:dyDescent="0.25">
      <c r="A231" t="s">
        <v>1</v>
      </c>
      <c r="B231" t="s">
        <v>79</v>
      </c>
      <c r="C231" t="b">
        <v>1</v>
      </c>
      <c r="D231" t="s">
        <v>69</v>
      </c>
    </row>
    <row r="232" spans="1:4" x14ac:dyDescent="0.25">
      <c r="A232" t="s">
        <v>0</v>
      </c>
      <c r="B232" t="s">
        <v>79</v>
      </c>
      <c r="C232" t="b">
        <v>1</v>
      </c>
      <c r="D232" t="s">
        <v>70</v>
      </c>
    </row>
    <row r="233" spans="1:4" x14ac:dyDescent="0.25">
      <c r="A233" t="s">
        <v>1</v>
      </c>
      <c r="B233" t="s">
        <v>79</v>
      </c>
      <c r="C233" t="b">
        <v>1</v>
      </c>
      <c r="D233" t="s">
        <v>70</v>
      </c>
    </row>
    <row r="234" spans="1:4" x14ac:dyDescent="0.25">
      <c r="A234" t="s">
        <v>0</v>
      </c>
      <c r="B234" t="s">
        <v>79</v>
      </c>
      <c r="C234" t="b">
        <v>1</v>
      </c>
      <c r="D234" t="s">
        <v>71</v>
      </c>
    </row>
    <row r="235" spans="1:4" x14ac:dyDescent="0.25">
      <c r="A235" t="s">
        <v>1</v>
      </c>
      <c r="B235" t="s">
        <v>79</v>
      </c>
      <c r="C235" t="b">
        <v>1</v>
      </c>
      <c r="D235" t="s">
        <v>71</v>
      </c>
    </row>
    <row r="236" spans="1:4" x14ac:dyDescent="0.25">
      <c r="A236" t="s">
        <v>0</v>
      </c>
      <c r="B236" t="s">
        <v>79</v>
      </c>
      <c r="C236" t="b">
        <v>1</v>
      </c>
      <c r="D236" t="s">
        <v>72</v>
      </c>
    </row>
    <row r="237" spans="1:4" x14ac:dyDescent="0.25">
      <c r="A237" t="s">
        <v>1</v>
      </c>
      <c r="B237" t="s">
        <v>79</v>
      </c>
      <c r="C237" t="b">
        <v>1</v>
      </c>
      <c r="D237" t="s">
        <v>72</v>
      </c>
    </row>
    <row r="238" spans="1:4" x14ac:dyDescent="0.25">
      <c r="A238" t="s">
        <v>0</v>
      </c>
      <c r="B238" t="s">
        <v>79</v>
      </c>
      <c r="C238" t="b">
        <v>1</v>
      </c>
      <c r="D238" t="s">
        <v>73</v>
      </c>
    </row>
    <row r="239" spans="1:4" x14ac:dyDescent="0.25">
      <c r="A239" t="s">
        <v>1</v>
      </c>
      <c r="B239" t="s">
        <v>79</v>
      </c>
      <c r="C239" t="b">
        <v>1</v>
      </c>
      <c r="D239" t="s">
        <v>73</v>
      </c>
    </row>
  </sheetData>
  <autoFilter ref="A1:D239" xr:uid="{589C7546-6FC5-4A98-8F56-FEF0F7D2A2C7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589822-12AD-4D43-A67B-6A5EF037B9B3}">
  <sheetPr codeName="Sheet3"/>
  <dimension ref="A1:T239"/>
  <sheetViews>
    <sheetView zoomScale="85" zoomScaleNormal="85" workbookViewId="0">
      <pane ySplit="1" topLeftCell="A214" activePane="bottomLeft" state="frozen"/>
      <selection pane="bottomLeft" activeCell="U2" sqref="U2"/>
    </sheetView>
  </sheetViews>
  <sheetFormatPr defaultRowHeight="15" x14ac:dyDescent="0.25"/>
  <cols>
    <col min="1" max="2" width="12.28515625" customWidth="1"/>
    <col min="3" max="3" width="15.28515625" bestFit="1" customWidth="1"/>
    <col min="4" max="4" width="18.85546875" bestFit="1" customWidth="1"/>
    <col min="5" max="5" width="19" bestFit="1" customWidth="1"/>
    <col min="6" max="6" width="10.7109375" customWidth="1"/>
    <col min="7" max="7" width="14" bestFit="1" customWidth="1"/>
    <col min="8" max="8" width="26.85546875" bestFit="1" customWidth="1"/>
    <col min="9" max="9" width="18.7109375" bestFit="1" customWidth="1"/>
    <col min="10" max="10" width="15.140625" bestFit="1" customWidth="1"/>
    <col min="12" max="12" width="12.85546875" bestFit="1" customWidth="1"/>
    <col min="13" max="13" width="18.85546875" bestFit="1" customWidth="1"/>
    <col min="14" max="14" width="18" bestFit="1" customWidth="1"/>
    <col min="17" max="17" width="15.5703125" bestFit="1" customWidth="1"/>
    <col min="19" max="19" width="12.28515625" bestFit="1" customWidth="1"/>
    <col min="20" max="20" width="27.7109375" bestFit="1" customWidth="1"/>
  </cols>
  <sheetData>
    <row r="1" spans="1:20" x14ac:dyDescent="0.25">
      <c r="A1" s="2" t="s">
        <v>96</v>
      </c>
      <c r="B1" s="2" t="s">
        <v>97</v>
      </c>
      <c r="C1" s="2" t="s">
        <v>140</v>
      </c>
      <c r="D1" s="2" t="s">
        <v>92</v>
      </c>
      <c r="E1" s="2" t="s">
        <v>93</v>
      </c>
      <c r="F1" s="2" t="s">
        <v>95</v>
      </c>
      <c r="G1" s="2" t="s">
        <v>98</v>
      </c>
      <c r="H1" t="s">
        <v>99</v>
      </c>
      <c r="I1" t="s">
        <v>100</v>
      </c>
      <c r="J1" s="2" t="s">
        <v>101</v>
      </c>
      <c r="K1" s="2" t="s">
        <v>102</v>
      </c>
      <c r="L1" t="s">
        <v>103</v>
      </c>
      <c r="M1" t="s">
        <v>104</v>
      </c>
      <c r="N1" t="s">
        <v>105</v>
      </c>
      <c r="O1" t="s">
        <v>106</v>
      </c>
      <c r="P1" t="s">
        <v>107</v>
      </c>
      <c r="Q1" s="2" t="s">
        <v>108</v>
      </c>
      <c r="R1" t="s">
        <v>109</v>
      </c>
      <c r="S1" t="s">
        <v>110</v>
      </c>
      <c r="T1" t="s">
        <v>111</v>
      </c>
    </row>
    <row r="2" spans="1:20" x14ac:dyDescent="0.25">
      <c r="A2" t="s">
        <v>211</v>
      </c>
      <c r="B2" t="s">
        <v>112</v>
      </c>
      <c r="C2" t="s">
        <v>141</v>
      </c>
      <c r="D2" t="s">
        <v>0</v>
      </c>
      <c r="E2" t="s">
        <v>79</v>
      </c>
      <c r="F2" t="s">
        <v>3</v>
      </c>
      <c r="G2" t="str" cm="1">
        <f t="array" ref="G2">_xlfn.IFS(D2="External Scaffolding","External Scaffolding",D2="Loading Bay","Loading Tower",D2="Scaffolding Platform","Birdcage", D2="Supporting Scaffold","Floor Propping")</f>
        <v>External Scaffolding</v>
      </c>
      <c r="H2" s="1" t="str" cm="1">
        <f t="array" ref="H2">_xlfn.IFS(OR(G2="External Scaffolding",G2="Birdcage", G2="Trad Deck", G2="Floor Propping"),"2.0 kN/m² (General Purpose)",G2= "Loading Tower","10.0 kN/m² (Loading Bay)",G2="Rhino Deck","6.0 kN/m² (Rhino Deck)")</f>
        <v>2.0 kN/m² (General Purpose)</v>
      </c>
      <c r="I2" t="str">
        <f>IF(D2="Scaffolding Platform","None","Brick Guards")</f>
        <v>Brick Guards</v>
      </c>
      <c r="J2" t="str">
        <f>IF(OR(G2="Birdcage",G2="Rhino Deck"),"Butted","Positive Tying")</f>
        <v>Positive Tying</v>
      </c>
      <c r="K2">
        <v>1334</v>
      </c>
      <c r="L2" t="str">
        <f>F2</f>
        <v>Garage 1</v>
      </c>
      <c r="M2" t="str">
        <f>D2</f>
        <v>External Scaffolding</v>
      </c>
      <c r="N2" t="str" cm="1">
        <f t="array" ref="N2">_xlfn.IFS(OR(G2="External Scaffolding",G2="Loading Tower", G2="Floor Propping"),"Tube and Fitting",G2="Birdcage","Birdcage", G2="Rhino Deck", "Rhino Deck", G2="Trad Deck", "Trad Deck")</f>
        <v>Tube and Fitting</v>
      </c>
      <c r="P2" t="s">
        <v>113</v>
      </c>
      <c r="Q2" t="str" cm="1">
        <f t="array" ref="Q2">_xlfn.IFS(M2="Loading Bay","15/OPT/1638-001",M2="Supporting Scaffold", "D/2020/23 rev.A",OR(M2&lt;&gt;"Loading Bay",M2&lt;&gt;"Supporting Scaffold"),"TG20:13 Scaffold")</f>
        <v>TG20:13 Scaffold</v>
      </c>
      <c r="T2" t="s">
        <v>114</v>
      </c>
    </row>
    <row r="3" spans="1:20" x14ac:dyDescent="0.25">
      <c r="A3" t="s">
        <v>212</v>
      </c>
      <c r="B3" t="s">
        <v>112</v>
      </c>
      <c r="C3" t="s">
        <v>141</v>
      </c>
      <c r="D3" t="s">
        <v>1</v>
      </c>
      <c r="E3" t="s">
        <v>79</v>
      </c>
      <c r="F3" t="s">
        <v>3</v>
      </c>
      <c r="G3" t="str" cm="1">
        <f t="array" ref="G3">_xlfn.IFS(D3="External Scaffolding","External Scaffolding",D3="Loading Bay","Loading Tower",D3="Scaffolding Platform","Birdcage", D3="Supporting Scaffold","Floor Propping")</f>
        <v>Loading Tower</v>
      </c>
      <c r="H3" s="1" t="str" cm="1">
        <f t="array" ref="H3">_xlfn.IFS(OR(G3="External Scaffolding",G3="Birdcage", G3="Trad Deck", G3="Floor Propping"),"2.0 kN/m² (General Purpose)",G3= "Loading Tower","10.0 kN/m² (Loading Bay)",G3="Rhino Deck","6.0 kN/m² (Rhino Deck)")</f>
        <v>10.0 kN/m² (Loading Bay)</v>
      </c>
      <c r="I3" t="str">
        <f t="shared" ref="I3:I66" si="0">IF(D3="Scaffolding Platform","None","Brick Guards")</f>
        <v>Brick Guards</v>
      </c>
      <c r="J3" t="str">
        <f t="shared" ref="J3:J66" si="1">IF(OR(G3="Birdcage",G3="Rhino Deck"),"Butted","Positive Tying")</f>
        <v>Positive Tying</v>
      </c>
      <c r="K3">
        <v>1334</v>
      </c>
      <c r="L3" t="str">
        <f t="shared" ref="L3:L66" si="2">F3</f>
        <v>Garage 1</v>
      </c>
      <c r="M3" t="str">
        <f t="shared" ref="M3:M66" si="3">D3</f>
        <v>Loading Bay</v>
      </c>
      <c r="N3" t="str" cm="1">
        <f t="array" ref="N3">_xlfn.IFS(OR(G3="External Scaffolding",G3="Loading Tower", G3="Floor Propping"),"Tube and Fitting",G3="Birdcage","Birdcage", G3="Rhino Deck", "Rhino Deck", G3="Trad Deck", "Trad Deck")</f>
        <v>Tube and Fitting</v>
      </c>
      <c r="P3" t="s">
        <v>113</v>
      </c>
      <c r="Q3" t="str" cm="1">
        <f t="array" ref="Q3">_xlfn.IFS(M3="Loading Bay","15/OPT/1638-001",M3="Supporting Scaffold", "D/2020/23 rev.A",OR(M3&lt;&gt;"Loading Bay",M3&lt;&gt;"Supporting Scaffold"),"TG20:13 Scaffold")</f>
        <v>15/OPT/1638-001</v>
      </c>
      <c r="T3" t="s">
        <v>114</v>
      </c>
    </row>
    <row r="4" spans="1:20" x14ac:dyDescent="0.25">
      <c r="A4" t="s">
        <v>213</v>
      </c>
      <c r="B4" t="s">
        <v>112</v>
      </c>
      <c r="C4" t="s">
        <v>141</v>
      </c>
      <c r="D4" t="s">
        <v>0</v>
      </c>
      <c r="E4" t="s">
        <v>79</v>
      </c>
      <c r="F4" t="s">
        <v>4</v>
      </c>
      <c r="G4" t="str" cm="1">
        <f t="array" ref="G4">_xlfn.IFS(D4="External Scaffolding","External Scaffolding",D4="Loading Bay","Loading Tower",D4="Scaffolding Platform","Birdcage", D4="Supporting Scaffold","Floor Propping")</f>
        <v>External Scaffolding</v>
      </c>
      <c r="H4" s="1" t="str" cm="1">
        <f t="array" ref="H4">_xlfn.IFS(OR(G4="External Scaffolding",G4="Birdcage", G4="Trad Deck", G4="Floor Propping"),"2.0 kN/m² (General Purpose)",G4= "Loading Tower","10.0 kN/m² (Loading Bay)",G4="Rhino Deck","6.0 kN/m² (Rhino Deck)")</f>
        <v>2.0 kN/m² (General Purpose)</v>
      </c>
      <c r="I4" t="str">
        <f t="shared" si="0"/>
        <v>Brick Guards</v>
      </c>
      <c r="J4" t="str">
        <f t="shared" si="1"/>
        <v>Positive Tying</v>
      </c>
      <c r="K4">
        <v>1334</v>
      </c>
      <c r="L4" t="str">
        <f t="shared" si="2"/>
        <v>Garage 14-15</v>
      </c>
      <c r="M4" t="str">
        <f t="shared" si="3"/>
        <v>External Scaffolding</v>
      </c>
      <c r="N4" t="str" cm="1">
        <f t="array" ref="N4">_xlfn.IFS(OR(G4="External Scaffolding",G4="Loading Tower", G4="Floor Propping"),"Tube and Fitting",G4="Birdcage","Birdcage", G4="Rhino Deck", "Rhino Deck", G4="Trad Deck", "Trad Deck")</f>
        <v>Tube and Fitting</v>
      </c>
      <c r="P4" t="s">
        <v>113</v>
      </c>
      <c r="Q4" t="str" cm="1">
        <f t="array" ref="Q4">_xlfn.IFS(M4="Loading Bay","15/OPT/1638-001",M4="Supporting Scaffold", "D/2020/23 rev.A",OR(M4&lt;&gt;"Loading Bay",M4&lt;&gt;"Supporting Scaffold"),"TG20:13 Scaffold")</f>
        <v>TG20:13 Scaffold</v>
      </c>
      <c r="T4" t="s">
        <v>114</v>
      </c>
    </row>
    <row r="5" spans="1:20" x14ac:dyDescent="0.25">
      <c r="A5" t="s">
        <v>214</v>
      </c>
      <c r="B5" t="s">
        <v>112</v>
      </c>
      <c r="C5" t="s">
        <v>141</v>
      </c>
      <c r="D5" t="s">
        <v>1</v>
      </c>
      <c r="E5" t="s">
        <v>79</v>
      </c>
      <c r="F5" t="s">
        <v>4</v>
      </c>
      <c r="G5" t="str" cm="1">
        <f t="array" ref="G5">_xlfn.IFS(D5="External Scaffolding","External Scaffolding",D5="Loading Bay","Loading Tower",D5="Scaffolding Platform","Birdcage", D5="Supporting Scaffold","Floor Propping")</f>
        <v>Loading Tower</v>
      </c>
      <c r="H5" s="1" t="str" cm="1">
        <f t="array" ref="H5">_xlfn.IFS(OR(G5="External Scaffolding",G5="Birdcage", G5="Trad Deck", G5="Floor Propping"),"2.0 kN/m² (General Purpose)",G5= "Loading Tower","10.0 kN/m² (Loading Bay)",G5="Rhino Deck","6.0 kN/m² (Rhino Deck)")</f>
        <v>10.0 kN/m² (Loading Bay)</v>
      </c>
      <c r="I5" t="str">
        <f t="shared" si="0"/>
        <v>Brick Guards</v>
      </c>
      <c r="J5" t="str">
        <f t="shared" si="1"/>
        <v>Positive Tying</v>
      </c>
      <c r="K5">
        <v>1334</v>
      </c>
      <c r="L5" t="str">
        <f t="shared" si="2"/>
        <v>Garage 14-15</v>
      </c>
      <c r="M5" t="str">
        <f t="shared" si="3"/>
        <v>Loading Bay</v>
      </c>
      <c r="N5" t="str" cm="1">
        <f t="array" ref="N5">_xlfn.IFS(OR(G5="External Scaffolding",G5="Loading Tower", G5="Floor Propping"),"Tube and Fitting",G5="Birdcage","Birdcage", G5="Rhino Deck", "Rhino Deck", G5="Trad Deck", "Trad Deck")</f>
        <v>Tube and Fitting</v>
      </c>
      <c r="P5" t="s">
        <v>113</v>
      </c>
      <c r="Q5" t="str" cm="1">
        <f t="array" ref="Q5">_xlfn.IFS(M5="Loading Bay","15/OPT/1638-001",M5="Supporting Scaffold", "D/2020/23 rev.A",OR(M5&lt;&gt;"Loading Bay",M5&lt;&gt;"Supporting Scaffold"),"TG20:13 Scaffold")</f>
        <v>15/OPT/1638-001</v>
      </c>
      <c r="T5" t="s">
        <v>114</v>
      </c>
    </row>
    <row r="6" spans="1:20" x14ac:dyDescent="0.25">
      <c r="A6" t="s">
        <v>215</v>
      </c>
      <c r="B6" t="s">
        <v>112</v>
      </c>
      <c r="C6" t="s">
        <v>141</v>
      </c>
      <c r="D6" t="s">
        <v>0</v>
      </c>
      <c r="E6" t="s">
        <v>79</v>
      </c>
      <c r="F6" t="s">
        <v>5</v>
      </c>
      <c r="G6" t="str" cm="1">
        <f t="array" ref="G6">_xlfn.IFS(D6="External Scaffolding","External Scaffolding",D6="Loading Bay","Loading Tower",D6="Scaffolding Platform","Birdcage", D6="Supporting Scaffold","Floor Propping")</f>
        <v>External Scaffolding</v>
      </c>
      <c r="H6" s="1" t="str" cm="1">
        <f t="array" ref="H6">_xlfn.IFS(OR(G6="External Scaffolding",G6="Birdcage", G6="Trad Deck", G6="Floor Propping"),"2.0 kN/m² (General Purpose)",G6= "Loading Tower","10.0 kN/m² (Loading Bay)",G6="Rhino Deck","6.0 kN/m² (Rhino Deck)")</f>
        <v>2.0 kN/m² (General Purpose)</v>
      </c>
      <c r="I6" t="str">
        <f t="shared" si="0"/>
        <v>Brick Guards</v>
      </c>
      <c r="J6" t="str">
        <f t="shared" si="1"/>
        <v>Positive Tying</v>
      </c>
      <c r="K6">
        <v>1334</v>
      </c>
      <c r="L6" t="str">
        <f t="shared" si="2"/>
        <v>Garage 16</v>
      </c>
      <c r="M6" t="str">
        <f t="shared" si="3"/>
        <v>External Scaffolding</v>
      </c>
      <c r="N6" t="str" cm="1">
        <f t="array" ref="N6">_xlfn.IFS(OR(G6="External Scaffolding",G6="Loading Tower", G6="Floor Propping"),"Tube and Fitting",G6="Birdcage","Birdcage", G6="Rhino Deck", "Rhino Deck", G6="Trad Deck", "Trad Deck")</f>
        <v>Tube and Fitting</v>
      </c>
      <c r="P6" t="s">
        <v>113</v>
      </c>
      <c r="Q6" t="str" cm="1">
        <f t="array" ref="Q6">_xlfn.IFS(M6="Loading Bay","15/OPT/1638-001",M6="Supporting Scaffold", "D/2020/23 rev.A",OR(M6&lt;&gt;"Loading Bay",M6&lt;&gt;"Supporting Scaffold"),"TG20:13 Scaffold")</f>
        <v>TG20:13 Scaffold</v>
      </c>
      <c r="T6" t="s">
        <v>114</v>
      </c>
    </row>
    <row r="7" spans="1:20" x14ac:dyDescent="0.25">
      <c r="A7" t="s">
        <v>216</v>
      </c>
      <c r="B7" t="s">
        <v>112</v>
      </c>
      <c r="C7" t="s">
        <v>141</v>
      </c>
      <c r="D7" t="s">
        <v>1</v>
      </c>
      <c r="E7" t="s">
        <v>79</v>
      </c>
      <c r="F7" t="s">
        <v>5</v>
      </c>
      <c r="G7" t="str" cm="1">
        <f t="array" ref="G7">_xlfn.IFS(D7="External Scaffolding","External Scaffolding",D7="Loading Bay","Loading Tower",D7="Scaffolding Platform","Birdcage", D7="Supporting Scaffold","Floor Propping")</f>
        <v>Loading Tower</v>
      </c>
      <c r="H7" s="1" t="str" cm="1">
        <f t="array" ref="H7">_xlfn.IFS(OR(G7="External Scaffolding",G7="Birdcage", G7="Trad Deck", G7="Floor Propping"),"2.0 kN/m² (General Purpose)",G7= "Loading Tower","10.0 kN/m² (Loading Bay)",G7="Rhino Deck","6.0 kN/m² (Rhino Deck)")</f>
        <v>10.0 kN/m² (Loading Bay)</v>
      </c>
      <c r="I7" t="str">
        <f t="shared" si="0"/>
        <v>Brick Guards</v>
      </c>
      <c r="J7" t="str">
        <f t="shared" si="1"/>
        <v>Positive Tying</v>
      </c>
      <c r="K7">
        <v>1334</v>
      </c>
      <c r="L7" t="str">
        <f t="shared" si="2"/>
        <v>Garage 16</v>
      </c>
      <c r="M7" t="str">
        <f t="shared" si="3"/>
        <v>Loading Bay</v>
      </c>
      <c r="N7" t="str" cm="1">
        <f t="array" ref="N7">_xlfn.IFS(OR(G7="External Scaffolding",G7="Loading Tower", G7="Floor Propping"),"Tube and Fitting",G7="Birdcage","Birdcage", G7="Rhino Deck", "Rhino Deck", G7="Trad Deck", "Trad Deck")</f>
        <v>Tube and Fitting</v>
      </c>
      <c r="P7" t="s">
        <v>113</v>
      </c>
      <c r="Q7" t="str" cm="1">
        <f t="array" ref="Q7">_xlfn.IFS(M7="Loading Bay","15/OPT/1638-001",M7="Supporting Scaffold", "D/2020/23 rev.A",OR(M7&lt;&gt;"Loading Bay",M7&lt;&gt;"Supporting Scaffold"),"TG20:13 Scaffold")</f>
        <v>15/OPT/1638-001</v>
      </c>
      <c r="T7" t="s">
        <v>114</v>
      </c>
    </row>
    <row r="8" spans="1:20" x14ac:dyDescent="0.25">
      <c r="A8" t="s">
        <v>217</v>
      </c>
      <c r="B8" t="s">
        <v>112</v>
      </c>
      <c r="C8" t="s">
        <v>141</v>
      </c>
      <c r="D8" t="s">
        <v>0</v>
      </c>
      <c r="E8" t="s">
        <v>79</v>
      </c>
      <c r="F8" t="s">
        <v>6</v>
      </c>
      <c r="G8" t="str" cm="1">
        <f t="array" ref="G8">_xlfn.IFS(D8="External Scaffolding","External Scaffolding",D8="Loading Bay","Loading Tower",D8="Scaffolding Platform","Birdcage", D8="Supporting Scaffold","Floor Propping")</f>
        <v>External Scaffolding</v>
      </c>
      <c r="H8" s="1" t="str" cm="1">
        <f t="array" ref="H8">_xlfn.IFS(OR(G8="External Scaffolding",G8="Birdcage", G8="Trad Deck", G8="Floor Propping"),"2.0 kN/m² (General Purpose)",G8= "Loading Tower","10.0 kN/m² (Loading Bay)",G8="Rhino Deck","6.0 kN/m² (Rhino Deck)")</f>
        <v>2.0 kN/m² (General Purpose)</v>
      </c>
      <c r="I8" t="str">
        <f t="shared" si="0"/>
        <v>Brick Guards</v>
      </c>
      <c r="J8" t="str">
        <f t="shared" si="1"/>
        <v>Positive Tying</v>
      </c>
      <c r="K8">
        <v>1334</v>
      </c>
      <c r="L8" t="str">
        <f t="shared" si="2"/>
        <v>Garage 19</v>
      </c>
      <c r="M8" t="str">
        <f t="shared" si="3"/>
        <v>External Scaffolding</v>
      </c>
      <c r="N8" t="str" cm="1">
        <f t="array" ref="N8">_xlfn.IFS(OR(G8="External Scaffolding",G8="Loading Tower", G8="Floor Propping"),"Tube and Fitting",G8="Birdcage","Birdcage", G8="Rhino Deck", "Rhino Deck", G8="Trad Deck", "Trad Deck")</f>
        <v>Tube and Fitting</v>
      </c>
      <c r="P8" t="s">
        <v>113</v>
      </c>
      <c r="Q8" t="str" cm="1">
        <f t="array" ref="Q8">_xlfn.IFS(M8="Loading Bay","15/OPT/1638-001",M8="Supporting Scaffold", "D/2020/23 rev.A",OR(M8&lt;&gt;"Loading Bay",M8&lt;&gt;"Supporting Scaffold"),"TG20:13 Scaffold")</f>
        <v>TG20:13 Scaffold</v>
      </c>
      <c r="T8" t="s">
        <v>114</v>
      </c>
    </row>
    <row r="9" spans="1:20" x14ac:dyDescent="0.25">
      <c r="A9" t="s">
        <v>218</v>
      </c>
      <c r="B9" t="s">
        <v>112</v>
      </c>
      <c r="C9" t="s">
        <v>141</v>
      </c>
      <c r="D9" t="s">
        <v>1</v>
      </c>
      <c r="E9" t="s">
        <v>79</v>
      </c>
      <c r="F9" t="s">
        <v>6</v>
      </c>
      <c r="G9" t="str" cm="1">
        <f t="array" ref="G9">_xlfn.IFS(D9="External Scaffolding","External Scaffolding",D9="Loading Bay","Loading Tower",D9="Scaffolding Platform","Birdcage", D9="Supporting Scaffold","Floor Propping")</f>
        <v>Loading Tower</v>
      </c>
      <c r="H9" s="1" t="str" cm="1">
        <f t="array" ref="H9">_xlfn.IFS(OR(G9="External Scaffolding",G9="Birdcage", G9="Trad Deck", G9="Floor Propping"),"2.0 kN/m² (General Purpose)",G9= "Loading Tower","10.0 kN/m² (Loading Bay)",G9="Rhino Deck","6.0 kN/m² (Rhino Deck)")</f>
        <v>10.0 kN/m² (Loading Bay)</v>
      </c>
      <c r="I9" t="str">
        <f t="shared" si="0"/>
        <v>Brick Guards</v>
      </c>
      <c r="J9" t="str">
        <f t="shared" si="1"/>
        <v>Positive Tying</v>
      </c>
      <c r="K9">
        <v>1334</v>
      </c>
      <c r="L9" t="str">
        <f t="shared" si="2"/>
        <v>Garage 19</v>
      </c>
      <c r="M9" t="str">
        <f t="shared" si="3"/>
        <v>Loading Bay</v>
      </c>
      <c r="N9" t="str" cm="1">
        <f t="array" ref="N9">_xlfn.IFS(OR(G9="External Scaffolding",G9="Loading Tower", G9="Floor Propping"),"Tube and Fitting",G9="Birdcage","Birdcage", G9="Rhino Deck", "Rhino Deck", G9="Trad Deck", "Trad Deck")</f>
        <v>Tube and Fitting</v>
      </c>
      <c r="P9" t="s">
        <v>113</v>
      </c>
      <c r="Q9" t="str" cm="1">
        <f t="array" ref="Q9">_xlfn.IFS(M9="Loading Bay","15/OPT/1638-001",M9="Supporting Scaffold", "D/2020/23 rev.A",OR(M9&lt;&gt;"Loading Bay",M9&lt;&gt;"Supporting Scaffold"),"TG20:13 Scaffold")</f>
        <v>15/OPT/1638-001</v>
      </c>
      <c r="T9" t="s">
        <v>114</v>
      </c>
    </row>
    <row r="10" spans="1:20" x14ac:dyDescent="0.25">
      <c r="A10" t="s">
        <v>219</v>
      </c>
      <c r="B10" t="s">
        <v>112</v>
      </c>
      <c r="C10" t="s">
        <v>141</v>
      </c>
      <c r="D10" t="s">
        <v>0</v>
      </c>
      <c r="E10" t="s">
        <v>79</v>
      </c>
      <c r="F10" t="s">
        <v>7</v>
      </c>
      <c r="G10" t="str" cm="1">
        <f t="array" ref="G10">_xlfn.IFS(D10="External Scaffolding","External Scaffolding",D10="Loading Bay","Loading Tower",D10="Scaffolding Platform","Birdcage", D10="Supporting Scaffold","Floor Propping")</f>
        <v>External Scaffolding</v>
      </c>
      <c r="H10" s="1" t="str" cm="1">
        <f t="array" ref="H10">_xlfn.IFS(OR(G10="External Scaffolding",G10="Birdcage", G10="Trad Deck", G10="Floor Propping"),"2.0 kN/m² (General Purpose)",G10= "Loading Tower","10.0 kN/m² (Loading Bay)",G10="Rhino Deck","6.0 kN/m² (Rhino Deck)")</f>
        <v>2.0 kN/m² (General Purpose)</v>
      </c>
      <c r="I10" t="str">
        <f t="shared" si="0"/>
        <v>Brick Guards</v>
      </c>
      <c r="J10" t="str">
        <f t="shared" si="1"/>
        <v>Positive Tying</v>
      </c>
      <c r="K10">
        <v>1334</v>
      </c>
      <c r="L10" t="str">
        <f t="shared" si="2"/>
        <v>Garage 22</v>
      </c>
      <c r="M10" t="str">
        <f t="shared" si="3"/>
        <v>External Scaffolding</v>
      </c>
      <c r="N10" t="str" cm="1">
        <f t="array" ref="N10">_xlfn.IFS(OR(G10="External Scaffolding",G10="Loading Tower", G10="Floor Propping"),"Tube and Fitting",G10="Birdcage","Birdcage", G10="Rhino Deck", "Rhino Deck", G10="Trad Deck", "Trad Deck")</f>
        <v>Tube and Fitting</v>
      </c>
      <c r="P10" t="s">
        <v>113</v>
      </c>
      <c r="Q10" t="str" cm="1">
        <f t="array" ref="Q10">_xlfn.IFS(M10="Loading Bay","15/OPT/1638-001",M10="Supporting Scaffold", "D/2020/23 rev.A",OR(M10&lt;&gt;"Loading Bay",M10&lt;&gt;"Supporting Scaffold"),"TG20:13 Scaffold")</f>
        <v>TG20:13 Scaffold</v>
      </c>
      <c r="T10" t="s">
        <v>114</v>
      </c>
    </row>
    <row r="11" spans="1:20" x14ac:dyDescent="0.25">
      <c r="A11" t="s">
        <v>220</v>
      </c>
      <c r="B11" t="s">
        <v>112</v>
      </c>
      <c r="C11" t="s">
        <v>141</v>
      </c>
      <c r="D11" t="s">
        <v>1</v>
      </c>
      <c r="E11" t="s">
        <v>79</v>
      </c>
      <c r="F11" t="s">
        <v>7</v>
      </c>
      <c r="G11" t="str" cm="1">
        <f t="array" ref="G11">_xlfn.IFS(D11="External Scaffolding","External Scaffolding",D11="Loading Bay","Loading Tower",D11="Scaffolding Platform","Birdcage", D11="Supporting Scaffold","Floor Propping")</f>
        <v>Loading Tower</v>
      </c>
      <c r="H11" s="1" t="str" cm="1">
        <f t="array" ref="H11">_xlfn.IFS(OR(G11="External Scaffolding",G11="Birdcage", G11="Trad Deck", G11="Floor Propping"),"2.0 kN/m² (General Purpose)",G11= "Loading Tower","10.0 kN/m² (Loading Bay)",G11="Rhino Deck","6.0 kN/m² (Rhino Deck)")</f>
        <v>10.0 kN/m² (Loading Bay)</v>
      </c>
      <c r="I11" t="str">
        <f t="shared" si="0"/>
        <v>Brick Guards</v>
      </c>
      <c r="J11" t="str">
        <f t="shared" si="1"/>
        <v>Positive Tying</v>
      </c>
      <c r="K11">
        <v>1334</v>
      </c>
      <c r="L11" t="str">
        <f t="shared" si="2"/>
        <v>Garage 22</v>
      </c>
      <c r="M11" t="str">
        <f t="shared" si="3"/>
        <v>Loading Bay</v>
      </c>
      <c r="N11" t="str" cm="1">
        <f t="array" ref="N11">_xlfn.IFS(OR(G11="External Scaffolding",G11="Loading Tower", G11="Floor Propping"),"Tube and Fitting",G11="Birdcage","Birdcage", G11="Rhino Deck", "Rhino Deck", G11="Trad Deck", "Trad Deck")</f>
        <v>Tube and Fitting</v>
      </c>
      <c r="P11" t="s">
        <v>113</v>
      </c>
      <c r="Q11" t="str" cm="1">
        <f t="array" ref="Q11">_xlfn.IFS(M11="Loading Bay","15/OPT/1638-001",M11="Supporting Scaffold", "D/2020/23 rev.A",OR(M11&lt;&gt;"Loading Bay",M11&lt;&gt;"Supporting Scaffold"),"TG20:13 Scaffold")</f>
        <v>15/OPT/1638-001</v>
      </c>
      <c r="T11" t="s">
        <v>114</v>
      </c>
    </row>
    <row r="12" spans="1:20" x14ac:dyDescent="0.25">
      <c r="A12" t="s">
        <v>221</v>
      </c>
      <c r="B12" t="s">
        <v>112</v>
      </c>
      <c r="C12" t="s">
        <v>141</v>
      </c>
      <c r="D12" t="s">
        <v>0</v>
      </c>
      <c r="E12" t="s">
        <v>79</v>
      </c>
      <c r="F12" t="s">
        <v>8</v>
      </c>
      <c r="G12" t="str" cm="1">
        <f t="array" ref="G12">_xlfn.IFS(D12="External Scaffolding","External Scaffolding",D12="Loading Bay","Loading Tower",D12="Scaffolding Platform","Birdcage", D12="Supporting Scaffold","Floor Propping")</f>
        <v>External Scaffolding</v>
      </c>
      <c r="H12" s="1" t="str" cm="1">
        <f t="array" ref="H12">_xlfn.IFS(OR(G12="External Scaffolding",G12="Birdcage", G12="Trad Deck", G12="Floor Propping"),"2.0 kN/m² (General Purpose)",G12= "Loading Tower","10.0 kN/m² (Loading Bay)",G12="Rhino Deck","6.0 kN/m² (Rhino Deck)")</f>
        <v>2.0 kN/m² (General Purpose)</v>
      </c>
      <c r="I12" t="str">
        <f t="shared" si="0"/>
        <v>Brick Guards</v>
      </c>
      <c r="J12" t="str">
        <f t="shared" si="1"/>
        <v>Positive Tying</v>
      </c>
      <c r="K12">
        <v>1334</v>
      </c>
      <c r="L12" t="str">
        <f t="shared" si="2"/>
        <v>Garage 23</v>
      </c>
      <c r="M12" t="str">
        <f t="shared" si="3"/>
        <v>External Scaffolding</v>
      </c>
      <c r="N12" t="str" cm="1">
        <f t="array" ref="N12">_xlfn.IFS(OR(G12="External Scaffolding",G12="Loading Tower", G12="Floor Propping"),"Tube and Fitting",G12="Birdcage","Birdcage", G12="Rhino Deck", "Rhino Deck", G12="Trad Deck", "Trad Deck")</f>
        <v>Tube and Fitting</v>
      </c>
      <c r="P12" t="s">
        <v>113</v>
      </c>
      <c r="Q12" t="str" cm="1">
        <f t="array" ref="Q12">_xlfn.IFS(M12="Loading Bay","15/OPT/1638-001",M12="Supporting Scaffold", "D/2020/23 rev.A",OR(M12&lt;&gt;"Loading Bay",M12&lt;&gt;"Supporting Scaffold"),"TG20:13 Scaffold")</f>
        <v>TG20:13 Scaffold</v>
      </c>
      <c r="T12" t="s">
        <v>114</v>
      </c>
    </row>
    <row r="13" spans="1:20" x14ac:dyDescent="0.25">
      <c r="A13" t="s">
        <v>222</v>
      </c>
      <c r="B13" t="s">
        <v>112</v>
      </c>
      <c r="C13" t="s">
        <v>141</v>
      </c>
      <c r="D13" t="s">
        <v>1</v>
      </c>
      <c r="E13" t="s">
        <v>79</v>
      </c>
      <c r="F13" t="s">
        <v>8</v>
      </c>
      <c r="G13" t="str" cm="1">
        <f t="array" ref="G13">_xlfn.IFS(D13="External Scaffolding","External Scaffolding",D13="Loading Bay","Loading Tower",D13="Scaffolding Platform","Birdcage", D13="Supporting Scaffold","Floor Propping")</f>
        <v>Loading Tower</v>
      </c>
      <c r="H13" s="1" t="str" cm="1">
        <f t="array" ref="H13">_xlfn.IFS(OR(G13="External Scaffolding",G13="Birdcage", G13="Trad Deck", G13="Floor Propping"),"2.0 kN/m² (General Purpose)",G13= "Loading Tower","10.0 kN/m² (Loading Bay)",G13="Rhino Deck","6.0 kN/m² (Rhino Deck)")</f>
        <v>10.0 kN/m² (Loading Bay)</v>
      </c>
      <c r="I13" t="str">
        <f t="shared" si="0"/>
        <v>Brick Guards</v>
      </c>
      <c r="J13" t="str">
        <f t="shared" si="1"/>
        <v>Positive Tying</v>
      </c>
      <c r="K13">
        <v>1334</v>
      </c>
      <c r="L13" t="str">
        <f t="shared" si="2"/>
        <v>Garage 23</v>
      </c>
      <c r="M13" t="str">
        <f t="shared" si="3"/>
        <v>Loading Bay</v>
      </c>
      <c r="N13" t="str" cm="1">
        <f t="array" ref="N13">_xlfn.IFS(OR(G13="External Scaffolding",G13="Loading Tower", G13="Floor Propping"),"Tube and Fitting",G13="Birdcage","Birdcage", G13="Rhino Deck", "Rhino Deck", G13="Trad Deck", "Trad Deck")</f>
        <v>Tube and Fitting</v>
      </c>
      <c r="P13" t="s">
        <v>113</v>
      </c>
      <c r="Q13" t="str" cm="1">
        <f t="array" ref="Q13">_xlfn.IFS(M13="Loading Bay","15/OPT/1638-001",M13="Supporting Scaffold", "D/2020/23 rev.A",OR(M13&lt;&gt;"Loading Bay",M13&lt;&gt;"Supporting Scaffold"),"TG20:13 Scaffold")</f>
        <v>15/OPT/1638-001</v>
      </c>
      <c r="T13" t="s">
        <v>114</v>
      </c>
    </row>
    <row r="14" spans="1:20" x14ac:dyDescent="0.25">
      <c r="A14" t="s">
        <v>223</v>
      </c>
      <c r="B14" t="s">
        <v>112</v>
      </c>
      <c r="C14" t="s">
        <v>141</v>
      </c>
      <c r="D14" t="s">
        <v>0</v>
      </c>
      <c r="E14" t="s">
        <v>79</v>
      </c>
      <c r="F14" t="s">
        <v>9</v>
      </c>
      <c r="G14" t="str" cm="1">
        <f t="array" ref="G14">_xlfn.IFS(D14="External Scaffolding","External Scaffolding",D14="Loading Bay","Loading Tower",D14="Scaffolding Platform","Birdcage", D14="Supporting Scaffold","Floor Propping")</f>
        <v>External Scaffolding</v>
      </c>
      <c r="H14" s="1" t="str" cm="1">
        <f t="array" ref="H14">_xlfn.IFS(OR(G14="External Scaffolding",G14="Birdcage", G14="Trad Deck", G14="Floor Propping"),"2.0 kN/m² (General Purpose)",G14= "Loading Tower","10.0 kN/m² (Loading Bay)",G14="Rhino Deck","6.0 kN/m² (Rhino Deck)")</f>
        <v>2.0 kN/m² (General Purpose)</v>
      </c>
      <c r="I14" t="str">
        <f t="shared" si="0"/>
        <v>Brick Guards</v>
      </c>
      <c r="J14" t="str">
        <f t="shared" si="1"/>
        <v>Positive Tying</v>
      </c>
      <c r="K14">
        <v>1334</v>
      </c>
      <c r="L14" t="str">
        <f t="shared" si="2"/>
        <v>Garage 24</v>
      </c>
      <c r="M14" t="str">
        <f t="shared" si="3"/>
        <v>External Scaffolding</v>
      </c>
      <c r="N14" t="str" cm="1">
        <f t="array" ref="N14">_xlfn.IFS(OR(G14="External Scaffolding",G14="Loading Tower", G14="Floor Propping"),"Tube and Fitting",G14="Birdcage","Birdcage", G14="Rhino Deck", "Rhino Deck", G14="Trad Deck", "Trad Deck")</f>
        <v>Tube and Fitting</v>
      </c>
      <c r="P14" t="s">
        <v>113</v>
      </c>
      <c r="Q14" t="str" cm="1">
        <f t="array" ref="Q14">_xlfn.IFS(M14="Loading Bay","15/OPT/1638-001",M14="Supporting Scaffold", "D/2020/23 rev.A",OR(M14&lt;&gt;"Loading Bay",M14&lt;&gt;"Supporting Scaffold"),"TG20:13 Scaffold")</f>
        <v>TG20:13 Scaffold</v>
      </c>
      <c r="T14" t="s">
        <v>114</v>
      </c>
    </row>
    <row r="15" spans="1:20" x14ac:dyDescent="0.25">
      <c r="A15" t="s">
        <v>224</v>
      </c>
      <c r="B15" t="s">
        <v>112</v>
      </c>
      <c r="C15" t="s">
        <v>141</v>
      </c>
      <c r="D15" t="s">
        <v>1</v>
      </c>
      <c r="E15" t="s">
        <v>79</v>
      </c>
      <c r="F15" t="s">
        <v>9</v>
      </c>
      <c r="G15" t="str" cm="1">
        <f t="array" ref="G15">_xlfn.IFS(D15="External Scaffolding","External Scaffolding",D15="Loading Bay","Loading Tower",D15="Scaffolding Platform","Birdcage", D15="Supporting Scaffold","Floor Propping")</f>
        <v>Loading Tower</v>
      </c>
      <c r="H15" s="1" t="str" cm="1">
        <f t="array" ref="H15">_xlfn.IFS(OR(G15="External Scaffolding",G15="Birdcage", G15="Trad Deck", G15="Floor Propping"),"2.0 kN/m² (General Purpose)",G15= "Loading Tower","10.0 kN/m² (Loading Bay)",G15="Rhino Deck","6.0 kN/m² (Rhino Deck)")</f>
        <v>10.0 kN/m² (Loading Bay)</v>
      </c>
      <c r="I15" t="str">
        <f t="shared" si="0"/>
        <v>Brick Guards</v>
      </c>
      <c r="J15" t="str">
        <f t="shared" si="1"/>
        <v>Positive Tying</v>
      </c>
      <c r="K15">
        <v>1334</v>
      </c>
      <c r="L15" t="str">
        <f t="shared" si="2"/>
        <v>Garage 24</v>
      </c>
      <c r="M15" t="str">
        <f t="shared" si="3"/>
        <v>Loading Bay</v>
      </c>
      <c r="N15" t="str" cm="1">
        <f t="array" ref="N15">_xlfn.IFS(OR(G15="External Scaffolding",G15="Loading Tower", G15="Floor Propping"),"Tube and Fitting",G15="Birdcage","Birdcage", G15="Rhino Deck", "Rhino Deck", G15="Trad Deck", "Trad Deck")</f>
        <v>Tube and Fitting</v>
      </c>
      <c r="P15" t="s">
        <v>113</v>
      </c>
      <c r="Q15" t="str" cm="1">
        <f t="array" ref="Q15">_xlfn.IFS(M15="Loading Bay","15/OPT/1638-001",M15="Supporting Scaffold", "D/2020/23 rev.A",OR(M15&lt;&gt;"Loading Bay",M15&lt;&gt;"Supporting Scaffold"),"TG20:13 Scaffold")</f>
        <v>15/OPT/1638-001</v>
      </c>
      <c r="T15" t="s">
        <v>114</v>
      </c>
    </row>
    <row r="16" spans="1:20" x14ac:dyDescent="0.25">
      <c r="A16" t="s">
        <v>225</v>
      </c>
      <c r="B16" t="s">
        <v>112</v>
      </c>
      <c r="C16" t="s">
        <v>141</v>
      </c>
      <c r="D16" t="s">
        <v>0</v>
      </c>
      <c r="E16" t="s">
        <v>79</v>
      </c>
      <c r="F16" t="s">
        <v>10</v>
      </c>
      <c r="G16" t="str" cm="1">
        <f t="array" ref="G16">_xlfn.IFS(D16="External Scaffolding","External Scaffolding",D16="Loading Bay","Loading Tower",D16="Scaffolding Platform","Birdcage", D16="Supporting Scaffold","Floor Propping")</f>
        <v>External Scaffolding</v>
      </c>
      <c r="H16" s="1" t="str" cm="1">
        <f t="array" ref="H16">_xlfn.IFS(OR(G16="External Scaffolding",G16="Birdcage", G16="Trad Deck", G16="Floor Propping"),"2.0 kN/m² (General Purpose)",G16= "Loading Tower","10.0 kN/m² (Loading Bay)",G16="Rhino Deck","6.0 kN/m² (Rhino Deck)")</f>
        <v>2.0 kN/m² (General Purpose)</v>
      </c>
      <c r="I16" t="str">
        <f t="shared" si="0"/>
        <v>Brick Guards</v>
      </c>
      <c r="J16" t="str">
        <f t="shared" si="1"/>
        <v>Positive Tying</v>
      </c>
      <c r="K16">
        <v>1334</v>
      </c>
      <c r="L16" t="str">
        <f t="shared" si="2"/>
        <v>Garage 25</v>
      </c>
      <c r="M16" t="str">
        <f t="shared" si="3"/>
        <v>External Scaffolding</v>
      </c>
      <c r="N16" t="str" cm="1">
        <f t="array" ref="N16">_xlfn.IFS(OR(G16="External Scaffolding",G16="Loading Tower", G16="Floor Propping"),"Tube and Fitting",G16="Birdcage","Birdcage", G16="Rhino Deck", "Rhino Deck", G16="Trad Deck", "Trad Deck")</f>
        <v>Tube and Fitting</v>
      </c>
      <c r="P16" t="s">
        <v>113</v>
      </c>
      <c r="Q16" t="str" cm="1">
        <f t="array" ref="Q16">_xlfn.IFS(M16="Loading Bay","15/OPT/1638-001",M16="Supporting Scaffold", "D/2020/23 rev.A",OR(M16&lt;&gt;"Loading Bay",M16&lt;&gt;"Supporting Scaffold"),"TG20:13 Scaffold")</f>
        <v>TG20:13 Scaffold</v>
      </c>
      <c r="T16" t="s">
        <v>114</v>
      </c>
    </row>
    <row r="17" spans="1:20" x14ac:dyDescent="0.25">
      <c r="A17" t="s">
        <v>226</v>
      </c>
      <c r="B17" t="s">
        <v>112</v>
      </c>
      <c r="C17" t="s">
        <v>141</v>
      </c>
      <c r="D17" t="s">
        <v>1</v>
      </c>
      <c r="E17" t="s">
        <v>79</v>
      </c>
      <c r="F17" t="s">
        <v>10</v>
      </c>
      <c r="G17" t="str" cm="1">
        <f t="array" ref="G17">_xlfn.IFS(D17="External Scaffolding","External Scaffolding",D17="Loading Bay","Loading Tower",D17="Scaffolding Platform","Birdcage", D17="Supporting Scaffold","Floor Propping")</f>
        <v>Loading Tower</v>
      </c>
      <c r="H17" s="1" t="str" cm="1">
        <f t="array" ref="H17">_xlfn.IFS(OR(G17="External Scaffolding",G17="Birdcage", G17="Trad Deck", G17="Floor Propping"),"2.0 kN/m² (General Purpose)",G17= "Loading Tower","10.0 kN/m² (Loading Bay)",G17="Rhino Deck","6.0 kN/m² (Rhino Deck)")</f>
        <v>10.0 kN/m² (Loading Bay)</v>
      </c>
      <c r="I17" t="str">
        <f t="shared" si="0"/>
        <v>Brick Guards</v>
      </c>
      <c r="J17" t="str">
        <f t="shared" si="1"/>
        <v>Positive Tying</v>
      </c>
      <c r="K17">
        <v>1334</v>
      </c>
      <c r="L17" t="str">
        <f t="shared" si="2"/>
        <v>Garage 25</v>
      </c>
      <c r="M17" t="str">
        <f t="shared" si="3"/>
        <v>Loading Bay</v>
      </c>
      <c r="N17" t="str" cm="1">
        <f t="array" ref="N17">_xlfn.IFS(OR(G17="External Scaffolding",G17="Loading Tower", G17="Floor Propping"),"Tube and Fitting",G17="Birdcage","Birdcage", G17="Rhino Deck", "Rhino Deck", G17="Trad Deck", "Trad Deck")</f>
        <v>Tube and Fitting</v>
      </c>
      <c r="P17" t="s">
        <v>113</v>
      </c>
      <c r="Q17" t="str" cm="1">
        <f t="array" ref="Q17">_xlfn.IFS(M17="Loading Bay","15/OPT/1638-001",M17="Supporting Scaffold", "D/2020/23 rev.A",OR(M17&lt;&gt;"Loading Bay",M17&lt;&gt;"Supporting Scaffold"),"TG20:13 Scaffold")</f>
        <v>15/OPT/1638-001</v>
      </c>
      <c r="T17" t="s">
        <v>114</v>
      </c>
    </row>
    <row r="18" spans="1:20" x14ac:dyDescent="0.25">
      <c r="A18" t="s">
        <v>227</v>
      </c>
      <c r="B18" t="s">
        <v>112</v>
      </c>
      <c r="C18" t="s">
        <v>141</v>
      </c>
      <c r="D18" t="s">
        <v>0</v>
      </c>
      <c r="E18" t="s">
        <v>79</v>
      </c>
      <c r="F18" t="s">
        <v>11</v>
      </c>
      <c r="G18" t="str" cm="1">
        <f t="array" ref="G18">_xlfn.IFS(D18="External Scaffolding","External Scaffolding",D18="Loading Bay","Loading Tower",D18="Scaffolding Platform","Birdcage", D18="Supporting Scaffold","Floor Propping")</f>
        <v>External Scaffolding</v>
      </c>
      <c r="H18" s="1" t="str" cm="1">
        <f t="array" ref="H18">_xlfn.IFS(OR(G18="External Scaffolding",G18="Birdcage", G18="Trad Deck", G18="Floor Propping"),"2.0 kN/m² (General Purpose)",G18= "Loading Tower","10.0 kN/m² (Loading Bay)",G18="Rhino Deck","6.0 kN/m² (Rhino Deck)")</f>
        <v>2.0 kN/m² (General Purpose)</v>
      </c>
      <c r="I18" t="str">
        <f t="shared" si="0"/>
        <v>Brick Guards</v>
      </c>
      <c r="J18" t="str">
        <f t="shared" si="1"/>
        <v>Positive Tying</v>
      </c>
      <c r="K18">
        <v>1334</v>
      </c>
      <c r="L18" t="str">
        <f t="shared" si="2"/>
        <v>Garage 26-27</v>
      </c>
      <c r="M18" t="str">
        <f t="shared" si="3"/>
        <v>External Scaffolding</v>
      </c>
      <c r="N18" t="str" cm="1">
        <f t="array" ref="N18">_xlfn.IFS(OR(G18="External Scaffolding",G18="Loading Tower", G18="Floor Propping"),"Tube and Fitting",G18="Birdcage","Birdcage", G18="Rhino Deck", "Rhino Deck", G18="Trad Deck", "Trad Deck")</f>
        <v>Tube and Fitting</v>
      </c>
      <c r="P18" t="s">
        <v>113</v>
      </c>
      <c r="Q18" t="str" cm="1">
        <f t="array" ref="Q18">_xlfn.IFS(M18="Loading Bay","15/OPT/1638-001",M18="Supporting Scaffold", "D/2020/23 rev.A",OR(M18&lt;&gt;"Loading Bay",M18&lt;&gt;"Supporting Scaffold"),"TG20:13 Scaffold")</f>
        <v>TG20:13 Scaffold</v>
      </c>
      <c r="T18" t="s">
        <v>114</v>
      </c>
    </row>
    <row r="19" spans="1:20" x14ac:dyDescent="0.25">
      <c r="A19" t="s">
        <v>228</v>
      </c>
      <c r="B19" t="s">
        <v>112</v>
      </c>
      <c r="C19" t="s">
        <v>141</v>
      </c>
      <c r="D19" t="s">
        <v>1</v>
      </c>
      <c r="E19" t="s">
        <v>79</v>
      </c>
      <c r="F19" t="s">
        <v>11</v>
      </c>
      <c r="G19" t="str" cm="1">
        <f t="array" ref="G19">_xlfn.IFS(D19="External Scaffolding","External Scaffolding",D19="Loading Bay","Loading Tower",D19="Scaffolding Platform","Birdcage", D19="Supporting Scaffold","Floor Propping")</f>
        <v>Loading Tower</v>
      </c>
      <c r="H19" s="1" t="str" cm="1">
        <f t="array" ref="H19">_xlfn.IFS(OR(G19="External Scaffolding",G19="Birdcage", G19="Trad Deck", G19="Floor Propping"),"2.0 kN/m² (General Purpose)",G19= "Loading Tower","10.0 kN/m² (Loading Bay)",G19="Rhino Deck","6.0 kN/m² (Rhino Deck)")</f>
        <v>10.0 kN/m² (Loading Bay)</v>
      </c>
      <c r="I19" t="str">
        <f t="shared" si="0"/>
        <v>Brick Guards</v>
      </c>
      <c r="J19" t="str">
        <f t="shared" si="1"/>
        <v>Positive Tying</v>
      </c>
      <c r="K19">
        <v>1334</v>
      </c>
      <c r="L19" t="str">
        <f t="shared" si="2"/>
        <v>Garage 26-27</v>
      </c>
      <c r="M19" t="str">
        <f t="shared" si="3"/>
        <v>Loading Bay</v>
      </c>
      <c r="N19" t="str" cm="1">
        <f t="array" ref="N19">_xlfn.IFS(OR(G19="External Scaffolding",G19="Loading Tower", G19="Floor Propping"),"Tube and Fitting",G19="Birdcage","Birdcage", G19="Rhino Deck", "Rhino Deck", G19="Trad Deck", "Trad Deck")</f>
        <v>Tube and Fitting</v>
      </c>
      <c r="P19" t="s">
        <v>113</v>
      </c>
      <c r="Q19" t="str" cm="1">
        <f t="array" ref="Q19">_xlfn.IFS(M19="Loading Bay","15/OPT/1638-001",M19="Supporting Scaffold", "D/2020/23 rev.A",OR(M19&lt;&gt;"Loading Bay",M19&lt;&gt;"Supporting Scaffold"),"TG20:13 Scaffold")</f>
        <v>15/OPT/1638-001</v>
      </c>
      <c r="T19" t="s">
        <v>114</v>
      </c>
    </row>
    <row r="20" spans="1:20" x14ac:dyDescent="0.25">
      <c r="A20" t="s">
        <v>229</v>
      </c>
      <c r="B20" t="s">
        <v>112</v>
      </c>
      <c r="C20" t="s">
        <v>141</v>
      </c>
      <c r="D20" t="s">
        <v>0</v>
      </c>
      <c r="E20" t="s">
        <v>79</v>
      </c>
      <c r="F20" t="s">
        <v>12</v>
      </c>
      <c r="G20" t="str" cm="1">
        <f t="array" ref="G20">_xlfn.IFS(D20="External Scaffolding","External Scaffolding",D20="Loading Bay","Loading Tower",D20="Scaffolding Platform","Birdcage", D20="Supporting Scaffold","Floor Propping")</f>
        <v>External Scaffolding</v>
      </c>
      <c r="H20" s="1" t="str" cm="1">
        <f t="array" ref="H20">_xlfn.IFS(OR(G20="External Scaffolding",G20="Birdcage", G20="Trad Deck", G20="Floor Propping"),"2.0 kN/m² (General Purpose)",G20= "Loading Tower","10.0 kN/m² (Loading Bay)",G20="Rhino Deck","6.0 kN/m² (Rhino Deck)")</f>
        <v>2.0 kN/m² (General Purpose)</v>
      </c>
      <c r="I20" t="str">
        <f t="shared" si="0"/>
        <v>Brick Guards</v>
      </c>
      <c r="J20" t="str">
        <f t="shared" si="1"/>
        <v>Positive Tying</v>
      </c>
      <c r="K20">
        <v>1334</v>
      </c>
      <c r="L20" t="str">
        <f t="shared" si="2"/>
        <v>Garage 28</v>
      </c>
      <c r="M20" t="str">
        <f t="shared" si="3"/>
        <v>External Scaffolding</v>
      </c>
      <c r="N20" t="str" cm="1">
        <f t="array" ref="N20">_xlfn.IFS(OR(G20="External Scaffolding",G20="Loading Tower", G20="Floor Propping"),"Tube and Fitting",G20="Birdcage","Birdcage", G20="Rhino Deck", "Rhino Deck", G20="Trad Deck", "Trad Deck")</f>
        <v>Tube and Fitting</v>
      </c>
      <c r="P20" t="s">
        <v>113</v>
      </c>
      <c r="Q20" t="str" cm="1">
        <f t="array" ref="Q20">_xlfn.IFS(M20="Loading Bay","15/OPT/1638-001",M20="Supporting Scaffold", "D/2020/23 rev.A",OR(M20&lt;&gt;"Loading Bay",M20&lt;&gt;"Supporting Scaffold"),"TG20:13 Scaffold")</f>
        <v>TG20:13 Scaffold</v>
      </c>
      <c r="T20" t="s">
        <v>114</v>
      </c>
    </row>
    <row r="21" spans="1:20" x14ac:dyDescent="0.25">
      <c r="A21" t="s">
        <v>230</v>
      </c>
      <c r="B21" t="s">
        <v>112</v>
      </c>
      <c r="C21" t="s">
        <v>141</v>
      </c>
      <c r="D21" t="s">
        <v>1</v>
      </c>
      <c r="E21" t="s">
        <v>79</v>
      </c>
      <c r="F21" t="s">
        <v>12</v>
      </c>
      <c r="G21" t="str" cm="1">
        <f t="array" ref="G21">_xlfn.IFS(D21="External Scaffolding","External Scaffolding",D21="Loading Bay","Loading Tower",D21="Scaffolding Platform","Birdcage", D21="Supporting Scaffold","Floor Propping")</f>
        <v>Loading Tower</v>
      </c>
      <c r="H21" s="1" t="str" cm="1">
        <f t="array" ref="H21">_xlfn.IFS(OR(G21="External Scaffolding",G21="Birdcage", G21="Trad Deck", G21="Floor Propping"),"2.0 kN/m² (General Purpose)",G21= "Loading Tower","10.0 kN/m² (Loading Bay)",G21="Rhino Deck","6.0 kN/m² (Rhino Deck)")</f>
        <v>10.0 kN/m² (Loading Bay)</v>
      </c>
      <c r="I21" t="str">
        <f t="shared" si="0"/>
        <v>Brick Guards</v>
      </c>
      <c r="J21" t="str">
        <f t="shared" si="1"/>
        <v>Positive Tying</v>
      </c>
      <c r="K21">
        <v>1334</v>
      </c>
      <c r="L21" t="str">
        <f t="shared" si="2"/>
        <v>Garage 28</v>
      </c>
      <c r="M21" t="str">
        <f t="shared" si="3"/>
        <v>Loading Bay</v>
      </c>
      <c r="N21" t="str" cm="1">
        <f t="array" ref="N21">_xlfn.IFS(OR(G21="External Scaffolding",G21="Loading Tower", G21="Floor Propping"),"Tube and Fitting",G21="Birdcage","Birdcage", G21="Rhino Deck", "Rhino Deck", G21="Trad Deck", "Trad Deck")</f>
        <v>Tube and Fitting</v>
      </c>
      <c r="P21" t="s">
        <v>113</v>
      </c>
      <c r="Q21" t="str" cm="1">
        <f t="array" ref="Q21">_xlfn.IFS(M21="Loading Bay","15/OPT/1638-001",M21="Supporting Scaffold", "D/2020/23 rev.A",OR(M21&lt;&gt;"Loading Bay",M21&lt;&gt;"Supporting Scaffold"),"TG20:13 Scaffold")</f>
        <v>15/OPT/1638-001</v>
      </c>
      <c r="T21" t="s">
        <v>114</v>
      </c>
    </row>
    <row r="22" spans="1:20" x14ac:dyDescent="0.25">
      <c r="A22" t="s">
        <v>231</v>
      </c>
      <c r="B22" t="s">
        <v>112</v>
      </c>
      <c r="C22" t="s">
        <v>141</v>
      </c>
      <c r="D22" t="s">
        <v>0</v>
      </c>
      <c r="E22" t="s">
        <v>79</v>
      </c>
      <c r="F22" t="s">
        <v>13</v>
      </c>
      <c r="G22" t="str" cm="1">
        <f t="array" ref="G22">_xlfn.IFS(D22="External Scaffolding","External Scaffolding",D22="Loading Bay","Loading Tower",D22="Scaffolding Platform","Birdcage", D22="Supporting Scaffold","Floor Propping")</f>
        <v>External Scaffolding</v>
      </c>
      <c r="H22" s="1" t="str" cm="1">
        <f t="array" ref="H22">_xlfn.IFS(OR(G22="External Scaffolding",G22="Birdcage", G22="Trad Deck", G22="Floor Propping"),"2.0 kN/m² (General Purpose)",G22= "Loading Tower","10.0 kN/m² (Loading Bay)",G22="Rhino Deck","6.0 kN/m² (Rhino Deck)")</f>
        <v>2.0 kN/m² (General Purpose)</v>
      </c>
      <c r="I22" t="str">
        <f t="shared" si="0"/>
        <v>Brick Guards</v>
      </c>
      <c r="J22" t="str">
        <f t="shared" si="1"/>
        <v>Positive Tying</v>
      </c>
      <c r="K22">
        <v>1334</v>
      </c>
      <c r="L22" t="str">
        <f t="shared" si="2"/>
        <v>Garage 29</v>
      </c>
      <c r="M22" t="str">
        <f t="shared" si="3"/>
        <v>External Scaffolding</v>
      </c>
      <c r="N22" t="str" cm="1">
        <f t="array" ref="N22">_xlfn.IFS(OR(G22="External Scaffolding",G22="Loading Tower", G22="Floor Propping"),"Tube and Fitting",G22="Birdcage","Birdcage", G22="Rhino Deck", "Rhino Deck", G22="Trad Deck", "Trad Deck")</f>
        <v>Tube and Fitting</v>
      </c>
      <c r="P22" t="s">
        <v>113</v>
      </c>
      <c r="Q22" t="str" cm="1">
        <f t="array" ref="Q22">_xlfn.IFS(M22="Loading Bay","15/OPT/1638-001",M22="Supporting Scaffold", "D/2020/23 rev.A",OR(M22&lt;&gt;"Loading Bay",M22&lt;&gt;"Supporting Scaffold"),"TG20:13 Scaffold")</f>
        <v>TG20:13 Scaffold</v>
      </c>
      <c r="T22" t="s">
        <v>114</v>
      </c>
    </row>
    <row r="23" spans="1:20" x14ac:dyDescent="0.25">
      <c r="A23" t="s">
        <v>232</v>
      </c>
      <c r="B23" t="s">
        <v>112</v>
      </c>
      <c r="C23" t="s">
        <v>141</v>
      </c>
      <c r="D23" t="s">
        <v>1</v>
      </c>
      <c r="E23" t="s">
        <v>79</v>
      </c>
      <c r="F23" t="s">
        <v>13</v>
      </c>
      <c r="G23" t="str" cm="1">
        <f t="array" ref="G23">_xlfn.IFS(D23="External Scaffolding","External Scaffolding",D23="Loading Bay","Loading Tower",D23="Scaffolding Platform","Birdcage", D23="Supporting Scaffold","Floor Propping")</f>
        <v>Loading Tower</v>
      </c>
      <c r="H23" s="1" t="str" cm="1">
        <f t="array" ref="H23">_xlfn.IFS(OR(G23="External Scaffolding",G23="Birdcage", G23="Trad Deck", G23="Floor Propping"),"2.0 kN/m² (General Purpose)",G23= "Loading Tower","10.0 kN/m² (Loading Bay)",G23="Rhino Deck","6.0 kN/m² (Rhino Deck)")</f>
        <v>10.0 kN/m² (Loading Bay)</v>
      </c>
      <c r="I23" t="str">
        <f t="shared" si="0"/>
        <v>Brick Guards</v>
      </c>
      <c r="J23" t="str">
        <f t="shared" si="1"/>
        <v>Positive Tying</v>
      </c>
      <c r="K23">
        <v>1334</v>
      </c>
      <c r="L23" t="str">
        <f t="shared" si="2"/>
        <v>Garage 29</v>
      </c>
      <c r="M23" t="str">
        <f t="shared" si="3"/>
        <v>Loading Bay</v>
      </c>
      <c r="N23" t="str" cm="1">
        <f t="array" ref="N23">_xlfn.IFS(OR(G23="External Scaffolding",G23="Loading Tower", G23="Floor Propping"),"Tube and Fitting",G23="Birdcage","Birdcage", G23="Rhino Deck", "Rhino Deck", G23="Trad Deck", "Trad Deck")</f>
        <v>Tube and Fitting</v>
      </c>
      <c r="P23" t="s">
        <v>113</v>
      </c>
      <c r="Q23" t="str" cm="1">
        <f t="array" ref="Q23">_xlfn.IFS(M23="Loading Bay","15/OPT/1638-001",M23="Supporting Scaffold", "D/2020/23 rev.A",OR(M23&lt;&gt;"Loading Bay",M23&lt;&gt;"Supporting Scaffold"),"TG20:13 Scaffold")</f>
        <v>15/OPT/1638-001</v>
      </c>
      <c r="T23" t="s">
        <v>114</v>
      </c>
    </row>
    <row r="24" spans="1:20" x14ac:dyDescent="0.25">
      <c r="A24" t="s">
        <v>233</v>
      </c>
      <c r="B24" t="s">
        <v>112</v>
      </c>
      <c r="C24" t="s">
        <v>141</v>
      </c>
      <c r="D24" t="s">
        <v>0</v>
      </c>
      <c r="E24" t="s">
        <v>79</v>
      </c>
      <c r="F24" t="s">
        <v>14</v>
      </c>
      <c r="G24" t="str" cm="1">
        <f t="array" ref="G24">_xlfn.IFS(D24="External Scaffolding","External Scaffolding",D24="Loading Bay","Loading Tower",D24="Scaffolding Platform","Birdcage", D24="Supporting Scaffold","Floor Propping")</f>
        <v>External Scaffolding</v>
      </c>
      <c r="H24" s="1" t="str" cm="1">
        <f t="array" ref="H24">_xlfn.IFS(OR(G24="External Scaffolding",G24="Birdcage", G24="Trad Deck", G24="Floor Propping"),"2.0 kN/m² (General Purpose)",G24= "Loading Tower","10.0 kN/m² (Loading Bay)",G24="Rhino Deck","6.0 kN/m² (Rhino Deck)")</f>
        <v>2.0 kN/m² (General Purpose)</v>
      </c>
      <c r="I24" t="str">
        <f t="shared" si="0"/>
        <v>Brick Guards</v>
      </c>
      <c r="J24" t="str">
        <f t="shared" si="1"/>
        <v>Positive Tying</v>
      </c>
      <c r="K24">
        <v>1334</v>
      </c>
      <c r="L24" t="str">
        <f t="shared" si="2"/>
        <v>Garage 45</v>
      </c>
      <c r="M24" t="str">
        <f t="shared" si="3"/>
        <v>External Scaffolding</v>
      </c>
      <c r="N24" t="str" cm="1">
        <f t="array" ref="N24">_xlfn.IFS(OR(G24="External Scaffolding",G24="Loading Tower", G24="Floor Propping"),"Tube and Fitting",G24="Birdcage","Birdcage", G24="Rhino Deck", "Rhino Deck", G24="Trad Deck", "Trad Deck")</f>
        <v>Tube and Fitting</v>
      </c>
      <c r="P24" t="s">
        <v>113</v>
      </c>
      <c r="Q24" t="str" cm="1">
        <f t="array" ref="Q24">_xlfn.IFS(M24="Loading Bay","15/OPT/1638-001",M24="Supporting Scaffold", "D/2020/23 rev.A",OR(M24&lt;&gt;"Loading Bay",M24&lt;&gt;"Supporting Scaffold"),"TG20:13 Scaffold")</f>
        <v>TG20:13 Scaffold</v>
      </c>
      <c r="T24" t="s">
        <v>114</v>
      </c>
    </row>
    <row r="25" spans="1:20" x14ac:dyDescent="0.25">
      <c r="A25" t="s">
        <v>234</v>
      </c>
      <c r="B25" t="s">
        <v>112</v>
      </c>
      <c r="C25" t="s">
        <v>141</v>
      </c>
      <c r="D25" t="s">
        <v>1</v>
      </c>
      <c r="E25" t="s">
        <v>79</v>
      </c>
      <c r="F25" t="s">
        <v>14</v>
      </c>
      <c r="G25" t="str" cm="1">
        <f t="array" ref="G25">_xlfn.IFS(D25="External Scaffolding","External Scaffolding",D25="Loading Bay","Loading Tower",D25="Scaffolding Platform","Birdcage", D25="Supporting Scaffold","Floor Propping")</f>
        <v>Loading Tower</v>
      </c>
      <c r="H25" s="1" t="str" cm="1">
        <f t="array" ref="H25">_xlfn.IFS(OR(G25="External Scaffolding",G25="Birdcage", G25="Trad Deck", G25="Floor Propping"),"2.0 kN/m² (General Purpose)",G25= "Loading Tower","10.0 kN/m² (Loading Bay)",G25="Rhino Deck","6.0 kN/m² (Rhino Deck)")</f>
        <v>10.0 kN/m² (Loading Bay)</v>
      </c>
      <c r="I25" t="str">
        <f t="shared" si="0"/>
        <v>Brick Guards</v>
      </c>
      <c r="J25" t="str">
        <f t="shared" si="1"/>
        <v>Positive Tying</v>
      </c>
      <c r="K25">
        <v>1334</v>
      </c>
      <c r="L25" t="str">
        <f t="shared" si="2"/>
        <v>Garage 45</v>
      </c>
      <c r="M25" t="str">
        <f t="shared" si="3"/>
        <v>Loading Bay</v>
      </c>
      <c r="N25" t="str" cm="1">
        <f t="array" ref="N25">_xlfn.IFS(OR(G25="External Scaffolding",G25="Loading Tower", G25="Floor Propping"),"Tube and Fitting",G25="Birdcage","Birdcage", G25="Rhino Deck", "Rhino Deck", G25="Trad Deck", "Trad Deck")</f>
        <v>Tube and Fitting</v>
      </c>
      <c r="P25" t="s">
        <v>113</v>
      </c>
      <c r="Q25" t="str" cm="1">
        <f t="array" ref="Q25">_xlfn.IFS(M25="Loading Bay","15/OPT/1638-001",M25="Supporting Scaffold", "D/2020/23 rev.A",OR(M25&lt;&gt;"Loading Bay",M25&lt;&gt;"Supporting Scaffold"),"TG20:13 Scaffold")</f>
        <v>15/OPT/1638-001</v>
      </c>
      <c r="T25" t="s">
        <v>114</v>
      </c>
    </row>
    <row r="26" spans="1:20" x14ac:dyDescent="0.25">
      <c r="A26" t="s">
        <v>235</v>
      </c>
      <c r="B26" t="s">
        <v>112</v>
      </c>
      <c r="C26" t="s">
        <v>141</v>
      </c>
      <c r="D26" t="s">
        <v>0</v>
      </c>
      <c r="E26" t="s">
        <v>79</v>
      </c>
      <c r="F26" t="s">
        <v>15</v>
      </c>
      <c r="G26" t="str" cm="1">
        <f t="array" ref="G26">_xlfn.IFS(D26="External Scaffolding","External Scaffolding",D26="Loading Bay","Loading Tower",D26="Scaffolding Platform","Birdcage", D26="Supporting Scaffold","Floor Propping")</f>
        <v>External Scaffolding</v>
      </c>
      <c r="H26" s="1" t="str" cm="1">
        <f t="array" ref="H26">_xlfn.IFS(OR(G26="External Scaffolding",G26="Birdcage", G26="Trad Deck", G26="Floor Propping"),"2.0 kN/m² (General Purpose)",G26= "Loading Tower","10.0 kN/m² (Loading Bay)",G26="Rhino Deck","6.0 kN/m² (Rhino Deck)")</f>
        <v>2.0 kN/m² (General Purpose)</v>
      </c>
      <c r="I26" t="str">
        <f t="shared" si="0"/>
        <v>Brick Guards</v>
      </c>
      <c r="J26" t="str">
        <f t="shared" si="1"/>
        <v>Positive Tying</v>
      </c>
      <c r="K26">
        <v>1334</v>
      </c>
      <c r="L26" t="str">
        <f t="shared" si="2"/>
        <v>Garage 46</v>
      </c>
      <c r="M26" t="str">
        <f t="shared" si="3"/>
        <v>External Scaffolding</v>
      </c>
      <c r="N26" t="str" cm="1">
        <f t="array" ref="N26">_xlfn.IFS(OR(G26="External Scaffolding",G26="Loading Tower", G26="Floor Propping"),"Tube and Fitting",G26="Birdcage","Birdcage", G26="Rhino Deck", "Rhino Deck", G26="Trad Deck", "Trad Deck")</f>
        <v>Tube and Fitting</v>
      </c>
      <c r="P26" t="s">
        <v>113</v>
      </c>
      <c r="Q26" t="str" cm="1">
        <f t="array" ref="Q26">_xlfn.IFS(M26="Loading Bay","15/OPT/1638-001",M26="Supporting Scaffold", "D/2020/23 rev.A",OR(M26&lt;&gt;"Loading Bay",M26&lt;&gt;"Supporting Scaffold"),"TG20:13 Scaffold")</f>
        <v>TG20:13 Scaffold</v>
      </c>
      <c r="T26" t="s">
        <v>114</v>
      </c>
    </row>
    <row r="27" spans="1:20" x14ac:dyDescent="0.25">
      <c r="A27" t="s">
        <v>236</v>
      </c>
      <c r="B27" t="s">
        <v>112</v>
      </c>
      <c r="C27" t="s">
        <v>141</v>
      </c>
      <c r="D27" t="s">
        <v>1</v>
      </c>
      <c r="E27" t="s">
        <v>79</v>
      </c>
      <c r="F27" t="s">
        <v>15</v>
      </c>
      <c r="G27" t="str" cm="1">
        <f t="array" ref="G27">_xlfn.IFS(D27="External Scaffolding","External Scaffolding",D27="Loading Bay","Loading Tower",D27="Scaffolding Platform","Birdcage", D27="Supporting Scaffold","Floor Propping")</f>
        <v>Loading Tower</v>
      </c>
      <c r="H27" s="1" t="str" cm="1">
        <f t="array" ref="H27">_xlfn.IFS(OR(G27="External Scaffolding",G27="Birdcage", G27="Trad Deck", G27="Floor Propping"),"2.0 kN/m² (General Purpose)",G27= "Loading Tower","10.0 kN/m² (Loading Bay)",G27="Rhino Deck","6.0 kN/m² (Rhino Deck)")</f>
        <v>10.0 kN/m² (Loading Bay)</v>
      </c>
      <c r="I27" t="str">
        <f t="shared" si="0"/>
        <v>Brick Guards</v>
      </c>
      <c r="J27" t="str">
        <f t="shared" si="1"/>
        <v>Positive Tying</v>
      </c>
      <c r="K27">
        <v>1334</v>
      </c>
      <c r="L27" t="str">
        <f t="shared" si="2"/>
        <v>Garage 46</v>
      </c>
      <c r="M27" t="str">
        <f t="shared" si="3"/>
        <v>Loading Bay</v>
      </c>
      <c r="N27" t="str" cm="1">
        <f t="array" ref="N27">_xlfn.IFS(OR(G27="External Scaffolding",G27="Loading Tower", G27="Floor Propping"),"Tube and Fitting",G27="Birdcage","Birdcage", G27="Rhino Deck", "Rhino Deck", G27="Trad Deck", "Trad Deck")</f>
        <v>Tube and Fitting</v>
      </c>
      <c r="P27" t="s">
        <v>113</v>
      </c>
      <c r="Q27" t="str" cm="1">
        <f t="array" ref="Q27">_xlfn.IFS(M27="Loading Bay","15/OPT/1638-001",M27="Supporting Scaffold", "D/2020/23 rev.A",OR(M27&lt;&gt;"Loading Bay",M27&lt;&gt;"Supporting Scaffold"),"TG20:13 Scaffold")</f>
        <v>15/OPT/1638-001</v>
      </c>
      <c r="T27" t="s">
        <v>114</v>
      </c>
    </row>
    <row r="28" spans="1:20" x14ac:dyDescent="0.25">
      <c r="A28" t="s">
        <v>237</v>
      </c>
      <c r="B28" t="s">
        <v>112</v>
      </c>
      <c r="C28" t="s">
        <v>141</v>
      </c>
      <c r="D28" t="s">
        <v>0</v>
      </c>
      <c r="E28" t="s">
        <v>79</v>
      </c>
      <c r="F28" t="s">
        <v>16</v>
      </c>
      <c r="G28" t="str" cm="1">
        <f t="array" ref="G28">_xlfn.IFS(D28="External Scaffolding","External Scaffolding",D28="Loading Bay","Loading Tower",D28="Scaffolding Platform","Birdcage", D28="Supporting Scaffold","Floor Propping")</f>
        <v>External Scaffolding</v>
      </c>
      <c r="H28" s="1" t="str" cm="1">
        <f t="array" ref="H28">_xlfn.IFS(OR(G28="External Scaffolding",G28="Birdcage", G28="Trad Deck", G28="Floor Propping"),"2.0 kN/m² (General Purpose)",G28= "Loading Tower","10.0 kN/m² (Loading Bay)",G28="Rhino Deck","6.0 kN/m² (Rhino Deck)")</f>
        <v>2.0 kN/m² (General Purpose)</v>
      </c>
      <c r="I28" t="str">
        <f t="shared" si="0"/>
        <v>Brick Guards</v>
      </c>
      <c r="J28" t="str">
        <f t="shared" si="1"/>
        <v>Positive Tying</v>
      </c>
      <c r="K28">
        <v>1334</v>
      </c>
      <c r="L28" t="str">
        <f t="shared" si="2"/>
        <v>Garage 47</v>
      </c>
      <c r="M28" t="str">
        <f t="shared" si="3"/>
        <v>External Scaffolding</v>
      </c>
      <c r="N28" t="str" cm="1">
        <f t="array" ref="N28">_xlfn.IFS(OR(G28="External Scaffolding",G28="Loading Tower", G28="Floor Propping"),"Tube and Fitting",G28="Birdcage","Birdcage", G28="Rhino Deck", "Rhino Deck", G28="Trad Deck", "Trad Deck")</f>
        <v>Tube and Fitting</v>
      </c>
      <c r="P28" t="s">
        <v>113</v>
      </c>
      <c r="Q28" t="str" cm="1">
        <f t="array" ref="Q28">_xlfn.IFS(M28="Loading Bay","15/OPT/1638-001",M28="Supporting Scaffold", "D/2020/23 rev.A",OR(M28&lt;&gt;"Loading Bay",M28&lt;&gt;"Supporting Scaffold"),"TG20:13 Scaffold")</f>
        <v>TG20:13 Scaffold</v>
      </c>
      <c r="T28" t="s">
        <v>114</v>
      </c>
    </row>
    <row r="29" spans="1:20" x14ac:dyDescent="0.25">
      <c r="A29" t="s">
        <v>238</v>
      </c>
      <c r="B29" t="s">
        <v>112</v>
      </c>
      <c r="C29" t="s">
        <v>141</v>
      </c>
      <c r="D29" t="s">
        <v>1</v>
      </c>
      <c r="E29" t="s">
        <v>79</v>
      </c>
      <c r="F29" t="s">
        <v>16</v>
      </c>
      <c r="G29" t="str" cm="1">
        <f t="array" ref="G29">_xlfn.IFS(D29="External Scaffolding","External Scaffolding",D29="Loading Bay","Loading Tower",D29="Scaffolding Platform","Birdcage", D29="Supporting Scaffold","Floor Propping")</f>
        <v>Loading Tower</v>
      </c>
      <c r="H29" s="1" t="str" cm="1">
        <f t="array" ref="H29">_xlfn.IFS(OR(G29="External Scaffolding",G29="Birdcage", G29="Trad Deck", G29="Floor Propping"),"2.0 kN/m² (General Purpose)",G29= "Loading Tower","10.0 kN/m² (Loading Bay)",G29="Rhino Deck","6.0 kN/m² (Rhino Deck)")</f>
        <v>10.0 kN/m² (Loading Bay)</v>
      </c>
      <c r="I29" t="str">
        <f t="shared" si="0"/>
        <v>Brick Guards</v>
      </c>
      <c r="J29" t="str">
        <f t="shared" si="1"/>
        <v>Positive Tying</v>
      </c>
      <c r="K29">
        <v>1334</v>
      </c>
      <c r="L29" t="str">
        <f t="shared" si="2"/>
        <v>Garage 47</v>
      </c>
      <c r="M29" t="str">
        <f t="shared" si="3"/>
        <v>Loading Bay</v>
      </c>
      <c r="N29" t="str" cm="1">
        <f t="array" ref="N29">_xlfn.IFS(OR(G29="External Scaffolding",G29="Loading Tower", G29="Floor Propping"),"Tube and Fitting",G29="Birdcage","Birdcage", G29="Rhino Deck", "Rhino Deck", G29="Trad Deck", "Trad Deck")</f>
        <v>Tube and Fitting</v>
      </c>
      <c r="P29" t="s">
        <v>113</v>
      </c>
      <c r="Q29" t="str" cm="1">
        <f t="array" ref="Q29">_xlfn.IFS(M29="Loading Bay","15/OPT/1638-001",M29="Supporting Scaffold", "D/2020/23 rev.A",OR(M29&lt;&gt;"Loading Bay",M29&lt;&gt;"Supporting Scaffold"),"TG20:13 Scaffold")</f>
        <v>15/OPT/1638-001</v>
      </c>
      <c r="T29" t="s">
        <v>114</v>
      </c>
    </row>
    <row r="30" spans="1:20" x14ac:dyDescent="0.25">
      <c r="A30" t="s">
        <v>239</v>
      </c>
      <c r="B30" t="s">
        <v>112</v>
      </c>
      <c r="C30" t="s">
        <v>141</v>
      </c>
      <c r="D30" t="s">
        <v>0</v>
      </c>
      <c r="E30" t="s">
        <v>79</v>
      </c>
      <c r="F30" t="s">
        <v>17</v>
      </c>
      <c r="G30" t="str" cm="1">
        <f t="array" ref="G30">_xlfn.IFS(D30="External Scaffolding","External Scaffolding",D30="Loading Bay","Loading Tower",D30="Scaffolding Platform","Birdcage", D30="Supporting Scaffold","Floor Propping")</f>
        <v>External Scaffolding</v>
      </c>
      <c r="H30" s="1" t="str" cm="1">
        <f t="array" ref="H30">_xlfn.IFS(OR(G30="External Scaffolding",G30="Birdcage", G30="Trad Deck", G30="Floor Propping"),"2.0 kN/m² (General Purpose)",G30= "Loading Tower","10.0 kN/m² (Loading Bay)",G30="Rhino Deck","6.0 kN/m² (Rhino Deck)")</f>
        <v>2.0 kN/m² (General Purpose)</v>
      </c>
      <c r="I30" t="str">
        <f t="shared" si="0"/>
        <v>Brick Guards</v>
      </c>
      <c r="J30" t="str">
        <f t="shared" si="1"/>
        <v>Positive Tying</v>
      </c>
      <c r="K30">
        <v>1334</v>
      </c>
      <c r="L30" t="str">
        <f t="shared" si="2"/>
        <v>Garage 48</v>
      </c>
      <c r="M30" t="str">
        <f t="shared" si="3"/>
        <v>External Scaffolding</v>
      </c>
      <c r="N30" t="str" cm="1">
        <f t="array" ref="N30">_xlfn.IFS(OR(G30="External Scaffolding",G30="Loading Tower", G30="Floor Propping"),"Tube and Fitting",G30="Birdcage","Birdcage", G30="Rhino Deck", "Rhino Deck", G30="Trad Deck", "Trad Deck")</f>
        <v>Tube and Fitting</v>
      </c>
      <c r="P30" t="s">
        <v>113</v>
      </c>
      <c r="Q30" t="str" cm="1">
        <f t="array" ref="Q30">_xlfn.IFS(M30="Loading Bay","15/OPT/1638-001",M30="Supporting Scaffold", "D/2020/23 rev.A",OR(M30&lt;&gt;"Loading Bay",M30&lt;&gt;"Supporting Scaffold"),"TG20:13 Scaffold")</f>
        <v>TG20:13 Scaffold</v>
      </c>
      <c r="T30" t="s">
        <v>114</v>
      </c>
    </row>
    <row r="31" spans="1:20" x14ac:dyDescent="0.25">
      <c r="A31" t="s">
        <v>240</v>
      </c>
      <c r="B31" t="s">
        <v>112</v>
      </c>
      <c r="C31" t="s">
        <v>141</v>
      </c>
      <c r="D31" t="s">
        <v>1</v>
      </c>
      <c r="E31" t="s">
        <v>79</v>
      </c>
      <c r="F31" t="s">
        <v>17</v>
      </c>
      <c r="G31" t="str" cm="1">
        <f t="array" ref="G31">_xlfn.IFS(D31="External Scaffolding","External Scaffolding",D31="Loading Bay","Loading Tower",D31="Scaffolding Platform","Birdcage", D31="Supporting Scaffold","Floor Propping")</f>
        <v>Loading Tower</v>
      </c>
      <c r="H31" s="1" t="str" cm="1">
        <f t="array" ref="H31">_xlfn.IFS(OR(G31="External Scaffolding",G31="Birdcage", G31="Trad Deck", G31="Floor Propping"),"2.0 kN/m² (General Purpose)",G31= "Loading Tower","10.0 kN/m² (Loading Bay)",G31="Rhino Deck","6.0 kN/m² (Rhino Deck)")</f>
        <v>10.0 kN/m² (Loading Bay)</v>
      </c>
      <c r="I31" t="str">
        <f t="shared" si="0"/>
        <v>Brick Guards</v>
      </c>
      <c r="J31" t="str">
        <f t="shared" si="1"/>
        <v>Positive Tying</v>
      </c>
      <c r="K31">
        <v>1334</v>
      </c>
      <c r="L31" t="str">
        <f t="shared" si="2"/>
        <v>Garage 48</v>
      </c>
      <c r="M31" t="str">
        <f t="shared" si="3"/>
        <v>Loading Bay</v>
      </c>
      <c r="N31" t="str" cm="1">
        <f t="array" ref="N31">_xlfn.IFS(OR(G31="External Scaffolding",G31="Loading Tower", G31="Floor Propping"),"Tube and Fitting",G31="Birdcage","Birdcage", G31="Rhino Deck", "Rhino Deck", G31="Trad Deck", "Trad Deck")</f>
        <v>Tube and Fitting</v>
      </c>
      <c r="P31" t="s">
        <v>113</v>
      </c>
      <c r="Q31" t="str" cm="1">
        <f t="array" ref="Q31">_xlfn.IFS(M31="Loading Bay","15/OPT/1638-001",M31="Supporting Scaffold", "D/2020/23 rev.A",OR(M31&lt;&gt;"Loading Bay",M31&lt;&gt;"Supporting Scaffold"),"TG20:13 Scaffold")</f>
        <v>15/OPT/1638-001</v>
      </c>
      <c r="T31" t="s">
        <v>114</v>
      </c>
    </row>
    <row r="32" spans="1:20" x14ac:dyDescent="0.25">
      <c r="A32" t="s">
        <v>241</v>
      </c>
      <c r="B32" t="s">
        <v>112</v>
      </c>
      <c r="C32" t="s">
        <v>141</v>
      </c>
      <c r="D32" t="s">
        <v>0</v>
      </c>
      <c r="E32" t="s">
        <v>79</v>
      </c>
      <c r="F32" t="s">
        <v>18</v>
      </c>
      <c r="G32" t="str" cm="1">
        <f t="array" ref="G32">_xlfn.IFS(D32="External Scaffolding","External Scaffolding",D32="Loading Bay","Loading Tower",D32="Scaffolding Platform","Birdcage", D32="Supporting Scaffold","Floor Propping")</f>
        <v>External Scaffolding</v>
      </c>
      <c r="H32" s="1" t="str" cm="1">
        <f t="array" ref="H32">_xlfn.IFS(OR(G32="External Scaffolding",G32="Birdcage", G32="Trad Deck", G32="Floor Propping"),"2.0 kN/m² (General Purpose)",G32= "Loading Tower","10.0 kN/m² (Loading Bay)",G32="Rhino Deck","6.0 kN/m² (Rhino Deck)")</f>
        <v>2.0 kN/m² (General Purpose)</v>
      </c>
      <c r="I32" t="str">
        <f t="shared" si="0"/>
        <v>Brick Guards</v>
      </c>
      <c r="J32" t="str">
        <f t="shared" si="1"/>
        <v>Positive Tying</v>
      </c>
      <c r="K32">
        <v>1334</v>
      </c>
      <c r="L32" t="str">
        <f t="shared" si="2"/>
        <v>Garage 49</v>
      </c>
      <c r="M32" t="str">
        <f t="shared" si="3"/>
        <v>External Scaffolding</v>
      </c>
      <c r="N32" t="str" cm="1">
        <f t="array" ref="N32">_xlfn.IFS(OR(G32="External Scaffolding",G32="Loading Tower", G32="Floor Propping"),"Tube and Fitting",G32="Birdcage","Birdcage", G32="Rhino Deck", "Rhino Deck", G32="Trad Deck", "Trad Deck")</f>
        <v>Tube and Fitting</v>
      </c>
      <c r="P32" t="s">
        <v>113</v>
      </c>
      <c r="Q32" t="str" cm="1">
        <f t="array" ref="Q32">_xlfn.IFS(M32="Loading Bay","15/OPT/1638-001",M32="Supporting Scaffold", "D/2020/23 rev.A",OR(M32&lt;&gt;"Loading Bay",M32&lt;&gt;"Supporting Scaffold"),"TG20:13 Scaffold")</f>
        <v>TG20:13 Scaffold</v>
      </c>
      <c r="T32" t="s">
        <v>114</v>
      </c>
    </row>
    <row r="33" spans="1:20" x14ac:dyDescent="0.25">
      <c r="A33" t="s">
        <v>242</v>
      </c>
      <c r="B33" t="s">
        <v>112</v>
      </c>
      <c r="C33" t="s">
        <v>141</v>
      </c>
      <c r="D33" t="s">
        <v>1</v>
      </c>
      <c r="E33" t="s">
        <v>79</v>
      </c>
      <c r="F33" t="s">
        <v>18</v>
      </c>
      <c r="G33" t="str" cm="1">
        <f t="array" ref="G33">_xlfn.IFS(D33="External Scaffolding","External Scaffolding",D33="Loading Bay","Loading Tower",D33="Scaffolding Platform","Birdcage", D33="Supporting Scaffold","Floor Propping")</f>
        <v>Loading Tower</v>
      </c>
      <c r="H33" s="1" t="str" cm="1">
        <f t="array" ref="H33">_xlfn.IFS(OR(G33="External Scaffolding",G33="Birdcage", G33="Trad Deck", G33="Floor Propping"),"2.0 kN/m² (General Purpose)",G33= "Loading Tower","10.0 kN/m² (Loading Bay)",G33="Rhino Deck","6.0 kN/m² (Rhino Deck)")</f>
        <v>10.0 kN/m² (Loading Bay)</v>
      </c>
      <c r="I33" t="str">
        <f t="shared" si="0"/>
        <v>Brick Guards</v>
      </c>
      <c r="J33" t="str">
        <f t="shared" si="1"/>
        <v>Positive Tying</v>
      </c>
      <c r="K33">
        <v>1334</v>
      </c>
      <c r="L33" t="str">
        <f t="shared" si="2"/>
        <v>Garage 49</v>
      </c>
      <c r="M33" t="str">
        <f t="shared" si="3"/>
        <v>Loading Bay</v>
      </c>
      <c r="N33" t="str" cm="1">
        <f t="array" ref="N33">_xlfn.IFS(OR(G33="External Scaffolding",G33="Loading Tower", G33="Floor Propping"),"Tube and Fitting",G33="Birdcage","Birdcage", G33="Rhino Deck", "Rhino Deck", G33="Trad Deck", "Trad Deck")</f>
        <v>Tube and Fitting</v>
      </c>
      <c r="P33" t="s">
        <v>113</v>
      </c>
      <c r="Q33" t="str" cm="1">
        <f t="array" ref="Q33">_xlfn.IFS(M33="Loading Bay","15/OPT/1638-001",M33="Supporting Scaffold", "D/2020/23 rev.A",OR(M33&lt;&gt;"Loading Bay",M33&lt;&gt;"Supporting Scaffold"),"TG20:13 Scaffold")</f>
        <v>15/OPT/1638-001</v>
      </c>
      <c r="T33" t="s">
        <v>114</v>
      </c>
    </row>
    <row r="34" spans="1:20" x14ac:dyDescent="0.25">
      <c r="A34" t="s">
        <v>243</v>
      </c>
      <c r="B34" t="s">
        <v>112</v>
      </c>
      <c r="C34" t="s">
        <v>141</v>
      </c>
      <c r="D34" t="s">
        <v>0</v>
      </c>
      <c r="E34" t="s">
        <v>79</v>
      </c>
      <c r="F34" t="s">
        <v>19</v>
      </c>
      <c r="G34" t="str" cm="1">
        <f t="array" ref="G34">_xlfn.IFS(D34="External Scaffolding","External Scaffolding",D34="Loading Bay","Loading Tower",D34="Scaffolding Platform","Birdcage", D34="Supporting Scaffold","Floor Propping")</f>
        <v>External Scaffolding</v>
      </c>
      <c r="H34" s="1" t="str" cm="1">
        <f t="array" ref="H34">_xlfn.IFS(OR(G34="External Scaffolding",G34="Birdcage", G34="Trad Deck", G34="Floor Propping"),"2.0 kN/m² (General Purpose)",G34= "Loading Tower","10.0 kN/m² (Loading Bay)",G34="Rhino Deck","6.0 kN/m² (Rhino Deck)")</f>
        <v>2.0 kN/m² (General Purpose)</v>
      </c>
      <c r="I34" t="str">
        <f t="shared" si="0"/>
        <v>Brick Guards</v>
      </c>
      <c r="J34" t="str">
        <f t="shared" si="1"/>
        <v>Positive Tying</v>
      </c>
      <c r="K34">
        <v>1334</v>
      </c>
      <c r="L34" t="str">
        <f t="shared" si="2"/>
        <v>Garage 50</v>
      </c>
      <c r="M34" t="str">
        <f t="shared" si="3"/>
        <v>External Scaffolding</v>
      </c>
      <c r="N34" t="str" cm="1">
        <f t="array" ref="N34">_xlfn.IFS(OR(G34="External Scaffolding",G34="Loading Tower", G34="Floor Propping"),"Tube and Fitting",G34="Birdcage","Birdcage", G34="Rhino Deck", "Rhino Deck", G34="Trad Deck", "Trad Deck")</f>
        <v>Tube and Fitting</v>
      </c>
      <c r="P34" t="s">
        <v>113</v>
      </c>
      <c r="Q34" t="str" cm="1">
        <f t="array" ref="Q34">_xlfn.IFS(M34="Loading Bay","15/OPT/1638-001",M34="Supporting Scaffold", "D/2020/23 rev.A",OR(M34&lt;&gt;"Loading Bay",M34&lt;&gt;"Supporting Scaffold"),"TG20:13 Scaffold")</f>
        <v>TG20:13 Scaffold</v>
      </c>
      <c r="T34" t="s">
        <v>114</v>
      </c>
    </row>
    <row r="35" spans="1:20" x14ac:dyDescent="0.25">
      <c r="A35" t="s">
        <v>244</v>
      </c>
      <c r="B35" t="s">
        <v>112</v>
      </c>
      <c r="C35" t="s">
        <v>141</v>
      </c>
      <c r="D35" t="s">
        <v>1</v>
      </c>
      <c r="E35" t="s">
        <v>79</v>
      </c>
      <c r="F35" t="s">
        <v>19</v>
      </c>
      <c r="G35" t="str" cm="1">
        <f t="array" ref="G35">_xlfn.IFS(D35="External Scaffolding","External Scaffolding",D35="Loading Bay","Loading Tower",D35="Scaffolding Platform","Birdcage", D35="Supporting Scaffold","Floor Propping")</f>
        <v>Loading Tower</v>
      </c>
      <c r="H35" s="1" t="str" cm="1">
        <f t="array" ref="H35">_xlfn.IFS(OR(G35="External Scaffolding",G35="Birdcage", G35="Trad Deck", G35="Floor Propping"),"2.0 kN/m² (General Purpose)",G35= "Loading Tower","10.0 kN/m² (Loading Bay)",G35="Rhino Deck","6.0 kN/m² (Rhino Deck)")</f>
        <v>10.0 kN/m² (Loading Bay)</v>
      </c>
      <c r="I35" t="str">
        <f t="shared" si="0"/>
        <v>Brick Guards</v>
      </c>
      <c r="J35" t="str">
        <f t="shared" si="1"/>
        <v>Positive Tying</v>
      </c>
      <c r="K35">
        <v>1334</v>
      </c>
      <c r="L35" t="str">
        <f t="shared" si="2"/>
        <v>Garage 50</v>
      </c>
      <c r="M35" t="str">
        <f t="shared" si="3"/>
        <v>Loading Bay</v>
      </c>
      <c r="N35" t="str" cm="1">
        <f t="array" ref="N35">_xlfn.IFS(OR(G35="External Scaffolding",G35="Loading Tower", G35="Floor Propping"),"Tube and Fitting",G35="Birdcage","Birdcage", G35="Rhino Deck", "Rhino Deck", G35="Trad Deck", "Trad Deck")</f>
        <v>Tube and Fitting</v>
      </c>
      <c r="P35" t="s">
        <v>113</v>
      </c>
      <c r="Q35" t="str" cm="1">
        <f t="array" ref="Q35">_xlfn.IFS(M35="Loading Bay","15/OPT/1638-001",M35="Supporting Scaffold", "D/2020/23 rev.A",OR(M35&lt;&gt;"Loading Bay",M35&lt;&gt;"Supporting Scaffold"),"TG20:13 Scaffold")</f>
        <v>15/OPT/1638-001</v>
      </c>
      <c r="T35" t="s">
        <v>114</v>
      </c>
    </row>
    <row r="36" spans="1:20" x14ac:dyDescent="0.25">
      <c r="A36" t="s">
        <v>245</v>
      </c>
      <c r="B36" t="s">
        <v>112</v>
      </c>
      <c r="C36" t="s">
        <v>141</v>
      </c>
      <c r="D36" t="s">
        <v>0</v>
      </c>
      <c r="E36" t="s">
        <v>79</v>
      </c>
      <c r="F36" t="s">
        <v>20</v>
      </c>
      <c r="G36" t="str" cm="1">
        <f t="array" ref="G36">_xlfn.IFS(D36="External Scaffolding","External Scaffolding",D36="Loading Bay","Loading Tower",D36="Scaffolding Platform","Birdcage", D36="Supporting Scaffold","Floor Propping")</f>
        <v>External Scaffolding</v>
      </c>
      <c r="H36" s="1" t="str" cm="1">
        <f t="array" ref="H36">_xlfn.IFS(OR(G36="External Scaffolding",G36="Birdcage", G36="Trad Deck", G36="Floor Propping"),"2.0 kN/m² (General Purpose)",G36= "Loading Tower","10.0 kN/m² (Loading Bay)",G36="Rhino Deck","6.0 kN/m² (Rhino Deck)")</f>
        <v>2.0 kN/m² (General Purpose)</v>
      </c>
      <c r="I36" t="str">
        <f t="shared" si="0"/>
        <v>Brick Guards</v>
      </c>
      <c r="J36" t="str">
        <f t="shared" si="1"/>
        <v>Positive Tying</v>
      </c>
      <c r="K36">
        <v>1334</v>
      </c>
      <c r="L36" t="str">
        <f t="shared" si="2"/>
        <v>Garage 51</v>
      </c>
      <c r="M36" t="str">
        <f t="shared" si="3"/>
        <v>External Scaffolding</v>
      </c>
      <c r="N36" t="str" cm="1">
        <f t="array" ref="N36">_xlfn.IFS(OR(G36="External Scaffolding",G36="Loading Tower", G36="Floor Propping"),"Tube and Fitting",G36="Birdcage","Birdcage", G36="Rhino Deck", "Rhino Deck", G36="Trad Deck", "Trad Deck")</f>
        <v>Tube and Fitting</v>
      </c>
      <c r="P36" t="s">
        <v>113</v>
      </c>
      <c r="Q36" t="str" cm="1">
        <f t="array" ref="Q36">_xlfn.IFS(M36="Loading Bay","15/OPT/1638-001",M36="Supporting Scaffold", "D/2020/23 rev.A",OR(M36&lt;&gt;"Loading Bay",M36&lt;&gt;"Supporting Scaffold"),"TG20:13 Scaffold")</f>
        <v>TG20:13 Scaffold</v>
      </c>
      <c r="T36" t="s">
        <v>114</v>
      </c>
    </row>
    <row r="37" spans="1:20" x14ac:dyDescent="0.25">
      <c r="A37" t="s">
        <v>246</v>
      </c>
      <c r="B37" t="s">
        <v>112</v>
      </c>
      <c r="C37" t="s">
        <v>141</v>
      </c>
      <c r="D37" t="s">
        <v>1</v>
      </c>
      <c r="E37" t="s">
        <v>79</v>
      </c>
      <c r="F37" t="s">
        <v>20</v>
      </c>
      <c r="G37" t="str" cm="1">
        <f t="array" ref="G37">_xlfn.IFS(D37="External Scaffolding","External Scaffolding",D37="Loading Bay","Loading Tower",D37="Scaffolding Platform","Birdcage", D37="Supporting Scaffold","Floor Propping")</f>
        <v>Loading Tower</v>
      </c>
      <c r="H37" s="1" t="str" cm="1">
        <f t="array" ref="H37">_xlfn.IFS(OR(G37="External Scaffolding",G37="Birdcage", G37="Trad Deck", G37="Floor Propping"),"2.0 kN/m² (General Purpose)",G37= "Loading Tower","10.0 kN/m² (Loading Bay)",G37="Rhino Deck","6.0 kN/m² (Rhino Deck)")</f>
        <v>10.0 kN/m² (Loading Bay)</v>
      </c>
      <c r="I37" t="str">
        <f t="shared" si="0"/>
        <v>Brick Guards</v>
      </c>
      <c r="J37" t="str">
        <f t="shared" si="1"/>
        <v>Positive Tying</v>
      </c>
      <c r="K37">
        <v>1334</v>
      </c>
      <c r="L37" t="str">
        <f t="shared" si="2"/>
        <v>Garage 51</v>
      </c>
      <c r="M37" t="str">
        <f t="shared" si="3"/>
        <v>Loading Bay</v>
      </c>
      <c r="N37" t="str" cm="1">
        <f t="array" ref="N37">_xlfn.IFS(OR(G37="External Scaffolding",G37="Loading Tower", G37="Floor Propping"),"Tube and Fitting",G37="Birdcage","Birdcage", G37="Rhino Deck", "Rhino Deck", G37="Trad Deck", "Trad Deck")</f>
        <v>Tube and Fitting</v>
      </c>
      <c r="P37" t="s">
        <v>113</v>
      </c>
      <c r="Q37" t="str" cm="1">
        <f t="array" ref="Q37">_xlfn.IFS(M37="Loading Bay","15/OPT/1638-001",M37="Supporting Scaffold", "D/2020/23 rev.A",OR(M37&lt;&gt;"Loading Bay",M37&lt;&gt;"Supporting Scaffold"),"TG20:13 Scaffold")</f>
        <v>15/OPT/1638-001</v>
      </c>
      <c r="T37" t="s">
        <v>114</v>
      </c>
    </row>
    <row r="38" spans="1:20" x14ac:dyDescent="0.25">
      <c r="A38" t="s">
        <v>247</v>
      </c>
      <c r="B38" t="s">
        <v>112</v>
      </c>
      <c r="C38" t="s">
        <v>141</v>
      </c>
      <c r="D38" t="s">
        <v>0</v>
      </c>
      <c r="E38" t="s">
        <v>79</v>
      </c>
      <c r="F38" t="s">
        <v>21</v>
      </c>
      <c r="G38" t="str" cm="1">
        <f t="array" ref="G38">_xlfn.IFS(D38="External Scaffolding","External Scaffolding",D38="Loading Bay","Loading Tower",D38="Scaffolding Platform","Birdcage", D38="Supporting Scaffold","Floor Propping")</f>
        <v>External Scaffolding</v>
      </c>
      <c r="H38" s="1" t="str" cm="1">
        <f t="array" ref="H38">_xlfn.IFS(OR(G38="External Scaffolding",G38="Birdcage", G38="Trad Deck", G38="Floor Propping"),"2.0 kN/m² (General Purpose)",G38= "Loading Tower","10.0 kN/m² (Loading Bay)",G38="Rhino Deck","6.0 kN/m² (Rhino Deck)")</f>
        <v>2.0 kN/m² (General Purpose)</v>
      </c>
      <c r="I38" t="str">
        <f t="shared" si="0"/>
        <v>Brick Guards</v>
      </c>
      <c r="J38" t="str">
        <f t="shared" si="1"/>
        <v>Positive Tying</v>
      </c>
      <c r="K38">
        <v>1334</v>
      </c>
      <c r="L38" t="str">
        <f t="shared" si="2"/>
        <v>Garage 52</v>
      </c>
      <c r="M38" t="str">
        <f t="shared" si="3"/>
        <v>External Scaffolding</v>
      </c>
      <c r="N38" t="str" cm="1">
        <f t="array" ref="N38">_xlfn.IFS(OR(G38="External Scaffolding",G38="Loading Tower", G38="Floor Propping"),"Tube and Fitting",G38="Birdcage","Birdcage", G38="Rhino Deck", "Rhino Deck", G38="Trad Deck", "Trad Deck")</f>
        <v>Tube and Fitting</v>
      </c>
      <c r="P38" t="s">
        <v>113</v>
      </c>
      <c r="Q38" t="str" cm="1">
        <f t="array" ref="Q38">_xlfn.IFS(M38="Loading Bay","15/OPT/1638-001",M38="Supporting Scaffold", "D/2020/23 rev.A",OR(M38&lt;&gt;"Loading Bay",M38&lt;&gt;"Supporting Scaffold"),"TG20:13 Scaffold")</f>
        <v>TG20:13 Scaffold</v>
      </c>
      <c r="T38" t="s">
        <v>114</v>
      </c>
    </row>
    <row r="39" spans="1:20" x14ac:dyDescent="0.25">
      <c r="A39" t="s">
        <v>248</v>
      </c>
      <c r="B39" t="s">
        <v>112</v>
      </c>
      <c r="C39" t="s">
        <v>141</v>
      </c>
      <c r="D39" t="s">
        <v>1</v>
      </c>
      <c r="E39" t="s">
        <v>79</v>
      </c>
      <c r="F39" t="s">
        <v>21</v>
      </c>
      <c r="G39" t="str" cm="1">
        <f t="array" ref="G39">_xlfn.IFS(D39="External Scaffolding","External Scaffolding",D39="Loading Bay","Loading Tower",D39="Scaffolding Platform","Birdcage", D39="Supporting Scaffold","Floor Propping")</f>
        <v>Loading Tower</v>
      </c>
      <c r="H39" s="1" t="str" cm="1">
        <f t="array" ref="H39">_xlfn.IFS(OR(G39="External Scaffolding",G39="Birdcage", G39="Trad Deck", G39="Floor Propping"),"2.0 kN/m² (General Purpose)",G39= "Loading Tower","10.0 kN/m² (Loading Bay)",G39="Rhino Deck","6.0 kN/m² (Rhino Deck)")</f>
        <v>10.0 kN/m² (Loading Bay)</v>
      </c>
      <c r="I39" t="str">
        <f t="shared" si="0"/>
        <v>Brick Guards</v>
      </c>
      <c r="J39" t="str">
        <f t="shared" si="1"/>
        <v>Positive Tying</v>
      </c>
      <c r="K39">
        <v>1334</v>
      </c>
      <c r="L39" t="str">
        <f t="shared" si="2"/>
        <v>Garage 52</v>
      </c>
      <c r="M39" t="str">
        <f t="shared" si="3"/>
        <v>Loading Bay</v>
      </c>
      <c r="N39" t="str" cm="1">
        <f t="array" ref="N39">_xlfn.IFS(OR(G39="External Scaffolding",G39="Loading Tower", G39="Floor Propping"),"Tube and Fitting",G39="Birdcage","Birdcage", G39="Rhino Deck", "Rhino Deck", G39="Trad Deck", "Trad Deck")</f>
        <v>Tube and Fitting</v>
      </c>
      <c r="P39" t="s">
        <v>113</v>
      </c>
      <c r="Q39" t="str" cm="1">
        <f t="array" ref="Q39">_xlfn.IFS(M39="Loading Bay","15/OPT/1638-001",M39="Supporting Scaffold", "D/2020/23 rev.A",OR(M39&lt;&gt;"Loading Bay",M39&lt;&gt;"Supporting Scaffold"),"TG20:13 Scaffold")</f>
        <v>15/OPT/1638-001</v>
      </c>
      <c r="T39" t="s">
        <v>114</v>
      </c>
    </row>
    <row r="40" spans="1:20" x14ac:dyDescent="0.25">
      <c r="A40" t="s">
        <v>249</v>
      </c>
      <c r="B40" t="s">
        <v>112</v>
      </c>
      <c r="C40" t="s">
        <v>141</v>
      </c>
      <c r="D40" t="s">
        <v>0</v>
      </c>
      <c r="E40" t="s">
        <v>79</v>
      </c>
      <c r="F40" t="s">
        <v>22</v>
      </c>
      <c r="G40" t="str" cm="1">
        <f t="array" ref="G40">_xlfn.IFS(D40="External Scaffolding","External Scaffolding",D40="Loading Bay","Loading Tower",D40="Scaffolding Platform","Birdcage", D40="Supporting Scaffold","Floor Propping")</f>
        <v>External Scaffolding</v>
      </c>
      <c r="H40" s="1" t="str" cm="1">
        <f t="array" ref="H40">_xlfn.IFS(OR(G40="External Scaffolding",G40="Birdcage", G40="Trad Deck", G40="Floor Propping"),"2.0 kN/m² (General Purpose)",G40= "Loading Tower","10.0 kN/m² (Loading Bay)",G40="Rhino Deck","6.0 kN/m² (Rhino Deck)")</f>
        <v>2.0 kN/m² (General Purpose)</v>
      </c>
      <c r="I40" t="str">
        <f t="shared" si="0"/>
        <v>Brick Guards</v>
      </c>
      <c r="J40" t="str">
        <f t="shared" si="1"/>
        <v>Positive Tying</v>
      </c>
      <c r="K40">
        <v>1334</v>
      </c>
      <c r="L40" t="str">
        <f t="shared" si="2"/>
        <v>Garage 55-56</v>
      </c>
      <c r="M40" t="str">
        <f t="shared" si="3"/>
        <v>External Scaffolding</v>
      </c>
      <c r="N40" t="str" cm="1">
        <f t="array" ref="N40">_xlfn.IFS(OR(G40="External Scaffolding",G40="Loading Tower", G40="Floor Propping"),"Tube and Fitting",G40="Birdcage","Birdcage", G40="Rhino Deck", "Rhino Deck", G40="Trad Deck", "Trad Deck")</f>
        <v>Tube and Fitting</v>
      </c>
      <c r="P40" t="s">
        <v>113</v>
      </c>
      <c r="Q40" t="str" cm="1">
        <f t="array" ref="Q40">_xlfn.IFS(M40="Loading Bay","15/OPT/1638-001",M40="Supporting Scaffold", "D/2020/23 rev.A",OR(M40&lt;&gt;"Loading Bay",M40&lt;&gt;"Supporting Scaffold"),"TG20:13 Scaffold")</f>
        <v>TG20:13 Scaffold</v>
      </c>
      <c r="T40" t="s">
        <v>114</v>
      </c>
    </row>
    <row r="41" spans="1:20" x14ac:dyDescent="0.25">
      <c r="A41" t="s">
        <v>250</v>
      </c>
      <c r="B41" t="s">
        <v>112</v>
      </c>
      <c r="C41" t="s">
        <v>141</v>
      </c>
      <c r="D41" t="s">
        <v>1</v>
      </c>
      <c r="E41" t="s">
        <v>79</v>
      </c>
      <c r="F41" t="s">
        <v>22</v>
      </c>
      <c r="G41" t="str" cm="1">
        <f t="array" ref="G41">_xlfn.IFS(D41="External Scaffolding","External Scaffolding",D41="Loading Bay","Loading Tower",D41="Scaffolding Platform","Birdcage", D41="Supporting Scaffold","Floor Propping")</f>
        <v>Loading Tower</v>
      </c>
      <c r="H41" s="1" t="str" cm="1">
        <f t="array" ref="H41">_xlfn.IFS(OR(G41="External Scaffolding",G41="Birdcage", G41="Trad Deck", G41="Floor Propping"),"2.0 kN/m² (General Purpose)",G41= "Loading Tower","10.0 kN/m² (Loading Bay)",G41="Rhino Deck","6.0 kN/m² (Rhino Deck)")</f>
        <v>10.0 kN/m² (Loading Bay)</v>
      </c>
      <c r="I41" t="str">
        <f t="shared" si="0"/>
        <v>Brick Guards</v>
      </c>
      <c r="J41" t="str">
        <f t="shared" si="1"/>
        <v>Positive Tying</v>
      </c>
      <c r="K41">
        <v>1334</v>
      </c>
      <c r="L41" t="str">
        <f t="shared" si="2"/>
        <v>Garage 55-56</v>
      </c>
      <c r="M41" t="str">
        <f t="shared" si="3"/>
        <v>Loading Bay</v>
      </c>
      <c r="N41" t="str" cm="1">
        <f t="array" ref="N41">_xlfn.IFS(OR(G41="External Scaffolding",G41="Loading Tower", G41="Floor Propping"),"Tube and Fitting",G41="Birdcage","Birdcage", G41="Rhino Deck", "Rhino Deck", G41="Trad Deck", "Trad Deck")</f>
        <v>Tube and Fitting</v>
      </c>
      <c r="P41" t="s">
        <v>113</v>
      </c>
      <c r="Q41" t="str" cm="1">
        <f t="array" ref="Q41">_xlfn.IFS(M41="Loading Bay","15/OPT/1638-001",M41="Supporting Scaffold", "D/2020/23 rev.A",OR(M41&lt;&gt;"Loading Bay",M41&lt;&gt;"Supporting Scaffold"),"TG20:13 Scaffold")</f>
        <v>15/OPT/1638-001</v>
      </c>
      <c r="T41" t="s">
        <v>114</v>
      </c>
    </row>
    <row r="42" spans="1:20" x14ac:dyDescent="0.25">
      <c r="A42" t="s">
        <v>251</v>
      </c>
      <c r="B42" t="s">
        <v>112</v>
      </c>
      <c r="C42" t="s">
        <v>141</v>
      </c>
      <c r="D42" t="s">
        <v>0</v>
      </c>
      <c r="E42" t="s">
        <v>79</v>
      </c>
      <c r="F42" t="s">
        <v>23</v>
      </c>
      <c r="G42" t="str" cm="1">
        <f t="array" ref="G42">_xlfn.IFS(D42="External Scaffolding","External Scaffolding",D42="Loading Bay","Loading Tower",D42="Scaffolding Platform","Birdcage", D42="Supporting Scaffold","Floor Propping")</f>
        <v>External Scaffolding</v>
      </c>
      <c r="H42" s="1" t="str" cm="1">
        <f t="array" ref="H42">_xlfn.IFS(OR(G42="External Scaffolding",G42="Birdcage", G42="Trad Deck", G42="Floor Propping"),"2.0 kN/m² (General Purpose)",G42= "Loading Tower","10.0 kN/m² (Loading Bay)",G42="Rhino Deck","6.0 kN/m² (Rhino Deck)")</f>
        <v>2.0 kN/m² (General Purpose)</v>
      </c>
      <c r="I42" t="str">
        <f t="shared" si="0"/>
        <v>Brick Guards</v>
      </c>
      <c r="J42" t="str">
        <f t="shared" si="1"/>
        <v>Positive Tying</v>
      </c>
      <c r="K42">
        <v>1334</v>
      </c>
      <c r="L42" t="str">
        <f t="shared" si="2"/>
        <v>Garage 57</v>
      </c>
      <c r="M42" t="str">
        <f t="shared" si="3"/>
        <v>External Scaffolding</v>
      </c>
      <c r="N42" t="str" cm="1">
        <f t="array" ref="N42">_xlfn.IFS(OR(G42="External Scaffolding",G42="Loading Tower", G42="Floor Propping"),"Tube and Fitting",G42="Birdcage","Birdcage", G42="Rhino Deck", "Rhino Deck", G42="Trad Deck", "Trad Deck")</f>
        <v>Tube and Fitting</v>
      </c>
      <c r="P42" t="s">
        <v>113</v>
      </c>
      <c r="Q42" t="str" cm="1">
        <f t="array" ref="Q42">_xlfn.IFS(M42="Loading Bay","15/OPT/1638-001",M42="Supporting Scaffold", "D/2020/23 rev.A",OR(M42&lt;&gt;"Loading Bay",M42&lt;&gt;"Supporting Scaffold"),"TG20:13 Scaffold")</f>
        <v>TG20:13 Scaffold</v>
      </c>
      <c r="T42" t="s">
        <v>114</v>
      </c>
    </row>
    <row r="43" spans="1:20" x14ac:dyDescent="0.25">
      <c r="A43" t="s">
        <v>252</v>
      </c>
      <c r="B43" t="s">
        <v>112</v>
      </c>
      <c r="C43" t="s">
        <v>141</v>
      </c>
      <c r="D43" t="s">
        <v>1</v>
      </c>
      <c r="E43" t="s">
        <v>79</v>
      </c>
      <c r="F43" t="s">
        <v>23</v>
      </c>
      <c r="G43" t="str" cm="1">
        <f t="array" ref="G43">_xlfn.IFS(D43="External Scaffolding","External Scaffolding",D43="Loading Bay","Loading Tower",D43="Scaffolding Platform","Birdcage", D43="Supporting Scaffold","Floor Propping")</f>
        <v>Loading Tower</v>
      </c>
      <c r="H43" s="1" t="str" cm="1">
        <f t="array" ref="H43">_xlfn.IFS(OR(G43="External Scaffolding",G43="Birdcage", G43="Trad Deck", G43="Floor Propping"),"2.0 kN/m² (General Purpose)",G43= "Loading Tower","10.0 kN/m² (Loading Bay)",G43="Rhino Deck","6.0 kN/m² (Rhino Deck)")</f>
        <v>10.0 kN/m² (Loading Bay)</v>
      </c>
      <c r="I43" t="str">
        <f t="shared" si="0"/>
        <v>Brick Guards</v>
      </c>
      <c r="J43" t="str">
        <f t="shared" si="1"/>
        <v>Positive Tying</v>
      </c>
      <c r="K43">
        <v>1334</v>
      </c>
      <c r="L43" t="str">
        <f t="shared" si="2"/>
        <v>Garage 57</v>
      </c>
      <c r="M43" t="str">
        <f t="shared" si="3"/>
        <v>Loading Bay</v>
      </c>
      <c r="N43" t="str" cm="1">
        <f t="array" ref="N43">_xlfn.IFS(OR(G43="External Scaffolding",G43="Loading Tower", G43="Floor Propping"),"Tube and Fitting",G43="Birdcage","Birdcage", G43="Rhino Deck", "Rhino Deck", G43="Trad Deck", "Trad Deck")</f>
        <v>Tube and Fitting</v>
      </c>
      <c r="P43" t="s">
        <v>113</v>
      </c>
      <c r="Q43" t="str" cm="1">
        <f t="array" ref="Q43">_xlfn.IFS(M43="Loading Bay","15/OPT/1638-001",M43="Supporting Scaffold", "D/2020/23 rev.A",OR(M43&lt;&gt;"Loading Bay",M43&lt;&gt;"Supporting Scaffold"),"TG20:13 Scaffold")</f>
        <v>15/OPT/1638-001</v>
      </c>
      <c r="T43" t="s">
        <v>114</v>
      </c>
    </row>
    <row r="44" spans="1:20" x14ac:dyDescent="0.25">
      <c r="A44" t="s">
        <v>253</v>
      </c>
      <c r="B44" t="s">
        <v>112</v>
      </c>
      <c r="C44" t="s">
        <v>141</v>
      </c>
      <c r="D44" t="s">
        <v>0</v>
      </c>
      <c r="E44" t="s">
        <v>79</v>
      </c>
      <c r="F44" t="s">
        <v>24</v>
      </c>
      <c r="G44" t="str" cm="1">
        <f t="array" ref="G44">_xlfn.IFS(D44="External Scaffolding","External Scaffolding",D44="Loading Bay","Loading Tower",D44="Scaffolding Platform","Birdcage", D44="Supporting Scaffold","Floor Propping")</f>
        <v>External Scaffolding</v>
      </c>
      <c r="H44" s="1" t="str" cm="1">
        <f t="array" ref="H44">_xlfn.IFS(OR(G44="External Scaffolding",G44="Birdcage", G44="Trad Deck", G44="Floor Propping"),"2.0 kN/m² (General Purpose)",G44= "Loading Tower","10.0 kN/m² (Loading Bay)",G44="Rhino Deck","6.0 kN/m² (Rhino Deck)")</f>
        <v>2.0 kN/m² (General Purpose)</v>
      </c>
      <c r="I44" t="str">
        <f t="shared" si="0"/>
        <v>Brick Guards</v>
      </c>
      <c r="J44" t="str">
        <f t="shared" si="1"/>
        <v>Positive Tying</v>
      </c>
      <c r="K44">
        <v>1334</v>
      </c>
      <c r="L44" t="str">
        <f t="shared" si="2"/>
        <v>Garage 58</v>
      </c>
      <c r="M44" t="str">
        <f t="shared" si="3"/>
        <v>External Scaffolding</v>
      </c>
      <c r="N44" t="str" cm="1">
        <f t="array" ref="N44">_xlfn.IFS(OR(G44="External Scaffolding",G44="Loading Tower", G44="Floor Propping"),"Tube and Fitting",G44="Birdcage","Birdcage", G44="Rhino Deck", "Rhino Deck", G44="Trad Deck", "Trad Deck")</f>
        <v>Tube and Fitting</v>
      </c>
      <c r="P44" t="s">
        <v>113</v>
      </c>
      <c r="Q44" t="str" cm="1">
        <f t="array" ref="Q44">_xlfn.IFS(M44="Loading Bay","15/OPT/1638-001",M44="Supporting Scaffold", "D/2020/23 rev.A",OR(M44&lt;&gt;"Loading Bay",M44&lt;&gt;"Supporting Scaffold"),"TG20:13 Scaffold")</f>
        <v>TG20:13 Scaffold</v>
      </c>
      <c r="T44" t="s">
        <v>114</v>
      </c>
    </row>
    <row r="45" spans="1:20" x14ac:dyDescent="0.25">
      <c r="A45" t="s">
        <v>254</v>
      </c>
      <c r="B45" t="s">
        <v>112</v>
      </c>
      <c r="C45" t="s">
        <v>141</v>
      </c>
      <c r="D45" t="s">
        <v>1</v>
      </c>
      <c r="E45" t="s">
        <v>79</v>
      </c>
      <c r="F45" t="s">
        <v>24</v>
      </c>
      <c r="G45" t="str" cm="1">
        <f t="array" ref="G45">_xlfn.IFS(D45="External Scaffolding","External Scaffolding",D45="Loading Bay","Loading Tower",D45="Scaffolding Platform","Birdcage", D45="Supporting Scaffold","Floor Propping")</f>
        <v>Loading Tower</v>
      </c>
      <c r="H45" s="1" t="str" cm="1">
        <f t="array" ref="H45">_xlfn.IFS(OR(G45="External Scaffolding",G45="Birdcage", G45="Trad Deck", G45="Floor Propping"),"2.0 kN/m² (General Purpose)",G45= "Loading Tower","10.0 kN/m² (Loading Bay)",G45="Rhino Deck","6.0 kN/m² (Rhino Deck)")</f>
        <v>10.0 kN/m² (Loading Bay)</v>
      </c>
      <c r="I45" t="str">
        <f t="shared" si="0"/>
        <v>Brick Guards</v>
      </c>
      <c r="J45" t="str">
        <f t="shared" si="1"/>
        <v>Positive Tying</v>
      </c>
      <c r="K45">
        <v>1334</v>
      </c>
      <c r="L45" t="str">
        <f t="shared" si="2"/>
        <v>Garage 58</v>
      </c>
      <c r="M45" t="str">
        <f t="shared" si="3"/>
        <v>Loading Bay</v>
      </c>
      <c r="N45" t="str" cm="1">
        <f t="array" ref="N45">_xlfn.IFS(OR(G45="External Scaffolding",G45="Loading Tower", G45="Floor Propping"),"Tube and Fitting",G45="Birdcage","Birdcage", G45="Rhino Deck", "Rhino Deck", G45="Trad Deck", "Trad Deck")</f>
        <v>Tube and Fitting</v>
      </c>
      <c r="P45" t="s">
        <v>113</v>
      </c>
      <c r="Q45" t="str" cm="1">
        <f t="array" ref="Q45">_xlfn.IFS(M45="Loading Bay","15/OPT/1638-001",M45="Supporting Scaffold", "D/2020/23 rev.A",OR(M45&lt;&gt;"Loading Bay",M45&lt;&gt;"Supporting Scaffold"),"TG20:13 Scaffold")</f>
        <v>15/OPT/1638-001</v>
      </c>
      <c r="T45" t="s">
        <v>114</v>
      </c>
    </row>
    <row r="46" spans="1:20" x14ac:dyDescent="0.25">
      <c r="A46" t="s">
        <v>255</v>
      </c>
      <c r="B46" t="s">
        <v>112</v>
      </c>
      <c r="C46" t="s">
        <v>141</v>
      </c>
      <c r="D46" t="s">
        <v>0</v>
      </c>
      <c r="E46" t="s">
        <v>79</v>
      </c>
      <c r="F46" t="s">
        <v>25</v>
      </c>
      <c r="G46" t="str" cm="1">
        <f t="array" ref="G46">_xlfn.IFS(D46="External Scaffolding","External Scaffolding",D46="Loading Bay","Loading Tower",D46="Scaffolding Platform","Birdcage", D46="Supporting Scaffold","Floor Propping")</f>
        <v>External Scaffolding</v>
      </c>
      <c r="H46" s="1" t="str" cm="1">
        <f t="array" ref="H46">_xlfn.IFS(OR(G46="External Scaffolding",G46="Birdcage", G46="Trad Deck", G46="Floor Propping"),"2.0 kN/m² (General Purpose)",G46= "Loading Tower","10.0 kN/m² (Loading Bay)",G46="Rhino Deck","6.0 kN/m² (Rhino Deck)")</f>
        <v>2.0 kN/m² (General Purpose)</v>
      </c>
      <c r="I46" t="str">
        <f t="shared" si="0"/>
        <v>Brick Guards</v>
      </c>
      <c r="J46" t="str">
        <f t="shared" si="1"/>
        <v>Positive Tying</v>
      </c>
      <c r="K46">
        <v>1334</v>
      </c>
      <c r="L46" t="str">
        <f t="shared" si="2"/>
        <v>Garage 59</v>
      </c>
      <c r="M46" t="str">
        <f t="shared" si="3"/>
        <v>External Scaffolding</v>
      </c>
      <c r="N46" t="str" cm="1">
        <f t="array" ref="N46">_xlfn.IFS(OR(G46="External Scaffolding",G46="Loading Tower", G46="Floor Propping"),"Tube and Fitting",G46="Birdcage","Birdcage", G46="Rhino Deck", "Rhino Deck", G46="Trad Deck", "Trad Deck")</f>
        <v>Tube and Fitting</v>
      </c>
      <c r="P46" t="s">
        <v>113</v>
      </c>
      <c r="Q46" t="str" cm="1">
        <f t="array" ref="Q46">_xlfn.IFS(M46="Loading Bay","15/OPT/1638-001",M46="Supporting Scaffold", "D/2020/23 rev.A",OR(M46&lt;&gt;"Loading Bay",M46&lt;&gt;"Supporting Scaffold"),"TG20:13 Scaffold")</f>
        <v>TG20:13 Scaffold</v>
      </c>
      <c r="T46" t="s">
        <v>114</v>
      </c>
    </row>
    <row r="47" spans="1:20" x14ac:dyDescent="0.25">
      <c r="A47" t="s">
        <v>256</v>
      </c>
      <c r="B47" t="s">
        <v>112</v>
      </c>
      <c r="C47" t="s">
        <v>141</v>
      </c>
      <c r="D47" t="s">
        <v>1</v>
      </c>
      <c r="E47" t="s">
        <v>79</v>
      </c>
      <c r="F47" t="s">
        <v>25</v>
      </c>
      <c r="G47" t="str" cm="1">
        <f t="array" ref="G47">_xlfn.IFS(D47="External Scaffolding","External Scaffolding",D47="Loading Bay","Loading Tower",D47="Scaffolding Platform","Birdcage", D47="Supporting Scaffold","Floor Propping")</f>
        <v>Loading Tower</v>
      </c>
      <c r="H47" s="1" t="str" cm="1">
        <f t="array" ref="H47">_xlfn.IFS(OR(G47="External Scaffolding",G47="Birdcage", G47="Trad Deck", G47="Floor Propping"),"2.0 kN/m² (General Purpose)",G47= "Loading Tower","10.0 kN/m² (Loading Bay)",G47="Rhino Deck","6.0 kN/m² (Rhino Deck)")</f>
        <v>10.0 kN/m² (Loading Bay)</v>
      </c>
      <c r="I47" t="str">
        <f t="shared" si="0"/>
        <v>Brick Guards</v>
      </c>
      <c r="J47" t="str">
        <f t="shared" si="1"/>
        <v>Positive Tying</v>
      </c>
      <c r="K47">
        <v>1334</v>
      </c>
      <c r="L47" t="str">
        <f t="shared" si="2"/>
        <v>Garage 59</v>
      </c>
      <c r="M47" t="str">
        <f t="shared" si="3"/>
        <v>Loading Bay</v>
      </c>
      <c r="N47" t="str" cm="1">
        <f t="array" ref="N47">_xlfn.IFS(OR(G47="External Scaffolding",G47="Loading Tower", G47="Floor Propping"),"Tube and Fitting",G47="Birdcage","Birdcage", G47="Rhino Deck", "Rhino Deck", G47="Trad Deck", "Trad Deck")</f>
        <v>Tube and Fitting</v>
      </c>
      <c r="P47" t="s">
        <v>113</v>
      </c>
      <c r="Q47" t="str" cm="1">
        <f t="array" ref="Q47">_xlfn.IFS(M47="Loading Bay","15/OPT/1638-001",M47="Supporting Scaffold", "D/2020/23 rev.A",OR(M47&lt;&gt;"Loading Bay",M47&lt;&gt;"Supporting Scaffold"),"TG20:13 Scaffold")</f>
        <v>15/OPT/1638-001</v>
      </c>
      <c r="T47" t="s">
        <v>114</v>
      </c>
    </row>
    <row r="48" spans="1:20" x14ac:dyDescent="0.25">
      <c r="A48" t="s">
        <v>257</v>
      </c>
      <c r="B48" t="s">
        <v>112</v>
      </c>
      <c r="C48" t="s">
        <v>141</v>
      </c>
      <c r="D48" t="s">
        <v>0</v>
      </c>
      <c r="E48" t="s">
        <v>79</v>
      </c>
      <c r="F48" t="s">
        <v>26</v>
      </c>
      <c r="G48" t="str" cm="1">
        <f t="array" ref="G48">_xlfn.IFS(D48="External Scaffolding","External Scaffolding",D48="Loading Bay","Loading Tower",D48="Scaffolding Platform","Birdcage", D48="Supporting Scaffold","Floor Propping")</f>
        <v>External Scaffolding</v>
      </c>
      <c r="H48" s="1" t="str" cm="1">
        <f t="array" ref="H48">_xlfn.IFS(OR(G48="External Scaffolding",G48="Birdcage", G48="Trad Deck", G48="Floor Propping"),"2.0 kN/m² (General Purpose)",G48= "Loading Tower","10.0 kN/m² (Loading Bay)",G48="Rhino Deck","6.0 kN/m² (Rhino Deck)")</f>
        <v>2.0 kN/m² (General Purpose)</v>
      </c>
      <c r="I48" t="str">
        <f t="shared" si="0"/>
        <v>Brick Guards</v>
      </c>
      <c r="J48" t="str">
        <f t="shared" si="1"/>
        <v>Positive Tying</v>
      </c>
      <c r="K48">
        <v>1334</v>
      </c>
      <c r="L48" t="str">
        <f t="shared" si="2"/>
        <v>Garage 60</v>
      </c>
      <c r="M48" t="str">
        <f t="shared" si="3"/>
        <v>External Scaffolding</v>
      </c>
      <c r="N48" t="str" cm="1">
        <f t="array" ref="N48">_xlfn.IFS(OR(G48="External Scaffolding",G48="Loading Tower", G48="Floor Propping"),"Tube and Fitting",G48="Birdcage","Birdcage", G48="Rhino Deck", "Rhino Deck", G48="Trad Deck", "Trad Deck")</f>
        <v>Tube and Fitting</v>
      </c>
      <c r="P48" t="s">
        <v>113</v>
      </c>
      <c r="Q48" t="str" cm="1">
        <f t="array" ref="Q48">_xlfn.IFS(M48="Loading Bay","15/OPT/1638-001",M48="Supporting Scaffold", "D/2020/23 rev.A",OR(M48&lt;&gt;"Loading Bay",M48&lt;&gt;"Supporting Scaffold"),"TG20:13 Scaffold")</f>
        <v>TG20:13 Scaffold</v>
      </c>
      <c r="T48" t="s">
        <v>114</v>
      </c>
    </row>
    <row r="49" spans="1:20" x14ac:dyDescent="0.25">
      <c r="A49" t="s">
        <v>258</v>
      </c>
      <c r="B49" t="s">
        <v>112</v>
      </c>
      <c r="C49" t="s">
        <v>141</v>
      </c>
      <c r="D49" t="s">
        <v>1</v>
      </c>
      <c r="E49" t="s">
        <v>79</v>
      </c>
      <c r="F49" t="s">
        <v>26</v>
      </c>
      <c r="G49" t="str" cm="1">
        <f t="array" ref="G49">_xlfn.IFS(D49="External Scaffolding","External Scaffolding",D49="Loading Bay","Loading Tower",D49="Scaffolding Platform","Birdcage", D49="Supporting Scaffold","Floor Propping")</f>
        <v>Loading Tower</v>
      </c>
      <c r="H49" s="1" t="str" cm="1">
        <f t="array" ref="H49">_xlfn.IFS(OR(G49="External Scaffolding",G49="Birdcage", G49="Trad Deck", G49="Floor Propping"),"2.0 kN/m² (General Purpose)",G49= "Loading Tower","10.0 kN/m² (Loading Bay)",G49="Rhino Deck","6.0 kN/m² (Rhino Deck)")</f>
        <v>10.0 kN/m² (Loading Bay)</v>
      </c>
      <c r="I49" t="str">
        <f t="shared" si="0"/>
        <v>Brick Guards</v>
      </c>
      <c r="J49" t="str">
        <f t="shared" si="1"/>
        <v>Positive Tying</v>
      </c>
      <c r="K49">
        <v>1334</v>
      </c>
      <c r="L49" t="str">
        <f t="shared" si="2"/>
        <v>Garage 60</v>
      </c>
      <c r="M49" t="str">
        <f t="shared" si="3"/>
        <v>Loading Bay</v>
      </c>
      <c r="N49" t="str" cm="1">
        <f t="array" ref="N49">_xlfn.IFS(OR(G49="External Scaffolding",G49="Loading Tower", G49="Floor Propping"),"Tube and Fitting",G49="Birdcage","Birdcage", G49="Rhino Deck", "Rhino Deck", G49="Trad Deck", "Trad Deck")</f>
        <v>Tube and Fitting</v>
      </c>
      <c r="P49" t="s">
        <v>113</v>
      </c>
      <c r="Q49" t="str" cm="1">
        <f t="array" ref="Q49">_xlfn.IFS(M49="Loading Bay","15/OPT/1638-001",M49="Supporting Scaffold", "D/2020/23 rev.A",OR(M49&lt;&gt;"Loading Bay",M49&lt;&gt;"Supporting Scaffold"),"TG20:13 Scaffold")</f>
        <v>15/OPT/1638-001</v>
      </c>
      <c r="T49" t="s">
        <v>114</v>
      </c>
    </row>
    <row r="50" spans="1:20" x14ac:dyDescent="0.25">
      <c r="A50" t="s">
        <v>259</v>
      </c>
      <c r="B50" t="s">
        <v>112</v>
      </c>
      <c r="C50" t="s">
        <v>141</v>
      </c>
      <c r="D50" t="s">
        <v>0</v>
      </c>
      <c r="E50" t="s">
        <v>79</v>
      </c>
      <c r="F50" t="s">
        <v>27</v>
      </c>
      <c r="G50" t="str" cm="1">
        <f t="array" ref="G50">_xlfn.IFS(D50="External Scaffolding","External Scaffolding",D50="Loading Bay","Loading Tower",D50="Scaffolding Platform","Birdcage", D50="Supporting Scaffold","Floor Propping")</f>
        <v>External Scaffolding</v>
      </c>
      <c r="H50" s="1" t="str" cm="1">
        <f t="array" ref="H50">_xlfn.IFS(OR(G50="External Scaffolding",G50="Birdcage", G50="Trad Deck", G50="Floor Propping"),"2.0 kN/m² (General Purpose)",G50= "Loading Tower","10.0 kN/m² (Loading Bay)",G50="Rhino Deck","6.0 kN/m² (Rhino Deck)")</f>
        <v>2.0 kN/m² (General Purpose)</v>
      </c>
      <c r="I50" t="str">
        <f t="shared" si="0"/>
        <v>Brick Guards</v>
      </c>
      <c r="J50" t="str">
        <f t="shared" si="1"/>
        <v>Positive Tying</v>
      </c>
      <c r="K50">
        <v>1334</v>
      </c>
      <c r="L50" t="str">
        <f t="shared" si="2"/>
        <v>Garage 63</v>
      </c>
      <c r="M50" t="str">
        <f t="shared" si="3"/>
        <v>External Scaffolding</v>
      </c>
      <c r="N50" t="str" cm="1">
        <f t="array" ref="N50">_xlfn.IFS(OR(G50="External Scaffolding",G50="Loading Tower", G50="Floor Propping"),"Tube and Fitting",G50="Birdcage","Birdcage", G50="Rhino Deck", "Rhino Deck", G50="Trad Deck", "Trad Deck")</f>
        <v>Tube and Fitting</v>
      </c>
      <c r="P50" t="s">
        <v>113</v>
      </c>
      <c r="Q50" t="str" cm="1">
        <f t="array" ref="Q50">_xlfn.IFS(M50="Loading Bay","15/OPT/1638-001",M50="Supporting Scaffold", "D/2020/23 rev.A",OR(M50&lt;&gt;"Loading Bay",M50&lt;&gt;"Supporting Scaffold"),"TG20:13 Scaffold")</f>
        <v>TG20:13 Scaffold</v>
      </c>
      <c r="T50" t="s">
        <v>114</v>
      </c>
    </row>
    <row r="51" spans="1:20" x14ac:dyDescent="0.25">
      <c r="A51" t="s">
        <v>260</v>
      </c>
      <c r="B51" t="s">
        <v>112</v>
      </c>
      <c r="C51" t="s">
        <v>141</v>
      </c>
      <c r="D51" t="s">
        <v>1</v>
      </c>
      <c r="E51" t="s">
        <v>79</v>
      </c>
      <c r="F51" t="s">
        <v>27</v>
      </c>
      <c r="G51" t="str" cm="1">
        <f t="array" ref="G51">_xlfn.IFS(D51="External Scaffolding","External Scaffolding",D51="Loading Bay","Loading Tower",D51="Scaffolding Platform","Birdcage", D51="Supporting Scaffold","Floor Propping")</f>
        <v>Loading Tower</v>
      </c>
      <c r="H51" s="1" t="str" cm="1">
        <f t="array" ref="H51">_xlfn.IFS(OR(G51="External Scaffolding",G51="Birdcage", G51="Trad Deck", G51="Floor Propping"),"2.0 kN/m² (General Purpose)",G51= "Loading Tower","10.0 kN/m² (Loading Bay)",G51="Rhino Deck","6.0 kN/m² (Rhino Deck)")</f>
        <v>10.0 kN/m² (Loading Bay)</v>
      </c>
      <c r="I51" t="str">
        <f t="shared" si="0"/>
        <v>Brick Guards</v>
      </c>
      <c r="J51" t="str">
        <f t="shared" si="1"/>
        <v>Positive Tying</v>
      </c>
      <c r="K51">
        <v>1334</v>
      </c>
      <c r="L51" t="str">
        <f t="shared" si="2"/>
        <v>Garage 63</v>
      </c>
      <c r="M51" t="str">
        <f t="shared" si="3"/>
        <v>Loading Bay</v>
      </c>
      <c r="N51" t="str" cm="1">
        <f t="array" ref="N51">_xlfn.IFS(OR(G51="External Scaffolding",G51="Loading Tower", G51="Floor Propping"),"Tube and Fitting",G51="Birdcage","Birdcage", G51="Rhino Deck", "Rhino Deck", G51="Trad Deck", "Trad Deck")</f>
        <v>Tube and Fitting</v>
      </c>
      <c r="P51" t="s">
        <v>113</v>
      </c>
      <c r="Q51" t="str" cm="1">
        <f t="array" ref="Q51">_xlfn.IFS(M51="Loading Bay","15/OPT/1638-001",M51="Supporting Scaffold", "D/2020/23 rev.A",OR(M51&lt;&gt;"Loading Bay",M51&lt;&gt;"Supporting Scaffold"),"TG20:13 Scaffold")</f>
        <v>15/OPT/1638-001</v>
      </c>
      <c r="T51" t="s">
        <v>114</v>
      </c>
    </row>
    <row r="52" spans="1:20" x14ac:dyDescent="0.25">
      <c r="A52" t="s">
        <v>261</v>
      </c>
      <c r="B52" t="s">
        <v>112</v>
      </c>
      <c r="C52" t="s">
        <v>141</v>
      </c>
      <c r="D52" t="s">
        <v>0</v>
      </c>
      <c r="E52" t="s">
        <v>79</v>
      </c>
      <c r="F52" t="s">
        <v>28</v>
      </c>
      <c r="G52" t="str" cm="1">
        <f t="array" ref="G52">_xlfn.IFS(D52="External Scaffolding","External Scaffolding",D52="Loading Bay","Loading Tower",D52="Scaffolding Platform","Birdcage", D52="Supporting Scaffold","Floor Propping")</f>
        <v>External Scaffolding</v>
      </c>
      <c r="H52" s="1" t="str" cm="1">
        <f t="array" ref="H52">_xlfn.IFS(OR(G52="External Scaffolding",G52="Birdcage", G52="Trad Deck", G52="Floor Propping"),"2.0 kN/m² (General Purpose)",G52= "Loading Tower","10.0 kN/m² (Loading Bay)",G52="Rhino Deck","6.0 kN/m² (Rhino Deck)")</f>
        <v>2.0 kN/m² (General Purpose)</v>
      </c>
      <c r="I52" t="str">
        <f t="shared" si="0"/>
        <v>Brick Guards</v>
      </c>
      <c r="J52" t="str">
        <f t="shared" si="1"/>
        <v>Positive Tying</v>
      </c>
      <c r="K52">
        <v>1334</v>
      </c>
      <c r="L52" t="str">
        <f t="shared" si="2"/>
        <v>Garage 64</v>
      </c>
      <c r="M52" t="str">
        <f t="shared" si="3"/>
        <v>External Scaffolding</v>
      </c>
      <c r="N52" t="str" cm="1">
        <f t="array" ref="N52">_xlfn.IFS(OR(G52="External Scaffolding",G52="Loading Tower", G52="Floor Propping"),"Tube and Fitting",G52="Birdcage","Birdcage", G52="Rhino Deck", "Rhino Deck", G52="Trad Deck", "Trad Deck")</f>
        <v>Tube and Fitting</v>
      </c>
      <c r="P52" t="s">
        <v>113</v>
      </c>
      <c r="Q52" t="str" cm="1">
        <f t="array" ref="Q52">_xlfn.IFS(M52="Loading Bay","15/OPT/1638-001",M52="Supporting Scaffold", "D/2020/23 rev.A",OR(M52&lt;&gt;"Loading Bay",M52&lt;&gt;"Supporting Scaffold"),"TG20:13 Scaffold")</f>
        <v>TG20:13 Scaffold</v>
      </c>
      <c r="T52" t="s">
        <v>114</v>
      </c>
    </row>
    <row r="53" spans="1:20" x14ac:dyDescent="0.25">
      <c r="A53" t="s">
        <v>262</v>
      </c>
      <c r="B53" t="s">
        <v>112</v>
      </c>
      <c r="C53" t="s">
        <v>141</v>
      </c>
      <c r="D53" t="s">
        <v>1</v>
      </c>
      <c r="E53" t="s">
        <v>79</v>
      </c>
      <c r="F53" t="s">
        <v>28</v>
      </c>
      <c r="G53" t="str" cm="1">
        <f t="array" ref="G53">_xlfn.IFS(D53="External Scaffolding","External Scaffolding",D53="Loading Bay","Loading Tower",D53="Scaffolding Platform","Birdcage", D53="Supporting Scaffold","Floor Propping")</f>
        <v>Loading Tower</v>
      </c>
      <c r="H53" s="1" t="str" cm="1">
        <f t="array" ref="H53">_xlfn.IFS(OR(G53="External Scaffolding",G53="Birdcage", G53="Trad Deck", G53="Floor Propping"),"2.0 kN/m² (General Purpose)",G53= "Loading Tower","10.0 kN/m² (Loading Bay)",G53="Rhino Deck","6.0 kN/m² (Rhino Deck)")</f>
        <v>10.0 kN/m² (Loading Bay)</v>
      </c>
      <c r="I53" t="str">
        <f t="shared" si="0"/>
        <v>Brick Guards</v>
      </c>
      <c r="J53" t="str">
        <f t="shared" si="1"/>
        <v>Positive Tying</v>
      </c>
      <c r="K53">
        <v>1334</v>
      </c>
      <c r="L53" t="str">
        <f t="shared" si="2"/>
        <v>Garage 64</v>
      </c>
      <c r="M53" t="str">
        <f t="shared" si="3"/>
        <v>Loading Bay</v>
      </c>
      <c r="N53" t="str" cm="1">
        <f t="array" ref="N53">_xlfn.IFS(OR(G53="External Scaffolding",G53="Loading Tower", G53="Floor Propping"),"Tube and Fitting",G53="Birdcage","Birdcage", G53="Rhino Deck", "Rhino Deck", G53="Trad Deck", "Trad Deck")</f>
        <v>Tube and Fitting</v>
      </c>
      <c r="P53" t="s">
        <v>113</v>
      </c>
      <c r="Q53" t="str" cm="1">
        <f t="array" ref="Q53">_xlfn.IFS(M53="Loading Bay","15/OPT/1638-001",M53="Supporting Scaffold", "D/2020/23 rev.A",OR(M53&lt;&gt;"Loading Bay",M53&lt;&gt;"Supporting Scaffold"),"TG20:13 Scaffold")</f>
        <v>15/OPT/1638-001</v>
      </c>
      <c r="T53" t="s">
        <v>114</v>
      </c>
    </row>
    <row r="54" spans="1:20" x14ac:dyDescent="0.25">
      <c r="A54" t="s">
        <v>263</v>
      </c>
      <c r="B54" t="s">
        <v>112</v>
      </c>
      <c r="C54" t="s">
        <v>141</v>
      </c>
      <c r="D54" t="s">
        <v>0</v>
      </c>
      <c r="E54" t="s">
        <v>79</v>
      </c>
      <c r="F54" t="s">
        <v>29</v>
      </c>
      <c r="G54" t="str" cm="1">
        <f t="array" ref="G54">_xlfn.IFS(D54="External Scaffolding","External Scaffolding",D54="Loading Bay","Loading Tower",D54="Scaffolding Platform","Birdcage", D54="Supporting Scaffold","Floor Propping")</f>
        <v>External Scaffolding</v>
      </c>
      <c r="H54" s="1" t="str" cm="1">
        <f t="array" ref="H54">_xlfn.IFS(OR(G54="External Scaffolding",G54="Birdcage", G54="Trad Deck", G54="Floor Propping"),"2.0 kN/m² (General Purpose)",G54= "Loading Tower","10.0 kN/m² (Loading Bay)",G54="Rhino Deck","6.0 kN/m² (Rhino Deck)")</f>
        <v>2.0 kN/m² (General Purpose)</v>
      </c>
      <c r="I54" t="str">
        <f t="shared" si="0"/>
        <v>Brick Guards</v>
      </c>
      <c r="J54" t="str">
        <f t="shared" si="1"/>
        <v>Positive Tying</v>
      </c>
      <c r="K54">
        <v>1334</v>
      </c>
      <c r="L54" t="str">
        <f t="shared" si="2"/>
        <v>Garage 65-72</v>
      </c>
      <c r="M54" t="str">
        <f t="shared" si="3"/>
        <v>External Scaffolding</v>
      </c>
      <c r="N54" t="str" cm="1">
        <f t="array" ref="N54">_xlfn.IFS(OR(G54="External Scaffolding",G54="Loading Tower", G54="Floor Propping"),"Tube and Fitting",G54="Birdcage","Birdcage", G54="Rhino Deck", "Rhino Deck", G54="Trad Deck", "Trad Deck")</f>
        <v>Tube and Fitting</v>
      </c>
      <c r="P54" t="s">
        <v>113</v>
      </c>
      <c r="Q54" t="str" cm="1">
        <f t="array" ref="Q54">_xlfn.IFS(M54="Loading Bay","15/OPT/1638-001",M54="Supporting Scaffold", "D/2020/23 rev.A",OR(M54&lt;&gt;"Loading Bay",M54&lt;&gt;"Supporting Scaffold"),"TG20:13 Scaffold")</f>
        <v>TG20:13 Scaffold</v>
      </c>
      <c r="T54" t="s">
        <v>114</v>
      </c>
    </row>
    <row r="55" spans="1:20" x14ac:dyDescent="0.25">
      <c r="A55" t="s">
        <v>264</v>
      </c>
      <c r="B55" t="s">
        <v>112</v>
      </c>
      <c r="C55" t="s">
        <v>141</v>
      </c>
      <c r="D55" t="s">
        <v>1</v>
      </c>
      <c r="E55" t="s">
        <v>79</v>
      </c>
      <c r="F55" t="s">
        <v>29</v>
      </c>
      <c r="G55" t="str" cm="1">
        <f t="array" ref="G55">_xlfn.IFS(D55="External Scaffolding","External Scaffolding",D55="Loading Bay","Loading Tower",D55="Scaffolding Platform","Birdcage", D55="Supporting Scaffold","Floor Propping")</f>
        <v>Loading Tower</v>
      </c>
      <c r="H55" s="1" t="str" cm="1">
        <f t="array" ref="H55">_xlfn.IFS(OR(G55="External Scaffolding",G55="Birdcage", G55="Trad Deck", G55="Floor Propping"),"2.0 kN/m² (General Purpose)",G55= "Loading Tower","10.0 kN/m² (Loading Bay)",G55="Rhino Deck","6.0 kN/m² (Rhino Deck)")</f>
        <v>10.0 kN/m² (Loading Bay)</v>
      </c>
      <c r="I55" t="str">
        <f t="shared" si="0"/>
        <v>Brick Guards</v>
      </c>
      <c r="J55" t="str">
        <f t="shared" si="1"/>
        <v>Positive Tying</v>
      </c>
      <c r="K55">
        <v>1334</v>
      </c>
      <c r="L55" t="str">
        <f t="shared" si="2"/>
        <v>Garage 65-72</v>
      </c>
      <c r="M55" t="str">
        <f t="shared" si="3"/>
        <v>Loading Bay</v>
      </c>
      <c r="N55" t="str" cm="1">
        <f t="array" ref="N55">_xlfn.IFS(OR(G55="External Scaffolding",G55="Loading Tower", G55="Floor Propping"),"Tube and Fitting",G55="Birdcage","Birdcage", G55="Rhino Deck", "Rhino Deck", G55="Trad Deck", "Trad Deck")</f>
        <v>Tube and Fitting</v>
      </c>
      <c r="P55" t="s">
        <v>113</v>
      </c>
      <c r="Q55" t="str" cm="1">
        <f t="array" ref="Q55">_xlfn.IFS(M55="Loading Bay","15/OPT/1638-001",M55="Supporting Scaffold", "D/2020/23 rev.A",OR(M55&lt;&gt;"Loading Bay",M55&lt;&gt;"Supporting Scaffold"),"TG20:13 Scaffold")</f>
        <v>15/OPT/1638-001</v>
      </c>
      <c r="T55" t="s">
        <v>114</v>
      </c>
    </row>
    <row r="56" spans="1:20" x14ac:dyDescent="0.25">
      <c r="A56" t="s">
        <v>265</v>
      </c>
      <c r="B56" t="s">
        <v>112</v>
      </c>
      <c r="C56" t="s">
        <v>141</v>
      </c>
      <c r="D56" t="s">
        <v>0</v>
      </c>
      <c r="E56" t="s">
        <v>79</v>
      </c>
      <c r="F56" t="s">
        <v>30</v>
      </c>
      <c r="G56" t="str" cm="1">
        <f t="array" ref="G56">_xlfn.IFS(D56="External Scaffolding","External Scaffolding",D56="Loading Bay","Loading Tower",D56="Scaffolding Platform","Birdcage", D56="Supporting Scaffold","Floor Propping")</f>
        <v>External Scaffolding</v>
      </c>
      <c r="H56" s="1" t="str" cm="1">
        <f t="array" ref="H56">_xlfn.IFS(OR(G56="External Scaffolding",G56="Birdcage", G56="Trad Deck", G56="Floor Propping"),"2.0 kN/m² (General Purpose)",G56= "Loading Tower","10.0 kN/m² (Loading Bay)",G56="Rhino Deck","6.0 kN/m² (Rhino Deck)")</f>
        <v>2.0 kN/m² (General Purpose)</v>
      </c>
      <c r="I56" t="str">
        <f t="shared" si="0"/>
        <v>Brick Guards</v>
      </c>
      <c r="J56" t="str">
        <f t="shared" si="1"/>
        <v>Positive Tying</v>
      </c>
      <c r="K56">
        <v>1334</v>
      </c>
      <c r="L56" t="str">
        <f t="shared" si="2"/>
        <v>Garage 66</v>
      </c>
      <c r="M56" t="str">
        <f t="shared" si="3"/>
        <v>External Scaffolding</v>
      </c>
      <c r="N56" t="str" cm="1">
        <f t="array" ref="N56">_xlfn.IFS(OR(G56="External Scaffolding",G56="Loading Tower", G56="Floor Propping"),"Tube and Fitting",G56="Birdcage","Birdcage", G56="Rhino Deck", "Rhino Deck", G56="Trad Deck", "Trad Deck")</f>
        <v>Tube and Fitting</v>
      </c>
      <c r="P56" t="s">
        <v>113</v>
      </c>
      <c r="Q56" t="str" cm="1">
        <f t="array" ref="Q56">_xlfn.IFS(M56="Loading Bay","15/OPT/1638-001",M56="Supporting Scaffold", "D/2020/23 rev.A",OR(M56&lt;&gt;"Loading Bay",M56&lt;&gt;"Supporting Scaffold"),"TG20:13 Scaffold")</f>
        <v>TG20:13 Scaffold</v>
      </c>
      <c r="T56" t="s">
        <v>114</v>
      </c>
    </row>
    <row r="57" spans="1:20" x14ac:dyDescent="0.25">
      <c r="A57" t="s">
        <v>266</v>
      </c>
      <c r="B57" t="s">
        <v>112</v>
      </c>
      <c r="C57" t="s">
        <v>141</v>
      </c>
      <c r="D57" t="s">
        <v>1</v>
      </c>
      <c r="E57" t="s">
        <v>79</v>
      </c>
      <c r="F57" t="s">
        <v>30</v>
      </c>
      <c r="G57" t="str" cm="1">
        <f t="array" ref="G57">_xlfn.IFS(D57="External Scaffolding","External Scaffolding",D57="Loading Bay","Loading Tower",D57="Scaffolding Platform","Birdcage", D57="Supporting Scaffold","Floor Propping")</f>
        <v>Loading Tower</v>
      </c>
      <c r="H57" s="1" t="str" cm="1">
        <f t="array" ref="H57">_xlfn.IFS(OR(G57="External Scaffolding",G57="Birdcage", G57="Trad Deck", G57="Floor Propping"),"2.0 kN/m² (General Purpose)",G57= "Loading Tower","10.0 kN/m² (Loading Bay)",G57="Rhino Deck","6.0 kN/m² (Rhino Deck)")</f>
        <v>10.0 kN/m² (Loading Bay)</v>
      </c>
      <c r="I57" t="str">
        <f t="shared" si="0"/>
        <v>Brick Guards</v>
      </c>
      <c r="J57" t="str">
        <f t="shared" si="1"/>
        <v>Positive Tying</v>
      </c>
      <c r="K57">
        <v>1334</v>
      </c>
      <c r="L57" t="str">
        <f t="shared" si="2"/>
        <v>Garage 66</v>
      </c>
      <c r="M57" t="str">
        <f t="shared" si="3"/>
        <v>Loading Bay</v>
      </c>
      <c r="N57" t="str" cm="1">
        <f t="array" ref="N57">_xlfn.IFS(OR(G57="External Scaffolding",G57="Loading Tower", G57="Floor Propping"),"Tube and Fitting",G57="Birdcage","Birdcage", G57="Rhino Deck", "Rhino Deck", G57="Trad Deck", "Trad Deck")</f>
        <v>Tube and Fitting</v>
      </c>
      <c r="P57" t="s">
        <v>113</v>
      </c>
      <c r="Q57" t="str" cm="1">
        <f t="array" ref="Q57">_xlfn.IFS(M57="Loading Bay","15/OPT/1638-001",M57="Supporting Scaffold", "D/2020/23 rev.A",OR(M57&lt;&gt;"Loading Bay",M57&lt;&gt;"Supporting Scaffold"),"TG20:13 Scaffold")</f>
        <v>15/OPT/1638-001</v>
      </c>
      <c r="T57" t="s">
        <v>114</v>
      </c>
    </row>
    <row r="58" spans="1:20" x14ac:dyDescent="0.25">
      <c r="A58" t="s">
        <v>267</v>
      </c>
      <c r="B58" t="s">
        <v>112</v>
      </c>
      <c r="C58" t="s">
        <v>141</v>
      </c>
      <c r="D58" t="s">
        <v>0</v>
      </c>
      <c r="E58" t="s">
        <v>79</v>
      </c>
      <c r="F58" t="s">
        <v>31</v>
      </c>
      <c r="G58" t="str" cm="1">
        <f t="array" ref="G58">_xlfn.IFS(D58="External Scaffolding","External Scaffolding",D58="Loading Bay","Loading Tower",D58="Scaffolding Platform","Birdcage", D58="Supporting Scaffold","Floor Propping")</f>
        <v>External Scaffolding</v>
      </c>
      <c r="H58" s="1" t="str" cm="1">
        <f t="array" ref="H58">_xlfn.IFS(OR(G58="External Scaffolding",G58="Birdcage", G58="Trad Deck", G58="Floor Propping"),"2.0 kN/m² (General Purpose)",G58= "Loading Tower","10.0 kN/m² (Loading Bay)",G58="Rhino Deck","6.0 kN/m² (Rhino Deck)")</f>
        <v>2.0 kN/m² (General Purpose)</v>
      </c>
      <c r="I58" t="str">
        <f t="shared" si="0"/>
        <v>Brick Guards</v>
      </c>
      <c r="J58" t="str">
        <f t="shared" si="1"/>
        <v>Positive Tying</v>
      </c>
      <c r="K58">
        <v>1334</v>
      </c>
      <c r="L58" t="str">
        <f t="shared" si="2"/>
        <v>Garage 67</v>
      </c>
      <c r="M58" t="str">
        <f t="shared" si="3"/>
        <v>External Scaffolding</v>
      </c>
      <c r="N58" t="str" cm="1">
        <f t="array" ref="N58">_xlfn.IFS(OR(G58="External Scaffolding",G58="Loading Tower", G58="Floor Propping"),"Tube and Fitting",G58="Birdcage","Birdcage", G58="Rhino Deck", "Rhino Deck", G58="Trad Deck", "Trad Deck")</f>
        <v>Tube and Fitting</v>
      </c>
      <c r="P58" t="s">
        <v>113</v>
      </c>
      <c r="Q58" t="str" cm="1">
        <f t="array" ref="Q58">_xlfn.IFS(M58="Loading Bay","15/OPT/1638-001",M58="Supporting Scaffold", "D/2020/23 rev.A",OR(M58&lt;&gt;"Loading Bay",M58&lt;&gt;"Supporting Scaffold"),"TG20:13 Scaffold")</f>
        <v>TG20:13 Scaffold</v>
      </c>
      <c r="T58" t="s">
        <v>114</v>
      </c>
    </row>
    <row r="59" spans="1:20" x14ac:dyDescent="0.25">
      <c r="A59" t="s">
        <v>268</v>
      </c>
      <c r="B59" t="s">
        <v>112</v>
      </c>
      <c r="C59" t="s">
        <v>141</v>
      </c>
      <c r="D59" t="s">
        <v>1</v>
      </c>
      <c r="E59" t="s">
        <v>79</v>
      </c>
      <c r="F59" t="s">
        <v>31</v>
      </c>
      <c r="G59" t="str" cm="1">
        <f t="array" ref="G59">_xlfn.IFS(D59="External Scaffolding","External Scaffolding",D59="Loading Bay","Loading Tower",D59="Scaffolding Platform","Birdcage", D59="Supporting Scaffold","Floor Propping")</f>
        <v>Loading Tower</v>
      </c>
      <c r="H59" s="1" t="str" cm="1">
        <f t="array" ref="H59">_xlfn.IFS(OR(G59="External Scaffolding",G59="Birdcage", G59="Trad Deck", G59="Floor Propping"),"2.0 kN/m² (General Purpose)",G59= "Loading Tower","10.0 kN/m² (Loading Bay)",G59="Rhino Deck","6.0 kN/m² (Rhino Deck)")</f>
        <v>10.0 kN/m² (Loading Bay)</v>
      </c>
      <c r="I59" t="str">
        <f t="shared" si="0"/>
        <v>Brick Guards</v>
      </c>
      <c r="J59" t="str">
        <f t="shared" si="1"/>
        <v>Positive Tying</v>
      </c>
      <c r="K59">
        <v>1334</v>
      </c>
      <c r="L59" t="str">
        <f t="shared" si="2"/>
        <v>Garage 67</v>
      </c>
      <c r="M59" t="str">
        <f t="shared" si="3"/>
        <v>Loading Bay</v>
      </c>
      <c r="N59" t="str" cm="1">
        <f t="array" ref="N59">_xlfn.IFS(OR(G59="External Scaffolding",G59="Loading Tower", G59="Floor Propping"),"Tube and Fitting",G59="Birdcage","Birdcage", G59="Rhino Deck", "Rhino Deck", G59="Trad Deck", "Trad Deck")</f>
        <v>Tube and Fitting</v>
      </c>
      <c r="P59" t="s">
        <v>113</v>
      </c>
      <c r="Q59" t="str" cm="1">
        <f t="array" ref="Q59">_xlfn.IFS(M59="Loading Bay","15/OPT/1638-001",M59="Supporting Scaffold", "D/2020/23 rev.A",OR(M59&lt;&gt;"Loading Bay",M59&lt;&gt;"Supporting Scaffold"),"TG20:13 Scaffold")</f>
        <v>15/OPT/1638-001</v>
      </c>
      <c r="T59" t="s">
        <v>114</v>
      </c>
    </row>
    <row r="60" spans="1:20" x14ac:dyDescent="0.25">
      <c r="A60" t="s">
        <v>269</v>
      </c>
      <c r="B60" t="s">
        <v>112</v>
      </c>
      <c r="C60" t="s">
        <v>141</v>
      </c>
      <c r="D60" t="s">
        <v>0</v>
      </c>
      <c r="E60" t="s">
        <v>79</v>
      </c>
      <c r="F60" t="s">
        <v>32</v>
      </c>
      <c r="G60" t="str" cm="1">
        <f t="array" ref="G60">_xlfn.IFS(D60="External Scaffolding","External Scaffolding",D60="Loading Bay","Loading Tower",D60="Scaffolding Platform","Birdcage", D60="Supporting Scaffold","Floor Propping")</f>
        <v>External Scaffolding</v>
      </c>
      <c r="H60" s="1" t="str" cm="1">
        <f t="array" ref="H60">_xlfn.IFS(OR(G60="External Scaffolding",G60="Birdcage", G60="Trad Deck", G60="Floor Propping"),"2.0 kN/m² (General Purpose)",G60= "Loading Tower","10.0 kN/m² (Loading Bay)",G60="Rhino Deck","6.0 kN/m² (Rhino Deck)")</f>
        <v>2.0 kN/m² (General Purpose)</v>
      </c>
      <c r="I60" t="str">
        <f t="shared" si="0"/>
        <v>Brick Guards</v>
      </c>
      <c r="J60" t="str">
        <f t="shared" si="1"/>
        <v>Positive Tying</v>
      </c>
      <c r="K60">
        <v>1334</v>
      </c>
      <c r="L60" t="str">
        <f t="shared" si="2"/>
        <v>Garage 68</v>
      </c>
      <c r="M60" t="str">
        <f t="shared" si="3"/>
        <v>External Scaffolding</v>
      </c>
      <c r="N60" t="str" cm="1">
        <f t="array" ref="N60">_xlfn.IFS(OR(G60="External Scaffolding",G60="Loading Tower", G60="Floor Propping"),"Tube and Fitting",G60="Birdcage","Birdcage", G60="Rhino Deck", "Rhino Deck", G60="Trad Deck", "Trad Deck")</f>
        <v>Tube and Fitting</v>
      </c>
      <c r="P60" t="s">
        <v>113</v>
      </c>
      <c r="Q60" t="str" cm="1">
        <f t="array" ref="Q60">_xlfn.IFS(M60="Loading Bay","15/OPT/1638-001",M60="Supporting Scaffold", "D/2020/23 rev.A",OR(M60&lt;&gt;"Loading Bay",M60&lt;&gt;"Supporting Scaffold"),"TG20:13 Scaffold")</f>
        <v>TG20:13 Scaffold</v>
      </c>
      <c r="T60" t="s">
        <v>114</v>
      </c>
    </row>
    <row r="61" spans="1:20" x14ac:dyDescent="0.25">
      <c r="A61" t="s">
        <v>270</v>
      </c>
      <c r="B61" t="s">
        <v>112</v>
      </c>
      <c r="C61" t="s">
        <v>141</v>
      </c>
      <c r="D61" t="s">
        <v>1</v>
      </c>
      <c r="E61" t="s">
        <v>79</v>
      </c>
      <c r="F61" t="s">
        <v>32</v>
      </c>
      <c r="G61" t="str" cm="1">
        <f t="array" ref="G61">_xlfn.IFS(D61="External Scaffolding","External Scaffolding",D61="Loading Bay","Loading Tower",D61="Scaffolding Platform","Birdcage", D61="Supporting Scaffold","Floor Propping")</f>
        <v>Loading Tower</v>
      </c>
      <c r="H61" s="1" t="str" cm="1">
        <f t="array" ref="H61">_xlfn.IFS(OR(G61="External Scaffolding",G61="Birdcage", G61="Trad Deck", G61="Floor Propping"),"2.0 kN/m² (General Purpose)",G61= "Loading Tower","10.0 kN/m² (Loading Bay)",G61="Rhino Deck","6.0 kN/m² (Rhino Deck)")</f>
        <v>10.0 kN/m² (Loading Bay)</v>
      </c>
      <c r="I61" t="str">
        <f t="shared" si="0"/>
        <v>Brick Guards</v>
      </c>
      <c r="J61" t="str">
        <f t="shared" si="1"/>
        <v>Positive Tying</v>
      </c>
      <c r="K61">
        <v>1334</v>
      </c>
      <c r="L61" t="str">
        <f t="shared" si="2"/>
        <v>Garage 68</v>
      </c>
      <c r="M61" t="str">
        <f t="shared" si="3"/>
        <v>Loading Bay</v>
      </c>
      <c r="N61" t="str" cm="1">
        <f t="array" ref="N61">_xlfn.IFS(OR(G61="External Scaffolding",G61="Loading Tower", G61="Floor Propping"),"Tube and Fitting",G61="Birdcage","Birdcage", G61="Rhino Deck", "Rhino Deck", G61="Trad Deck", "Trad Deck")</f>
        <v>Tube and Fitting</v>
      </c>
      <c r="P61" t="s">
        <v>113</v>
      </c>
      <c r="Q61" t="str" cm="1">
        <f t="array" ref="Q61">_xlfn.IFS(M61="Loading Bay","15/OPT/1638-001",M61="Supporting Scaffold", "D/2020/23 rev.A",OR(M61&lt;&gt;"Loading Bay",M61&lt;&gt;"Supporting Scaffold"),"TG20:13 Scaffold")</f>
        <v>15/OPT/1638-001</v>
      </c>
      <c r="T61" t="s">
        <v>114</v>
      </c>
    </row>
    <row r="62" spans="1:20" x14ac:dyDescent="0.25">
      <c r="A62" t="s">
        <v>271</v>
      </c>
      <c r="B62" t="s">
        <v>112</v>
      </c>
      <c r="C62" t="s">
        <v>141</v>
      </c>
      <c r="D62" t="s">
        <v>0</v>
      </c>
      <c r="E62" t="s">
        <v>79</v>
      </c>
      <c r="F62" t="s">
        <v>33</v>
      </c>
      <c r="G62" t="str" cm="1">
        <f t="array" ref="G62">_xlfn.IFS(D62="External Scaffolding","External Scaffolding",D62="Loading Bay","Loading Tower",D62="Scaffolding Platform","Birdcage", D62="Supporting Scaffold","Floor Propping")</f>
        <v>External Scaffolding</v>
      </c>
      <c r="H62" s="1" t="str" cm="1">
        <f t="array" ref="H62">_xlfn.IFS(OR(G62="External Scaffolding",G62="Birdcage", G62="Trad Deck", G62="Floor Propping"),"2.0 kN/m² (General Purpose)",G62= "Loading Tower","10.0 kN/m² (Loading Bay)",G62="Rhino Deck","6.0 kN/m² (Rhino Deck)")</f>
        <v>2.0 kN/m² (General Purpose)</v>
      </c>
      <c r="I62" t="str">
        <f t="shared" si="0"/>
        <v>Brick Guards</v>
      </c>
      <c r="J62" t="str">
        <f t="shared" si="1"/>
        <v>Positive Tying</v>
      </c>
      <c r="K62">
        <v>1334</v>
      </c>
      <c r="L62" t="str">
        <f t="shared" si="2"/>
        <v>Garage 69</v>
      </c>
      <c r="M62" t="str">
        <f t="shared" si="3"/>
        <v>External Scaffolding</v>
      </c>
      <c r="N62" t="str" cm="1">
        <f t="array" ref="N62">_xlfn.IFS(OR(G62="External Scaffolding",G62="Loading Tower", G62="Floor Propping"),"Tube and Fitting",G62="Birdcage","Birdcage", G62="Rhino Deck", "Rhino Deck", G62="Trad Deck", "Trad Deck")</f>
        <v>Tube and Fitting</v>
      </c>
      <c r="P62" t="s">
        <v>113</v>
      </c>
      <c r="Q62" t="str" cm="1">
        <f t="array" ref="Q62">_xlfn.IFS(M62="Loading Bay","15/OPT/1638-001",M62="Supporting Scaffold", "D/2020/23 rev.A",OR(M62&lt;&gt;"Loading Bay",M62&lt;&gt;"Supporting Scaffold"),"TG20:13 Scaffold")</f>
        <v>TG20:13 Scaffold</v>
      </c>
      <c r="T62" t="s">
        <v>114</v>
      </c>
    </row>
    <row r="63" spans="1:20" x14ac:dyDescent="0.25">
      <c r="A63" t="s">
        <v>272</v>
      </c>
      <c r="B63" t="s">
        <v>112</v>
      </c>
      <c r="C63" t="s">
        <v>141</v>
      </c>
      <c r="D63" t="s">
        <v>1</v>
      </c>
      <c r="E63" t="s">
        <v>79</v>
      </c>
      <c r="F63" t="s">
        <v>33</v>
      </c>
      <c r="G63" t="str" cm="1">
        <f t="array" ref="G63">_xlfn.IFS(D63="External Scaffolding","External Scaffolding",D63="Loading Bay","Loading Tower",D63="Scaffolding Platform","Birdcage", D63="Supporting Scaffold","Floor Propping")</f>
        <v>Loading Tower</v>
      </c>
      <c r="H63" s="1" t="str" cm="1">
        <f t="array" ref="H63">_xlfn.IFS(OR(G63="External Scaffolding",G63="Birdcage", G63="Trad Deck", G63="Floor Propping"),"2.0 kN/m² (General Purpose)",G63= "Loading Tower","10.0 kN/m² (Loading Bay)",G63="Rhino Deck","6.0 kN/m² (Rhino Deck)")</f>
        <v>10.0 kN/m² (Loading Bay)</v>
      </c>
      <c r="I63" t="str">
        <f t="shared" si="0"/>
        <v>Brick Guards</v>
      </c>
      <c r="J63" t="str">
        <f t="shared" si="1"/>
        <v>Positive Tying</v>
      </c>
      <c r="K63">
        <v>1334</v>
      </c>
      <c r="L63" t="str">
        <f t="shared" si="2"/>
        <v>Garage 69</v>
      </c>
      <c r="M63" t="str">
        <f t="shared" si="3"/>
        <v>Loading Bay</v>
      </c>
      <c r="N63" t="str" cm="1">
        <f t="array" ref="N63">_xlfn.IFS(OR(G63="External Scaffolding",G63="Loading Tower", G63="Floor Propping"),"Tube and Fitting",G63="Birdcage","Birdcage", G63="Rhino Deck", "Rhino Deck", G63="Trad Deck", "Trad Deck")</f>
        <v>Tube and Fitting</v>
      </c>
      <c r="P63" t="s">
        <v>113</v>
      </c>
      <c r="Q63" t="str" cm="1">
        <f t="array" ref="Q63">_xlfn.IFS(M63="Loading Bay","15/OPT/1638-001",M63="Supporting Scaffold", "D/2020/23 rev.A",OR(M63&lt;&gt;"Loading Bay",M63&lt;&gt;"Supporting Scaffold"),"TG20:13 Scaffold")</f>
        <v>15/OPT/1638-001</v>
      </c>
      <c r="T63" t="s">
        <v>114</v>
      </c>
    </row>
    <row r="64" spans="1:20" x14ac:dyDescent="0.25">
      <c r="A64" t="s">
        <v>273</v>
      </c>
      <c r="B64" t="s">
        <v>112</v>
      </c>
      <c r="C64" t="s">
        <v>141</v>
      </c>
      <c r="D64" t="s">
        <v>0</v>
      </c>
      <c r="E64" t="s">
        <v>79</v>
      </c>
      <c r="F64" t="s">
        <v>34</v>
      </c>
      <c r="G64" t="str" cm="1">
        <f t="array" ref="G64">_xlfn.IFS(D64="External Scaffolding","External Scaffolding",D64="Loading Bay","Loading Tower",D64="Scaffolding Platform","Birdcage", D64="Supporting Scaffold","Floor Propping")</f>
        <v>External Scaffolding</v>
      </c>
      <c r="H64" s="1" t="str" cm="1">
        <f t="array" ref="H64">_xlfn.IFS(OR(G64="External Scaffolding",G64="Birdcage", G64="Trad Deck", G64="Floor Propping"),"2.0 kN/m² (General Purpose)",G64= "Loading Tower","10.0 kN/m² (Loading Bay)",G64="Rhino Deck","6.0 kN/m² (Rhino Deck)")</f>
        <v>2.0 kN/m² (General Purpose)</v>
      </c>
      <c r="I64" t="str">
        <f t="shared" si="0"/>
        <v>Brick Guards</v>
      </c>
      <c r="J64" t="str">
        <f t="shared" si="1"/>
        <v>Positive Tying</v>
      </c>
      <c r="K64">
        <v>1334</v>
      </c>
      <c r="L64" t="str">
        <f t="shared" si="2"/>
        <v>Garage 70</v>
      </c>
      <c r="M64" t="str">
        <f t="shared" si="3"/>
        <v>External Scaffolding</v>
      </c>
      <c r="N64" t="str" cm="1">
        <f t="array" ref="N64">_xlfn.IFS(OR(G64="External Scaffolding",G64="Loading Tower", G64="Floor Propping"),"Tube and Fitting",G64="Birdcage","Birdcage", G64="Rhino Deck", "Rhino Deck", G64="Trad Deck", "Trad Deck")</f>
        <v>Tube and Fitting</v>
      </c>
      <c r="P64" t="s">
        <v>113</v>
      </c>
      <c r="Q64" t="str" cm="1">
        <f t="array" ref="Q64">_xlfn.IFS(M64="Loading Bay","15/OPT/1638-001",M64="Supporting Scaffold", "D/2020/23 rev.A",OR(M64&lt;&gt;"Loading Bay",M64&lt;&gt;"Supporting Scaffold"),"TG20:13 Scaffold")</f>
        <v>TG20:13 Scaffold</v>
      </c>
      <c r="T64" t="s">
        <v>114</v>
      </c>
    </row>
    <row r="65" spans="1:20" x14ac:dyDescent="0.25">
      <c r="A65" t="s">
        <v>274</v>
      </c>
      <c r="B65" t="s">
        <v>112</v>
      </c>
      <c r="C65" t="s">
        <v>141</v>
      </c>
      <c r="D65" t="s">
        <v>1</v>
      </c>
      <c r="E65" t="s">
        <v>79</v>
      </c>
      <c r="F65" t="s">
        <v>34</v>
      </c>
      <c r="G65" t="str" cm="1">
        <f t="array" ref="G65">_xlfn.IFS(D65="External Scaffolding","External Scaffolding",D65="Loading Bay","Loading Tower",D65="Scaffolding Platform","Birdcage", D65="Supporting Scaffold","Floor Propping")</f>
        <v>Loading Tower</v>
      </c>
      <c r="H65" s="1" t="str" cm="1">
        <f t="array" ref="H65">_xlfn.IFS(OR(G65="External Scaffolding",G65="Birdcage", G65="Trad Deck", G65="Floor Propping"),"2.0 kN/m² (General Purpose)",G65= "Loading Tower","10.0 kN/m² (Loading Bay)",G65="Rhino Deck","6.0 kN/m² (Rhino Deck)")</f>
        <v>10.0 kN/m² (Loading Bay)</v>
      </c>
      <c r="I65" t="str">
        <f t="shared" si="0"/>
        <v>Brick Guards</v>
      </c>
      <c r="J65" t="str">
        <f t="shared" si="1"/>
        <v>Positive Tying</v>
      </c>
      <c r="K65">
        <v>1334</v>
      </c>
      <c r="L65" t="str">
        <f t="shared" si="2"/>
        <v>Garage 70</v>
      </c>
      <c r="M65" t="str">
        <f t="shared" si="3"/>
        <v>Loading Bay</v>
      </c>
      <c r="N65" t="str" cm="1">
        <f t="array" ref="N65">_xlfn.IFS(OR(G65="External Scaffolding",G65="Loading Tower", G65="Floor Propping"),"Tube and Fitting",G65="Birdcage","Birdcage", G65="Rhino Deck", "Rhino Deck", G65="Trad Deck", "Trad Deck")</f>
        <v>Tube and Fitting</v>
      </c>
      <c r="P65" t="s">
        <v>113</v>
      </c>
      <c r="Q65" t="str" cm="1">
        <f t="array" ref="Q65">_xlfn.IFS(M65="Loading Bay","15/OPT/1638-001",M65="Supporting Scaffold", "D/2020/23 rev.A",OR(M65&lt;&gt;"Loading Bay",M65&lt;&gt;"Supporting Scaffold"),"TG20:13 Scaffold")</f>
        <v>15/OPT/1638-001</v>
      </c>
      <c r="T65" t="s">
        <v>114</v>
      </c>
    </row>
    <row r="66" spans="1:20" x14ac:dyDescent="0.25">
      <c r="A66" t="s">
        <v>275</v>
      </c>
      <c r="B66" t="s">
        <v>112</v>
      </c>
      <c r="C66" t="s">
        <v>141</v>
      </c>
      <c r="D66" t="s">
        <v>0</v>
      </c>
      <c r="E66" t="s">
        <v>79</v>
      </c>
      <c r="F66" t="s">
        <v>35</v>
      </c>
      <c r="G66" t="str" cm="1">
        <f t="array" ref="G66">_xlfn.IFS(D66="External Scaffolding","External Scaffolding",D66="Loading Bay","Loading Tower",D66="Scaffolding Platform","Birdcage", D66="Supporting Scaffold","Floor Propping")</f>
        <v>External Scaffolding</v>
      </c>
      <c r="H66" s="1" t="str" cm="1">
        <f t="array" ref="H66">_xlfn.IFS(OR(G66="External Scaffolding",G66="Birdcage", G66="Trad Deck", G66="Floor Propping"),"2.0 kN/m² (General Purpose)",G66= "Loading Tower","10.0 kN/m² (Loading Bay)",G66="Rhino Deck","6.0 kN/m² (Rhino Deck)")</f>
        <v>2.0 kN/m² (General Purpose)</v>
      </c>
      <c r="I66" t="str">
        <f t="shared" si="0"/>
        <v>Brick Guards</v>
      </c>
      <c r="J66" t="str">
        <f t="shared" si="1"/>
        <v>Positive Tying</v>
      </c>
      <c r="K66">
        <v>1334</v>
      </c>
      <c r="L66" t="str">
        <f t="shared" si="2"/>
        <v>Garage 71</v>
      </c>
      <c r="M66" t="str">
        <f t="shared" si="3"/>
        <v>External Scaffolding</v>
      </c>
      <c r="N66" t="str" cm="1">
        <f t="array" ref="N66">_xlfn.IFS(OR(G66="External Scaffolding",G66="Loading Tower", G66="Floor Propping"),"Tube and Fitting",G66="Birdcage","Birdcage", G66="Rhino Deck", "Rhino Deck", G66="Trad Deck", "Trad Deck")</f>
        <v>Tube and Fitting</v>
      </c>
      <c r="P66" t="s">
        <v>113</v>
      </c>
      <c r="Q66" t="str" cm="1">
        <f t="array" ref="Q66">_xlfn.IFS(M66="Loading Bay","15/OPT/1638-001",M66="Supporting Scaffold", "D/2020/23 rev.A",OR(M66&lt;&gt;"Loading Bay",M66&lt;&gt;"Supporting Scaffold"),"TG20:13 Scaffold")</f>
        <v>TG20:13 Scaffold</v>
      </c>
      <c r="T66" t="s">
        <v>114</v>
      </c>
    </row>
    <row r="67" spans="1:20" x14ac:dyDescent="0.25">
      <c r="A67" t="s">
        <v>276</v>
      </c>
      <c r="B67" t="s">
        <v>112</v>
      </c>
      <c r="C67" t="s">
        <v>141</v>
      </c>
      <c r="D67" t="s">
        <v>1</v>
      </c>
      <c r="E67" t="s">
        <v>79</v>
      </c>
      <c r="F67" t="s">
        <v>35</v>
      </c>
      <c r="G67" t="str" cm="1">
        <f t="array" ref="G67">_xlfn.IFS(D67="External Scaffolding","External Scaffolding",D67="Loading Bay","Loading Tower",D67="Scaffolding Platform","Birdcage", D67="Supporting Scaffold","Floor Propping")</f>
        <v>Loading Tower</v>
      </c>
      <c r="H67" s="1" t="str" cm="1">
        <f t="array" ref="H67">_xlfn.IFS(OR(G67="External Scaffolding",G67="Birdcage", G67="Trad Deck", G67="Floor Propping"),"2.0 kN/m² (General Purpose)",G67= "Loading Tower","10.0 kN/m² (Loading Bay)",G67="Rhino Deck","6.0 kN/m² (Rhino Deck)")</f>
        <v>10.0 kN/m² (Loading Bay)</v>
      </c>
      <c r="I67" t="str">
        <f t="shared" ref="I67:I130" si="4">IF(D67="Scaffolding Platform","None","Brick Guards")</f>
        <v>Brick Guards</v>
      </c>
      <c r="J67" t="str">
        <f t="shared" ref="J67:J130" si="5">IF(OR(G67="Birdcage",G67="Rhino Deck"),"Butted","Positive Tying")</f>
        <v>Positive Tying</v>
      </c>
      <c r="K67">
        <v>1334</v>
      </c>
      <c r="L67" t="str">
        <f t="shared" ref="L67:L130" si="6">F67</f>
        <v>Garage 71</v>
      </c>
      <c r="M67" t="str">
        <f t="shared" ref="M67:M130" si="7">D67</f>
        <v>Loading Bay</v>
      </c>
      <c r="N67" t="str" cm="1">
        <f t="array" ref="N67">_xlfn.IFS(OR(G67="External Scaffolding",G67="Loading Tower", G67="Floor Propping"),"Tube and Fitting",G67="Birdcage","Birdcage", G67="Rhino Deck", "Rhino Deck", G67="Trad Deck", "Trad Deck")</f>
        <v>Tube and Fitting</v>
      </c>
      <c r="P67" t="s">
        <v>113</v>
      </c>
      <c r="Q67" t="str" cm="1">
        <f t="array" ref="Q67">_xlfn.IFS(M67="Loading Bay","15/OPT/1638-001",M67="Supporting Scaffold", "D/2020/23 rev.A",OR(M67&lt;&gt;"Loading Bay",M67&lt;&gt;"Supporting Scaffold"),"TG20:13 Scaffold")</f>
        <v>15/OPT/1638-001</v>
      </c>
      <c r="T67" t="s">
        <v>114</v>
      </c>
    </row>
    <row r="68" spans="1:20" x14ac:dyDescent="0.25">
      <c r="A68" t="s">
        <v>277</v>
      </c>
      <c r="B68" t="s">
        <v>112</v>
      </c>
      <c r="C68" t="s">
        <v>141</v>
      </c>
      <c r="D68" t="s">
        <v>0</v>
      </c>
      <c r="E68" t="s">
        <v>79</v>
      </c>
      <c r="F68" t="s">
        <v>36</v>
      </c>
      <c r="G68" t="str" cm="1">
        <f t="array" ref="G68">_xlfn.IFS(D68="External Scaffolding","External Scaffolding",D68="Loading Bay","Loading Tower",D68="Scaffolding Platform","Birdcage", D68="Supporting Scaffold","Floor Propping")</f>
        <v>External Scaffolding</v>
      </c>
      <c r="H68" s="1" t="str" cm="1">
        <f t="array" ref="H68">_xlfn.IFS(OR(G68="External Scaffolding",G68="Birdcage", G68="Trad Deck", G68="Floor Propping"),"2.0 kN/m² (General Purpose)",G68= "Loading Tower","10.0 kN/m² (Loading Bay)",G68="Rhino Deck","6.0 kN/m² (Rhino Deck)")</f>
        <v>2.0 kN/m² (General Purpose)</v>
      </c>
      <c r="I68" t="str">
        <f t="shared" si="4"/>
        <v>Brick Guards</v>
      </c>
      <c r="J68" t="str">
        <f t="shared" si="5"/>
        <v>Positive Tying</v>
      </c>
      <c r="K68">
        <v>1334</v>
      </c>
      <c r="L68" t="str">
        <f t="shared" si="6"/>
        <v>Garage 73</v>
      </c>
      <c r="M68" t="str">
        <f t="shared" si="7"/>
        <v>External Scaffolding</v>
      </c>
      <c r="N68" t="str" cm="1">
        <f t="array" ref="N68">_xlfn.IFS(OR(G68="External Scaffolding",G68="Loading Tower", G68="Floor Propping"),"Tube and Fitting",G68="Birdcage","Birdcage", G68="Rhino Deck", "Rhino Deck", G68="Trad Deck", "Trad Deck")</f>
        <v>Tube and Fitting</v>
      </c>
      <c r="P68" t="s">
        <v>113</v>
      </c>
      <c r="Q68" t="str" cm="1">
        <f t="array" ref="Q68">_xlfn.IFS(M68="Loading Bay","15/OPT/1638-001",M68="Supporting Scaffold", "D/2020/23 rev.A",OR(M68&lt;&gt;"Loading Bay",M68&lt;&gt;"Supporting Scaffold"),"TG20:13 Scaffold")</f>
        <v>TG20:13 Scaffold</v>
      </c>
      <c r="T68" t="s">
        <v>114</v>
      </c>
    </row>
    <row r="69" spans="1:20" x14ac:dyDescent="0.25">
      <c r="A69" t="s">
        <v>278</v>
      </c>
      <c r="B69" t="s">
        <v>112</v>
      </c>
      <c r="C69" t="s">
        <v>141</v>
      </c>
      <c r="D69" t="s">
        <v>1</v>
      </c>
      <c r="E69" t="s">
        <v>79</v>
      </c>
      <c r="F69" t="s">
        <v>36</v>
      </c>
      <c r="G69" t="str" cm="1">
        <f t="array" ref="G69">_xlfn.IFS(D69="External Scaffolding","External Scaffolding",D69="Loading Bay","Loading Tower",D69="Scaffolding Platform","Birdcage", D69="Supporting Scaffold","Floor Propping")</f>
        <v>Loading Tower</v>
      </c>
      <c r="H69" s="1" t="str" cm="1">
        <f t="array" ref="H69">_xlfn.IFS(OR(G69="External Scaffolding",G69="Birdcage", G69="Trad Deck", G69="Floor Propping"),"2.0 kN/m² (General Purpose)",G69= "Loading Tower","10.0 kN/m² (Loading Bay)",G69="Rhino Deck","6.0 kN/m² (Rhino Deck)")</f>
        <v>10.0 kN/m² (Loading Bay)</v>
      </c>
      <c r="I69" t="str">
        <f t="shared" si="4"/>
        <v>Brick Guards</v>
      </c>
      <c r="J69" t="str">
        <f t="shared" si="5"/>
        <v>Positive Tying</v>
      </c>
      <c r="K69">
        <v>1334</v>
      </c>
      <c r="L69" t="str">
        <f t="shared" si="6"/>
        <v>Garage 73</v>
      </c>
      <c r="M69" t="str">
        <f t="shared" si="7"/>
        <v>Loading Bay</v>
      </c>
      <c r="N69" t="str" cm="1">
        <f t="array" ref="N69">_xlfn.IFS(OR(G69="External Scaffolding",G69="Loading Tower", G69="Floor Propping"),"Tube and Fitting",G69="Birdcage","Birdcage", G69="Rhino Deck", "Rhino Deck", G69="Trad Deck", "Trad Deck")</f>
        <v>Tube and Fitting</v>
      </c>
      <c r="P69" t="s">
        <v>113</v>
      </c>
      <c r="Q69" t="str" cm="1">
        <f t="array" ref="Q69">_xlfn.IFS(M69="Loading Bay","15/OPT/1638-001",M69="Supporting Scaffold", "D/2020/23 rev.A",OR(M69&lt;&gt;"Loading Bay",M69&lt;&gt;"Supporting Scaffold"),"TG20:13 Scaffold")</f>
        <v>15/OPT/1638-001</v>
      </c>
      <c r="T69" t="s">
        <v>114</v>
      </c>
    </row>
    <row r="70" spans="1:20" x14ac:dyDescent="0.25">
      <c r="A70" t="s">
        <v>279</v>
      </c>
      <c r="B70" t="s">
        <v>112</v>
      </c>
      <c r="C70" t="s">
        <v>141</v>
      </c>
      <c r="D70" t="s">
        <v>0</v>
      </c>
      <c r="E70" t="s">
        <v>79</v>
      </c>
      <c r="F70" t="s">
        <v>37</v>
      </c>
      <c r="G70" t="str" cm="1">
        <f t="array" ref="G70">_xlfn.IFS(D70="External Scaffolding","External Scaffolding",D70="Loading Bay","Loading Tower",D70="Scaffolding Platform","Birdcage", D70="Supporting Scaffold","Floor Propping")</f>
        <v>External Scaffolding</v>
      </c>
      <c r="H70" s="1" t="str" cm="1">
        <f t="array" ref="H70">_xlfn.IFS(OR(G70="External Scaffolding",G70="Birdcage", G70="Trad Deck", G70="Floor Propping"),"2.0 kN/m² (General Purpose)",G70= "Loading Tower","10.0 kN/m² (Loading Bay)",G70="Rhino Deck","6.0 kN/m² (Rhino Deck)")</f>
        <v>2.0 kN/m² (General Purpose)</v>
      </c>
      <c r="I70" t="str">
        <f t="shared" si="4"/>
        <v>Brick Guards</v>
      </c>
      <c r="J70" t="str">
        <f t="shared" si="5"/>
        <v>Positive Tying</v>
      </c>
      <c r="K70">
        <v>1334</v>
      </c>
      <c r="L70" t="str">
        <f t="shared" si="6"/>
        <v>Garage 74</v>
      </c>
      <c r="M70" t="str">
        <f t="shared" si="7"/>
        <v>External Scaffolding</v>
      </c>
      <c r="N70" t="str" cm="1">
        <f t="array" ref="N70">_xlfn.IFS(OR(G70="External Scaffolding",G70="Loading Tower", G70="Floor Propping"),"Tube and Fitting",G70="Birdcage","Birdcage", G70="Rhino Deck", "Rhino Deck", G70="Trad Deck", "Trad Deck")</f>
        <v>Tube and Fitting</v>
      </c>
      <c r="P70" t="s">
        <v>113</v>
      </c>
      <c r="Q70" t="str" cm="1">
        <f t="array" ref="Q70">_xlfn.IFS(M70="Loading Bay","15/OPT/1638-001",M70="Supporting Scaffold", "D/2020/23 rev.A",OR(M70&lt;&gt;"Loading Bay",M70&lt;&gt;"Supporting Scaffold"),"TG20:13 Scaffold")</f>
        <v>TG20:13 Scaffold</v>
      </c>
      <c r="T70" t="s">
        <v>114</v>
      </c>
    </row>
    <row r="71" spans="1:20" x14ac:dyDescent="0.25">
      <c r="A71" t="s">
        <v>280</v>
      </c>
      <c r="B71" t="s">
        <v>112</v>
      </c>
      <c r="C71" t="s">
        <v>141</v>
      </c>
      <c r="D71" t="s">
        <v>1</v>
      </c>
      <c r="E71" t="s">
        <v>79</v>
      </c>
      <c r="F71" t="s">
        <v>37</v>
      </c>
      <c r="G71" t="str" cm="1">
        <f t="array" ref="G71">_xlfn.IFS(D71="External Scaffolding","External Scaffolding",D71="Loading Bay","Loading Tower",D71="Scaffolding Platform","Birdcage", D71="Supporting Scaffold","Floor Propping")</f>
        <v>Loading Tower</v>
      </c>
      <c r="H71" s="1" t="str" cm="1">
        <f t="array" ref="H71">_xlfn.IFS(OR(G71="External Scaffolding",G71="Birdcage", G71="Trad Deck", G71="Floor Propping"),"2.0 kN/m² (General Purpose)",G71= "Loading Tower","10.0 kN/m² (Loading Bay)",G71="Rhino Deck","6.0 kN/m² (Rhino Deck)")</f>
        <v>10.0 kN/m² (Loading Bay)</v>
      </c>
      <c r="I71" t="str">
        <f t="shared" si="4"/>
        <v>Brick Guards</v>
      </c>
      <c r="J71" t="str">
        <f t="shared" si="5"/>
        <v>Positive Tying</v>
      </c>
      <c r="K71">
        <v>1334</v>
      </c>
      <c r="L71" t="str">
        <f t="shared" si="6"/>
        <v>Garage 74</v>
      </c>
      <c r="M71" t="str">
        <f t="shared" si="7"/>
        <v>Loading Bay</v>
      </c>
      <c r="N71" t="str" cm="1">
        <f t="array" ref="N71">_xlfn.IFS(OR(G71="External Scaffolding",G71="Loading Tower", G71="Floor Propping"),"Tube and Fitting",G71="Birdcage","Birdcage", G71="Rhino Deck", "Rhino Deck", G71="Trad Deck", "Trad Deck")</f>
        <v>Tube and Fitting</v>
      </c>
      <c r="P71" t="s">
        <v>113</v>
      </c>
      <c r="Q71" t="str" cm="1">
        <f t="array" ref="Q71">_xlfn.IFS(M71="Loading Bay","15/OPT/1638-001",M71="Supporting Scaffold", "D/2020/23 rev.A",OR(M71&lt;&gt;"Loading Bay",M71&lt;&gt;"Supporting Scaffold"),"TG20:13 Scaffold")</f>
        <v>15/OPT/1638-001</v>
      </c>
      <c r="T71" t="s">
        <v>114</v>
      </c>
    </row>
    <row r="72" spans="1:20" x14ac:dyDescent="0.25">
      <c r="A72" t="s">
        <v>281</v>
      </c>
      <c r="B72" t="s">
        <v>112</v>
      </c>
      <c r="C72" t="s">
        <v>141</v>
      </c>
      <c r="D72" t="s">
        <v>0</v>
      </c>
      <c r="E72" t="s">
        <v>79</v>
      </c>
      <c r="F72" t="s">
        <v>38</v>
      </c>
      <c r="G72" t="str" cm="1">
        <f t="array" ref="G72">_xlfn.IFS(D72="External Scaffolding","External Scaffolding",D72="Loading Bay","Loading Tower",D72="Scaffolding Platform","Birdcage", D72="Supporting Scaffold","Floor Propping")</f>
        <v>External Scaffolding</v>
      </c>
      <c r="H72" s="1" t="str" cm="1">
        <f t="array" ref="H72">_xlfn.IFS(OR(G72="External Scaffolding",G72="Birdcage", G72="Trad Deck", G72="Floor Propping"),"2.0 kN/m² (General Purpose)",G72= "Loading Tower","10.0 kN/m² (Loading Bay)",G72="Rhino Deck","6.0 kN/m² (Rhino Deck)")</f>
        <v>2.0 kN/m² (General Purpose)</v>
      </c>
      <c r="I72" t="str">
        <f t="shared" si="4"/>
        <v>Brick Guards</v>
      </c>
      <c r="J72" t="str">
        <f t="shared" si="5"/>
        <v>Positive Tying</v>
      </c>
      <c r="K72">
        <v>1334</v>
      </c>
      <c r="L72" t="str">
        <f t="shared" si="6"/>
        <v>Garage 75</v>
      </c>
      <c r="M72" t="str">
        <f t="shared" si="7"/>
        <v>External Scaffolding</v>
      </c>
      <c r="N72" t="str" cm="1">
        <f t="array" ref="N72">_xlfn.IFS(OR(G72="External Scaffolding",G72="Loading Tower", G72="Floor Propping"),"Tube and Fitting",G72="Birdcage","Birdcage", G72="Rhino Deck", "Rhino Deck", G72="Trad Deck", "Trad Deck")</f>
        <v>Tube and Fitting</v>
      </c>
      <c r="P72" t="s">
        <v>113</v>
      </c>
      <c r="Q72" t="str" cm="1">
        <f t="array" ref="Q72">_xlfn.IFS(M72="Loading Bay","15/OPT/1638-001",M72="Supporting Scaffold", "D/2020/23 rev.A",OR(M72&lt;&gt;"Loading Bay",M72&lt;&gt;"Supporting Scaffold"),"TG20:13 Scaffold")</f>
        <v>TG20:13 Scaffold</v>
      </c>
      <c r="T72" t="s">
        <v>114</v>
      </c>
    </row>
    <row r="73" spans="1:20" x14ac:dyDescent="0.25">
      <c r="A73" t="s">
        <v>282</v>
      </c>
      <c r="B73" t="s">
        <v>112</v>
      </c>
      <c r="C73" t="s">
        <v>141</v>
      </c>
      <c r="D73" t="s">
        <v>1</v>
      </c>
      <c r="E73" t="s">
        <v>79</v>
      </c>
      <c r="F73" t="s">
        <v>38</v>
      </c>
      <c r="G73" t="str" cm="1">
        <f t="array" ref="G73">_xlfn.IFS(D73="External Scaffolding","External Scaffolding",D73="Loading Bay","Loading Tower",D73="Scaffolding Platform","Birdcage", D73="Supporting Scaffold","Floor Propping")</f>
        <v>Loading Tower</v>
      </c>
      <c r="H73" s="1" t="str" cm="1">
        <f t="array" ref="H73">_xlfn.IFS(OR(G73="External Scaffolding",G73="Birdcage", G73="Trad Deck", G73="Floor Propping"),"2.0 kN/m² (General Purpose)",G73= "Loading Tower","10.0 kN/m² (Loading Bay)",G73="Rhino Deck","6.0 kN/m² (Rhino Deck)")</f>
        <v>10.0 kN/m² (Loading Bay)</v>
      </c>
      <c r="I73" t="str">
        <f t="shared" si="4"/>
        <v>Brick Guards</v>
      </c>
      <c r="J73" t="str">
        <f t="shared" si="5"/>
        <v>Positive Tying</v>
      </c>
      <c r="K73">
        <v>1334</v>
      </c>
      <c r="L73" t="str">
        <f t="shared" si="6"/>
        <v>Garage 75</v>
      </c>
      <c r="M73" t="str">
        <f t="shared" si="7"/>
        <v>Loading Bay</v>
      </c>
      <c r="N73" t="str" cm="1">
        <f t="array" ref="N73">_xlfn.IFS(OR(G73="External Scaffolding",G73="Loading Tower", G73="Floor Propping"),"Tube and Fitting",G73="Birdcage","Birdcage", G73="Rhino Deck", "Rhino Deck", G73="Trad Deck", "Trad Deck")</f>
        <v>Tube and Fitting</v>
      </c>
      <c r="P73" t="s">
        <v>113</v>
      </c>
      <c r="Q73" t="str" cm="1">
        <f t="array" ref="Q73">_xlfn.IFS(M73="Loading Bay","15/OPT/1638-001",M73="Supporting Scaffold", "D/2020/23 rev.A",OR(M73&lt;&gt;"Loading Bay",M73&lt;&gt;"Supporting Scaffold"),"TG20:13 Scaffold")</f>
        <v>15/OPT/1638-001</v>
      </c>
      <c r="T73" t="s">
        <v>114</v>
      </c>
    </row>
    <row r="74" spans="1:20" x14ac:dyDescent="0.25">
      <c r="A74" t="s">
        <v>283</v>
      </c>
      <c r="B74" t="s">
        <v>112</v>
      </c>
      <c r="C74" t="s">
        <v>141</v>
      </c>
      <c r="D74" t="s">
        <v>0</v>
      </c>
      <c r="E74" t="s">
        <v>79</v>
      </c>
      <c r="F74" t="s">
        <v>39</v>
      </c>
      <c r="G74" t="str" cm="1">
        <f t="array" ref="G74">_xlfn.IFS(D74="External Scaffolding","External Scaffolding",D74="Loading Bay","Loading Tower",D74="Scaffolding Platform","Birdcage", D74="Supporting Scaffold","Floor Propping")</f>
        <v>External Scaffolding</v>
      </c>
      <c r="H74" s="1" t="str" cm="1">
        <f t="array" ref="H74">_xlfn.IFS(OR(G74="External Scaffolding",G74="Birdcage", G74="Trad Deck", G74="Floor Propping"),"2.0 kN/m² (General Purpose)",G74= "Loading Tower","10.0 kN/m² (Loading Bay)",G74="Rhino Deck","6.0 kN/m² (Rhino Deck)")</f>
        <v>2.0 kN/m² (General Purpose)</v>
      </c>
      <c r="I74" t="str">
        <f t="shared" si="4"/>
        <v>Brick Guards</v>
      </c>
      <c r="J74" t="str">
        <f t="shared" si="5"/>
        <v>Positive Tying</v>
      </c>
      <c r="K74">
        <v>1334</v>
      </c>
      <c r="L74" t="str">
        <f t="shared" si="6"/>
        <v>Garage 76</v>
      </c>
      <c r="M74" t="str">
        <f t="shared" si="7"/>
        <v>External Scaffolding</v>
      </c>
      <c r="N74" t="str" cm="1">
        <f t="array" ref="N74">_xlfn.IFS(OR(G74="External Scaffolding",G74="Loading Tower", G74="Floor Propping"),"Tube and Fitting",G74="Birdcage","Birdcage", G74="Rhino Deck", "Rhino Deck", G74="Trad Deck", "Trad Deck")</f>
        <v>Tube and Fitting</v>
      </c>
      <c r="P74" t="s">
        <v>113</v>
      </c>
      <c r="Q74" t="str" cm="1">
        <f t="array" ref="Q74">_xlfn.IFS(M74="Loading Bay","15/OPT/1638-001",M74="Supporting Scaffold", "D/2020/23 rev.A",OR(M74&lt;&gt;"Loading Bay",M74&lt;&gt;"Supporting Scaffold"),"TG20:13 Scaffold")</f>
        <v>TG20:13 Scaffold</v>
      </c>
      <c r="T74" t="s">
        <v>114</v>
      </c>
    </row>
    <row r="75" spans="1:20" x14ac:dyDescent="0.25">
      <c r="A75" t="s">
        <v>284</v>
      </c>
      <c r="B75" t="s">
        <v>112</v>
      </c>
      <c r="C75" t="s">
        <v>141</v>
      </c>
      <c r="D75" t="s">
        <v>1</v>
      </c>
      <c r="E75" t="s">
        <v>79</v>
      </c>
      <c r="F75" t="s">
        <v>39</v>
      </c>
      <c r="G75" t="str" cm="1">
        <f t="array" ref="G75">_xlfn.IFS(D75="External Scaffolding","External Scaffolding",D75="Loading Bay","Loading Tower",D75="Scaffolding Platform","Birdcage", D75="Supporting Scaffold","Floor Propping")</f>
        <v>Loading Tower</v>
      </c>
      <c r="H75" s="1" t="str" cm="1">
        <f t="array" ref="H75">_xlfn.IFS(OR(G75="External Scaffolding",G75="Birdcage", G75="Trad Deck", G75="Floor Propping"),"2.0 kN/m² (General Purpose)",G75= "Loading Tower","10.0 kN/m² (Loading Bay)",G75="Rhino Deck","6.0 kN/m² (Rhino Deck)")</f>
        <v>10.0 kN/m² (Loading Bay)</v>
      </c>
      <c r="I75" t="str">
        <f t="shared" si="4"/>
        <v>Brick Guards</v>
      </c>
      <c r="J75" t="str">
        <f t="shared" si="5"/>
        <v>Positive Tying</v>
      </c>
      <c r="K75">
        <v>1334</v>
      </c>
      <c r="L75" t="str">
        <f t="shared" si="6"/>
        <v>Garage 76</v>
      </c>
      <c r="M75" t="str">
        <f t="shared" si="7"/>
        <v>Loading Bay</v>
      </c>
      <c r="N75" t="str" cm="1">
        <f t="array" ref="N75">_xlfn.IFS(OR(G75="External Scaffolding",G75="Loading Tower", G75="Floor Propping"),"Tube and Fitting",G75="Birdcage","Birdcage", G75="Rhino Deck", "Rhino Deck", G75="Trad Deck", "Trad Deck")</f>
        <v>Tube and Fitting</v>
      </c>
      <c r="P75" t="s">
        <v>113</v>
      </c>
      <c r="Q75" t="str" cm="1">
        <f t="array" ref="Q75">_xlfn.IFS(M75="Loading Bay","15/OPT/1638-001",M75="Supporting Scaffold", "D/2020/23 rev.A",OR(M75&lt;&gt;"Loading Bay",M75&lt;&gt;"Supporting Scaffold"),"TG20:13 Scaffold")</f>
        <v>15/OPT/1638-001</v>
      </c>
      <c r="T75" t="s">
        <v>114</v>
      </c>
    </row>
    <row r="76" spans="1:20" x14ac:dyDescent="0.25">
      <c r="A76" t="s">
        <v>285</v>
      </c>
      <c r="B76" t="s">
        <v>112</v>
      </c>
      <c r="C76" t="s">
        <v>141</v>
      </c>
      <c r="D76" t="s">
        <v>0</v>
      </c>
      <c r="E76" t="s">
        <v>79</v>
      </c>
      <c r="F76" t="s">
        <v>40</v>
      </c>
      <c r="G76" t="str" cm="1">
        <f t="array" ref="G76">_xlfn.IFS(D76="External Scaffolding","External Scaffolding",D76="Loading Bay","Loading Tower",D76="Scaffolding Platform","Birdcage", D76="Supporting Scaffold","Floor Propping")</f>
        <v>External Scaffolding</v>
      </c>
      <c r="H76" s="1" t="str" cm="1">
        <f t="array" ref="H76">_xlfn.IFS(OR(G76="External Scaffolding",G76="Birdcage", G76="Trad Deck", G76="Floor Propping"),"2.0 kN/m² (General Purpose)",G76= "Loading Tower","10.0 kN/m² (Loading Bay)",G76="Rhino Deck","6.0 kN/m² (Rhino Deck)")</f>
        <v>2.0 kN/m² (General Purpose)</v>
      </c>
      <c r="I76" t="str">
        <f t="shared" si="4"/>
        <v>Brick Guards</v>
      </c>
      <c r="J76" t="str">
        <f t="shared" si="5"/>
        <v>Positive Tying</v>
      </c>
      <c r="K76">
        <v>1334</v>
      </c>
      <c r="L76" t="str">
        <f t="shared" si="6"/>
        <v>Garage 77</v>
      </c>
      <c r="M76" t="str">
        <f t="shared" si="7"/>
        <v>External Scaffolding</v>
      </c>
      <c r="N76" t="str" cm="1">
        <f t="array" ref="N76">_xlfn.IFS(OR(G76="External Scaffolding",G76="Loading Tower", G76="Floor Propping"),"Tube and Fitting",G76="Birdcage","Birdcage", G76="Rhino Deck", "Rhino Deck", G76="Trad Deck", "Trad Deck")</f>
        <v>Tube and Fitting</v>
      </c>
      <c r="P76" t="s">
        <v>113</v>
      </c>
      <c r="Q76" t="str" cm="1">
        <f t="array" ref="Q76">_xlfn.IFS(M76="Loading Bay","15/OPT/1638-001",M76="Supporting Scaffold", "D/2020/23 rev.A",OR(M76&lt;&gt;"Loading Bay",M76&lt;&gt;"Supporting Scaffold"),"TG20:13 Scaffold")</f>
        <v>TG20:13 Scaffold</v>
      </c>
      <c r="T76" t="s">
        <v>114</v>
      </c>
    </row>
    <row r="77" spans="1:20" x14ac:dyDescent="0.25">
      <c r="A77" t="s">
        <v>286</v>
      </c>
      <c r="B77" t="s">
        <v>112</v>
      </c>
      <c r="C77" t="s">
        <v>141</v>
      </c>
      <c r="D77" t="s">
        <v>1</v>
      </c>
      <c r="E77" t="s">
        <v>79</v>
      </c>
      <c r="F77" t="s">
        <v>40</v>
      </c>
      <c r="G77" t="str" cm="1">
        <f t="array" ref="G77">_xlfn.IFS(D77="External Scaffolding","External Scaffolding",D77="Loading Bay","Loading Tower",D77="Scaffolding Platform","Birdcage", D77="Supporting Scaffold","Floor Propping")</f>
        <v>Loading Tower</v>
      </c>
      <c r="H77" s="1" t="str" cm="1">
        <f t="array" ref="H77">_xlfn.IFS(OR(G77="External Scaffolding",G77="Birdcage", G77="Trad Deck", G77="Floor Propping"),"2.0 kN/m² (General Purpose)",G77= "Loading Tower","10.0 kN/m² (Loading Bay)",G77="Rhino Deck","6.0 kN/m² (Rhino Deck)")</f>
        <v>10.0 kN/m² (Loading Bay)</v>
      </c>
      <c r="I77" t="str">
        <f t="shared" si="4"/>
        <v>Brick Guards</v>
      </c>
      <c r="J77" t="str">
        <f t="shared" si="5"/>
        <v>Positive Tying</v>
      </c>
      <c r="K77">
        <v>1334</v>
      </c>
      <c r="L77" t="str">
        <f t="shared" si="6"/>
        <v>Garage 77</v>
      </c>
      <c r="M77" t="str">
        <f t="shared" si="7"/>
        <v>Loading Bay</v>
      </c>
      <c r="N77" t="str" cm="1">
        <f t="array" ref="N77">_xlfn.IFS(OR(G77="External Scaffolding",G77="Loading Tower", G77="Floor Propping"),"Tube and Fitting",G77="Birdcage","Birdcage", G77="Rhino Deck", "Rhino Deck", G77="Trad Deck", "Trad Deck")</f>
        <v>Tube and Fitting</v>
      </c>
      <c r="P77" t="s">
        <v>113</v>
      </c>
      <c r="Q77" t="str" cm="1">
        <f t="array" ref="Q77">_xlfn.IFS(M77="Loading Bay","15/OPT/1638-001",M77="Supporting Scaffold", "D/2020/23 rev.A",OR(M77&lt;&gt;"Loading Bay",M77&lt;&gt;"Supporting Scaffold"),"TG20:13 Scaffold")</f>
        <v>15/OPT/1638-001</v>
      </c>
      <c r="T77" t="s">
        <v>114</v>
      </c>
    </row>
    <row r="78" spans="1:20" x14ac:dyDescent="0.25">
      <c r="A78" t="s">
        <v>287</v>
      </c>
      <c r="B78" t="s">
        <v>112</v>
      </c>
      <c r="C78" t="s">
        <v>141</v>
      </c>
      <c r="D78" t="s">
        <v>0</v>
      </c>
      <c r="E78" t="s">
        <v>79</v>
      </c>
      <c r="F78" t="s">
        <v>41</v>
      </c>
      <c r="G78" t="str" cm="1">
        <f t="array" ref="G78">_xlfn.IFS(D78="External Scaffolding","External Scaffolding",D78="Loading Bay","Loading Tower",D78="Scaffolding Platform","Birdcage", D78="Supporting Scaffold","Floor Propping")</f>
        <v>External Scaffolding</v>
      </c>
      <c r="H78" s="1" t="str" cm="1">
        <f t="array" ref="H78">_xlfn.IFS(OR(G78="External Scaffolding",G78="Birdcage", G78="Trad Deck", G78="Floor Propping"),"2.0 kN/m² (General Purpose)",G78= "Loading Tower","10.0 kN/m² (Loading Bay)",G78="Rhino Deck","6.0 kN/m² (Rhino Deck)")</f>
        <v>2.0 kN/m² (General Purpose)</v>
      </c>
      <c r="I78" t="str">
        <f t="shared" si="4"/>
        <v>Brick Guards</v>
      </c>
      <c r="J78" t="str">
        <f t="shared" si="5"/>
        <v>Positive Tying</v>
      </c>
      <c r="K78">
        <v>1334</v>
      </c>
      <c r="L78" t="str">
        <f t="shared" si="6"/>
        <v>Garage 78-79</v>
      </c>
      <c r="M78" t="str">
        <f t="shared" si="7"/>
        <v>External Scaffolding</v>
      </c>
      <c r="N78" t="str" cm="1">
        <f t="array" ref="N78">_xlfn.IFS(OR(G78="External Scaffolding",G78="Loading Tower", G78="Floor Propping"),"Tube and Fitting",G78="Birdcage","Birdcage", G78="Rhino Deck", "Rhino Deck", G78="Trad Deck", "Trad Deck")</f>
        <v>Tube and Fitting</v>
      </c>
      <c r="P78" t="s">
        <v>113</v>
      </c>
      <c r="Q78" t="str" cm="1">
        <f t="array" ref="Q78">_xlfn.IFS(M78="Loading Bay","15/OPT/1638-001",M78="Supporting Scaffold", "D/2020/23 rev.A",OR(M78&lt;&gt;"Loading Bay",M78&lt;&gt;"Supporting Scaffold"),"TG20:13 Scaffold")</f>
        <v>TG20:13 Scaffold</v>
      </c>
      <c r="T78" t="s">
        <v>114</v>
      </c>
    </row>
    <row r="79" spans="1:20" x14ac:dyDescent="0.25">
      <c r="A79" t="s">
        <v>288</v>
      </c>
      <c r="B79" t="s">
        <v>112</v>
      </c>
      <c r="C79" t="s">
        <v>141</v>
      </c>
      <c r="D79" t="s">
        <v>1</v>
      </c>
      <c r="E79" t="s">
        <v>79</v>
      </c>
      <c r="F79" t="s">
        <v>41</v>
      </c>
      <c r="G79" t="str" cm="1">
        <f t="array" ref="G79">_xlfn.IFS(D79="External Scaffolding","External Scaffolding",D79="Loading Bay","Loading Tower",D79="Scaffolding Platform","Birdcage", D79="Supporting Scaffold","Floor Propping")</f>
        <v>Loading Tower</v>
      </c>
      <c r="H79" s="1" t="str" cm="1">
        <f t="array" ref="H79">_xlfn.IFS(OR(G79="External Scaffolding",G79="Birdcage", G79="Trad Deck", G79="Floor Propping"),"2.0 kN/m² (General Purpose)",G79= "Loading Tower","10.0 kN/m² (Loading Bay)",G79="Rhino Deck","6.0 kN/m² (Rhino Deck)")</f>
        <v>10.0 kN/m² (Loading Bay)</v>
      </c>
      <c r="I79" t="str">
        <f t="shared" si="4"/>
        <v>Brick Guards</v>
      </c>
      <c r="J79" t="str">
        <f t="shared" si="5"/>
        <v>Positive Tying</v>
      </c>
      <c r="K79">
        <v>1334</v>
      </c>
      <c r="L79" t="str">
        <f t="shared" si="6"/>
        <v>Garage 78-79</v>
      </c>
      <c r="M79" t="str">
        <f t="shared" si="7"/>
        <v>Loading Bay</v>
      </c>
      <c r="N79" t="str" cm="1">
        <f t="array" ref="N79">_xlfn.IFS(OR(G79="External Scaffolding",G79="Loading Tower", G79="Floor Propping"),"Tube and Fitting",G79="Birdcage","Birdcage", G79="Rhino Deck", "Rhino Deck", G79="Trad Deck", "Trad Deck")</f>
        <v>Tube and Fitting</v>
      </c>
      <c r="P79" t="s">
        <v>113</v>
      </c>
      <c r="Q79" t="str" cm="1">
        <f t="array" ref="Q79">_xlfn.IFS(M79="Loading Bay","15/OPT/1638-001",M79="Supporting Scaffold", "D/2020/23 rev.A",OR(M79&lt;&gt;"Loading Bay",M79&lt;&gt;"Supporting Scaffold"),"TG20:13 Scaffold")</f>
        <v>15/OPT/1638-001</v>
      </c>
      <c r="T79" t="s">
        <v>114</v>
      </c>
    </row>
    <row r="80" spans="1:20" x14ac:dyDescent="0.25">
      <c r="A80" t="s">
        <v>289</v>
      </c>
      <c r="B80" t="s">
        <v>112</v>
      </c>
      <c r="C80" t="s">
        <v>141</v>
      </c>
      <c r="D80" t="s">
        <v>0</v>
      </c>
      <c r="E80" t="s">
        <v>79</v>
      </c>
      <c r="F80" t="s">
        <v>42</v>
      </c>
      <c r="G80" t="str" cm="1">
        <f t="array" ref="G80">_xlfn.IFS(D80="External Scaffolding","External Scaffolding",D80="Loading Bay","Loading Tower",D80="Scaffolding Platform","Birdcage", D80="Supporting Scaffold","Floor Propping")</f>
        <v>External Scaffolding</v>
      </c>
      <c r="H80" s="1" t="str" cm="1">
        <f t="array" ref="H80">_xlfn.IFS(OR(G80="External Scaffolding",G80="Birdcage", G80="Trad Deck", G80="Floor Propping"),"2.0 kN/m² (General Purpose)",G80= "Loading Tower","10.0 kN/m² (Loading Bay)",G80="Rhino Deck","6.0 kN/m² (Rhino Deck)")</f>
        <v>2.0 kN/m² (General Purpose)</v>
      </c>
      <c r="I80" t="str">
        <f t="shared" si="4"/>
        <v>Brick Guards</v>
      </c>
      <c r="J80" t="str">
        <f t="shared" si="5"/>
        <v>Positive Tying</v>
      </c>
      <c r="K80">
        <v>1334</v>
      </c>
      <c r="L80" t="str">
        <f t="shared" si="6"/>
        <v>Garage 83</v>
      </c>
      <c r="M80" t="str">
        <f t="shared" si="7"/>
        <v>External Scaffolding</v>
      </c>
      <c r="N80" t="str" cm="1">
        <f t="array" ref="N80">_xlfn.IFS(OR(G80="External Scaffolding",G80="Loading Tower", G80="Floor Propping"),"Tube and Fitting",G80="Birdcage","Birdcage", G80="Rhino Deck", "Rhino Deck", G80="Trad Deck", "Trad Deck")</f>
        <v>Tube and Fitting</v>
      </c>
      <c r="P80" t="s">
        <v>113</v>
      </c>
      <c r="Q80" t="str" cm="1">
        <f t="array" ref="Q80">_xlfn.IFS(M80="Loading Bay","15/OPT/1638-001",M80="Supporting Scaffold", "D/2020/23 rev.A",OR(M80&lt;&gt;"Loading Bay",M80&lt;&gt;"Supporting Scaffold"),"TG20:13 Scaffold")</f>
        <v>TG20:13 Scaffold</v>
      </c>
      <c r="T80" t="s">
        <v>114</v>
      </c>
    </row>
    <row r="81" spans="1:20" x14ac:dyDescent="0.25">
      <c r="A81" t="s">
        <v>290</v>
      </c>
      <c r="B81" t="s">
        <v>112</v>
      </c>
      <c r="C81" t="s">
        <v>141</v>
      </c>
      <c r="D81" t="s">
        <v>1</v>
      </c>
      <c r="E81" t="s">
        <v>79</v>
      </c>
      <c r="F81" t="s">
        <v>42</v>
      </c>
      <c r="G81" t="str" cm="1">
        <f t="array" ref="G81">_xlfn.IFS(D81="External Scaffolding","External Scaffolding",D81="Loading Bay","Loading Tower",D81="Scaffolding Platform","Birdcage", D81="Supporting Scaffold","Floor Propping")</f>
        <v>Loading Tower</v>
      </c>
      <c r="H81" s="1" t="str" cm="1">
        <f t="array" ref="H81">_xlfn.IFS(OR(G81="External Scaffolding",G81="Birdcage", G81="Trad Deck", G81="Floor Propping"),"2.0 kN/m² (General Purpose)",G81= "Loading Tower","10.0 kN/m² (Loading Bay)",G81="Rhino Deck","6.0 kN/m² (Rhino Deck)")</f>
        <v>10.0 kN/m² (Loading Bay)</v>
      </c>
      <c r="I81" t="str">
        <f t="shared" si="4"/>
        <v>Brick Guards</v>
      </c>
      <c r="J81" t="str">
        <f t="shared" si="5"/>
        <v>Positive Tying</v>
      </c>
      <c r="K81">
        <v>1334</v>
      </c>
      <c r="L81" t="str">
        <f t="shared" si="6"/>
        <v>Garage 83</v>
      </c>
      <c r="M81" t="str">
        <f t="shared" si="7"/>
        <v>Loading Bay</v>
      </c>
      <c r="N81" t="str" cm="1">
        <f t="array" ref="N81">_xlfn.IFS(OR(G81="External Scaffolding",G81="Loading Tower", G81="Floor Propping"),"Tube and Fitting",G81="Birdcage","Birdcage", G81="Rhino Deck", "Rhino Deck", G81="Trad Deck", "Trad Deck")</f>
        <v>Tube and Fitting</v>
      </c>
      <c r="P81" t="s">
        <v>113</v>
      </c>
      <c r="Q81" t="str" cm="1">
        <f t="array" ref="Q81">_xlfn.IFS(M81="Loading Bay","15/OPT/1638-001",M81="Supporting Scaffold", "D/2020/23 rev.A",OR(M81&lt;&gt;"Loading Bay",M81&lt;&gt;"Supporting Scaffold"),"TG20:13 Scaffold")</f>
        <v>15/OPT/1638-001</v>
      </c>
      <c r="T81" t="s">
        <v>114</v>
      </c>
    </row>
    <row r="82" spans="1:20" x14ac:dyDescent="0.25">
      <c r="A82" t="s">
        <v>291</v>
      </c>
      <c r="B82" t="s">
        <v>112</v>
      </c>
      <c r="C82" t="s">
        <v>141</v>
      </c>
      <c r="D82" t="s">
        <v>0</v>
      </c>
      <c r="E82" t="s">
        <v>79</v>
      </c>
      <c r="F82" t="s">
        <v>43</v>
      </c>
      <c r="G82" t="str" cm="1">
        <f t="array" ref="G82">_xlfn.IFS(D82="External Scaffolding","External Scaffolding",D82="Loading Bay","Loading Tower",D82="Scaffolding Platform","Birdcage", D82="Supporting Scaffold","Floor Propping")</f>
        <v>External Scaffolding</v>
      </c>
      <c r="H82" s="1" t="str" cm="1">
        <f t="array" ref="H82">_xlfn.IFS(OR(G82="External Scaffolding",G82="Birdcage", G82="Trad Deck", G82="Floor Propping"),"2.0 kN/m² (General Purpose)",G82= "Loading Tower","10.0 kN/m² (Loading Bay)",G82="Rhino Deck","6.0 kN/m² (Rhino Deck)")</f>
        <v>2.0 kN/m² (General Purpose)</v>
      </c>
      <c r="I82" t="str">
        <f t="shared" si="4"/>
        <v>Brick Guards</v>
      </c>
      <c r="J82" t="str">
        <f t="shared" si="5"/>
        <v>Positive Tying</v>
      </c>
      <c r="K82">
        <v>1334</v>
      </c>
      <c r="L82" t="str">
        <f t="shared" si="6"/>
        <v>Garage 84</v>
      </c>
      <c r="M82" t="str">
        <f t="shared" si="7"/>
        <v>External Scaffolding</v>
      </c>
      <c r="N82" t="str" cm="1">
        <f t="array" ref="N82">_xlfn.IFS(OR(G82="External Scaffolding",G82="Loading Tower", G82="Floor Propping"),"Tube and Fitting",G82="Birdcage","Birdcage", G82="Rhino Deck", "Rhino Deck", G82="Trad Deck", "Trad Deck")</f>
        <v>Tube and Fitting</v>
      </c>
      <c r="P82" t="s">
        <v>113</v>
      </c>
      <c r="Q82" t="str" cm="1">
        <f t="array" ref="Q82">_xlfn.IFS(M82="Loading Bay","15/OPT/1638-001",M82="Supporting Scaffold", "D/2020/23 rev.A",OR(M82&lt;&gt;"Loading Bay",M82&lt;&gt;"Supporting Scaffold"),"TG20:13 Scaffold")</f>
        <v>TG20:13 Scaffold</v>
      </c>
      <c r="T82" t="s">
        <v>114</v>
      </c>
    </row>
    <row r="83" spans="1:20" x14ac:dyDescent="0.25">
      <c r="A83" t="s">
        <v>292</v>
      </c>
      <c r="B83" t="s">
        <v>112</v>
      </c>
      <c r="C83" t="s">
        <v>141</v>
      </c>
      <c r="D83" t="s">
        <v>1</v>
      </c>
      <c r="E83" t="s">
        <v>79</v>
      </c>
      <c r="F83" t="s">
        <v>43</v>
      </c>
      <c r="G83" t="str" cm="1">
        <f t="array" ref="G83">_xlfn.IFS(D83="External Scaffolding","External Scaffolding",D83="Loading Bay","Loading Tower",D83="Scaffolding Platform","Birdcage", D83="Supporting Scaffold","Floor Propping")</f>
        <v>Loading Tower</v>
      </c>
      <c r="H83" s="1" t="str" cm="1">
        <f t="array" ref="H83">_xlfn.IFS(OR(G83="External Scaffolding",G83="Birdcage", G83="Trad Deck", G83="Floor Propping"),"2.0 kN/m² (General Purpose)",G83= "Loading Tower","10.0 kN/m² (Loading Bay)",G83="Rhino Deck","6.0 kN/m² (Rhino Deck)")</f>
        <v>10.0 kN/m² (Loading Bay)</v>
      </c>
      <c r="I83" t="str">
        <f t="shared" si="4"/>
        <v>Brick Guards</v>
      </c>
      <c r="J83" t="str">
        <f t="shared" si="5"/>
        <v>Positive Tying</v>
      </c>
      <c r="K83">
        <v>1334</v>
      </c>
      <c r="L83" t="str">
        <f t="shared" si="6"/>
        <v>Garage 84</v>
      </c>
      <c r="M83" t="str">
        <f t="shared" si="7"/>
        <v>Loading Bay</v>
      </c>
      <c r="N83" t="str" cm="1">
        <f t="array" ref="N83">_xlfn.IFS(OR(G83="External Scaffolding",G83="Loading Tower", G83="Floor Propping"),"Tube and Fitting",G83="Birdcage","Birdcage", G83="Rhino Deck", "Rhino Deck", G83="Trad Deck", "Trad Deck")</f>
        <v>Tube and Fitting</v>
      </c>
      <c r="P83" t="s">
        <v>113</v>
      </c>
      <c r="Q83" t="str" cm="1">
        <f t="array" ref="Q83">_xlfn.IFS(M83="Loading Bay","15/OPT/1638-001",M83="Supporting Scaffold", "D/2020/23 rev.A",OR(M83&lt;&gt;"Loading Bay",M83&lt;&gt;"Supporting Scaffold"),"TG20:13 Scaffold")</f>
        <v>15/OPT/1638-001</v>
      </c>
      <c r="T83" t="s">
        <v>114</v>
      </c>
    </row>
    <row r="84" spans="1:20" x14ac:dyDescent="0.25">
      <c r="A84" t="s">
        <v>293</v>
      </c>
      <c r="B84" t="s">
        <v>112</v>
      </c>
      <c r="C84" t="s">
        <v>141</v>
      </c>
      <c r="D84" t="s">
        <v>0</v>
      </c>
      <c r="E84" t="s">
        <v>79</v>
      </c>
      <c r="F84" t="s">
        <v>44</v>
      </c>
      <c r="G84" t="str" cm="1">
        <f t="array" ref="G84">_xlfn.IFS(D84="External Scaffolding","External Scaffolding",D84="Loading Bay","Loading Tower",D84="Scaffolding Platform","Birdcage", D84="Supporting Scaffold","Floor Propping")</f>
        <v>External Scaffolding</v>
      </c>
      <c r="H84" s="1" t="str" cm="1">
        <f t="array" ref="H84">_xlfn.IFS(OR(G84="External Scaffolding",G84="Birdcage", G84="Trad Deck", G84="Floor Propping"),"2.0 kN/m² (General Purpose)",G84= "Loading Tower","10.0 kN/m² (Loading Bay)",G84="Rhino Deck","6.0 kN/m² (Rhino Deck)")</f>
        <v>2.0 kN/m² (General Purpose)</v>
      </c>
      <c r="I84" t="str">
        <f t="shared" si="4"/>
        <v>Brick Guards</v>
      </c>
      <c r="J84" t="str">
        <f t="shared" si="5"/>
        <v>Positive Tying</v>
      </c>
      <c r="K84">
        <v>1334</v>
      </c>
      <c r="L84" t="str">
        <f t="shared" si="6"/>
        <v>Garage 85</v>
      </c>
      <c r="M84" t="str">
        <f t="shared" si="7"/>
        <v>External Scaffolding</v>
      </c>
      <c r="N84" t="str" cm="1">
        <f t="array" ref="N84">_xlfn.IFS(OR(G84="External Scaffolding",G84="Loading Tower", G84="Floor Propping"),"Tube and Fitting",G84="Birdcage","Birdcage", G84="Rhino Deck", "Rhino Deck", G84="Trad Deck", "Trad Deck")</f>
        <v>Tube and Fitting</v>
      </c>
      <c r="P84" t="s">
        <v>113</v>
      </c>
      <c r="Q84" t="str" cm="1">
        <f t="array" ref="Q84">_xlfn.IFS(M84="Loading Bay","15/OPT/1638-001",M84="Supporting Scaffold", "D/2020/23 rev.A",OR(M84&lt;&gt;"Loading Bay",M84&lt;&gt;"Supporting Scaffold"),"TG20:13 Scaffold")</f>
        <v>TG20:13 Scaffold</v>
      </c>
      <c r="T84" t="s">
        <v>114</v>
      </c>
    </row>
    <row r="85" spans="1:20" x14ac:dyDescent="0.25">
      <c r="A85" t="s">
        <v>294</v>
      </c>
      <c r="B85" t="s">
        <v>112</v>
      </c>
      <c r="C85" t="s">
        <v>141</v>
      </c>
      <c r="D85" t="s">
        <v>1</v>
      </c>
      <c r="E85" t="s">
        <v>79</v>
      </c>
      <c r="F85" t="s">
        <v>44</v>
      </c>
      <c r="G85" t="str" cm="1">
        <f t="array" ref="G85">_xlfn.IFS(D85="External Scaffolding","External Scaffolding",D85="Loading Bay","Loading Tower",D85="Scaffolding Platform","Birdcage", D85="Supporting Scaffold","Floor Propping")</f>
        <v>Loading Tower</v>
      </c>
      <c r="H85" s="1" t="str" cm="1">
        <f t="array" ref="H85">_xlfn.IFS(OR(G85="External Scaffolding",G85="Birdcage", G85="Trad Deck", G85="Floor Propping"),"2.0 kN/m² (General Purpose)",G85= "Loading Tower","10.0 kN/m² (Loading Bay)",G85="Rhino Deck","6.0 kN/m² (Rhino Deck)")</f>
        <v>10.0 kN/m² (Loading Bay)</v>
      </c>
      <c r="I85" t="str">
        <f t="shared" si="4"/>
        <v>Brick Guards</v>
      </c>
      <c r="J85" t="str">
        <f t="shared" si="5"/>
        <v>Positive Tying</v>
      </c>
      <c r="K85">
        <v>1334</v>
      </c>
      <c r="L85" t="str">
        <f t="shared" si="6"/>
        <v>Garage 85</v>
      </c>
      <c r="M85" t="str">
        <f t="shared" si="7"/>
        <v>Loading Bay</v>
      </c>
      <c r="N85" t="str" cm="1">
        <f t="array" ref="N85">_xlfn.IFS(OR(G85="External Scaffolding",G85="Loading Tower", G85="Floor Propping"),"Tube and Fitting",G85="Birdcage","Birdcage", G85="Rhino Deck", "Rhino Deck", G85="Trad Deck", "Trad Deck")</f>
        <v>Tube and Fitting</v>
      </c>
      <c r="P85" t="s">
        <v>113</v>
      </c>
      <c r="Q85" t="str" cm="1">
        <f t="array" ref="Q85">_xlfn.IFS(M85="Loading Bay","15/OPT/1638-001",M85="Supporting Scaffold", "D/2020/23 rev.A",OR(M85&lt;&gt;"Loading Bay",M85&lt;&gt;"Supporting Scaffold"),"TG20:13 Scaffold")</f>
        <v>15/OPT/1638-001</v>
      </c>
      <c r="T85" t="s">
        <v>114</v>
      </c>
    </row>
    <row r="86" spans="1:20" x14ac:dyDescent="0.25">
      <c r="A86" t="s">
        <v>295</v>
      </c>
      <c r="B86" t="s">
        <v>112</v>
      </c>
      <c r="C86" t="s">
        <v>141</v>
      </c>
      <c r="D86" t="s">
        <v>0</v>
      </c>
      <c r="E86" t="s">
        <v>79</v>
      </c>
      <c r="F86" t="s">
        <v>45</v>
      </c>
      <c r="G86" t="str" cm="1">
        <f t="array" ref="G86">_xlfn.IFS(D86="External Scaffolding","External Scaffolding",D86="Loading Bay","Loading Tower",D86="Scaffolding Platform","Birdcage", D86="Supporting Scaffold","Floor Propping")</f>
        <v>External Scaffolding</v>
      </c>
      <c r="H86" s="1" t="str" cm="1">
        <f t="array" ref="H86">_xlfn.IFS(OR(G86="External Scaffolding",G86="Birdcage", G86="Trad Deck", G86="Floor Propping"),"2.0 kN/m² (General Purpose)",G86= "Loading Tower","10.0 kN/m² (Loading Bay)",G86="Rhino Deck","6.0 kN/m² (Rhino Deck)")</f>
        <v>2.0 kN/m² (General Purpose)</v>
      </c>
      <c r="I86" t="str">
        <f t="shared" si="4"/>
        <v>Brick Guards</v>
      </c>
      <c r="J86" t="str">
        <f t="shared" si="5"/>
        <v>Positive Tying</v>
      </c>
      <c r="K86">
        <v>1334</v>
      </c>
      <c r="L86" t="str">
        <f t="shared" si="6"/>
        <v>Garage 88-89</v>
      </c>
      <c r="M86" t="str">
        <f t="shared" si="7"/>
        <v>External Scaffolding</v>
      </c>
      <c r="N86" t="str" cm="1">
        <f t="array" ref="N86">_xlfn.IFS(OR(G86="External Scaffolding",G86="Loading Tower", G86="Floor Propping"),"Tube and Fitting",G86="Birdcage","Birdcage", G86="Rhino Deck", "Rhino Deck", G86="Trad Deck", "Trad Deck")</f>
        <v>Tube and Fitting</v>
      </c>
      <c r="P86" t="s">
        <v>113</v>
      </c>
      <c r="Q86" t="str" cm="1">
        <f t="array" ref="Q86">_xlfn.IFS(M86="Loading Bay","15/OPT/1638-001",M86="Supporting Scaffold", "D/2020/23 rev.A",OR(M86&lt;&gt;"Loading Bay",M86&lt;&gt;"Supporting Scaffold"),"TG20:13 Scaffold")</f>
        <v>TG20:13 Scaffold</v>
      </c>
      <c r="T86" t="s">
        <v>114</v>
      </c>
    </row>
    <row r="87" spans="1:20" x14ac:dyDescent="0.25">
      <c r="A87" t="s">
        <v>296</v>
      </c>
      <c r="B87" t="s">
        <v>112</v>
      </c>
      <c r="C87" t="s">
        <v>141</v>
      </c>
      <c r="D87" t="s">
        <v>1</v>
      </c>
      <c r="E87" t="s">
        <v>79</v>
      </c>
      <c r="F87" t="s">
        <v>45</v>
      </c>
      <c r="G87" t="str" cm="1">
        <f t="array" ref="G87">_xlfn.IFS(D87="External Scaffolding","External Scaffolding",D87="Loading Bay","Loading Tower",D87="Scaffolding Platform","Birdcage", D87="Supporting Scaffold","Floor Propping")</f>
        <v>Loading Tower</v>
      </c>
      <c r="H87" s="1" t="str" cm="1">
        <f t="array" ref="H87">_xlfn.IFS(OR(G87="External Scaffolding",G87="Birdcage", G87="Trad Deck", G87="Floor Propping"),"2.0 kN/m² (General Purpose)",G87= "Loading Tower","10.0 kN/m² (Loading Bay)",G87="Rhino Deck","6.0 kN/m² (Rhino Deck)")</f>
        <v>10.0 kN/m² (Loading Bay)</v>
      </c>
      <c r="I87" t="str">
        <f t="shared" si="4"/>
        <v>Brick Guards</v>
      </c>
      <c r="J87" t="str">
        <f t="shared" si="5"/>
        <v>Positive Tying</v>
      </c>
      <c r="K87">
        <v>1334</v>
      </c>
      <c r="L87" t="str">
        <f t="shared" si="6"/>
        <v>Garage 88-89</v>
      </c>
      <c r="M87" t="str">
        <f t="shared" si="7"/>
        <v>Loading Bay</v>
      </c>
      <c r="N87" t="str" cm="1">
        <f t="array" ref="N87">_xlfn.IFS(OR(G87="External Scaffolding",G87="Loading Tower", G87="Floor Propping"),"Tube and Fitting",G87="Birdcage","Birdcage", G87="Rhino Deck", "Rhino Deck", G87="Trad Deck", "Trad Deck")</f>
        <v>Tube and Fitting</v>
      </c>
      <c r="P87" t="s">
        <v>113</v>
      </c>
      <c r="Q87" t="str" cm="1">
        <f t="array" ref="Q87">_xlfn.IFS(M87="Loading Bay","15/OPT/1638-001",M87="Supporting Scaffold", "D/2020/23 rev.A",OR(M87&lt;&gt;"Loading Bay",M87&lt;&gt;"Supporting Scaffold"),"TG20:13 Scaffold")</f>
        <v>15/OPT/1638-001</v>
      </c>
      <c r="T87" t="s">
        <v>114</v>
      </c>
    </row>
    <row r="88" spans="1:20" x14ac:dyDescent="0.25">
      <c r="A88" t="s">
        <v>297</v>
      </c>
      <c r="B88" t="s">
        <v>112</v>
      </c>
      <c r="C88" t="s">
        <v>141</v>
      </c>
      <c r="D88" t="s">
        <v>0</v>
      </c>
      <c r="E88" t="s">
        <v>79</v>
      </c>
      <c r="F88" t="s">
        <v>46</v>
      </c>
      <c r="G88" t="str" cm="1">
        <f t="array" ref="G88">_xlfn.IFS(D88="External Scaffolding","External Scaffolding",D88="Loading Bay","Loading Tower",D88="Scaffolding Platform","Birdcage", D88="Supporting Scaffold","Floor Propping")</f>
        <v>External Scaffolding</v>
      </c>
      <c r="H88" s="1" t="str" cm="1">
        <f t="array" ref="H88">_xlfn.IFS(OR(G88="External Scaffolding",G88="Birdcage", G88="Trad Deck", G88="Floor Propping"),"2.0 kN/m² (General Purpose)",G88= "Loading Tower","10.0 kN/m² (Loading Bay)",G88="Rhino Deck","6.0 kN/m² (Rhino Deck)")</f>
        <v>2.0 kN/m² (General Purpose)</v>
      </c>
      <c r="I88" t="str">
        <f t="shared" si="4"/>
        <v>Brick Guards</v>
      </c>
      <c r="J88" t="str">
        <f t="shared" si="5"/>
        <v>Positive Tying</v>
      </c>
      <c r="K88">
        <v>1334</v>
      </c>
      <c r="L88" t="str">
        <f t="shared" si="6"/>
        <v>Garage 90</v>
      </c>
      <c r="M88" t="str">
        <f t="shared" si="7"/>
        <v>External Scaffolding</v>
      </c>
      <c r="N88" t="str" cm="1">
        <f t="array" ref="N88">_xlfn.IFS(OR(G88="External Scaffolding",G88="Loading Tower", G88="Floor Propping"),"Tube and Fitting",G88="Birdcage","Birdcage", G88="Rhino Deck", "Rhino Deck", G88="Trad Deck", "Trad Deck")</f>
        <v>Tube and Fitting</v>
      </c>
      <c r="P88" t="s">
        <v>113</v>
      </c>
      <c r="Q88" t="str" cm="1">
        <f t="array" ref="Q88">_xlfn.IFS(M88="Loading Bay","15/OPT/1638-001",M88="Supporting Scaffold", "D/2020/23 rev.A",OR(M88&lt;&gt;"Loading Bay",M88&lt;&gt;"Supporting Scaffold"),"TG20:13 Scaffold")</f>
        <v>TG20:13 Scaffold</v>
      </c>
      <c r="T88" t="s">
        <v>114</v>
      </c>
    </row>
    <row r="89" spans="1:20" x14ac:dyDescent="0.25">
      <c r="A89" t="s">
        <v>298</v>
      </c>
      <c r="B89" t="s">
        <v>112</v>
      </c>
      <c r="C89" t="s">
        <v>141</v>
      </c>
      <c r="D89" t="s">
        <v>1</v>
      </c>
      <c r="E89" t="s">
        <v>79</v>
      </c>
      <c r="F89" t="s">
        <v>46</v>
      </c>
      <c r="G89" t="str" cm="1">
        <f t="array" ref="G89">_xlfn.IFS(D89="External Scaffolding","External Scaffolding",D89="Loading Bay","Loading Tower",D89="Scaffolding Platform","Birdcage", D89="Supporting Scaffold","Floor Propping")</f>
        <v>Loading Tower</v>
      </c>
      <c r="H89" s="1" t="str" cm="1">
        <f t="array" ref="H89">_xlfn.IFS(OR(G89="External Scaffolding",G89="Birdcage", G89="Trad Deck", G89="Floor Propping"),"2.0 kN/m² (General Purpose)",G89= "Loading Tower","10.0 kN/m² (Loading Bay)",G89="Rhino Deck","6.0 kN/m² (Rhino Deck)")</f>
        <v>10.0 kN/m² (Loading Bay)</v>
      </c>
      <c r="I89" t="str">
        <f t="shared" si="4"/>
        <v>Brick Guards</v>
      </c>
      <c r="J89" t="str">
        <f t="shared" si="5"/>
        <v>Positive Tying</v>
      </c>
      <c r="K89">
        <v>1334</v>
      </c>
      <c r="L89" t="str">
        <f t="shared" si="6"/>
        <v>Garage 90</v>
      </c>
      <c r="M89" t="str">
        <f t="shared" si="7"/>
        <v>Loading Bay</v>
      </c>
      <c r="N89" t="str" cm="1">
        <f t="array" ref="N89">_xlfn.IFS(OR(G89="External Scaffolding",G89="Loading Tower", G89="Floor Propping"),"Tube and Fitting",G89="Birdcage","Birdcage", G89="Rhino Deck", "Rhino Deck", G89="Trad Deck", "Trad Deck")</f>
        <v>Tube and Fitting</v>
      </c>
      <c r="P89" t="s">
        <v>113</v>
      </c>
      <c r="Q89" t="str" cm="1">
        <f t="array" ref="Q89">_xlfn.IFS(M89="Loading Bay","15/OPT/1638-001",M89="Supporting Scaffold", "D/2020/23 rev.A",OR(M89&lt;&gt;"Loading Bay",M89&lt;&gt;"Supporting Scaffold"),"TG20:13 Scaffold")</f>
        <v>15/OPT/1638-001</v>
      </c>
      <c r="T89" t="s">
        <v>114</v>
      </c>
    </row>
    <row r="90" spans="1:20" x14ac:dyDescent="0.25">
      <c r="A90" t="s">
        <v>299</v>
      </c>
      <c r="B90" t="s">
        <v>112</v>
      </c>
      <c r="C90" t="s">
        <v>141</v>
      </c>
      <c r="D90" t="s">
        <v>0</v>
      </c>
      <c r="E90" t="s">
        <v>79</v>
      </c>
      <c r="F90" t="s">
        <v>47</v>
      </c>
      <c r="G90" t="str" cm="1">
        <f t="array" ref="G90">_xlfn.IFS(D90="External Scaffolding","External Scaffolding",D90="Loading Bay","Loading Tower",D90="Scaffolding Platform","Birdcage", D90="Supporting Scaffold","Floor Propping")</f>
        <v>External Scaffolding</v>
      </c>
      <c r="H90" s="1" t="str" cm="1">
        <f t="array" ref="H90">_xlfn.IFS(OR(G90="External Scaffolding",G90="Birdcage", G90="Trad Deck", G90="Floor Propping"),"2.0 kN/m² (General Purpose)",G90= "Loading Tower","10.0 kN/m² (Loading Bay)",G90="Rhino Deck","6.0 kN/m² (Rhino Deck)")</f>
        <v>2.0 kN/m² (General Purpose)</v>
      </c>
      <c r="I90" t="str">
        <f t="shared" si="4"/>
        <v>Brick Guards</v>
      </c>
      <c r="J90" t="str">
        <f t="shared" si="5"/>
        <v>Positive Tying</v>
      </c>
      <c r="K90">
        <v>1334</v>
      </c>
      <c r="L90" t="str">
        <f t="shared" si="6"/>
        <v>Garage 109</v>
      </c>
      <c r="M90" t="str">
        <f t="shared" si="7"/>
        <v>External Scaffolding</v>
      </c>
      <c r="N90" t="str" cm="1">
        <f t="array" ref="N90">_xlfn.IFS(OR(G90="External Scaffolding",G90="Loading Tower", G90="Floor Propping"),"Tube and Fitting",G90="Birdcage","Birdcage", G90="Rhino Deck", "Rhino Deck", G90="Trad Deck", "Trad Deck")</f>
        <v>Tube and Fitting</v>
      </c>
      <c r="P90" t="s">
        <v>113</v>
      </c>
      <c r="Q90" t="str" cm="1">
        <f t="array" ref="Q90">_xlfn.IFS(M90="Loading Bay","15/OPT/1638-001",M90="Supporting Scaffold", "D/2020/23 rev.A",OR(M90&lt;&gt;"Loading Bay",M90&lt;&gt;"Supporting Scaffold"),"TG20:13 Scaffold")</f>
        <v>TG20:13 Scaffold</v>
      </c>
      <c r="T90" t="s">
        <v>114</v>
      </c>
    </row>
    <row r="91" spans="1:20" x14ac:dyDescent="0.25">
      <c r="A91" t="s">
        <v>300</v>
      </c>
      <c r="B91" t="s">
        <v>112</v>
      </c>
      <c r="C91" t="s">
        <v>141</v>
      </c>
      <c r="D91" t="s">
        <v>1</v>
      </c>
      <c r="E91" t="s">
        <v>79</v>
      </c>
      <c r="F91" t="s">
        <v>47</v>
      </c>
      <c r="G91" t="str" cm="1">
        <f t="array" ref="G91">_xlfn.IFS(D91="External Scaffolding","External Scaffolding",D91="Loading Bay","Loading Tower",D91="Scaffolding Platform","Birdcage", D91="Supporting Scaffold","Floor Propping")</f>
        <v>Loading Tower</v>
      </c>
      <c r="H91" s="1" t="str" cm="1">
        <f t="array" ref="H91">_xlfn.IFS(OR(G91="External Scaffolding",G91="Birdcage", G91="Trad Deck", G91="Floor Propping"),"2.0 kN/m² (General Purpose)",G91= "Loading Tower","10.0 kN/m² (Loading Bay)",G91="Rhino Deck","6.0 kN/m² (Rhino Deck)")</f>
        <v>10.0 kN/m² (Loading Bay)</v>
      </c>
      <c r="I91" t="str">
        <f t="shared" si="4"/>
        <v>Brick Guards</v>
      </c>
      <c r="J91" t="str">
        <f t="shared" si="5"/>
        <v>Positive Tying</v>
      </c>
      <c r="K91">
        <v>1334</v>
      </c>
      <c r="L91" t="str">
        <f t="shared" si="6"/>
        <v>Garage 109</v>
      </c>
      <c r="M91" t="str">
        <f t="shared" si="7"/>
        <v>Loading Bay</v>
      </c>
      <c r="N91" t="str" cm="1">
        <f t="array" ref="N91">_xlfn.IFS(OR(G91="External Scaffolding",G91="Loading Tower", G91="Floor Propping"),"Tube and Fitting",G91="Birdcage","Birdcage", G91="Rhino Deck", "Rhino Deck", G91="Trad Deck", "Trad Deck")</f>
        <v>Tube and Fitting</v>
      </c>
      <c r="P91" t="s">
        <v>113</v>
      </c>
      <c r="Q91" t="str" cm="1">
        <f t="array" ref="Q91">_xlfn.IFS(M91="Loading Bay","15/OPT/1638-001",M91="Supporting Scaffold", "D/2020/23 rev.A",OR(M91&lt;&gt;"Loading Bay",M91&lt;&gt;"Supporting Scaffold"),"TG20:13 Scaffold")</f>
        <v>15/OPT/1638-001</v>
      </c>
      <c r="T91" t="s">
        <v>114</v>
      </c>
    </row>
    <row r="92" spans="1:20" x14ac:dyDescent="0.25">
      <c r="A92" t="s">
        <v>301</v>
      </c>
      <c r="B92" t="s">
        <v>112</v>
      </c>
      <c r="C92" t="s">
        <v>141</v>
      </c>
      <c r="D92" t="s">
        <v>0</v>
      </c>
      <c r="E92" t="s">
        <v>79</v>
      </c>
      <c r="F92" t="s">
        <v>48</v>
      </c>
      <c r="G92" t="str" cm="1">
        <f t="array" ref="G92">_xlfn.IFS(D92="External Scaffolding","External Scaffolding",D92="Loading Bay","Loading Tower",D92="Scaffolding Platform","Birdcage", D92="Supporting Scaffold","Floor Propping")</f>
        <v>External Scaffolding</v>
      </c>
      <c r="H92" s="1" t="str" cm="1">
        <f t="array" ref="H92">_xlfn.IFS(OR(G92="External Scaffolding",G92="Birdcage", G92="Trad Deck", G92="Floor Propping"),"2.0 kN/m² (General Purpose)",G92= "Loading Tower","10.0 kN/m² (Loading Bay)",G92="Rhino Deck","6.0 kN/m² (Rhino Deck)")</f>
        <v>2.0 kN/m² (General Purpose)</v>
      </c>
      <c r="I92" t="str">
        <f t="shared" si="4"/>
        <v>Brick Guards</v>
      </c>
      <c r="J92" t="str">
        <f t="shared" si="5"/>
        <v>Positive Tying</v>
      </c>
      <c r="K92">
        <v>1334</v>
      </c>
      <c r="L92" t="str">
        <f t="shared" si="6"/>
        <v>Garage 120</v>
      </c>
      <c r="M92" t="str">
        <f t="shared" si="7"/>
        <v>External Scaffolding</v>
      </c>
      <c r="N92" t="str" cm="1">
        <f t="array" ref="N92">_xlfn.IFS(OR(G92="External Scaffolding",G92="Loading Tower", G92="Floor Propping"),"Tube and Fitting",G92="Birdcage","Birdcage", G92="Rhino Deck", "Rhino Deck", G92="Trad Deck", "Trad Deck")</f>
        <v>Tube and Fitting</v>
      </c>
      <c r="P92" t="s">
        <v>113</v>
      </c>
      <c r="Q92" t="str" cm="1">
        <f t="array" ref="Q92">_xlfn.IFS(M92="Loading Bay","15/OPT/1638-001",M92="Supporting Scaffold", "D/2020/23 rev.A",OR(M92&lt;&gt;"Loading Bay",M92&lt;&gt;"Supporting Scaffold"),"TG20:13 Scaffold")</f>
        <v>TG20:13 Scaffold</v>
      </c>
      <c r="T92" t="s">
        <v>114</v>
      </c>
    </row>
    <row r="93" spans="1:20" x14ac:dyDescent="0.25">
      <c r="A93" t="s">
        <v>302</v>
      </c>
      <c r="B93" t="s">
        <v>112</v>
      </c>
      <c r="C93" t="s">
        <v>141</v>
      </c>
      <c r="D93" t="s">
        <v>1</v>
      </c>
      <c r="E93" t="s">
        <v>79</v>
      </c>
      <c r="F93" t="s">
        <v>48</v>
      </c>
      <c r="G93" t="str" cm="1">
        <f t="array" ref="G93">_xlfn.IFS(D93="External Scaffolding","External Scaffolding",D93="Loading Bay","Loading Tower",D93="Scaffolding Platform","Birdcage", D93="Supporting Scaffold","Floor Propping")</f>
        <v>Loading Tower</v>
      </c>
      <c r="H93" s="1" t="str" cm="1">
        <f t="array" ref="H93">_xlfn.IFS(OR(G93="External Scaffolding",G93="Birdcage", G93="Trad Deck", G93="Floor Propping"),"2.0 kN/m² (General Purpose)",G93= "Loading Tower","10.0 kN/m² (Loading Bay)",G93="Rhino Deck","6.0 kN/m² (Rhino Deck)")</f>
        <v>10.0 kN/m² (Loading Bay)</v>
      </c>
      <c r="I93" t="str">
        <f t="shared" si="4"/>
        <v>Brick Guards</v>
      </c>
      <c r="J93" t="str">
        <f t="shared" si="5"/>
        <v>Positive Tying</v>
      </c>
      <c r="K93">
        <v>1334</v>
      </c>
      <c r="L93" t="str">
        <f t="shared" si="6"/>
        <v>Garage 120</v>
      </c>
      <c r="M93" t="str">
        <f t="shared" si="7"/>
        <v>Loading Bay</v>
      </c>
      <c r="N93" t="str" cm="1">
        <f t="array" ref="N93">_xlfn.IFS(OR(G93="External Scaffolding",G93="Loading Tower", G93="Floor Propping"),"Tube and Fitting",G93="Birdcage","Birdcage", G93="Rhino Deck", "Rhino Deck", G93="Trad Deck", "Trad Deck")</f>
        <v>Tube and Fitting</v>
      </c>
      <c r="P93" t="s">
        <v>113</v>
      </c>
      <c r="Q93" t="str" cm="1">
        <f t="array" ref="Q93">_xlfn.IFS(M93="Loading Bay","15/OPT/1638-001",M93="Supporting Scaffold", "D/2020/23 rev.A",OR(M93&lt;&gt;"Loading Bay",M93&lt;&gt;"Supporting Scaffold"),"TG20:13 Scaffold")</f>
        <v>15/OPT/1638-001</v>
      </c>
      <c r="T93" t="s">
        <v>114</v>
      </c>
    </row>
    <row r="94" spans="1:20" x14ac:dyDescent="0.25">
      <c r="A94" t="s">
        <v>303</v>
      </c>
      <c r="B94" t="s">
        <v>112</v>
      </c>
      <c r="C94" t="s">
        <v>141</v>
      </c>
      <c r="D94" t="s">
        <v>0</v>
      </c>
      <c r="E94" t="s">
        <v>79</v>
      </c>
      <c r="F94" t="s">
        <v>49</v>
      </c>
      <c r="G94" t="str" cm="1">
        <f t="array" ref="G94">_xlfn.IFS(D94="External Scaffolding","External Scaffolding",D94="Loading Bay","Loading Tower",D94="Scaffolding Platform","Birdcage", D94="Supporting Scaffold","Floor Propping")</f>
        <v>External Scaffolding</v>
      </c>
      <c r="H94" s="1" t="str" cm="1">
        <f t="array" ref="H94">_xlfn.IFS(OR(G94="External Scaffolding",G94="Birdcage", G94="Trad Deck", G94="Floor Propping"),"2.0 kN/m² (General Purpose)",G94= "Loading Tower","10.0 kN/m² (Loading Bay)",G94="Rhino Deck","6.0 kN/m² (Rhino Deck)")</f>
        <v>2.0 kN/m² (General Purpose)</v>
      </c>
      <c r="I94" t="str">
        <f t="shared" si="4"/>
        <v>Brick Guards</v>
      </c>
      <c r="J94" t="str">
        <f t="shared" si="5"/>
        <v>Positive Tying</v>
      </c>
      <c r="K94">
        <v>1334</v>
      </c>
      <c r="L94" t="str">
        <f t="shared" si="6"/>
        <v>Garage 121</v>
      </c>
      <c r="M94" t="str">
        <f t="shared" si="7"/>
        <v>External Scaffolding</v>
      </c>
      <c r="N94" t="str" cm="1">
        <f t="array" ref="N94">_xlfn.IFS(OR(G94="External Scaffolding",G94="Loading Tower", G94="Floor Propping"),"Tube and Fitting",G94="Birdcage","Birdcage", G94="Rhino Deck", "Rhino Deck", G94="Trad Deck", "Trad Deck")</f>
        <v>Tube and Fitting</v>
      </c>
      <c r="P94" t="s">
        <v>113</v>
      </c>
      <c r="Q94" t="str" cm="1">
        <f t="array" ref="Q94">_xlfn.IFS(M94="Loading Bay","15/OPT/1638-001",M94="Supporting Scaffold", "D/2020/23 rev.A",OR(M94&lt;&gt;"Loading Bay",M94&lt;&gt;"Supporting Scaffold"),"TG20:13 Scaffold")</f>
        <v>TG20:13 Scaffold</v>
      </c>
      <c r="T94" t="s">
        <v>114</v>
      </c>
    </row>
    <row r="95" spans="1:20" x14ac:dyDescent="0.25">
      <c r="A95" t="s">
        <v>304</v>
      </c>
      <c r="B95" t="s">
        <v>112</v>
      </c>
      <c r="C95" t="s">
        <v>141</v>
      </c>
      <c r="D95" t="s">
        <v>1</v>
      </c>
      <c r="E95" t="s">
        <v>79</v>
      </c>
      <c r="F95" t="s">
        <v>49</v>
      </c>
      <c r="G95" t="str" cm="1">
        <f t="array" ref="G95">_xlfn.IFS(D95="External Scaffolding","External Scaffolding",D95="Loading Bay","Loading Tower",D95="Scaffolding Platform","Birdcage", D95="Supporting Scaffold","Floor Propping")</f>
        <v>Loading Tower</v>
      </c>
      <c r="H95" s="1" t="str" cm="1">
        <f t="array" ref="H95">_xlfn.IFS(OR(G95="External Scaffolding",G95="Birdcage", G95="Trad Deck", G95="Floor Propping"),"2.0 kN/m² (General Purpose)",G95= "Loading Tower","10.0 kN/m² (Loading Bay)",G95="Rhino Deck","6.0 kN/m² (Rhino Deck)")</f>
        <v>10.0 kN/m² (Loading Bay)</v>
      </c>
      <c r="I95" t="str">
        <f t="shared" si="4"/>
        <v>Brick Guards</v>
      </c>
      <c r="J95" t="str">
        <f t="shared" si="5"/>
        <v>Positive Tying</v>
      </c>
      <c r="K95">
        <v>1334</v>
      </c>
      <c r="L95" t="str">
        <f t="shared" si="6"/>
        <v>Garage 121</v>
      </c>
      <c r="M95" t="str">
        <f t="shared" si="7"/>
        <v>Loading Bay</v>
      </c>
      <c r="N95" t="str" cm="1">
        <f t="array" ref="N95">_xlfn.IFS(OR(G95="External Scaffolding",G95="Loading Tower", G95="Floor Propping"),"Tube and Fitting",G95="Birdcage","Birdcage", G95="Rhino Deck", "Rhino Deck", G95="Trad Deck", "Trad Deck")</f>
        <v>Tube and Fitting</v>
      </c>
      <c r="P95" t="s">
        <v>113</v>
      </c>
      <c r="Q95" t="str" cm="1">
        <f t="array" ref="Q95">_xlfn.IFS(M95="Loading Bay","15/OPT/1638-001",M95="Supporting Scaffold", "D/2020/23 rev.A",OR(M95&lt;&gt;"Loading Bay",M95&lt;&gt;"Supporting Scaffold"),"TG20:13 Scaffold")</f>
        <v>15/OPT/1638-001</v>
      </c>
      <c r="T95" t="s">
        <v>114</v>
      </c>
    </row>
    <row r="96" spans="1:20" x14ac:dyDescent="0.25">
      <c r="A96" t="s">
        <v>305</v>
      </c>
      <c r="B96" t="s">
        <v>112</v>
      </c>
      <c r="C96" t="s">
        <v>141</v>
      </c>
      <c r="D96" t="s">
        <v>0</v>
      </c>
      <c r="E96" t="s">
        <v>79</v>
      </c>
      <c r="F96" t="s">
        <v>50</v>
      </c>
      <c r="G96" t="str" cm="1">
        <f t="array" ref="G96">_xlfn.IFS(D96="External Scaffolding","External Scaffolding",D96="Loading Bay","Loading Tower",D96="Scaffolding Platform","Birdcage", D96="Supporting Scaffold","Floor Propping")</f>
        <v>External Scaffolding</v>
      </c>
      <c r="H96" s="1" t="str" cm="1">
        <f t="array" ref="H96">_xlfn.IFS(OR(G96="External Scaffolding",G96="Birdcage", G96="Trad Deck", G96="Floor Propping"),"2.0 kN/m² (General Purpose)",G96= "Loading Tower","10.0 kN/m² (Loading Bay)",G96="Rhino Deck","6.0 kN/m² (Rhino Deck)")</f>
        <v>2.0 kN/m² (General Purpose)</v>
      </c>
      <c r="I96" t="str">
        <f t="shared" si="4"/>
        <v>Brick Guards</v>
      </c>
      <c r="J96" t="str">
        <f t="shared" si="5"/>
        <v>Positive Tying</v>
      </c>
      <c r="K96">
        <v>1334</v>
      </c>
      <c r="L96" t="str">
        <f t="shared" si="6"/>
        <v>Garage 122</v>
      </c>
      <c r="M96" t="str">
        <f t="shared" si="7"/>
        <v>External Scaffolding</v>
      </c>
      <c r="N96" t="str" cm="1">
        <f t="array" ref="N96">_xlfn.IFS(OR(G96="External Scaffolding",G96="Loading Tower", G96="Floor Propping"),"Tube and Fitting",G96="Birdcage","Birdcage", G96="Rhino Deck", "Rhino Deck", G96="Trad Deck", "Trad Deck")</f>
        <v>Tube and Fitting</v>
      </c>
      <c r="P96" t="s">
        <v>113</v>
      </c>
      <c r="Q96" t="str" cm="1">
        <f t="array" ref="Q96">_xlfn.IFS(M96="Loading Bay","15/OPT/1638-001",M96="Supporting Scaffold", "D/2020/23 rev.A",OR(M96&lt;&gt;"Loading Bay",M96&lt;&gt;"Supporting Scaffold"),"TG20:13 Scaffold")</f>
        <v>TG20:13 Scaffold</v>
      </c>
      <c r="T96" t="s">
        <v>114</v>
      </c>
    </row>
    <row r="97" spans="1:20" x14ac:dyDescent="0.25">
      <c r="A97" t="s">
        <v>306</v>
      </c>
      <c r="B97" t="s">
        <v>112</v>
      </c>
      <c r="C97" t="s">
        <v>141</v>
      </c>
      <c r="D97" t="s">
        <v>1</v>
      </c>
      <c r="E97" t="s">
        <v>79</v>
      </c>
      <c r="F97" t="s">
        <v>50</v>
      </c>
      <c r="G97" t="str" cm="1">
        <f t="array" ref="G97">_xlfn.IFS(D97="External Scaffolding","External Scaffolding",D97="Loading Bay","Loading Tower",D97="Scaffolding Platform","Birdcage", D97="Supporting Scaffold","Floor Propping")</f>
        <v>Loading Tower</v>
      </c>
      <c r="H97" s="1" t="str" cm="1">
        <f t="array" ref="H97">_xlfn.IFS(OR(G97="External Scaffolding",G97="Birdcage", G97="Trad Deck", G97="Floor Propping"),"2.0 kN/m² (General Purpose)",G97= "Loading Tower","10.0 kN/m² (Loading Bay)",G97="Rhino Deck","6.0 kN/m² (Rhino Deck)")</f>
        <v>10.0 kN/m² (Loading Bay)</v>
      </c>
      <c r="I97" t="str">
        <f t="shared" si="4"/>
        <v>Brick Guards</v>
      </c>
      <c r="J97" t="str">
        <f t="shared" si="5"/>
        <v>Positive Tying</v>
      </c>
      <c r="K97">
        <v>1334</v>
      </c>
      <c r="L97" t="str">
        <f t="shared" si="6"/>
        <v>Garage 122</v>
      </c>
      <c r="M97" t="str">
        <f t="shared" si="7"/>
        <v>Loading Bay</v>
      </c>
      <c r="N97" t="str" cm="1">
        <f t="array" ref="N97">_xlfn.IFS(OR(G97="External Scaffolding",G97="Loading Tower", G97="Floor Propping"),"Tube and Fitting",G97="Birdcage","Birdcage", G97="Rhino Deck", "Rhino Deck", G97="Trad Deck", "Trad Deck")</f>
        <v>Tube and Fitting</v>
      </c>
      <c r="P97" t="s">
        <v>113</v>
      </c>
      <c r="Q97" t="str" cm="1">
        <f t="array" ref="Q97">_xlfn.IFS(M97="Loading Bay","15/OPT/1638-001",M97="Supporting Scaffold", "D/2020/23 rev.A",OR(M97&lt;&gt;"Loading Bay",M97&lt;&gt;"Supporting Scaffold"),"TG20:13 Scaffold")</f>
        <v>15/OPT/1638-001</v>
      </c>
      <c r="T97" t="s">
        <v>114</v>
      </c>
    </row>
    <row r="98" spans="1:20" x14ac:dyDescent="0.25">
      <c r="A98" t="s">
        <v>307</v>
      </c>
      <c r="B98" t="s">
        <v>112</v>
      </c>
      <c r="C98" t="s">
        <v>141</v>
      </c>
      <c r="D98" t="s">
        <v>0</v>
      </c>
      <c r="E98" t="s">
        <v>79</v>
      </c>
      <c r="F98" t="s">
        <v>51</v>
      </c>
      <c r="G98" t="str" cm="1">
        <f t="array" ref="G98">_xlfn.IFS(D98="External Scaffolding","External Scaffolding",D98="Loading Bay","Loading Tower",D98="Scaffolding Platform","Birdcage", D98="Supporting Scaffold","Floor Propping")</f>
        <v>External Scaffolding</v>
      </c>
      <c r="H98" s="1" t="str" cm="1">
        <f t="array" ref="H98">_xlfn.IFS(OR(G98="External Scaffolding",G98="Birdcage", G98="Trad Deck", G98="Floor Propping"),"2.0 kN/m² (General Purpose)",G98= "Loading Tower","10.0 kN/m² (Loading Bay)",G98="Rhino Deck","6.0 kN/m² (Rhino Deck)")</f>
        <v>2.0 kN/m² (General Purpose)</v>
      </c>
      <c r="I98" t="str">
        <f t="shared" si="4"/>
        <v>Brick Guards</v>
      </c>
      <c r="J98" t="str">
        <f t="shared" si="5"/>
        <v>Positive Tying</v>
      </c>
      <c r="K98">
        <v>1334</v>
      </c>
      <c r="L98" t="str">
        <f t="shared" si="6"/>
        <v>Garage 123</v>
      </c>
      <c r="M98" t="str">
        <f t="shared" si="7"/>
        <v>External Scaffolding</v>
      </c>
      <c r="N98" t="str" cm="1">
        <f t="array" ref="N98">_xlfn.IFS(OR(G98="External Scaffolding",G98="Loading Tower", G98="Floor Propping"),"Tube and Fitting",G98="Birdcage","Birdcage", G98="Rhino Deck", "Rhino Deck", G98="Trad Deck", "Trad Deck")</f>
        <v>Tube and Fitting</v>
      </c>
      <c r="P98" t="s">
        <v>113</v>
      </c>
      <c r="Q98" t="str" cm="1">
        <f t="array" ref="Q98">_xlfn.IFS(M98="Loading Bay","15/OPT/1638-001",M98="Supporting Scaffold", "D/2020/23 rev.A",OR(M98&lt;&gt;"Loading Bay",M98&lt;&gt;"Supporting Scaffold"),"TG20:13 Scaffold")</f>
        <v>TG20:13 Scaffold</v>
      </c>
      <c r="T98" t="s">
        <v>114</v>
      </c>
    </row>
    <row r="99" spans="1:20" x14ac:dyDescent="0.25">
      <c r="A99" t="s">
        <v>308</v>
      </c>
      <c r="B99" t="s">
        <v>112</v>
      </c>
      <c r="C99" t="s">
        <v>141</v>
      </c>
      <c r="D99" t="s">
        <v>1</v>
      </c>
      <c r="E99" t="s">
        <v>79</v>
      </c>
      <c r="F99" t="s">
        <v>51</v>
      </c>
      <c r="G99" t="str" cm="1">
        <f t="array" ref="G99">_xlfn.IFS(D99="External Scaffolding","External Scaffolding",D99="Loading Bay","Loading Tower",D99="Scaffolding Platform","Birdcage", D99="Supporting Scaffold","Floor Propping")</f>
        <v>Loading Tower</v>
      </c>
      <c r="H99" s="1" t="str" cm="1">
        <f t="array" ref="H99">_xlfn.IFS(OR(G99="External Scaffolding",G99="Birdcage", G99="Trad Deck", G99="Floor Propping"),"2.0 kN/m² (General Purpose)",G99= "Loading Tower","10.0 kN/m² (Loading Bay)",G99="Rhino Deck","6.0 kN/m² (Rhino Deck)")</f>
        <v>10.0 kN/m² (Loading Bay)</v>
      </c>
      <c r="I99" t="str">
        <f t="shared" si="4"/>
        <v>Brick Guards</v>
      </c>
      <c r="J99" t="str">
        <f t="shared" si="5"/>
        <v>Positive Tying</v>
      </c>
      <c r="K99">
        <v>1334</v>
      </c>
      <c r="L99" t="str">
        <f t="shared" si="6"/>
        <v>Garage 123</v>
      </c>
      <c r="M99" t="str">
        <f t="shared" si="7"/>
        <v>Loading Bay</v>
      </c>
      <c r="N99" t="str" cm="1">
        <f t="array" ref="N99">_xlfn.IFS(OR(G99="External Scaffolding",G99="Loading Tower", G99="Floor Propping"),"Tube and Fitting",G99="Birdcage","Birdcage", G99="Rhino Deck", "Rhino Deck", G99="Trad Deck", "Trad Deck")</f>
        <v>Tube and Fitting</v>
      </c>
      <c r="P99" t="s">
        <v>113</v>
      </c>
      <c r="Q99" t="str" cm="1">
        <f t="array" ref="Q99">_xlfn.IFS(M99="Loading Bay","15/OPT/1638-001",M99="Supporting Scaffold", "D/2020/23 rev.A",OR(M99&lt;&gt;"Loading Bay",M99&lt;&gt;"Supporting Scaffold"),"TG20:13 Scaffold")</f>
        <v>15/OPT/1638-001</v>
      </c>
      <c r="T99" t="s">
        <v>114</v>
      </c>
    </row>
    <row r="100" spans="1:20" x14ac:dyDescent="0.25">
      <c r="A100" t="s">
        <v>309</v>
      </c>
      <c r="B100" t="s">
        <v>112</v>
      </c>
      <c r="C100" t="s">
        <v>141</v>
      </c>
      <c r="D100" t="s">
        <v>0</v>
      </c>
      <c r="E100" t="s">
        <v>79</v>
      </c>
      <c r="F100" t="s">
        <v>52</v>
      </c>
      <c r="G100" t="str" cm="1">
        <f t="array" ref="G100">_xlfn.IFS(D100="External Scaffolding","External Scaffolding",D100="Loading Bay","Loading Tower",D100="Scaffolding Platform","Birdcage", D100="Supporting Scaffold","Floor Propping")</f>
        <v>External Scaffolding</v>
      </c>
      <c r="H100" s="1" t="str" cm="1">
        <f t="array" ref="H100">_xlfn.IFS(OR(G100="External Scaffolding",G100="Birdcage", G100="Trad Deck", G100="Floor Propping"),"2.0 kN/m² (General Purpose)",G100= "Loading Tower","10.0 kN/m² (Loading Bay)",G100="Rhino Deck","6.0 kN/m² (Rhino Deck)")</f>
        <v>2.0 kN/m² (General Purpose)</v>
      </c>
      <c r="I100" t="str">
        <f t="shared" si="4"/>
        <v>Brick Guards</v>
      </c>
      <c r="J100" t="str">
        <f t="shared" si="5"/>
        <v>Positive Tying</v>
      </c>
      <c r="K100">
        <v>1334</v>
      </c>
      <c r="L100" t="str">
        <f t="shared" si="6"/>
        <v>Garage 124</v>
      </c>
      <c r="M100" t="str">
        <f t="shared" si="7"/>
        <v>External Scaffolding</v>
      </c>
      <c r="N100" t="str" cm="1">
        <f t="array" ref="N100">_xlfn.IFS(OR(G100="External Scaffolding",G100="Loading Tower", G100="Floor Propping"),"Tube and Fitting",G100="Birdcage","Birdcage", G100="Rhino Deck", "Rhino Deck", G100="Trad Deck", "Trad Deck")</f>
        <v>Tube and Fitting</v>
      </c>
      <c r="P100" t="s">
        <v>113</v>
      </c>
      <c r="Q100" t="str" cm="1">
        <f t="array" ref="Q100">_xlfn.IFS(M100="Loading Bay","15/OPT/1638-001",M100="Supporting Scaffold", "D/2020/23 rev.A",OR(M100&lt;&gt;"Loading Bay",M100&lt;&gt;"Supporting Scaffold"),"TG20:13 Scaffold")</f>
        <v>TG20:13 Scaffold</v>
      </c>
      <c r="T100" t="s">
        <v>114</v>
      </c>
    </row>
    <row r="101" spans="1:20" x14ac:dyDescent="0.25">
      <c r="A101" t="s">
        <v>310</v>
      </c>
      <c r="B101" t="s">
        <v>112</v>
      </c>
      <c r="C101" t="s">
        <v>141</v>
      </c>
      <c r="D101" t="s">
        <v>1</v>
      </c>
      <c r="E101" t="s">
        <v>79</v>
      </c>
      <c r="F101" t="s">
        <v>52</v>
      </c>
      <c r="G101" t="str" cm="1">
        <f t="array" ref="G101">_xlfn.IFS(D101="External Scaffolding","External Scaffolding",D101="Loading Bay","Loading Tower",D101="Scaffolding Platform","Birdcage", D101="Supporting Scaffold","Floor Propping")</f>
        <v>Loading Tower</v>
      </c>
      <c r="H101" s="1" t="str" cm="1">
        <f t="array" ref="H101">_xlfn.IFS(OR(G101="External Scaffolding",G101="Birdcage", G101="Trad Deck", G101="Floor Propping"),"2.0 kN/m² (General Purpose)",G101= "Loading Tower","10.0 kN/m² (Loading Bay)",G101="Rhino Deck","6.0 kN/m² (Rhino Deck)")</f>
        <v>10.0 kN/m² (Loading Bay)</v>
      </c>
      <c r="I101" t="str">
        <f t="shared" si="4"/>
        <v>Brick Guards</v>
      </c>
      <c r="J101" t="str">
        <f t="shared" si="5"/>
        <v>Positive Tying</v>
      </c>
      <c r="K101">
        <v>1334</v>
      </c>
      <c r="L101" t="str">
        <f t="shared" si="6"/>
        <v>Garage 124</v>
      </c>
      <c r="M101" t="str">
        <f t="shared" si="7"/>
        <v>Loading Bay</v>
      </c>
      <c r="N101" t="str" cm="1">
        <f t="array" ref="N101">_xlfn.IFS(OR(G101="External Scaffolding",G101="Loading Tower", G101="Floor Propping"),"Tube and Fitting",G101="Birdcage","Birdcage", G101="Rhino Deck", "Rhino Deck", G101="Trad Deck", "Trad Deck")</f>
        <v>Tube and Fitting</v>
      </c>
      <c r="P101" t="s">
        <v>113</v>
      </c>
      <c r="Q101" t="str" cm="1">
        <f t="array" ref="Q101">_xlfn.IFS(M101="Loading Bay","15/OPT/1638-001",M101="Supporting Scaffold", "D/2020/23 rev.A",OR(M101&lt;&gt;"Loading Bay",M101&lt;&gt;"Supporting Scaffold"),"TG20:13 Scaffold")</f>
        <v>15/OPT/1638-001</v>
      </c>
      <c r="T101" t="s">
        <v>114</v>
      </c>
    </row>
    <row r="102" spans="1:20" x14ac:dyDescent="0.25">
      <c r="A102" t="s">
        <v>311</v>
      </c>
      <c r="B102" t="s">
        <v>112</v>
      </c>
      <c r="C102" t="s">
        <v>141</v>
      </c>
      <c r="D102" t="s">
        <v>0</v>
      </c>
      <c r="E102" t="s">
        <v>79</v>
      </c>
      <c r="F102" t="s">
        <v>53</v>
      </c>
      <c r="G102" t="str" cm="1">
        <f t="array" ref="G102">_xlfn.IFS(D102="External Scaffolding","External Scaffolding",D102="Loading Bay","Loading Tower",D102="Scaffolding Platform","Birdcage", D102="Supporting Scaffold","Floor Propping")</f>
        <v>External Scaffolding</v>
      </c>
      <c r="H102" s="1" t="str" cm="1">
        <f t="array" ref="H102">_xlfn.IFS(OR(G102="External Scaffolding",G102="Birdcage", G102="Trad Deck", G102="Floor Propping"),"2.0 kN/m² (General Purpose)",G102= "Loading Tower","10.0 kN/m² (Loading Bay)",G102="Rhino Deck","6.0 kN/m² (Rhino Deck)")</f>
        <v>2.0 kN/m² (General Purpose)</v>
      </c>
      <c r="I102" t="str">
        <f t="shared" si="4"/>
        <v>Brick Guards</v>
      </c>
      <c r="J102" t="str">
        <f t="shared" si="5"/>
        <v>Positive Tying</v>
      </c>
      <c r="K102">
        <v>1334</v>
      </c>
      <c r="L102" t="str">
        <f t="shared" si="6"/>
        <v>Garage 125</v>
      </c>
      <c r="M102" t="str">
        <f t="shared" si="7"/>
        <v>External Scaffolding</v>
      </c>
      <c r="N102" t="str" cm="1">
        <f t="array" ref="N102">_xlfn.IFS(OR(G102="External Scaffolding",G102="Loading Tower", G102="Floor Propping"),"Tube and Fitting",G102="Birdcage","Birdcage", G102="Rhino Deck", "Rhino Deck", G102="Trad Deck", "Trad Deck")</f>
        <v>Tube and Fitting</v>
      </c>
      <c r="P102" t="s">
        <v>113</v>
      </c>
      <c r="Q102" t="str" cm="1">
        <f t="array" ref="Q102">_xlfn.IFS(M102="Loading Bay","15/OPT/1638-001",M102="Supporting Scaffold", "D/2020/23 rev.A",OR(M102&lt;&gt;"Loading Bay",M102&lt;&gt;"Supporting Scaffold"),"TG20:13 Scaffold")</f>
        <v>TG20:13 Scaffold</v>
      </c>
      <c r="T102" t="s">
        <v>114</v>
      </c>
    </row>
    <row r="103" spans="1:20" x14ac:dyDescent="0.25">
      <c r="A103" t="s">
        <v>312</v>
      </c>
      <c r="B103" t="s">
        <v>112</v>
      </c>
      <c r="C103" t="s">
        <v>141</v>
      </c>
      <c r="D103" t="s">
        <v>1</v>
      </c>
      <c r="E103" t="s">
        <v>79</v>
      </c>
      <c r="F103" t="s">
        <v>53</v>
      </c>
      <c r="G103" t="str" cm="1">
        <f t="array" ref="G103">_xlfn.IFS(D103="External Scaffolding","External Scaffolding",D103="Loading Bay","Loading Tower",D103="Scaffolding Platform","Birdcage", D103="Supporting Scaffold","Floor Propping")</f>
        <v>Loading Tower</v>
      </c>
      <c r="H103" s="1" t="str" cm="1">
        <f t="array" ref="H103">_xlfn.IFS(OR(G103="External Scaffolding",G103="Birdcage", G103="Trad Deck", G103="Floor Propping"),"2.0 kN/m² (General Purpose)",G103= "Loading Tower","10.0 kN/m² (Loading Bay)",G103="Rhino Deck","6.0 kN/m² (Rhino Deck)")</f>
        <v>10.0 kN/m² (Loading Bay)</v>
      </c>
      <c r="I103" t="str">
        <f t="shared" si="4"/>
        <v>Brick Guards</v>
      </c>
      <c r="J103" t="str">
        <f t="shared" si="5"/>
        <v>Positive Tying</v>
      </c>
      <c r="K103">
        <v>1334</v>
      </c>
      <c r="L103" t="str">
        <f t="shared" si="6"/>
        <v>Garage 125</v>
      </c>
      <c r="M103" t="str">
        <f t="shared" si="7"/>
        <v>Loading Bay</v>
      </c>
      <c r="N103" t="str" cm="1">
        <f t="array" ref="N103">_xlfn.IFS(OR(G103="External Scaffolding",G103="Loading Tower", G103="Floor Propping"),"Tube and Fitting",G103="Birdcage","Birdcage", G103="Rhino Deck", "Rhino Deck", G103="Trad Deck", "Trad Deck")</f>
        <v>Tube and Fitting</v>
      </c>
      <c r="P103" t="s">
        <v>113</v>
      </c>
      <c r="Q103" t="str" cm="1">
        <f t="array" ref="Q103">_xlfn.IFS(M103="Loading Bay","15/OPT/1638-001",M103="Supporting Scaffold", "D/2020/23 rev.A",OR(M103&lt;&gt;"Loading Bay",M103&lt;&gt;"Supporting Scaffold"),"TG20:13 Scaffold")</f>
        <v>15/OPT/1638-001</v>
      </c>
      <c r="T103" t="s">
        <v>114</v>
      </c>
    </row>
    <row r="104" spans="1:20" x14ac:dyDescent="0.25">
      <c r="A104" t="s">
        <v>313</v>
      </c>
      <c r="B104" t="s">
        <v>112</v>
      </c>
      <c r="C104" t="s">
        <v>141</v>
      </c>
      <c r="D104" t="s">
        <v>0</v>
      </c>
      <c r="E104" t="s">
        <v>79</v>
      </c>
      <c r="F104" t="s">
        <v>54</v>
      </c>
      <c r="G104" t="str" cm="1">
        <f t="array" ref="G104">_xlfn.IFS(D104="External Scaffolding","External Scaffolding",D104="Loading Bay","Loading Tower",D104="Scaffolding Platform","Birdcage", D104="Supporting Scaffold","Floor Propping")</f>
        <v>External Scaffolding</v>
      </c>
      <c r="H104" s="1" t="str" cm="1">
        <f t="array" ref="H104">_xlfn.IFS(OR(G104="External Scaffolding",G104="Birdcage", G104="Trad Deck", G104="Floor Propping"),"2.0 kN/m² (General Purpose)",G104= "Loading Tower","10.0 kN/m² (Loading Bay)",G104="Rhino Deck","6.0 kN/m² (Rhino Deck)")</f>
        <v>2.0 kN/m² (General Purpose)</v>
      </c>
      <c r="I104" t="str">
        <f t="shared" si="4"/>
        <v>Brick Guards</v>
      </c>
      <c r="J104" t="str">
        <f t="shared" si="5"/>
        <v>Positive Tying</v>
      </c>
      <c r="K104">
        <v>1334</v>
      </c>
      <c r="L104" t="str">
        <f t="shared" si="6"/>
        <v>Garage 132</v>
      </c>
      <c r="M104" t="str">
        <f t="shared" si="7"/>
        <v>External Scaffolding</v>
      </c>
      <c r="N104" t="str" cm="1">
        <f t="array" ref="N104">_xlfn.IFS(OR(G104="External Scaffolding",G104="Loading Tower", G104="Floor Propping"),"Tube and Fitting",G104="Birdcage","Birdcage", G104="Rhino Deck", "Rhino Deck", G104="Trad Deck", "Trad Deck")</f>
        <v>Tube and Fitting</v>
      </c>
      <c r="P104" t="s">
        <v>113</v>
      </c>
      <c r="Q104" t="str" cm="1">
        <f t="array" ref="Q104">_xlfn.IFS(M104="Loading Bay","15/OPT/1638-001",M104="Supporting Scaffold", "D/2020/23 rev.A",OR(M104&lt;&gt;"Loading Bay",M104&lt;&gt;"Supporting Scaffold"),"TG20:13 Scaffold")</f>
        <v>TG20:13 Scaffold</v>
      </c>
      <c r="T104" t="s">
        <v>114</v>
      </c>
    </row>
    <row r="105" spans="1:20" x14ac:dyDescent="0.25">
      <c r="A105" t="s">
        <v>314</v>
      </c>
      <c r="B105" t="s">
        <v>112</v>
      </c>
      <c r="C105" t="s">
        <v>141</v>
      </c>
      <c r="D105" t="s">
        <v>1</v>
      </c>
      <c r="E105" t="s">
        <v>79</v>
      </c>
      <c r="F105" t="s">
        <v>54</v>
      </c>
      <c r="G105" t="str" cm="1">
        <f t="array" ref="G105">_xlfn.IFS(D105="External Scaffolding","External Scaffolding",D105="Loading Bay","Loading Tower",D105="Scaffolding Platform","Birdcage", D105="Supporting Scaffold","Floor Propping")</f>
        <v>Loading Tower</v>
      </c>
      <c r="H105" s="1" t="str" cm="1">
        <f t="array" ref="H105">_xlfn.IFS(OR(G105="External Scaffolding",G105="Birdcage", G105="Trad Deck", G105="Floor Propping"),"2.0 kN/m² (General Purpose)",G105= "Loading Tower","10.0 kN/m² (Loading Bay)",G105="Rhino Deck","6.0 kN/m² (Rhino Deck)")</f>
        <v>10.0 kN/m² (Loading Bay)</v>
      </c>
      <c r="I105" t="str">
        <f t="shared" si="4"/>
        <v>Brick Guards</v>
      </c>
      <c r="J105" t="str">
        <f t="shared" si="5"/>
        <v>Positive Tying</v>
      </c>
      <c r="K105">
        <v>1334</v>
      </c>
      <c r="L105" t="str">
        <f t="shared" si="6"/>
        <v>Garage 132</v>
      </c>
      <c r="M105" t="str">
        <f t="shared" si="7"/>
        <v>Loading Bay</v>
      </c>
      <c r="N105" t="str" cm="1">
        <f t="array" ref="N105">_xlfn.IFS(OR(G105="External Scaffolding",G105="Loading Tower", G105="Floor Propping"),"Tube and Fitting",G105="Birdcage","Birdcage", G105="Rhino Deck", "Rhino Deck", G105="Trad Deck", "Trad Deck")</f>
        <v>Tube and Fitting</v>
      </c>
      <c r="P105" t="s">
        <v>113</v>
      </c>
      <c r="Q105" t="str" cm="1">
        <f t="array" ref="Q105">_xlfn.IFS(M105="Loading Bay","15/OPT/1638-001",M105="Supporting Scaffold", "D/2020/23 rev.A",OR(M105&lt;&gt;"Loading Bay",M105&lt;&gt;"Supporting Scaffold"),"TG20:13 Scaffold")</f>
        <v>15/OPT/1638-001</v>
      </c>
      <c r="T105" t="s">
        <v>114</v>
      </c>
    </row>
    <row r="106" spans="1:20" x14ac:dyDescent="0.25">
      <c r="A106" t="s">
        <v>315</v>
      </c>
      <c r="B106" t="s">
        <v>112</v>
      </c>
      <c r="C106" t="s">
        <v>141</v>
      </c>
      <c r="D106" t="s">
        <v>0</v>
      </c>
      <c r="E106" t="s">
        <v>79</v>
      </c>
      <c r="F106" t="s">
        <v>55</v>
      </c>
      <c r="G106" t="str" cm="1">
        <f t="array" ref="G106">_xlfn.IFS(D106="External Scaffolding","External Scaffolding",D106="Loading Bay","Loading Tower",D106="Scaffolding Platform","Birdcage", D106="Supporting Scaffold","Floor Propping")</f>
        <v>External Scaffolding</v>
      </c>
      <c r="H106" s="1" t="str" cm="1">
        <f t="array" ref="H106">_xlfn.IFS(OR(G106="External Scaffolding",G106="Birdcage", G106="Trad Deck", G106="Floor Propping"),"2.0 kN/m² (General Purpose)",G106= "Loading Tower","10.0 kN/m² (Loading Bay)",G106="Rhino Deck","6.0 kN/m² (Rhino Deck)")</f>
        <v>2.0 kN/m² (General Purpose)</v>
      </c>
      <c r="I106" t="str">
        <f t="shared" si="4"/>
        <v>Brick Guards</v>
      </c>
      <c r="J106" t="str">
        <f t="shared" si="5"/>
        <v>Positive Tying</v>
      </c>
      <c r="K106">
        <v>1334</v>
      </c>
      <c r="L106" t="str">
        <f t="shared" si="6"/>
        <v>Garage 135</v>
      </c>
      <c r="M106" t="str">
        <f t="shared" si="7"/>
        <v>External Scaffolding</v>
      </c>
      <c r="N106" t="str" cm="1">
        <f t="array" ref="N106">_xlfn.IFS(OR(G106="External Scaffolding",G106="Loading Tower", G106="Floor Propping"),"Tube and Fitting",G106="Birdcage","Birdcage", G106="Rhino Deck", "Rhino Deck", G106="Trad Deck", "Trad Deck")</f>
        <v>Tube and Fitting</v>
      </c>
      <c r="P106" t="s">
        <v>113</v>
      </c>
      <c r="Q106" t="str" cm="1">
        <f t="array" ref="Q106">_xlfn.IFS(M106="Loading Bay","15/OPT/1638-001",M106="Supporting Scaffold", "D/2020/23 rev.A",OR(M106&lt;&gt;"Loading Bay",M106&lt;&gt;"Supporting Scaffold"),"TG20:13 Scaffold")</f>
        <v>TG20:13 Scaffold</v>
      </c>
      <c r="T106" t="s">
        <v>114</v>
      </c>
    </row>
    <row r="107" spans="1:20" x14ac:dyDescent="0.25">
      <c r="A107" t="s">
        <v>316</v>
      </c>
      <c r="B107" t="s">
        <v>112</v>
      </c>
      <c r="C107" t="s">
        <v>141</v>
      </c>
      <c r="D107" t="s">
        <v>1</v>
      </c>
      <c r="E107" t="s">
        <v>79</v>
      </c>
      <c r="F107" t="s">
        <v>55</v>
      </c>
      <c r="G107" t="str" cm="1">
        <f t="array" ref="G107">_xlfn.IFS(D107="External Scaffolding","External Scaffolding",D107="Loading Bay","Loading Tower",D107="Scaffolding Platform","Birdcage", D107="Supporting Scaffold","Floor Propping")</f>
        <v>Loading Tower</v>
      </c>
      <c r="H107" s="1" t="str" cm="1">
        <f t="array" ref="H107">_xlfn.IFS(OR(G107="External Scaffolding",G107="Birdcage", G107="Trad Deck", G107="Floor Propping"),"2.0 kN/m² (General Purpose)",G107= "Loading Tower","10.0 kN/m² (Loading Bay)",G107="Rhino Deck","6.0 kN/m² (Rhino Deck)")</f>
        <v>10.0 kN/m² (Loading Bay)</v>
      </c>
      <c r="I107" t="str">
        <f t="shared" si="4"/>
        <v>Brick Guards</v>
      </c>
      <c r="J107" t="str">
        <f t="shared" si="5"/>
        <v>Positive Tying</v>
      </c>
      <c r="K107">
        <v>1334</v>
      </c>
      <c r="L107" t="str">
        <f t="shared" si="6"/>
        <v>Garage 135</v>
      </c>
      <c r="M107" t="str">
        <f t="shared" si="7"/>
        <v>Loading Bay</v>
      </c>
      <c r="N107" t="str" cm="1">
        <f t="array" ref="N107">_xlfn.IFS(OR(G107="External Scaffolding",G107="Loading Tower", G107="Floor Propping"),"Tube and Fitting",G107="Birdcage","Birdcage", G107="Rhino Deck", "Rhino Deck", G107="Trad Deck", "Trad Deck")</f>
        <v>Tube and Fitting</v>
      </c>
      <c r="P107" t="s">
        <v>113</v>
      </c>
      <c r="Q107" t="str" cm="1">
        <f t="array" ref="Q107">_xlfn.IFS(M107="Loading Bay","15/OPT/1638-001",M107="Supporting Scaffold", "D/2020/23 rev.A",OR(M107&lt;&gt;"Loading Bay",M107&lt;&gt;"Supporting Scaffold"),"TG20:13 Scaffold")</f>
        <v>15/OPT/1638-001</v>
      </c>
      <c r="T107" t="s">
        <v>114</v>
      </c>
    </row>
    <row r="108" spans="1:20" x14ac:dyDescent="0.25">
      <c r="A108" t="s">
        <v>317</v>
      </c>
      <c r="B108" t="s">
        <v>112</v>
      </c>
      <c r="C108" t="s">
        <v>141</v>
      </c>
      <c r="D108" t="s">
        <v>0</v>
      </c>
      <c r="E108" t="s">
        <v>79</v>
      </c>
      <c r="F108" t="s">
        <v>56</v>
      </c>
      <c r="G108" t="str" cm="1">
        <f t="array" ref="G108">_xlfn.IFS(D108="External Scaffolding","External Scaffolding",D108="Loading Bay","Loading Tower",D108="Scaffolding Platform","Birdcage", D108="Supporting Scaffold","Floor Propping")</f>
        <v>External Scaffolding</v>
      </c>
      <c r="H108" s="1" t="str" cm="1">
        <f t="array" ref="H108">_xlfn.IFS(OR(G108="External Scaffolding",G108="Birdcage", G108="Trad Deck", G108="Floor Propping"),"2.0 kN/m² (General Purpose)",G108= "Loading Tower","10.0 kN/m² (Loading Bay)",G108="Rhino Deck","6.0 kN/m² (Rhino Deck)")</f>
        <v>2.0 kN/m² (General Purpose)</v>
      </c>
      <c r="I108" t="str">
        <f t="shared" si="4"/>
        <v>Brick Guards</v>
      </c>
      <c r="J108" t="str">
        <f t="shared" si="5"/>
        <v>Positive Tying</v>
      </c>
      <c r="K108">
        <v>1334</v>
      </c>
      <c r="L108" t="str">
        <f t="shared" si="6"/>
        <v>Garage 136-137</v>
      </c>
      <c r="M108" t="str">
        <f t="shared" si="7"/>
        <v>External Scaffolding</v>
      </c>
      <c r="N108" t="str" cm="1">
        <f t="array" ref="N108">_xlfn.IFS(OR(G108="External Scaffolding",G108="Loading Tower", G108="Floor Propping"),"Tube and Fitting",G108="Birdcage","Birdcage", G108="Rhino Deck", "Rhino Deck", G108="Trad Deck", "Trad Deck")</f>
        <v>Tube and Fitting</v>
      </c>
      <c r="P108" t="s">
        <v>113</v>
      </c>
      <c r="Q108" t="str" cm="1">
        <f t="array" ref="Q108">_xlfn.IFS(M108="Loading Bay","15/OPT/1638-001",M108="Supporting Scaffold", "D/2020/23 rev.A",OR(M108&lt;&gt;"Loading Bay",M108&lt;&gt;"Supporting Scaffold"),"TG20:13 Scaffold")</f>
        <v>TG20:13 Scaffold</v>
      </c>
      <c r="T108" t="s">
        <v>114</v>
      </c>
    </row>
    <row r="109" spans="1:20" x14ac:dyDescent="0.25">
      <c r="A109" t="s">
        <v>318</v>
      </c>
      <c r="B109" t="s">
        <v>112</v>
      </c>
      <c r="C109" t="s">
        <v>141</v>
      </c>
      <c r="D109" t="s">
        <v>1</v>
      </c>
      <c r="E109" t="s">
        <v>79</v>
      </c>
      <c r="F109" t="s">
        <v>56</v>
      </c>
      <c r="G109" t="str" cm="1">
        <f t="array" ref="G109">_xlfn.IFS(D109="External Scaffolding","External Scaffolding",D109="Loading Bay","Loading Tower",D109="Scaffolding Platform","Birdcage", D109="Supporting Scaffold","Floor Propping")</f>
        <v>Loading Tower</v>
      </c>
      <c r="H109" s="1" t="str" cm="1">
        <f t="array" ref="H109">_xlfn.IFS(OR(G109="External Scaffolding",G109="Birdcage", G109="Trad Deck", G109="Floor Propping"),"2.0 kN/m² (General Purpose)",G109= "Loading Tower","10.0 kN/m² (Loading Bay)",G109="Rhino Deck","6.0 kN/m² (Rhino Deck)")</f>
        <v>10.0 kN/m² (Loading Bay)</v>
      </c>
      <c r="I109" t="str">
        <f t="shared" si="4"/>
        <v>Brick Guards</v>
      </c>
      <c r="J109" t="str">
        <f t="shared" si="5"/>
        <v>Positive Tying</v>
      </c>
      <c r="K109">
        <v>1334</v>
      </c>
      <c r="L109" t="str">
        <f t="shared" si="6"/>
        <v>Garage 136-137</v>
      </c>
      <c r="M109" t="str">
        <f t="shared" si="7"/>
        <v>Loading Bay</v>
      </c>
      <c r="N109" t="str" cm="1">
        <f t="array" ref="N109">_xlfn.IFS(OR(G109="External Scaffolding",G109="Loading Tower", G109="Floor Propping"),"Tube and Fitting",G109="Birdcage","Birdcage", G109="Rhino Deck", "Rhino Deck", G109="Trad Deck", "Trad Deck")</f>
        <v>Tube and Fitting</v>
      </c>
      <c r="P109" t="s">
        <v>113</v>
      </c>
      <c r="Q109" t="str" cm="1">
        <f t="array" ref="Q109">_xlfn.IFS(M109="Loading Bay","15/OPT/1638-001",M109="Supporting Scaffold", "D/2020/23 rev.A",OR(M109&lt;&gt;"Loading Bay",M109&lt;&gt;"Supporting Scaffold"),"TG20:13 Scaffold")</f>
        <v>15/OPT/1638-001</v>
      </c>
      <c r="T109" t="s">
        <v>114</v>
      </c>
    </row>
    <row r="110" spans="1:20" x14ac:dyDescent="0.25">
      <c r="A110" t="s">
        <v>319</v>
      </c>
      <c r="B110" t="s">
        <v>112</v>
      </c>
      <c r="C110" t="s">
        <v>141</v>
      </c>
      <c r="D110" t="s">
        <v>0</v>
      </c>
      <c r="E110" t="s">
        <v>79</v>
      </c>
      <c r="F110" t="s">
        <v>57</v>
      </c>
      <c r="G110" t="str" cm="1">
        <f t="array" ref="G110">_xlfn.IFS(D110="External Scaffolding","External Scaffolding",D110="Loading Bay","Loading Tower",D110="Scaffolding Platform","Birdcage", D110="Supporting Scaffold","Floor Propping")</f>
        <v>External Scaffolding</v>
      </c>
      <c r="H110" s="1" t="str" cm="1">
        <f t="array" ref="H110">_xlfn.IFS(OR(G110="External Scaffolding",G110="Birdcage", G110="Trad Deck", G110="Floor Propping"),"2.0 kN/m² (General Purpose)",G110= "Loading Tower","10.0 kN/m² (Loading Bay)",G110="Rhino Deck","6.0 kN/m² (Rhino Deck)")</f>
        <v>2.0 kN/m² (General Purpose)</v>
      </c>
      <c r="I110" t="str">
        <f t="shared" si="4"/>
        <v>Brick Guards</v>
      </c>
      <c r="J110" t="str">
        <f t="shared" si="5"/>
        <v>Positive Tying</v>
      </c>
      <c r="K110">
        <v>1334</v>
      </c>
      <c r="L110" t="str">
        <f t="shared" si="6"/>
        <v>Garage 138</v>
      </c>
      <c r="M110" t="str">
        <f t="shared" si="7"/>
        <v>External Scaffolding</v>
      </c>
      <c r="N110" t="str" cm="1">
        <f t="array" ref="N110">_xlfn.IFS(OR(G110="External Scaffolding",G110="Loading Tower", G110="Floor Propping"),"Tube and Fitting",G110="Birdcage","Birdcage", G110="Rhino Deck", "Rhino Deck", G110="Trad Deck", "Trad Deck")</f>
        <v>Tube and Fitting</v>
      </c>
      <c r="P110" t="s">
        <v>113</v>
      </c>
      <c r="Q110" t="str" cm="1">
        <f t="array" ref="Q110">_xlfn.IFS(M110="Loading Bay","15/OPT/1638-001",M110="Supporting Scaffold", "D/2020/23 rev.A",OR(M110&lt;&gt;"Loading Bay",M110&lt;&gt;"Supporting Scaffold"),"TG20:13 Scaffold")</f>
        <v>TG20:13 Scaffold</v>
      </c>
      <c r="T110" t="s">
        <v>114</v>
      </c>
    </row>
    <row r="111" spans="1:20" x14ac:dyDescent="0.25">
      <c r="A111" t="s">
        <v>320</v>
      </c>
      <c r="B111" t="s">
        <v>112</v>
      </c>
      <c r="C111" t="s">
        <v>141</v>
      </c>
      <c r="D111" t="s">
        <v>1</v>
      </c>
      <c r="E111" t="s">
        <v>79</v>
      </c>
      <c r="F111" t="s">
        <v>57</v>
      </c>
      <c r="G111" t="str" cm="1">
        <f t="array" ref="G111">_xlfn.IFS(D111="External Scaffolding","External Scaffolding",D111="Loading Bay","Loading Tower",D111="Scaffolding Platform","Birdcage", D111="Supporting Scaffold","Floor Propping")</f>
        <v>Loading Tower</v>
      </c>
      <c r="H111" s="1" t="str" cm="1">
        <f t="array" ref="H111">_xlfn.IFS(OR(G111="External Scaffolding",G111="Birdcage", G111="Trad Deck", G111="Floor Propping"),"2.0 kN/m² (General Purpose)",G111= "Loading Tower","10.0 kN/m² (Loading Bay)",G111="Rhino Deck","6.0 kN/m² (Rhino Deck)")</f>
        <v>10.0 kN/m² (Loading Bay)</v>
      </c>
      <c r="I111" t="str">
        <f t="shared" si="4"/>
        <v>Brick Guards</v>
      </c>
      <c r="J111" t="str">
        <f t="shared" si="5"/>
        <v>Positive Tying</v>
      </c>
      <c r="K111">
        <v>1334</v>
      </c>
      <c r="L111" t="str">
        <f t="shared" si="6"/>
        <v>Garage 138</v>
      </c>
      <c r="M111" t="str">
        <f t="shared" si="7"/>
        <v>Loading Bay</v>
      </c>
      <c r="N111" t="str" cm="1">
        <f t="array" ref="N111">_xlfn.IFS(OR(G111="External Scaffolding",G111="Loading Tower", G111="Floor Propping"),"Tube and Fitting",G111="Birdcage","Birdcage", G111="Rhino Deck", "Rhino Deck", G111="Trad Deck", "Trad Deck")</f>
        <v>Tube and Fitting</v>
      </c>
      <c r="P111" t="s">
        <v>113</v>
      </c>
      <c r="Q111" t="str" cm="1">
        <f t="array" ref="Q111">_xlfn.IFS(M111="Loading Bay","15/OPT/1638-001",M111="Supporting Scaffold", "D/2020/23 rev.A",OR(M111&lt;&gt;"Loading Bay",M111&lt;&gt;"Supporting Scaffold"),"TG20:13 Scaffold")</f>
        <v>15/OPT/1638-001</v>
      </c>
      <c r="T111" t="s">
        <v>114</v>
      </c>
    </row>
    <row r="112" spans="1:20" x14ac:dyDescent="0.25">
      <c r="A112" t="s">
        <v>321</v>
      </c>
      <c r="B112" t="s">
        <v>112</v>
      </c>
      <c r="C112" t="s">
        <v>141</v>
      </c>
      <c r="D112" t="s">
        <v>0</v>
      </c>
      <c r="E112" t="s">
        <v>79</v>
      </c>
      <c r="F112" t="s">
        <v>58</v>
      </c>
      <c r="G112" t="str" cm="1">
        <f t="array" ref="G112">_xlfn.IFS(D112="External Scaffolding","External Scaffolding",D112="Loading Bay","Loading Tower",D112="Scaffolding Platform","Birdcage", D112="Supporting Scaffold","Floor Propping")</f>
        <v>External Scaffolding</v>
      </c>
      <c r="H112" s="1" t="str" cm="1">
        <f t="array" ref="H112">_xlfn.IFS(OR(G112="External Scaffolding",G112="Birdcage", G112="Trad Deck", G112="Floor Propping"),"2.0 kN/m² (General Purpose)",G112= "Loading Tower","10.0 kN/m² (Loading Bay)",G112="Rhino Deck","6.0 kN/m² (Rhino Deck)")</f>
        <v>2.0 kN/m² (General Purpose)</v>
      </c>
      <c r="I112" t="str">
        <f t="shared" si="4"/>
        <v>Brick Guards</v>
      </c>
      <c r="J112" t="str">
        <f t="shared" si="5"/>
        <v>Positive Tying</v>
      </c>
      <c r="K112">
        <v>1334</v>
      </c>
      <c r="L112" t="str">
        <f t="shared" si="6"/>
        <v>Garage 141</v>
      </c>
      <c r="M112" t="str">
        <f t="shared" si="7"/>
        <v>External Scaffolding</v>
      </c>
      <c r="N112" t="str" cm="1">
        <f t="array" ref="N112">_xlfn.IFS(OR(G112="External Scaffolding",G112="Loading Tower", G112="Floor Propping"),"Tube and Fitting",G112="Birdcage","Birdcage", G112="Rhino Deck", "Rhino Deck", G112="Trad Deck", "Trad Deck")</f>
        <v>Tube and Fitting</v>
      </c>
      <c r="P112" t="s">
        <v>113</v>
      </c>
      <c r="Q112" t="str" cm="1">
        <f t="array" ref="Q112">_xlfn.IFS(M112="Loading Bay","15/OPT/1638-001",M112="Supporting Scaffold", "D/2020/23 rev.A",OR(M112&lt;&gt;"Loading Bay",M112&lt;&gt;"Supporting Scaffold"),"TG20:13 Scaffold")</f>
        <v>TG20:13 Scaffold</v>
      </c>
      <c r="T112" t="s">
        <v>114</v>
      </c>
    </row>
    <row r="113" spans="1:20" x14ac:dyDescent="0.25">
      <c r="A113" t="s">
        <v>322</v>
      </c>
      <c r="B113" t="s">
        <v>112</v>
      </c>
      <c r="C113" t="s">
        <v>141</v>
      </c>
      <c r="D113" t="s">
        <v>1</v>
      </c>
      <c r="E113" t="s">
        <v>79</v>
      </c>
      <c r="F113" t="s">
        <v>58</v>
      </c>
      <c r="G113" t="str" cm="1">
        <f t="array" ref="G113">_xlfn.IFS(D113="External Scaffolding","External Scaffolding",D113="Loading Bay","Loading Tower",D113="Scaffolding Platform","Birdcage", D113="Supporting Scaffold","Floor Propping")</f>
        <v>Loading Tower</v>
      </c>
      <c r="H113" s="1" t="str" cm="1">
        <f t="array" ref="H113">_xlfn.IFS(OR(G113="External Scaffolding",G113="Birdcage", G113="Trad Deck", G113="Floor Propping"),"2.0 kN/m² (General Purpose)",G113= "Loading Tower","10.0 kN/m² (Loading Bay)",G113="Rhino Deck","6.0 kN/m² (Rhino Deck)")</f>
        <v>10.0 kN/m² (Loading Bay)</v>
      </c>
      <c r="I113" t="str">
        <f t="shared" si="4"/>
        <v>Brick Guards</v>
      </c>
      <c r="J113" t="str">
        <f t="shared" si="5"/>
        <v>Positive Tying</v>
      </c>
      <c r="K113">
        <v>1334</v>
      </c>
      <c r="L113" t="str">
        <f t="shared" si="6"/>
        <v>Garage 141</v>
      </c>
      <c r="M113" t="str">
        <f t="shared" si="7"/>
        <v>Loading Bay</v>
      </c>
      <c r="N113" t="str" cm="1">
        <f t="array" ref="N113">_xlfn.IFS(OR(G113="External Scaffolding",G113="Loading Tower", G113="Floor Propping"),"Tube and Fitting",G113="Birdcage","Birdcage", G113="Rhino Deck", "Rhino Deck", G113="Trad Deck", "Trad Deck")</f>
        <v>Tube and Fitting</v>
      </c>
      <c r="P113" t="s">
        <v>113</v>
      </c>
      <c r="Q113" t="str" cm="1">
        <f t="array" ref="Q113">_xlfn.IFS(M113="Loading Bay","15/OPT/1638-001",M113="Supporting Scaffold", "D/2020/23 rev.A",OR(M113&lt;&gt;"Loading Bay",M113&lt;&gt;"Supporting Scaffold"),"TG20:13 Scaffold")</f>
        <v>15/OPT/1638-001</v>
      </c>
      <c r="T113" t="s">
        <v>114</v>
      </c>
    </row>
    <row r="114" spans="1:20" x14ac:dyDescent="0.25">
      <c r="A114" t="s">
        <v>323</v>
      </c>
      <c r="B114" t="s">
        <v>112</v>
      </c>
      <c r="C114" t="s">
        <v>141</v>
      </c>
      <c r="D114" t="s">
        <v>0</v>
      </c>
      <c r="E114" t="s">
        <v>79</v>
      </c>
      <c r="F114" t="s">
        <v>59</v>
      </c>
      <c r="G114" t="str" cm="1">
        <f t="array" ref="G114">_xlfn.IFS(D114="External Scaffolding","External Scaffolding",D114="Loading Bay","Loading Tower",D114="Scaffolding Platform","Birdcage", D114="Supporting Scaffold","Floor Propping")</f>
        <v>External Scaffolding</v>
      </c>
      <c r="H114" s="1" t="str" cm="1">
        <f t="array" ref="H114">_xlfn.IFS(OR(G114="External Scaffolding",G114="Birdcage", G114="Trad Deck", G114="Floor Propping"),"2.0 kN/m² (General Purpose)",G114= "Loading Tower","10.0 kN/m² (Loading Bay)",G114="Rhino Deck","6.0 kN/m² (Rhino Deck)")</f>
        <v>2.0 kN/m² (General Purpose)</v>
      </c>
      <c r="I114" t="str">
        <f t="shared" si="4"/>
        <v>Brick Guards</v>
      </c>
      <c r="J114" t="str">
        <f t="shared" si="5"/>
        <v>Positive Tying</v>
      </c>
      <c r="K114">
        <v>1334</v>
      </c>
      <c r="L114" t="str">
        <f t="shared" si="6"/>
        <v>Garage 142-143</v>
      </c>
      <c r="M114" t="str">
        <f t="shared" si="7"/>
        <v>External Scaffolding</v>
      </c>
      <c r="N114" t="str" cm="1">
        <f t="array" ref="N114">_xlfn.IFS(OR(G114="External Scaffolding",G114="Loading Tower", G114="Floor Propping"),"Tube and Fitting",G114="Birdcage","Birdcage", G114="Rhino Deck", "Rhino Deck", G114="Trad Deck", "Trad Deck")</f>
        <v>Tube and Fitting</v>
      </c>
      <c r="P114" t="s">
        <v>113</v>
      </c>
      <c r="Q114" t="str" cm="1">
        <f t="array" ref="Q114">_xlfn.IFS(M114="Loading Bay","15/OPT/1638-001",M114="Supporting Scaffold", "D/2020/23 rev.A",OR(M114&lt;&gt;"Loading Bay",M114&lt;&gt;"Supporting Scaffold"),"TG20:13 Scaffold")</f>
        <v>TG20:13 Scaffold</v>
      </c>
      <c r="T114" t="s">
        <v>114</v>
      </c>
    </row>
    <row r="115" spans="1:20" x14ac:dyDescent="0.25">
      <c r="A115" t="s">
        <v>324</v>
      </c>
      <c r="B115" t="s">
        <v>112</v>
      </c>
      <c r="C115" t="s">
        <v>141</v>
      </c>
      <c r="D115" t="s">
        <v>1</v>
      </c>
      <c r="E115" t="s">
        <v>79</v>
      </c>
      <c r="F115" t="s">
        <v>59</v>
      </c>
      <c r="G115" t="str" cm="1">
        <f t="array" ref="G115">_xlfn.IFS(D115="External Scaffolding","External Scaffolding",D115="Loading Bay","Loading Tower",D115="Scaffolding Platform","Birdcage", D115="Supporting Scaffold","Floor Propping")</f>
        <v>Loading Tower</v>
      </c>
      <c r="H115" s="1" t="str" cm="1">
        <f t="array" ref="H115">_xlfn.IFS(OR(G115="External Scaffolding",G115="Birdcage", G115="Trad Deck", G115="Floor Propping"),"2.0 kN/m² (General Purpose)",G115= "Loading Tower","10.0 kN/m² (Loading Bay)",G115="Rhino Deck","6.0 kN/m² (Rhino Deck)")</f>
        <v>10.0 kN/m² (Loading Bay)</v>
      </c>
      <c r="I115" t="str">
        <f t="shared" si="4"/>
        <v>Brick Guards</v>
      </c>
      <c r="J115" t="str">
        <f t="shared" si="5"/>
        <v>Positive Tying</v>
      </c>
      <c r="K115">
        <v>1334</v>
      </c>
      <c r="L115" t="str">
        <f t="shared" si="6"/>
        <v>Garage 142-143</v>
      </c>
      <c r="M115" t="str">
        <f t="shared" si="7"/>
        <v>Loading Bay</v>
      </c>
      <c r="N115" t="str" cm="1">
        <f t="array" ref="N115">_xlfn.IFS(OR(G115="External Scaffolding",G115="Loading Tower", G115="Floor Propping"),"Tube and Fitting",G115="Birdcage","Birdcage", G115="Rhino Deck", "Rhino Deck", G115="Trad Deck", "Trad Deck")</f>
        <v>Tube and Fitting</v>
      </c>
      <c r="P115" t="s">
        <v>113</v>
      </c>
      <c r="Q115" t="str" cm="1">
        <f t="array" ref="Q115">_xlfn.IFS(M115="Loading Bay","15/OPT/1638-001",M115="Supporting Scaffold", "D/2020/23 rev.A",OR(M115&lt;&gt;"Loading Bay",M115&lt;&gt;"Supporting Scaffold"),"TG20:13 Scaffold")</f>
        <v>15/OPT/1638-001</v>
      </c>
      <c r="T115" t="s">
        <v>114</v>
      </c>
    </row>
    <row r="116" spans="1:20" x14ac:dyDescent="0.25">
      <c r="A116" t="s">
        <v>325</v>
      </c>
      <c r="B116" t="s">
        <v>112</v>
      </c>
      <c r="C116" t="s">
        <v>141</v>
      </c>
      <c r="D116" t="s">
        <v>0</v>
      </c>
      <c r="E116" t="s">
        <v>79</v>
      </c>
      <c r="F116" t="s">
        <v>60</v>
      </c>
      <c r="G116" t="str" cm="1">
        <f t="array" ref="G116">_xlfn.IFS(D116="External Scaffolding","External Scaffolding",D116="Loading Bay","Loading Tower",D116="Scaffolding Platform","Birdcage", D116="Supporting Scaffold","Floor Propping")</f>
        <v>External Scaffolding</v>
      </c>
      <c r="H116" s="1" t="str" cm="1">
        <f t="array" ref="H116">_xlfn.IFS(OR(G116="External Scaffolding",G116="Birdcage", G116="Trad Deck", G116="Floor Propping"),"2.0 kN/m² (General Purpose)",G116= "Loading Tower","10.0 kN/m² (Loading Bay)",G116="Rhino Deck","6.0 kN/m² (Rhino Deck)")</f>
        <v>2.0 kN/m² (General Purpose)</v>
      </c>
      <c r="I116" t="str">
        <f t="shared" si="4"/>
        <v>Brick Guards</v>
      </c>
      <c r="J116" t="str">
        <f t="shared" si="5"/>
        <v>Positive Tying</v>
      </c>
      <c r="K116">
        <v>1334</v>
      </c>
      <c r="L116" t="str">
        <f t="shared" si="6"/>
        <v>Garage 144</v>
      </c>
      <c r="M116" t="str">
        <f t="shared" si="7"/>
        <v>External Scaffolding</v>
      </c>
      <c r="N116" t="str" cm="1">
        <f t="array" ref="N116">_xlfn.IFS(OR(G116="External Scaffolding",G116="Loading Tower", G116="Floor Propping"),"Tube and Fitting",G116="Birdcage","Birdcage", G116="Rhino Deck", "Rhino Deck", G116="Trad Deck", "Trad Deck")</f>
        <v>Tube and Fitting</v>
      </c>
      <c r="P116" t="s">
        <v>113</v>
      </c>
      <c r="Q116" t="str" cm="1">
        <f t="array" ref="Q116">_xlfn.IFS(M116="Loading Bay","15/OPT/1638-001",M116="Supporting Scaffold", "D/2020/23 rev.A",OR(M116&lt;&gt;"Loading Bay",M116&lt;&gt;"Supporting Scaffold"),"TG20:13 Scaffold")</f>
        <v>TG20:13 Scaffold</v>
      </c>
      <c r="T116" t="s">
        <v>114</v>
      </c>
    </row>
    <row r="117" spans="1:20" x14ac:dyDescent="0.25">
      <c r="A117" t="s">
        <v>326</v>
      </c>
      <c r="B117" t="s">
        <v>112</v>
      </c>
      <c r="C117" t="s">
        <v>141</v>
      </c>
      <c r="D117" t="s">
        <v>1</v>
      </c>
      <c r="E117" t="s">
        <v>79</v>
      </c>
      <c r="F117" t="s">
        <v>60</v>
      </c>
      <c r="G117" t="str" cm="1">
        <f t="array" ref="G117">_xlfn.IFS(D117="External Scaffolding","External Scaffolding",D117="Loading Bay","Loading Tower",D117="Scaffolding Platform","Birdcage", D117="Supporting Scaffold","Floor Propping")</f>
        <v>Loading Tower</v>
      </c>
      <c r="H117" s="1" t="str" cm="1">
        <f t="array" ref="H117">_xlfn.IFS(OR(G117="External Scaffolding",G117="Birdcage", G117="Trad Deck", G117="Floor Propping"),"2.0 kN/m² (General Purpose)",G117= "Loading Tower","10.0 kN/m² (Loading Bay)",G117="Rhino Deck","6.0 kN/m² (Rhino Deck)")</f>
        <v>10.0 kN/m² (Loading Bay)</v>
      </c>
      <c r="I117" t="str">
        <f t="shared" si="4"/>
        <v>Brick Guards</v>
      </c>
      <c r="J117" t="str">
        <f t="shared" si="5"/>
        <v>Positive Tying</v>
      </c>
      <c r="K117">
        <v>1334</v>
      </c>
      <c r="L117" t="str">
        <f t="shared" si="6"/>
        <v>Garage 144</v>
      </c>
      <c r="M117" t="str">
        <f t="shared" si="7"/>
        <v>Loading Bay</v>
      </c>
      <c r="N117" t="str" cm="1">
        <f t="array" ref="N117">_xlfn.IFS(OR(G117="External Scaffolding",G117="Loading Tower", G117="Floor Propping"),"Tube and Fitting",G117="Birdcage","Birdcage", G117="Rhino Deck", "Rhino Deck", G117="Trad Deck", "Trad Deck")</f>
        <v>Tube and Fitting</v>
      </c>
      <c r="P117" t="s">
        <v>113</v>
      </c>
      <c r="Q117" t="str" cm="1">
        <f t="array" ref="Q117">_xlfn.IFS(M117="Loading Bay","15/OPT/1638-001",M117="Supporting Scaffold", "D/2020/23 rev.A",OR(M117&lt;&gt;"Loading Bay",M117&lt;&gt;"Supporting Scaffold"),"TG20:13 Scaffold")</f>
        <v>15/OPT/1638-001</v>
      </c>
      <c r="T117" t="s">
        <v>114</v>
      </c>
    </row>
    <row r="118" spans="1:20" x14ac:dyDescent="0.25">
      <c r="A118" t="s">
        <v>327</v>
      </c>
      <c r="B118" t="s">
        <v>112</v>
      </c>
      <c r="C118" t="s">
        <v>141</v>
      </c>
      <c r="D118" t="s">
        <v>0</v>
      </c>
      <c r="E118" t="s">
        <v>79</v>
      </c>
      <c r="F118" t="s">
        <v>61</v>
      </c>
      <c r="G118" t="str" cm="1">
        <f t="array" ref="G118">_xlfn.IFS(D118="External Scaffolding","External Scaffolding",D118="Loading Bay","Loading Tower",D118="Scaffolding Platform","Birdcage", D118="Supporting Scaffold","Floor Propping")</f>
        <v>External Scaffolding</v>
      </c>
      <c r="H118" s="1" t="str" cm="1">
        <f t="array" ref="H118">_xlfn.IFS(OR(G118="External Scaffolding",G118="Birdcage", G118="Trad Deck", G118="Floor Propping"),"2.0 kN/m² (General Purpose)",G118= "Loading Tower","10.0 kN/m² (Loading Bay)",G118="Rhino Deck","6.0 kN/m² (Rhino Deck)")</f>
        <v>2.0 kN/m² (General Purpose)</v>
      </c>
      <c r="I118" t="str">
        <f t="shared" si="4"/>
        <v>Brick Guards</v>
      </c>
      <c r="J118" t="str">
        <f t="shared" si="5"/>
        <v>Positive Tying</v>
      </c>
      <c r="K118">
        <v>1334</v>
      </c>
      <c r="L118" t="str">
        <f t="shared" si="6"/>
        <v>Garage 145-146</v>
      </c>
      <c r="M118" t="str">
        <f t="shared" si="7"/>
        <v>External Scaffolding</v>
      </c>
      <c r="N118" t="str" cm="1">
        <f t="array" ref="N118">_xlfn.IFS(OR(G118="External Scaffolding",G118="Loading Tower", G118="Floor Propping"),"Tube and Fitting",G118="Birdcage","Birdcage", G118="Rhino Deck", "Rhino Deck", G118="Trad Deck", "Trad Deck")</f>
        <v>Tube and Fitting</v>
      </c>
      <c r="P118" t="s">
        <v>113</v>
      </c>
      <c r="Q118" t="str" cm="1">
        <f t="array" ref="Q118">_xlfn.IFS(M118="Loading Bay","15/OPT/1638-001",M118="Supporting Scaffold", "D/2020/23 rev.A",OR(M118&lt;&gt;"Loading Bay",M118&lt;&gt;"Supporting Scaffold"),"TG20:13 Scaffold")</f>
        <v>TG20:13 Scaffold</v>
      </c>
      <c r="T118" t="s">
        <v>114</v>
      </c>
    </row>
    <row r="119" spans="1:20" x14ac:dyDescent="0.25">
      <c r="A119" t="s">
        <v>328</v>
      </c>
      <c r="B119" t="s">
        <v>112</v>
      </c>
      <c r="C119" t="s">
        <v>141</v>
      </c>
      <c r="D119" t="s">
        <v>1</v>
      </c>
      <c r="E119" t="s">
        <v>79</v>
      </c>
      <c r="F119" t="s">
        <v>61</v>
      </c>
      <c r="G119" t="str" cm="1">
        <f t="array" ref="G119">_xlfn.IFS(D119="External Scaffolding","External Scaffolding",D119="Loading Bay","Loading Tower",D119="Scaffolding Platform","Birdcage", D119="Supporting Scaffold","Floor Propping")</f>
        <v>Loading Tower</v>
      </c>
      <c r="H119" s="1" t="str" cm="1">
        <f t="array" ref="H119">_xlfn.IFS(OR(G119="External Scaffolding",G119="Birdcage", G119="Trad Deck", G119="Floor Propping"),"2.0 kN/m² (General Purpose)",G119= "Loading Tower","10.0 kN/m² (Loading Bay)",G119="Rhino Deck","6.0 kN/m² (Rhino Deck)")</f>
        <v>10.0 kN/m² (Loading Bay)</v>
      </c>
      <c r="I119" t="str">
        <f t="shared" si="4"/>
        <v>Brick Guards</v>
      </c>
      <c r="J119" t="str">
        <f t="shared" si="5"/>
        <v>Positive Tying</v>
      </c>
      <c r="K119">
        <v>1334</v>
      </c>
      <c r="L119" t="str">
        <f t="shared" si="6"/>
        <v>Garage 145-146</v>
      </c>
      <c r="M119" t="str">
        <f t="shared" si="7"/>
        <v>Loading Bay</v>
      </c>
      <c r="N119" t="str" cm="1">
        <f t="array" ref="N119">_xlfn.IFS(OR(G119="External Scaffolding",G119="Loading Tower", G119="Floor Propping"),"Tube and Fitting",G119="Birdcage","Birdcage", G119="Rhino Deck", "Rhino Deck", G119="Trad Deck", "Trad Deck")</f>
        <v>Tube and Fitting</v>
      </c>
      <c r="P119" t="s">
        <v>113</v>
      </c>
      <c r="Q119" t="str" cm="1">
        <f t="array" ref="Q119">_xlfn.IFS(M119="Loading Bay","15/OPT/1638-001",M119="Supporting Scaffold", "D/2020/23 rev.A",OR(M119&lt;&gt;"Loading Bay",M119&lt;&gt;"Supporting Scaffold"),"TG20:13 Scaffold")</f>
        <v>15/OPT/1638-001</v>
      </c>
      <c r="T119" t="s">
        <v>114</v>
      </c>
    </row>
    <row r="120" spans="1:20" x14ac:dyDescent="0.25">
      <c r="A120" t="s">
        <v>329</v>
      </c>
      <c r="B120" t="s">
        <v>112</v>
      </c>
      <c r="C120" t="s">
        <v>141</v>
      </c>
      <c r="D120" t="s">
        <v>0</v>
      </c>
      <c r="E120" t="s">
        <v>79</v>
      </c>
      <c r="F120" t="s">
        <v>62</v>
      </c>
      <c r="G120" t="str" cm="1">
        <f t="array" ref="G120">_xlfn.IFS(D120="External Scaffolding","External Scaffolding",D120="Loading Bay","Loading Tower",D120="Scaffolding Platform","Birdcage", D120="Supporting Scaffold","Floor Propping")</f>
        <v>External Scaffolding</v>
      </c>
      <c r="H120" s="1" t="str" cm="1">
        <f t="array" ref="H120">_xlfn.IFS(OR(G120="External Scaffolding",G120="Birdcage", G120="Trad Deck", G120="Floor Propping"),"2.0 kN/m² (General Purpose)",G120= "Loading Tower","10.0 kN/m² (Loading Bay)",G120="Rhino Deck","6.0 kN/m² (Rhino Deck)")</f>
        <v>2.0 kN/m² (General Purpose)</v>
      </c>
      <c r="I120" t="str">
        <f t="shared" si="4"/>
        <v>Brick Guards</v>
      </c>
      <c r="J120" t="str">
        <f t="shared" si="5"/>
        <v>Positive Tying</v>
      </c>
      <c r="K120">
        <v>1334</v>
      </c>
      <c r="L120" t="str">
        <f t="shared" si="6"/>
        <v>Garage 147</v>
      </c>
      <c r="M120" t="str">
        <f t="shared" si="7"/>
        <v>External Scaffolding</v>
      </c>
      <c r="N120" t="str" cm="1">
        <f t="array" ref="N120">_xlfn.IFS(OR(G120="External Scaffolding",G120="Loading Tower", G120="Floor Propping"),"Tube and Fitting",G120="Birdcage","Birdcage", G120="Rhino Deck", "Rhino Deck", G120="Trad Deck", "Trad Deck")</f>
        <v>Tube and Fitting</v>
      </c>
      <c r="P120" t="s">
        <v>113</v>
      </c>
      <c r="Q120" t="str" cm="1">
        <f t="array" ref="Q120">_xlfn.IFS(M120="Loading Bay","15/OPT/1638-001",M120="Supporting Scaffold", "D/2020/23 rev.A",OR(M120&lt;&gt;"Loading Bay",M120&lt;&gt;"Supporting Scaffold"),"TG20:13 Scaffold")</f>
        <v>TG20:13 Scaffold</v>
      </c>
      <c r="T120" t="s">
        <v>114</v>
      </c>
    </row>
    <row r="121" spans="1:20" x14ac:dyDescent="0.25">
      <c r="A121" t="s">
        <v>330</v>
      </c>
      <c r="B121" t="s">
        <v>112</v>
      </c>
      <c r="C121" t="s">
        <v>141</v>
      </c>
      <c r="D121" t="s">
        <v>1</v>
      </c>
      <c r="E121" t="s">
        <v>79</v>
      </c>
      <c r="F121" t="s">
        <v>62</v>
      </c>
      <c r="G121" t="str" cm="1">
        <f t="array" ref="G121">_xlfn.IFS(D121="External Scaffolding","External Scaffolding",D121="Loading Bay","Loading Tower",D121="Scaffolding Platform","Birdcage", D121="Supporting Scaffold","Floor Propping")</f>
        <v>Loading Tower</v>
      </c>
      <c r="H121" s="1" t="str" cm="1">
        <f t="array" ref="H121">_xlfn.IFS(OR(G121="External Scaffolding",G121="Birdcage", G121="Trad Deck", G121="Floor Propping"),"2.0 kN/m² (General Purpose)",G121= "Loading Tower","10.0 kN/m² (Loading Bay)",G121="Rhino Deck","6.0 kN/m² (Rhino Deck)")</f>
        <v>10.0 kN/m² (Loading Bay)</v>
      </c>
      <c r="I121" t="str">
        <f t="shared" si="4"/>
        <v>Brick Guards</v>
      </c>
      <c r="J121" t="str">
        <f t="shared" si="5"/>
        <v>Positive Tying</v>
      </c>
      <c r="K121">
        <v>1334</v>
      </c>
      <c r="L121" t="str">
        <f t="shared" si="6"/>
        <v>Garage 147</v>
      </c>
      <c r="M121" t="str">
        <f t="shared" si="7"/>
        <v>Loading Bay</v>
      </c>
      <c r="N121" t="str" cm="1">
        <f t="array" ref="N121">_xlfn.IFS(OR(G121="External Scaffolding",G121="Loading Tower", G121="Floor Propping"),"Tube and Fitting",G121="Birdcage","Birdcage", G121="Rhino Deck", "Rhino Deck", G121="Trad Deck", "Trad Deck")</f>
        <v>Tube and Fitting</v>
      </c>
      <c r="P121" t="s">
        <v>113</v>
      </c>
      <c r="Q121" t="str" cm="1">
        <f t="array" ref="Q121">_xlfn.IFS(M121="Loading Bay","15/OPT/1638-001",M121="Supporting Scaffold", "D/2020/23 rev.A",OR(M121&lt;&gt;"Loading Bay",M121&lt;&gt;"Supporting Scaffold"),"TG20:13 Scaffold")</f>
        <v>15/OPT/1638-001</v>
      </c>
      <c r="T121" t="s">
        <v>114</v>
      </c>
    </row>
    <row r="122" spans="1:20" x14ac:dyDescent="0.25">
      <c r="A122" t="s">
        <v>331</v>
      </c>
      <c r="B122" t="s">
        <v>112</v>
      </c>
      <c r="C122" t="s">
        <v>141</v>
      </c>
      <c r="D122" t="s">
        <v>0</v>
      </c>
      <c r="E122" t="s">
        <v>79</v>
      </c>
      <c r="F122" t="s">
        <v>63</v>
      </c>
      <c r="G122" t="str" cm="1">
        <f t="array" ref="G122">_xlfn.IFS(D122="External Scaffolding","External Scaffolding",D122="Loading Bay","Loading Tower",D122="Scaffolding Platform","Birdcage", D122="Supporting Scaffold","Floor Propping")</f>
        <v>External Scaffolding</v>
      </c>
      <c r="H122" s="1" t="str" cm="1">
        <f t="array" ref="H122">_xlfn.IFS(OR(G122="External Scaffolding",G122="Birdcage", G122="Trad Deck", G122="Floor Propping"),"2.0 kN/m² (General Purpose)",G122= "Loading Tower","10.0 kN/m² (Loading Bay)",G122="Rhino Deck","6.0 kN/m² (Rhino Deck)")</f>
        <v>2.0 kN/m² (General Purpose)</v>
      </c>
      <c r="I122" t="str">
        <f t="shared" si="4"/>
        <v>Brick Guards</v>
      </c>
      <c r="J122" t="str">
        <f t="shared" si="5"/>
        <v>Positive Tying</v>
      </c>
      <c r="K122">
        <v>1334</v>
      </c>
      <c r="L122" t="str">
        <f t="shared" si="6"/>
        <v>Garage 150</v>
      </c>
      <c r="M122" t="str">
        <f t="shared" si="7"/>
        <v>External Scaffolding</v>
      </c>
      <c r="N122" t="str" cm="1">
        <f t="array" ref="N122">_xlfn.IFS(OR(G122="External Scaffolding",G122="Loading Tower", G122="Floor Propping"),"Tube and Fitting",G122="Birdcage","Birdcage", G122="Rhino Deck", "Rhino Deck", G122="Trad Deck", "Trad Deck")</f>
        <v>Tube and Fitting</v>
      </c>
      <c r="P122" t="s">
        <v>113</v>
      </c>
      <c r="Q122" t="str" cm="1">
        <f t="array" ref="Q122">_xlfn.IFS(M122="Loading Bay","15/OPT/1638-001",M122="Supporting Scaffold", "D/2020/23 rev.A",OR(M122&lt;&gt;"Loading Bay",M122&lt;&gt;"Supporting Scaffold"),"TG20:13 Scaffold")</f>
        <v>TG20:13 Scaffold</v>
      </c>
      <c r="T122" t="s">
        <v>114</v>
      </c>
    </row>
    <row r="123" spans="1:20" x14ac:dyDescent="0.25">
      <c r="A123" t="s">
        <v>332</v>
      </c>
      <c r="B123" t="s">
        <v>112</v>
      </c>
      <c r="C123" t="s">
        <v>141</v>
      </c>
      <c r="D123" t="s">
        <v>1</v>
      </c>
      <c r="E123" t="s">
        <v>79</v>
      </c>
      <c r="F123" t="s">
        <v>63</v>
      </c>
      <c r="G123" t="str" cm="1">
        <f t="array" ref="G123">_xlfn.IFS(D123="External Scaffolding","External Scaffolding",D123="Loading Bay","Loading Tower",D123="Scaffolding Platform","Birdcage", D123="Supporting Scaffold","Floor Propping")</f>
        <v>Loading Tower</v>
      </c>
      <c r="H123" s="1" t="str" cm="1">
        <f t="array" ref="H123">_xlfn.IFS(OR(G123="External Scaffolding",G123="Birdcage", G123="Trad Deck", G123="Floor Propping"),"2.0 kN/m² (General Purpose)",G123= "Loading Tower","10.0 kN/m² (Loading Bay)",G123="Rhino Deck","6.0 kN/m² (Rhino Deck)")</f>
        <v>10.0 kN/m² (Loading Bay)</v>
      </c>
      <c r="I123" t="str">
        <f t="shared" si="4"/>
        <v>Brick Guards</v>
      </c>
      <c r="J123" t="str">
        <f t="shared" si="5"/>
        <v>Positive Tying</v>
      </c>
      <c r="K123">
        <v>1334</v>
      </c>
      <c r="L123" t="str">
        <f t="shared" si="6"/>
        <v>Garage 150</v>
      </c>
      <c r="M123" t="str">
        <f t="shared" si="7"/>
        <v>Loading Bay</v>
      </c>
      <c r="N123" t="str" cm="1">
        <f t="array" ref="N123">_xlfn.IFS(OR(G123="External Scaffolding",G123="Loading Tower", G123="Floor Propping"),"Tube and Fitting",G123="Birdcage","Birdcage", G123="Rhino Deck", "Rhino Deck", G123="Trad Deck", "Trad Deck")</f>
        <v>Tube and Fitting</v>
      </c>
      <c r="P123" t="s">
        <v>113</v>
      </c>
      <c r="Q123" t="str" cm="1">
        <f t="array" ref="Q123">_xlfn.IFS(M123="Loading Bay","15/OPT/1638-001",M123="Supporting Scaffold", "D/2020/23 rev.A",OR(M123&lt;&gt;"Loading Bay",M123&lt;&gt;"Supporting Scaffold"),"TG20:13 Scaffold")</f>
        <v>15/OPT/1638-001</v>
      </c>
      <c r="T123" t="s">
        <v>114</v>
      </c>
    </row>
    <row r="124" spans="1:20" x14ac:dyDescent="0.25">
      <c r="A124" t="s">
        <v>333</v>
      </c>
      <c r="B124" t="s">
        <v>112</v>
      </c>
      <c r="C124" t="s">
        <v>141</v>
      </c>
      <c r="D124" t="s">
        <v>0</v>
      </c>
      <c r="E124" t="s">
        <v>79</v>
      </c>
      <c r="F124" t="s">
        <v>64</v>
      </c>
      <c r="G124" t="str" cm="1">
        <f t="array" ref="G124">_xlfn.IFS(D124="External Scaffolding","External Scaffolding",D124="Loading Bay","Loading Tower",D124="Scaffolding Platform","Birdcage", D124="Supporting Scaffold","Floor Propping")</f>
        <v>External Scaffolding</v>
      </c>
      <c r="H124" s="1" t="str" cm="1">
        <f t="array" ref="H124">_xlfn.IFS(OR(G124="External Scaffolding",G124="Birdcage", G124="Trad Deck", G124="Floor Propping"),"2.0 kN/m² (General Purpose)",G124= "Loading Tower","10.0 kN/m² (Loading Bay)",G124="Rhino Deck","6.0 kN/m² (Rhino Deck)")</f>
        <v>2.0 kN/m² (General Purpose)</v>
      </c>
      <c r="I124" t="str">
        <f t="shared" si="4"/>
        <v>Brick Guards</v>
      </c>
      <c r="J124" t="str">
        <f t="shared" si="5"/>
        <v>Positive Tying</v>
      </c>
      <c r="K124">
        <v>1334</v>
      </c>
      <c r="L124" t="str">
        <f t="shared" si="6"/>
        <v>Garage 151</v>
      </c>
      <c r="M124" t="str">
        <f t="shared" si="7"/>
        <v>External Scaffolding</v>
      </c>
      <c r="N124" t="str" cm="1">
        <f t="array" ref="N124">_xlfn.IFS(OR(G124="External Scaffolding",G124="Loading Tower", G124="Floor Propping"),"Tube and Fitting",G124="Birdcage","Birdcage", G124="Rhino Deck", "Rhino Deck", G124="Trad Deck", "Trad Deck")</f>
        <v>Tube and Fitting</v>
      </c>
      <c r="P124" t="s">
        <v>113</v>
      </c>
      <c r="Q124" t="str" cm="1">
        <f t="array" ref="Q124">_xlfn.IFS(M124="Loading Bay","15/OPT/1638-001",M124="Supporting Scaffold", "D/2020/23 rev.A",OR(M124&lt;&gt;"Loading Bay",M124&lt;&gt;"Supporting Scaffold"),"TG20:13 Scaffold")</f>
        <v>TG20:13 Scaffold</v>
      </c>
      <c r="T124" t="s">
        <v>114</v>
      </c>
    </row>
    <row r="125" spans="1:20" x14ac:dyDescent="0.25">
      <c r="A125" t="s">
        <v>334</v>
      </c>
      <c r="B125" t="s">
        <v>112</v>
      </c>
      <c r="C125" t="s">
        <v>141</v>
      </c>
      <c r="D125" t="s">
        <v>1</v>
      </c>
      <c r="E125" t="s">
        <v>79</v>
      </c>
      <c r="F125" t="s">
        <v>64</v>
      </c>
      <c r="G125" t="str" cm="1">
        <f t="array" ref="G125">_xlfn.IFS(D125="External Scaffolding","External Scaffolding",D125="Loading Bay","Loading Tower",D125="Scaffolding Platform","Birdcage", D125="Supporting Scaffold","Floor Propping")</f>
        <v>Loading Tower</v>
      </c>
      <c r="H125" s="1" t="str" cm="1">
        <f t="array" ref="H125">_xlfn.IFS(OR(G125="External Scaffolding",G125="Birdcage", G125="Trad Deck", G125="Floor Propping"),"2.0 kN/m² (General Purpose)",G125= "Loading Tower","10.0 kN/m² (Loading Bay)",G125="Rhino Deck","6.0 kN/m² (Rhino Deck)")</f>
        <v>10.0 kN/m² (Loading Bay)</v>
      </c>
      <c r="I125" t="str">
        <f t="shared" si="4"/>
        <v>Brick Guards</v>
      </c>
      <c r="J125" t="str">
        <f t="shared" si="5"/>
        <v>Positive Tying</v>
      </c>
      <c r="K125">
        <v>1334</v>
      </c>
      <c r="L125" t="str">
        <f t="shared" si="6"/>
        <v>Garage 151</v>
      </c>
      <c r="M125" t="str">
        <f t="shared" si="7"/>
        <v>Loading Bay</v>
      </c>
      <c r="N125" t="str" cm="1">
        <f t="array" ref="N125">_xlfn.IFS(OR(G125="External Scaffolding",G125="Loading Tower", G125="Floor Propping"),"Tube and Fitting",G125="Birdcage","Birdcage", G125="Rhino Deck", "Rhino Deck", G125="Trad Deck", "Trad Deck")</f>
        <v>Tube and Fitting</v>
      </c>
      <c r="P125" t="s">
        <v>113</v>
      </c>
      <c r="Q125" t="str" cm="1">
        <f t="array" ref="Q125">_xlfn.IFS(M125="Loading Bay","15/OPT/1638-001",M125="Supporting Scaffold", "D/2020/23 rev.A",OR(M125&lt;&gt;"Loading Bay",M125&lt;&gt;"Supporting Scaffold"),"TG20:13 Scaffold")</f>
        <v>15/OPT/1638-001</v>
      </c>
      <c r="T125" t="s">
        <v>114</v>
      </c>
    </row>
    <row r="126" spans="1:20" x14ac:dyDescent="0.25">
      <c r="A126" t="s">
        <v>335</v>
      </c>
      <c r="B126" t="s">
        <v>112</v>
      </c>
      <c r="C126" t="s">
        <v>141</v>
      </c>
      <c r="D126" t="s">
        <v>0</v>
      </c>
      <c r="E126" t="s">
        <v>79</v>
      </c>
      <c r="F126" t="s">
        <v>65</v>
      </c>
      <c r="G126" t="str" cm="1">
        <f t="array" ref="G126">_xlfn.IFS(D126="External Scaffolding","External Scaffolding",D126="Loading Bay","Loading Tower",D126="Scaffolding Platform","Birdcage", D126="Supporting Scaffold","Floor Propping")</f>
        <v>External Scaffolding</v>
      </c>
      <c r="H126" s="1" t="str" cm="1">
        <f t="array" ref="H126">_xlfn.IFS(OR(G126="External Scaffolding",G126="Birdcage", G126="Trad Deck", G126="Floor Propping"),"2.0 kN/m² (General Purpose)",G126= "Loading Tower","10.0 kN/m² (Loading Bay)",G126="Rhino Deck","6.0 kN/m² (Rhino Deck)")</f>
        <v>2.0 kN/m² (General Purpose)</v>
      </c>
      <c r="I126" t="str">
        <f t="shared" si="4"/>
        <v>Brick Guards</v>
      </c>
      <c r="J126" t="str">
        <f t="shared" si="5"/>
        <v>Positive Tying</v>
      </c>
      <c r="K126">
        <v>1334</v>
      </c>
      <c r="L126" t="str">
        <f t="shared" si="6"/>
        <v>Garage 152</v>
      </c>
      <c r="M126" t="str">
        <f t="shared" si="7"/>
        <v>External Scaffolding</v>
      </c>
      <c r="N126" t="str" cm="1">
        <f t="array" ref="N126">_xlfn.IFS(OR(G126="External Scaffolding",G126="Loading Tower", G126="Floor Propping"),"Tube and Fitting",G126="Birdcage","Birdcage", G126="Rhino Deck", "Rhino Deck", G126="Trad Deck", "Trad Deck")</f>
        <v>Tube and Fitting</v>
      </c>
      <c r="P126" t="s">
        <v>113</v>
      </c>
      <c r="Q126" t="str" cm="1">
        <f t="array" ref="Q126">_xlfn.IFS(M126="Loading Bay","15/OPT/1638-001",M126="Supporting Scaffold", "D/2020/23 rev.A",OR(M126&lt;&gt;"Loading Bay",M126&lt;&gt;"Supporting Scaffold"),"TG20:13 Scaffold")</f>
        <v>TG20:13 Scaffold</v>
      </c>
      <c r="T126" t="s">
        <v>114</v>
      </c>
    </row>
    <row r="127" spans="1:20" x14ac:dyDescent="0.25">
      <c r="A127" t="s">
        <v>336</v>
      </c>
      <c r="B127" t="s">
        <v>112</v>
      </c>
      <c r="C127" t="s">
        <v>141</v>
      </c>
      <c r="D127" t="s">
        <v>1</v>
      </c>
      <c r="E127" t="s">
        <v>79</v>
      </c>
      <c r="F127" t="s">
        <v>65</v>
      </c>
      <c r="G127" t="str" cm="1">
        <f t="array" ref="G127">_xlfn.IFS(D127="External Scaffolding","External Scaffolding",D127="Loading Bay","Loading Tower",D127="Scaffolding Platform","Birdcage", D127="Supporting Scaffold","Floor Propping")</f>
        <v>Loading Tower</v>
      </c>
      <c r="H127" s="1" t="str" cm="1">
        <f t="array" ref="H127">_xlfn.IFS(OR(G127="External Scaffolding",G127="Birdcage", G127="Trad Deck", G127="Floor Propping"),"2.0 kN/m² (General Purpose)",G127= "Loading Tower","10.0 kN/m² (Loading Bay)",G127="Rhino Deck","6.0 kN/m² (Rhino Deck)")</f>
        <v>10.0 kN/m² (Loading Bay)</v>
      </c>
      <c r="I127" t="str">
        <f t="shared" si="4"/>
        <v>Brick Guards</v>
      </c>
      <c r="J127" t="str">
        <f t="shared" si="5"/>
        <v>Positive Tying</v>
      </c>
      <c r="K127">
        <v>1334</v>
      </c>
      <c r="L127" t="str">
        <f t="shared" si="6"/>
        <v>Garage 152</v>
      </c>
      <c r="M127" t="str">
        <f t="shared" si="7"/>
        <v>Loading Bay</v>
      </c>
      <c r="N127" t="str" cm="1">
        <f t="array" ref="N127">_xlfn.IFS(OR(G127="External Scaffolding",G127="Loading Tower", G127="Floor Propping"),"Tube and Fitting",G127="Birdcage","Birdcage", G127="Rhino Deck", "Rhino Deck", G127="Trad Deck", "Trad Deck")</f>
        <v>Tube and Fitting</v>
      </c>
      <c r="P127" t="s">
        <v>113</v>
      </c>
      <c r="Q127" t="str" cm="1">
        <f t="array" ref="Q127">_xlfn.IFS(M127="Loading Bay","15/OPT/1638-001",M127="Supporting Scaffold", "D/2020/23 rev.A",OR(M127&lt;&gt;"Loading Bay",M127&lt;&gt;"Supporting Scaffold"),"TG20:13 Scaffold")</f>
        <v>15/OPT/1638-001</v>
      </c>
      <c r="T127" t="s">
        <v>114</v>
      </c>
    </row>
    <row r="128" spans="1:20" x14ac:dyDescent="0.25">
      <c r="A128" t="s">
        <v>337</v>
      </c>
      <c r="B128" t="s">
        <v>112</v>
      </c>
      <c r="C128" t="s">
        <v>141</v>
      </c>
      <c r="D128" t="s">
        <v>0</v>
      </c>
      <c r="E128" t="s">
        <v>79</v>
      </c>
      <c r="F128" t="s">
        <v>66</v>
      </c>
      <c r="G128" t="str" cm="1">
        <f t="array" ref="G128">_xlfn.IFS(D128="External Scaffolding","External Scaffolding",D128="Loading Bay","Loading Tower",D128="Scaffolding Platform","Birdcage", D128="Supporting Scaffold","Floor Propping")</f>
        <v>External Scaffolding</v>
      </c>
      <c r="H128" s="1" t="str" cm="1">
        <f t="array" ref="H128">_xlfn.IFS(OR(G128="External Scaffolding",G128="Birdcage", G128="Trad Deck", G128="Floor Propping"),"2.0 kN/m² (General Purpose)",G128= "Loading Tower","10.0 kN/m² (Loading Bay)",G128="Rhino Deck","6.0 kN/m² (Rhino Deck)")</f>
        <v>2.0 kN/m² (General Purpose)</v>
      </c>
      <c r="I128" t="str">
        <f t="shared" si="4"/>
        <v>Brick Guards</v>
      </c>
      <c r="J128" t="str">
        <f t="shared" si="5"/>
        <v>Positive Tying</v>
      </c>
      <c r="K128">
        <v>1334</v>
      </c>
      <c r="L128" t="str">
        <f t="shared" si="6"/>
        <v>Garage 153</v>
      </c>
      <c r="M128" t="str">
        <f t="shared" si="7"/>
        <v>External Scaffolding</v>
      </c>
      <c r="N128" t="str" cm="1">
        <f t="array" ref="N128">_xlfn.IFS(OR(G128="External Scaffolding",G128="Loading Tower", G128="Floor Propping"),"Tube and Fitting",G128="Birdcage","Birdcage", G128="Rhino Deck", "Rhino Deck", G128="Trad Deck", "Trad Deck")</f>
        <v>Tube and Fitting</v>
      </c>
      <c r="P128" t="s">
        <v>113</v>
      </c>
      <c r="Q128" t="str" cm="1">
        <f t="array" ref="Q128">_xlfn.IFS(M128="Loading Bay","15/OPT/1638-001",M128="Supporting Scaffold", "D/2020/23 rev.A",OR(M128&lt;&gt;"Loading Bay",M128&lt;&gt;"Supporting Scaffold"),"TG20:13 Scaffold")</f>
        <v>TG20:13 Scaffold</v>
      </c>
      <c r="T128" t="s">
        <v>114</v>
      </c>
    </row>
    <row r="129" spans="1:20" x14ac:dyDescent="0.25">
      <c r="A129" t="s">
        <v>338</v>
      </c>
      <c r="B129" t="s">
        <v>112</v>
      </c>
      <c r="C129" t="s">
        <v>141</v>
      </c>
      <c r="D129" t="s">
        <v>1</v>
      </c>
      <c r="E129" t="s">
        <v>79</v>
      </c>
      <c r="F129" t="s">
        <v>66</v>
      </c>
      <c r="G129" t="str" cm="1">
        <f t="array" ref="G129">_xlfn.IFS(D129="External Scaffolding","External Scaffolding",D129="Loading Bay","Loading Tower",D129="Scaffolding Platform","Birdcage", D129="Supporting Scaffold","Floor Propping")</f>
        <v>Loading Tower</v>
      </c>
      <c r="H129" s="1" t="str" cm="1">
        <f t="array" ref="H129">_xlfn.IFS(OR(G129="External Scaffolding",G129="Birdcage", G129="Trad Deck", G129="Floor Propping"),"2.0 kN/m² (General Purpose)",G129= "Loading Tower","10.0 kN/m² (Loading Bay)",G129="Rhino Deck","6.0 kN/m² (Rhino Deck)")</f>
        <v>10.0 kN/m² (Loading Bay)</v>
      </c>
      <c r="I129" t="str">
        <f t="shared" si="4"/>
        <v>Brick Guards</v>
      </c>
      <c r="J129" t="str">
        <f t="shared" si="5"/>
        <v>Positive Tying</v>
      </c>
      <c r="K129">
        <v>1334</v>
      </c>
      <c r="L129" t="str">
        <f t="shared" si="6"/>
        <v>Garage 153</v>
      </c>
      <c r="M129" t="str">
        <f t="shared" si="7"/>
        <v>Loading Bay</v>
      </c>
      <c r="N129" t="str" cm="1">
        <f t="array" ref="N129">_xlfn.IFS(OR(G129="External Scaffolding",G129="Loading Tower", G129="Floor Propping"),"Tube and Fitting",G129="Birdcage","Birdcage", G129="Rhino Deck", "Rhino Deck", G129="Trad Deck", "Trad Deck")</f>
        <v>Tube and Fitting</v>
      </c>
      <c r="P129" t="s">
        <v>113</v>
      </c>
      <c r="Q129" t="str" cm="1">
        <f t="array" ref="Q129">_xlfn.IFS(M129="Loading Bay","15/OPT/1638-001",M129="Supporting Scaffold", "D/2020/23 rev.A",OR(M129&lt;&gt;"Loading Bay",M129&lt;&gt;"Supporting Scaffold"),"TG20:13 Scaffold")</f>
        <v>15/OPT/1638-001</v>
      </c>
      <c r="T129" t="s">
        <v>114</v>
      </c>
    </row>
    <row r="130" spans="1:20" x14ac:dyDescent="0.25">
      <c r="A130" t="s">
        <v>339</v>
      </c>
      <c r="B130" t="s">
        <v>112</v>
      </c>
      <c r="C130" t="s">
        <v>141</v>
      </c>
      <c r="D130" t="s">
        <v>0</v>
      </c>
      <c r="E130" t="s">
        <v>79</v>
      </c>
      <c r="F130" t="s">
        <v>67</v>
      </c>
      <c r="G130" t="str" cm="1">
        <f t="array" ref="G130">_xlfn.IFS(D130="External Scaffolding","External Scaffolding",D130="Loading Bay","Loading Tower",D130="Scaffolding Platform","Birdcage", D130="Supporting Scaffold","Floor Propping")</f>
        <v>External Scaffolding</v>
      </c>
      <c r="H130" s="1" t="str" cm="1">
        <f t="array" ref="H130">_xlfn.IFS(OR(G130="External Scaffolding",G130="Birdcage", G130="Trad Deck", G130="Floor Propping"),"2.0 kN/m² (General Purpose)",G130= "Loading Tower","10.0 kN/m² (Loading Bay)",G130="Rhino Deck","6.0 kN/m² (Rhino Deck)")</f>
        <v>2.0 kN/m² (General Purpose)</v>
      </c>
      <c r="I130" t="str">
        <f t="shared" si="4"/>
        <v>Brick Guards</v>
      </c>
      <c r="J130" t="str">
        <f t="shared" si="5"/>
        <v>Positive Tying</v>
      </c>
      <c r="K130">
        <v>1334</v>
      </c>
      <c r="L130" t="str">
        <f t="shared" si="6"/>
        <v>Garage 154</v>
      </c>
      <c r="M130" t="str">
        <f t="shared" si="7"/>
        <v>External Scaffolding</v>
      </c>
      <c r="N130" t="str" cm="1">
        <f t="array" ref="N130">_xlfn.IFS(OR(G130="External Scaffolding",G130="Loading Tower", G130="Floor Propping"),"Tube and Fitting",G130="Birdcage","Birdcage", G130="Rhino Deck", "Rhino Deck", G130="Trad Deck", "Trad Deck")</f>
        <v>Tube and Fitting</v>
      </c>
      <c r="P130" t="s">
        <v>113</v>
      </c>
      <c r="Q130" t="str" cm="1">
        <f t="array" ref="Q130">_xlfn.IFS(M130="Loading Bay","15/OPT/1638-001",M130="Supporting Scaffold", "D/2020/23 rev.A",OR(M130&lt;&gt;"Loading Bay",M130&lt;&gt;"Supporting Scaffold"),"TG20:13 Scaffold")</f>
        <v>TG20:13 Scaffold</v>
      </c>
      <c r="T130" t="s">
        <v>114</v>
      </c>
    </row>
    <row r="131" spans="1:20" x14ac:dyDescent="0.25">
      <c r="A131" t="s">
        <v>340</v>
      </c>
      <c r="B131" t="s">
        <v>112</v>
      </c>
      <c r="C131" t="s">
        <v>141</v>
      </c>
      <c r="D131" t="s">
        <v>1</v>
      </c>
      <c r="E131" t="s">
        <v>79</v>
      </c>
      <c r="F131" t="s">
        <v>67</v>
      </c>
      <c r="G131" t="str" cm="1">
        <f t="array" ref="G131">_xlfn.IFS(D131="External Scaffolding","External Scaffolding",D131="Loading Bay","Loading Tower",D131="Scaffolding Platform","Birdcage", D131="Supporting Scaffold","Floor Propping")</f>
        <v>Loading Tower</v>
      </c>
      <c r="H131" s="1" t="str" cm="1">
        <f t="array" ref="H131">_xlfn.IFS(OR(G131="External Scaffolding",G131="Birdcage", G131="Trad Deck", G131="Floor Propping"),"2.0 kN/m² (General Purpose)",G131= "Loading Tower","10.0 kN/m² (Loading Bay)",G131="Rhino Deck","6.0 kN/m² (Rhino Deck)")</f>
        <v>10.0 kN/m² (Loading Bay)</v>
      </c>
      <c r="I131" t="str">
        <f t="shared" ref="I131:I194" si="8">IF(D131="Scaffolding Platform","None","Brick Guards")</f>
        <v>Brick Guards</v>
      </c>
      <c r="J131" t="str">
        <f t="shared" ref="J131:J194" si="9">IF(OR(G131="Birdcage",G131="Rhino Deck"),"Butted","Positive Tying")</f>
        <v>Positive Tying</v>
      </c>
      <c r="K131">
        <v>1334</v>
      </c>
      <c r="L131" t="str">
        <f t="shared" ref="L131:L194" si="10">F131</f>
        <v>Garage 154</v>
      </c>
      <c r="M131" t="str">
        <f t="shared" ref="M131:M194" si="11">D131</f>
        <v>Loading Bay</v>
      </c>
      <c r="N131" t="str" cm="1">
        <f t="array" ref="N131">_xlfn.IFS(OR(G131="External Scaffolding",G131="Loading Tower", G131="Floor Propping"),"Tube and Fitting",G131="Birdcage","Birdcage", G131="Rhino Deck", "Rhino Deck", G131="Trad Deck", "Trad Deck")</f>
        <v>Tube and Fitting</v>
      </c>
      <c r="P131" t="s">
        <v>113</v>
      </c>
      <c r="Q131" t="str" cm="1">
        <f t="array" ref="Q131">_xlfn.IFS(M131="Loading Bay","15/OPT/1638-001",M131="Supporting Scaffold", "D/2020/23 rev.A",OR(M131&lt;&gt;"Loading Bay",M131&lt;&gt;"Supporting Scaffold"),"TG20:13 Scaffold")</f>
        <v>15/OPT/1638-001</v>
      </c>
      <c r="T131" t="s">
        <v>114</v>
      </c>
    </row>
    <row r="132" spans="1:20" x14ac:dyDescent="0.25">
      <c r="A132" t="s">
        <v>341</v>
      </c>
      <c r="B132" t="s">
        <v>112</v>
      </c>
      <c r="C132" t="s">
        <v>141</v>
      </c>
      <c r="D132" t="s">
        <v>0</v>
      </c>
      <c r="E132" t="s">
        <v>79</v>
      </c>
      <c r="F132" t="s">
        <v>68</v>
      </c>
      <c r="G132" t="str" cm="1">
        <f t="array" ref="G132">_xlfn.IFS(D132="External Scaffolding","External Scaffolding",D132="Loading Bay","Loading Tower",D132="Scaffolding Platform","Birdcage", D132="Supporting Scaffold","Floor Propping")</f>
        <v>External Scaffolding</v>
      </c>
      <c r="H132" s="1" t="str" cm="1">
        <f t="array" ref="H132">_xlfn.IFS(OR(G132="External Scaffolding",G132="Birdcage", G132="Trad Deck", G132="Floor Propping"),"2.0 kN/m² (General Purpose)",G132= "Loading Tower","10.0 kN/m² (Loading Bay)",G132="Rhino Deck","6.0 kN/m² (Rhino Deck)")</f>
        <v>2.0 kN/m² (General Purpose)</v>
      </c>
      <c r="I132" t="str">
        <f t="shared" si="8"/>
        <v>Brick Guards</v>
      </c>
      <c r="J132" t="str">
        <f t="shared" si="9"/>
        <v>Positive Tying</v>
      </c>
      <c r="K132">
        <v>1334</v>
      </c>
      <c r="L132" t="str">
        <f t="shared" si="10"/>
        <v>Garage 157</v>
      </c>
      <c r="M132" t="str">
        <f t="shared" si="11"/>
        <v>External Scaffolding</v>
      </c>
      <c r="N132" t="str" cm="1">
        <f t="array" ref="N132">_xlfn.IFS(OR(G132="External Scaffolding",G132="Loading Tower", G132="Floor Propping"),"Tube and Fitting",G132="Birdcage","Birdcage", G132="Rhino Deck", "Rhino Deck", G132="Trad Deck", "Trad Deck")</f>
        <v>Tube and Fitting</v>
      </c>
      <c r="P132" t="s">
        <v>113</v>
      </c>
      <c r="Q132" t="str" cm="1">
        <f t="array" ref="Q132">_xlfn.IFS(M132="Loading Bay","15/OPT/1638-001",M132="Supporting Scaffold", "D/2020/23 rev.A",OR(M132&lt;&gt;"Loading Bay",M132&lt;&gt;"Supporting Scaffold"),"TG20:13 Scaffold")</f>
        <v>TG20:13 Scaffold</v>
      </c>
      <c r="T132" t="s">
        <v>114</v>
      </c>
    </row>
    <row r="133" spans="1:20" x14ac:dyDescent="0.25">
      <c r="A133" t="s">
        <v>342</v>
      </c>
      <c r="B133" t="s">
        <v>112</v>
      </c>
      <c r="C133" t="s">
        <v>141</v>
      </c>
      <c r="D133" t="s">
        <v>1</v>
      </c>
      <c r="E133" t="s">
        <v>79</v>
      </c>
      <c r="F133" t="s">
        <v>68</v>
      </c>
      <c r="G133" t="str" cm="1">
        <f t="array" ref="G133">_xlfn.IFS(D133="External Scaffolding","External Scaffolding",D133="Loading Bay","Loading Tower",D133="Scaffolding Platform","Birdcage", D133="Supporting Scaffold","Floor Propping")</f>
        <v>Loading Tower</v>
      </c>
      <c r="H133" s="1" t="str" cm="1">
        <f t="array" ref="H133">_xlfn.IFS(OR(G133="External Scaffolding",G133="Birdcage", G133="Trad Deck", G133="Floor Propping"),"2.0 kN/m² (General Purpose)",G133= "Loading Tower","10.0 kN/m² (Loading Bay)",G133="Rhino Deck","6.0 kN/m² (Rhino Deck)")</f>
        <v>10.0 kN/m² (Loading Bay)</v>
      </c>
      <c r="I133" t="str">
        <f t="shared" si="8"/>
        <v>Brick Guards</v>
      </c>
      <c r="J133" t="str">
        <f t="shared" si="9"/>
        <v>Positive Tying</v>
      </c>
      <c r="K133">
        <v>1334</v>
      </c>
      <c r="L133" t="str">
        <f t="shared" si="10"/>
        <v>Garage 157</v>
      </c>
      <c r="M133" t="str">
        <f t="shared" si="11"/>
        <v>Loading Bay</v>
      </c>
      <c r="N133" t="str" cm="1">
        <f t="array" ref="N133">_xlfn.IFS(OR(G133="External Scaffolding",G133="Loading Tower", G133="Floor Propping"),"Tube and Fitting",G133="Birdcage","Birdcage", G133="Rhino Deck", "Rhino Deck", G133="Trad Deck", "Trad Deck")</f>
        <v>Tube and Fitting</v>
      </c>
      <c r="P133" t="s">
        <v>113</v>
      </c>
      <c r="Q133" t="str" cm="1">
        <f t="array" ref="Q133">_xlfn.IFS(M133="Loading Bay","15/OPT/1638-001",M133="Supporting Scaffold", "D/2020/23 rev.A",OR(M133&lt;&gt;"Loading Bay",M133&lt;&gt;"Supporting Scaffold"),"TG20:13 Scaffold")</f>
        <v>15/OPT/1638-001</v>
      </c>
      <c r="T133" t="s">
        <v>114</v>
      </c>
    </row>
    <row r="134" spans="1:20" x14ac:dyDescent="0.25">
      <c r="A134" t="s">
        <v>343</v>
      </c>
      <c r="B134" t="s">
        <v>112</v>
      </c>
      <c r="C134" t="s">
        <v>141</v>
      </c>
      <c r="D134" t="s">
        <v>0</v>
      </c>
      <c r="E134" t="s">
        <v>79</v>
      </c>
      <c r="F134" t="s">
        <v>69</v>
      </c>
      <c r="G134" t="str" cm="1">
        <f t="array" ref="G134">_xlfn.IFS(D134="External Scaffolding","External Scaffolding",D134="Loading Bay","Loading Tower",D134="Scaffolding Platform","Birdcage", D134="Supporting Scaffold","Floor Propping")</f>
        <v>External Scaffolding</v>
      </c>
      <c r="H134" s="1" t="str" cm="1">
        <f t="array" ref="H134">_xlfn.IFS(OR(G134="External Scaffolding",G134="Birdcage", G134="Trad Deck", G134="Floor Propping"),"2.0 kN/m² (General Purpose)",G134= "Loading Tower","10.0 kN/m² (Loading Bay)",G134="Rhino Deck","6.0 kN/m² (Rhino Deck)")</f>
        <v>2.0 kN/m² (General Purpose)</v>
      </c>
      <c r="I134" t="str">
        <f t="shared" si="8"/>
        <v>Brick Guards</v>
      </c>
      <c r="J134" t="str">
        <f t="shared" si="9"/>
        <v>Positive Tying</v>
      </c>
      <c r="K134">
        <v>1334</v>
      </c>
      <c r="L134" t="str">
        <f t="shared" si="10"/>
        <v>Garage 158-159</v>
      </c>
      <c r="M134" t="str">
        <f t="shared" si="11"/>
        <v>External Scaffolding</v>
      </c>
      <c r="N134" t="str" cm="1">
        <f t="array" ref="N134">_xlfn.IFS(OR(G134="External Scaffolding",G134="Loading Tower", G134="Floor Propping"),"Tube and Fitting",G134="Birdcage","Birdcage", G134="Rhino Deck", "Rhino Deck", G134="Trad Deck", "Trad Deck")</f>
        <v>Tube and Fitting</v>
      </c>
      <c r="P134" t="s">
        <v>113</v>
      </c>
      <c r="Q134" t="str" cm="1">
        <f t="array" ref="Q134">_xlfn.IFS(M134="Loading Bay","15/OPT/1638-001",M134="Supporting Scaffold", "D/2020/23 rev.A",OR(M134&lt;&gt;"Loading Bay",M134&lt;&gt;"Supporting Scaffold"),"TG20:13 Scaffold")</f>
        <v>TG20:13 Scaffold</v>
      </c>
      <c r="T134" t="s">
        <v>114</v>
      </c>
    </row>
    <row r="135" spans="1:20" x14ac:dyDescent="0.25">
      <c r="A135" t="s">
        <v>344</v>
      </c>
      <c r="B135" t="s">
        <v>112</v>
      </c>
      <c r="C135" t="s">
        <v>141</v>
      </c>
      <c r="D135" t="s">
        <v>1</v>
      </c>
      <c r="E135" t="s">
        <v>79</v>
      </c>
      <c r="F135" t="s">
        <v>69</v>
      </c>
      <c r="G135" t="str" cm="1">
        <f t="array" ref="G135">_xlfn.IFS(D135="External Scaffolding","External Scaffolding",D135="Loading Bay","Loading Tower",D135="Scaffolding Platform","Birdcage", D135="Supporting Scaffold","Floor Propping")</f>
        <v>Loading Tower</v>
      </c>
      <c r="H135" s="1" t="str" cm="1">
        <f t="array" ref="H135">_xlfn.IFS(OR(G135="External Scaffolding",G135="Birdcage", G135="Trad Deck", G135="Floor Propping"),"2.0 kN/m² (General Purpose)",G135= "Loading Tower","10.0 kN/m² (Loading Bay)",G135="Rhino Deck","6.0 kN/m² (Rhino Deck)")</f>
        <v>10.0 kN/m² (Loading Bay)</v>
      </c>
      <c r="I135" t="str">
        <f t="shared" si="8"/>
        <v>Brick Guards</v>
      </c>
      <c r="J135" t="str">
        <f t="shared" si="9"/>
        <v>Positive Tying</v>
      </c>
      <c r="K135">
        <v>1334</v>
      </c>
      <c r="L135" t="str">
        <f t="shared" si="10"/>
        <v>Garage 158-159</v>
      </c>
      <c r="M135" t="str">
        <f t="shared" si="11"/>
        <v>Loading Bay</v>
      </c>
      <c r="N135" t="str" cm="1">
        <f t="array" ref="N135">_xlfn.IFS(OR(G135="External Scaffolding",G135="Loading Tower", G135="Floor Propping"),"Tube and Fitting",G135="Birdcage","Birdcage", G135="Rhino Deck", "Rhino Deck", G135="Trad Deck", "Trad Deck")</f>
        <v>Tube and Fitting</v>
      </c>
      <c r="P135" t="s">
        <v>113</v>
      </c>
      <c r="Q135" t="str" cm="1">
        <f t="array" ref="Q135">_xlfn.IFS(M135="Loading Bay","15/OPT/1638-001",M135="Supporting Scaffold", "D/2020/23 rev.A",OR(M135&lt;&gt;"Loading Bay",M135&lt;&gt;"Supporting Scaffold"),"TG20:13 Scaffold")</f>
        <v>15/OPT/1638-001</v>
      </c>
      <c r="T135" t="s">
        <v>114</v>
      </c>
    </row>
    <row r="136" spans="1:20" x14ac:dyDescent="0.25">
      <c r="A136" t="s">
        <v>345</v>
      </c>
      <c r="B136" t="s">
        <v>112</v>
      </c>
      <c r="C136" t="s">
        <v>141</v>
      </c>
      <c r="D136" t="s">
        <v>0</v>
      </c>
      <c r="E136" t="s">
        <v>79</v>
      </c>
      <c r="F136" t="s">
        <v>70</v>
      </c>
      <c r="G136" t="str" cm="1">
        <f t="array" ref="G136">_xlfn.IFS(D136="External Scaffolding","External Scaffolding",D136="Loading Bay","Loading Tower",D136="Scaffolding Platform","Birdcage", D136="Supporting Scaffold","Floor Propping")</f>
        <v>External Scaffolding</v>
      </c>
      <c r="H136" s="1" t="str" cm="1">
        <f t="array" ref="H136">_xlfn.IFS(OR(G136="External Scaffolding",G136="Birdcage", G136="Trad Deck", G136="Floor Propping"),"2.0 kN/m² (General Purpose)",G136= "Loading Tower","10.0 kN/m² (Loading Bay)",G136="Rhino Deck","6.0 kN/m² (Rhino Deck)")</f>
        <v>2.0 kN/m² (General Purpose)</v>
      </c>
      <c r="I136" t="str">
        <f t="shared" si="8"/>
        <v>Brick Guards</v>
      </c>
      <c r="J136" t="str">
        <f t="shared" si="9"/>
        <v>Positive Tying</v>
      </c>
      <c r="K136">
        <v>1334</v>
      </c>
      <c r="L136" t="str">
        <f t="shared" si="10"/>
        <v>Garage 164-165</v>
      </c>
      <c r="M136" t="str">
        <f t="shared" si="11"/>
        <v>External Scaffolding</v>
      </c>
      <c r="N136" t="str" cm="1">
        <f t="array" ref="N136">_xlfn.IFS(OR(G136="External Scaffolding",G136="Loading Tower", G136="Floor Propping"),"Tube and Fitting",G136="Birdcage","Birdcage", G136="Rhino Deck", "Rhino Deck", G136="Trad Deck", "Trad Deck")</f>
        <v>Tube and Fitting</v>
      </c>
      <c r="P136" t="s">
        <v>113</v>
      </c>
      <c r="Q136" t="str" cm="1">
        <f t="array" ref="Q136">_xlfn.IFS(M136="Loading Bay","15/OPT/1638-001",M136="Supporting Scaffold", "D/2020/23 rev.A",OR(M136&lt;&gt;"Loading Bay",M136&lt;&gt;"Supporting Scaffold"),"TG20:13 Scaffold")</f>
        <v>TG20:13 Scaffold</v>
      </c>
      <c r="T136" t="s">
        <v>114</v>
      </c>
    </row>
    <row r="137" spans="1:20" x14ac:dyDescent="0.25">
      <c r="A137" t="s">
        <v>346</v>
      </c>
      <c r="B137" t="s">
        <v>112</v>
      </c>
      <c r="C137" t="s">
        <v>141</v>
      </c>
      <c r="D137" t="s">
        <v>1</v>
      </c>
      <c r="E137" t="s">
        <v>79</v>
      </c>
      <c r="F137" t="s">
        <v>70</v>
      </c>
      <c r="G137" t="str" cm="1">
        <f t="array" ref="G137">_xlfn.IFS(D137="External Scaffolding","External Scaffolding",D137="Loading Bay","Loading Tower",D137="Scaffolding Platform","Birdcage", D137="Supporting Scaffold","Floor Propping")</f>
        <v>Loading Tower</v>
      </c>
      <c r="H137" s="1" t="str" cm="1">
        <f t="array" ref="H137">_xlfn.IFS(OR(G137="External Scaffolding",G137="Birdcage", G137="Trad Deck", G137="Floor Propping"),"2.0 kN/m² (General Purpose)",G137= "Loading Tower","10.0 kN/m² (Loading Bay)",G137="Rhino Deck","6.0 kN/m² (Rhino Deck)")</f>
        <v>10.0 kN/m² (Loading Bay)</v>
      </c>
      <c r="I137" t="str">
        <f t="shared" si="8"/>
        <v>Brick Guards</v>
      </c>
      <c r="J137" t="str">
        <f t="shared" si="9"/>
        <v>Positive Tying</v>
      </c>
      <c r="K137">
        <v>1334</v>
      </c>
      <c r="L137" t="str">
        <f t="shared" si="10"/>
        <v>Garage 164-165</v>
      </c>
      <c r="M137" t="str">
        <f t="shared" si="11"/>
        <v>Loading Bay</v>
      </c>
      <c r="N137" t="str" cm="1">
        <f t="array" ref="N137">_xlfn.IFS(OR(G137="External Scaffolding",G137="Loading Tower", G137="Floor Propping"),"Tube and Fitting",G137="Birdcage","Birdcage", G137="Rhino Deck", "Rhino Deck", G137="Trad Deck", "Trad Deck")</f>
        <v>Tube and Fitting</v>
      </c>
      <c r="P137" t="s">
        <v>113</v>
      </c>
      <c r="Q137" t="str" cm="1">
        <f t="array" ref="Q137">_xlfn.IFS(M137="Loading Bay","15/OPT/1638-001",M137="Supporting Scaffold", "D/2020/23 rev.A",OR(M137&lt;&gt;"Loading Bay",M137&lt;&gt;"Supporting Scaffold"),"TG20:13 Scaffold")</f>
        <v>15/OPT/1638-001</v>
      </c>
      <c r="T137" t="s">
        <v>114</v>
      </c>
    </row>
    <row r="138" spans="1:20" x14ac:dyDescent="0.25">
      <c r="A138" t="s">
        <v>347</v>
      </c>
      <c r="B138" t="s">
        <v>112</v>
      </c>
      <c r="C138" t="s">
        <v>141</v>
      </c>
      <c r="D138" t="s">
        <v>0</v>
      </c>
      <c r="E138" t="s">
        <v>79</v>
      </c>
      <c r="F138" t="s">
        <v>71</v>
      </c>
      <c r="G138" t="str" cm="1">
        <f t="array" ref="G138">_xlfn.IFS(D138="External Scaffolding","External Scaffolding",D138="Loading Bay","Loading Tower",D138="Scaffolding Platform","Birdcage", D138="Supporting Scaffold","Floor Propping")</f>
        <v>External Scaffolding</v>
      </c>
      <c r="H138" s="1" t="str" cm="1">
        <f t="array" ref="H138">_xlfn.IFS(OR(G138="External Scaffolding",G138="Birdcage", G138="Trad Deck", G138="Floor Propping"),"2.0 kN/m² (General Purpose)",G138= "Loading Tower","10.0 kN/m² (Loading Bay)",G138="Rhino Deck","6.0 kN/m² (Rhino Deck)")</f>
        <v>2.0 kN/m² (General Purpose)</v>
      </c>
      <c r="I138" t="str">
        <f t="shared" si="8"/>
        <v>Brick Guards</v>
      </c>
      <c r="J138" t="str">
        <f t="shared" si="9"/>
        <v>Positive Tying</v>
      </c>
      <c r="K138">
        <v>1334</v>
      </c>
      <c r="L138" t="str">
        <f t="shared" si="10"/>
        <v>Garage 168-169-172</v>
      </c>
      <c r="M138" t="str">
        <f t="shared" si="11"/>
        <v>External Scaffolding</v>
      </c>
      <c r="N138" t="str" cm="1">
        <f t="array" ref="N138">_xlfn.IFS(OR(G138="External Scaffolding",G138="Loading Tower", G138="Floor Propping"),"Tube and Fitting",G138="Birdcage","Birdcage", G138="Rhino Deck", "Rhino Deck", G138="Trad Deck", "Trad Deck")</f>
        <v>Tube and Fitting</v>
      </c>
      <c r="P138" t="s">
        <v>113</v>
      </c>
      <c r="Q138" t="str" cm="1">
        <f t="array" ref="Q138">_xlfn.IFS(M138="Loading Bay","15/OPT/1638-001",M138="Supporting Scaffold", "D/2020/23 rev.A",OR(M138&lt;&gt;"Loading Bay",M138&lt;&gt;"Supporting Scaffold"),"TG20:13 Scaffold")</f>
        <v>TG20:13 Scaffold</v>
      </c>
      <c r="T138" t="s">
        <v>114</v>
      </c>
    </row>
    <row r="139" spans="1:20" x14ac:dyDescent="0.25">
      <c r="A139" t="s">
        <v>348</v>
      </c>
      <c r="B139" t="s">
        <v>112</v>
      </c>
      <c r="C139" t="s">
        <v>141</v>
      </c>
      <c r="D139" t="s">
        <v>1</v>
      </c>
      <c r="E139" t="s">
        <v>79</v>
      </c>
      <c r="F139" t="s">
        <v>71</v>
      </c>
      <c r="G139" t="str" cm="1">
        <f t="array" ref="G139">_xlfn.IFS(D139="External Scaffolding","External Scaffolding",D139="Loading Bay","Loading Tower",D139="Scaffolding Platform","Birdcage", D139="Supporting Scaffold","Floor Propping")</f>
        <v>Loading Tower</v>
      </c>
      <c r="H139" s="1" t="str" cm="1">
        <f t="array" ref="H139">_xlfn.IFS(OR(G139="External Scaffolding",G139="Birdcage", G139="Trad Deck", G139="Floor Propping"),"2.0 kN/m² (General Purpose)",G139= "Loading Tower","10.0 kN/m² (Loading Bay)",G139="Rhino Deck","6.0 kN/m² (Rhino Deck)")</f>
        <v>10.0 kN/m² (Loading Bay)</v>
      </c>
      <c r="I139" t="str">
        <f t="shared" si="8"/>
        <v>Brick Guards</v>
      </c>
      <c r="J139" t="str">
        <f t="shared" si="9"/>
        <v>Positive Tying</v>
      </c>
      <c r="K139">
        <v>1334</v>
      </c>
      <c r="L139" t="str">
        <f t="shared" si="10"/>
        <v>Garage 168-169-172</v>
      </c>
      <c r="M139" t="str">
        <f t="shared" si="11"/>
        <v>Loading Bay</v>
      </c>
      <c r="N139" t="str" cm="1">
        <f t="array" ref="N139">_xlfn.IFS(OR(G139="External Scaffolding",G139="Loading Tower", G139="Floor Propping"),"Tube and Fitting",G139="Birdcage","Birdcage", G139="Rhino Deck", "Rhino Deck", G139="Trad Deck", "Trad Deck")</f>
        <v>Tube and Fitting</v>
      </c>
      <c r="P139" t="s">
        <v>113</v>
      </c>
      <c r="Q139" t="str" cm="1">
        <f t="array" ref="Q139">_xlfn.IFS(M139="Loading Bay","15/OPT/1638-001",M139="Supporting Scaffold", "D/2020/23 rev.A",OR(M139&lt;&gt;"Loading Bay",M139&lt;&gt;"Supporting Scaffold"),"TG20:13 Scaffold")</f>
        <v>15/OPT/1638-001</v>
      </c>
      <c r="T139" t="s">
        <v>114</v>
      </c>
    </row>
    <row r="140" spans="1:20" x14ac:dyDescent="0.25">
      <c r="A140" t="s">
        <v>349</v>
      </c>
      <c r="B140" t="s">
        <v>112</v>
      </c>
      <c r="C140" t="s">
        <v>141</v>
      </c>
      <c r="D140" t="s">
        <v>0</v>
      </c>
      <c r="E140" t="s">
        <v>79</v>
      </c>
      <c r="F140" t="s">
        <v>72</v>
      </c>
      <c r="G140" t="str" cm="1">
        <f t="array" ref="G140">_xlfn.IFS(D140="External Scaffolding","External Scaffolding",D140="Loading Bay","Loading Tower",D140="Scaffolding Platform","Birdcage", D140="Supporting Scaffold","Floor Propping")</f>
        <v>External Scaffolding</v>
      </c>
      <c r="H140" s="1" t="str" cm="1">
        <f t="array" ref="H140">_xlfn.IFS(OR(G140="External Scaffolding",G140="Birdcage", G140="Trad Deck", G140="Floor Propping"),"2.0 kN/m² (General Purpose)",G140= "Loading Tower","10.0 kN/m² (Loading Bay)",G140="Rhino Deck","6.0 kN/m² (Rhino Deck)")</f>
        <v>2.0 kN/m² (General Purpose)</v>
      </c>
      <c r="I140" t="str">
        <f t="shared" si="8"/>
        <v>Brick Guards</v>
      </c>
      <c r="J140" t="str">
        <f t="shared" si="9"/>
        <v>Positive Tying</v>
      </c>
      <c r="K140">
        <v>1334</v>
      </c>
      <c r="L140" t="str">
        <f t="shared" si="10"/>
        <v>Garage 170-171</v>
      </c>
      <c r="M140" t="str">
        <f t="shared" si="11"/>
        <v>External Scaffolding</v>
      </c>
      <c r="N140" t="str" cm="1">
        <f t="array" ref="N140">_xlfn.IFS(OR(G140="External Scaffolding",G140="Loading Tower", G140="Floor Propping"),"Tube and Fitting",G140="Birdcage","Birdcage", G140="Rhino Deck", "Rhino Deck", G140="Trad Deck", "Trad Deck")</f>
        <v>Tube and Fitting</v>
      </c>
      <c r="P140" t="s">
        <v>113</v>
      </c>
      <c r="Q140" t="str" cm="1">
        <f t="array" ref="Q140">_xlfn.IFS(M140="Loading Bay","15/OPT/1638-001",M140="Supporting Scaffold", "D/2020/23 rev.A",OR(M140&lt;&gt;"Loading Bay",M140&lt;&gt;"Supporting Scaffold"),"TG20:13 Scaffold")</f>
        <v>TG20:13 Scaffold</v>
      </c>
      <c r="T140" t="s">
        <v>114</v>
      </c>
    </row>
    <row r="141" spans="1:20" x14ac:dyDescent="0.25">
      <c r="A141" t="s">
        <v>350</v>
      </c>
      <c r="B141" t="s">
        <v>112</v>
      </c>
      <c r="C141" t="s">
        <v>141</v>
      </c>
      <c r="D141" t="s">
        <v>1</v>
      </c>
      <c r="E141" t="s">
        <v>79</v>
      </c>
      <c r="F141" t="s">
        <v>72</v>
      </c>
      <c r="G141" t="str" cm="1">
        <f t="array" ref="G141">_xlfn.IFS(D141="External Scaffolding","External Scaffolding",D141="Loading Bay","Loading Tower",D141="Scaffolding Platform","Birdcage", D141="Supporting Scaffold","Floor Propping")</f>
        <v>Loading Tower</v>
      </c>
      <c r="H141" s="1" t="str" cm="1">
        <f t="array" ref="H141">_xlfn.IFS(OR(G141="External Scaffolding",G141="Birdcage", G141="Trad Deck", G141="Floor Propping"),"2.0 kN/m² (General Purpose)",G141= "Loading Tower","10.0 kN/m² (Loading Bay)",G141="Rhino Deck","6.0 kN/m² (Rhino Deck)")</f>
        <v>10.0 kN/m² (Loading Bay)</v>
      </c>
      <c r="I141" t="str">
        <f t="shared" si="8"/>
        <v>Brick Guards</v>
      </c>
      <c r="J141" t="str">
        <f t="shared" si="9"/>
        <v>Positive Tying</v>
      </c>
      <c r="K141">
        <v>1334</v>
      </c>
      <c r="L141" t="str">
        <f t="shared" si="10"/>
        <v>Garage 170-171</v>
      </c>
      <c r="M141" t="str">
        <f t="shared" si="11"/>
        <v>Loading Bay</v>
      </c>
      <c r="N141" t="str" cm="1">
        <f t="array" ref="N141">_xlfn.IFS(OR(G141="External Scaffolding",G141="Loading Tower", G141="Floor Propping"),"Tube and Fitting",G141="Birdcage","Birdcage", G141="Rhino Deck", "Rhino Deck", G141="Trad Deck", "Trad Deck")</f>
        <v>Tube and Fitting</v>
      </c>
      <c r="P141" t="s">
        <v>113</v>
      </c>
      <c r="Q141" t="str" cm="1">
        <f t="array" ref="Q141">_xlfn.IFS(M141="Loading Bay","15/OPT/1638-001",M141="Supporting Scaffold", "D/2020/23 rev.A",OR(M141&lt;&gt;"Loading Bay",M141&lt;&gt;"Supporting Scaffold"),"TG20:13 Scaffold")</f>
        <v>15/OPT/1638-001</v>
      </c>
      <c r="T141" t="s">
        <v>114</v>
      </c>
    </row>
    <row r="142" spans="1:20" x14ac:dyDescent="0.25">
      <c r="A142" t="s">
        <v>351</v>
      </c>
      <c r="B142" t="s">
        <v>112</v>
      </c>
      <c r="C142" t="s">
        <v>141</v>
      </c>
      <c r="D142" t="s">
        <v>0</v>
      </c>
      <c r="E142" t="s">
        <v>79</v>
      </c>
      <c r="F142" t="s">
        <v>73</v>
      </c>
      <c r="G142" t="str" cm="1">
        <f t="array" ref="G142">_xlfn.IFS(D142="External Scaffolding","External Scaffolding",D142="Loading Bay","Loading Tower",D142="Scaffolding Platform","Birdcage", D142="Supporting Scaffold","Floor Propping")</f>
        <v>External Scaffolding</v>
      </c>
      <c r="H142" s="1" t="str" cm="1">
        <f t="array" ref="H142">_xlfn.IFS(OR(G142="External Scaffolding",G142="Birdcage", G142="Trad Deck", G142="Floor Propping"),"2.0 kN/m² (General Purpose)",G142= "Loading Tower","10.0 kN/m² (Loading Bay)",G142="Rhino Deck","6.0 kN/m² (Rhino Deck)")</f>
        <v>2.0 kN/m² (General Purpose)</v>
      </c>
      <c r="I142" t="str">
        <f t="shared" si="8"/>
        <v>Brick Guards</v>
      </c>
      <c r="J142" t="str">
        <f t="shared" si="9"/>
        <v>Positive Tying</v>
      </c>
      <c r="K142">
        <v>1334</v>
      </c>
      <c r="L142" t="str">
        <f t="shared" si="10"/>
        <v>Garage 173</v>
      </c>
      <c r="M142" t="str">
        <f t="shared" si="11"/>
        <v>External Scaffolding</v>
      </c>
      <c r="N142" t="str" cm="1">
        <f t="array" ref="N142">_xlfn.IFS(OR(G142="External Scaffolding",G142="Loading Tower", G142="Floor Propping"),"Tube and Fitting",G142="Birdcage","Birdcage", G142="Rhino Deck", "Rhino Deck", G142="Trad Deck", "Trad Deck")</f>
        <v>Tube and Fitting</v>
      </c>
      <c r="P142" t="s">
        <v>113</v>
      </c>
      <c r="Q142" t="str" cm="1">
        <f t="array" ref="Q142">_xlfn.IFS(M142="Loading Bay","15/OPT/1638-001",M142="Supporting Scaffold", "D/2020/23 rev.A",OR(M142&lt;&gt;"Loading Bay",M142&lt;&gt;"Supporting Scaffold"),"TG20:13 Scaffold")</f>
        <v>TG20:13 Scaffold</v>
      </c>
      <c r="T142" t="s">
        <v>114</v>
      </c>
    </row>
    <row r="143" spans="1:20" x14ac:dyDescent="0.25">
      <c r="A143" t="s">
        <v>352</v>
      </c>
      <c r="B143" t="s">
        <v>112</v>
      </c>
      <c r="C143" t="s">
        <v>141</v>
      </c>
      <c r="D143" t="s">
        <v>1</v>
      </c>
      <c r="E143" t="s">
        <v>79</v>
      </c>
      <c r="F143" t="s">
        <v>73</v>
      </c>
      <c r="G143" t="str" cm="1">
        <f t="array" ref="G143">_xlfn.IFS(D143="External Scaffolding","External Scaffolding",D143="Loading Bay","Loading Tower",D143="Scaffolding Platform","Birdcage", D143="Supporting Scaffold","Floor Propping")</f>
        <v>Loading Tower</v>
      </c>
      <c r="H143" s="1" t="str" cm="1">
        <f t="array" ref="H143">_xlfn.IFS(OR(G143="External Scaffolding",G143="Birdcage", G143="Trad Deck", G143="Floor Propping"),"2.0 kN/m² (General Purpose)",G143= "Loading Tower","10.0 kN/m² (Loading Bay)",G143="Rhino Deck","6.0 kN/m² (Rhino Deck)")</f>
        <v>10.0 kN/m² (Loading Bay)</v>
      </c>
      <c r="I143" t="str">
        <f t="shared" si="8"/>
        <v>Brick Guards</v>
      </c>
      <c r="J143" t="str">
        <f t="shared" si="9"/>
        <v>Positive Tying</v>
      </c>
      <c r="K143">
        <v>1334</v>
      </c>
      <c r="L143" t="str">
        <f t="shared" si="10"/>
        <v>Garage 173</v>
      </c>
      <c r="M143" t="str">
        <f t="shared" si="11"/>
        <v>Loading Bay</v>
      </c>
      <c r="N143" t="str" cm="1">
        <f t="array" ref="N143">_xlfn.IFS(OR(G143="External Scaffolding",G143="Loading Tower", G143="Floor Propping"),"Tube and Fitting",G143="Birdcage","Birdcage", G143="Rhino Deck", "Rhino Deck", G143="Trad Deck", "Trad Deck")</f>
        <v>Tube and Fitting</v>
      </c>
      <c r="P143" t="s">
        <v>113</v>
      </c>
      <c r="Q143" t="str" cm="1">
        <f t="array" ref="Q143">_xlfn.IFS(M143="Loading Bay","15/OPT/1638-001",M143="Supporting Scaffold", "D/2020/23 rev.A",OR(M143&lt;&gt;"Loading Bay",M143&lt;&gt;"Supporting Scaffold"),"TG20:13 Scaffold")</f>
        <v>15/OPT/1638-001</v>
      </c>
      <c r="T143" t="s">
        <v>114</v>
      </c>
    </row>
    <row r="144" spans="1:20" x14ac:dyDescent="0.25">
      <c r="A144" t="s">
        <v>353</v>
      </c>
      <c r="B144" t="s">
        <v>112</v>
      </c>
      <c r="C144" t="s">
        <v>141</v>
      </c>
      <c r="D144" t="s">
        <v>0</v>
      </c>
      <c r="E144" t="s">
        <v>79</v>
      </c>
      <c r="F144" t="s">
        <v>26</v>
      </c>
      <c r="G144" t="str" cm="1">
        <f t="array" ref="G144">_xlfn.IFS(D144="External Scaffolding","External Scaffolding",D144="Loading Bay","Loading Tower",D144="Scaffolding Platform","Birdcage", D144="Supporting Scaffold","Floor Propping")</f>
        <v>External Scaffolding</v>
      </c>
      <c r="H144" s="1" t="str" cm="1">
        <f t="array" ref="H144">_xlfn.IFS(OR(G144="External Scaffolding",G144="Birdcage", G144="Trad Deck", G144="Floor Propping"),"2.0 kN/m² (General Purpose)",G144= "Loading Tower","10.0 kN/m² (Loading Bay)",G144="Rhino Deck","6.0 kN/m² (Rhino Deck)")</f>
        <v>2.0 kN/m² (General Purpose)</v>
      </c>
      <c r="I144" t="str">
        <f t="shared" si="8"/>
        <v>Brick Guards</v>
      </c>
      <c r="J144" t="str">
        <f t="shared" si="9"/>
        <v>Positive Tying</v>
      </c>
      <c r="K144">
        <v>1334</v>
      </c>
      <c r="L144" t="str">
        <f t="shared" si="10"/>
        <v>Garage 60</v>
      </c>
      <c r="M144" t="str">
        <f t="shared" si="11"/>
        <v>External Scaffolding</v>
      </c>
      <c r="N144" t="str" cm="1">
        <f t="array" ref="N144">_xlfn.IFS(OR(G144="External Scaffolding",G144="Loading Tower", G144="Floor Propping"),"Tube and Fitting",G144="Birdcage","Birdcage", G144="Rhino Deck", "Rhino Deck", G144="Trad Deck", "Trad Deck")</f>
        <v>Tube and Fitting</v>
      </c>
      <c r="P144" t="s">
        <v>113</v>
      </c>
      <c r="Q144" t="str" cm="1">
        <f t="array" ref="Q144">_xlfn.IFS(M144="Loading Bay","15/OPT/1638-001",M144="Supporting Scaffold", "D/2020/23 rev.A",OR(M144&lt;&gt;"Loading Bay",M144&lt;&gt;"Supporting Scaffold"),"TG20:13 Scaffold")</f>
        <v>TG20:13 Scaffold</v>
      </c>
      <c r="T144" t="s">
        <v>114</v>
      </c>
    </row>
    <row r="145" spans="1:20" x14ac:dyDescent="0.25">
      <c r="A145" t="s">
        <v>354</v>
      </c>
      <c r="B145" t="s">
        <v>112</v>
      </c>
      <c r="C145" t="s">
        <v>141</v>
      </c>
      <c r="D145" t="s">
        <v>1</v>
      </c>
      <c r="E145" t="s">
        <v>79</v>
      </c>
      <c r="F145" t="s">
        <v>26</v>
      </c>
      <c r="G145" t="str" cm="1">
        <f t="array" ref="G145">_xlfn.IFS(D145="External Scaffolding","External Scaffolding",D145="Loading Bay","Loading Tower",D145="Scaffolding Platform","Birdcage", D145="Supporting Scaffold","Floor Propping")</f>
        <v>Loading Tower</v>
      </c>
      <c r="H145" s="1" t="str" cm="1">
        <f t="array" ref="H145">_xlfn.IFS(OR(G145="External Scaffolding",G145="Birdcage", G145="Trad Deck", G145="Floor Propping"),"2.0 kN/m² (General Purpose)",G145= "Loading Tower","10.0 kN/m² (Loading Bay)",G145="Rhino Deck","6.0 kN/m² (Rhino Deck)")</f>
        <v>10.0 kN/m² (Loading Bay)</v>
      </c>
      <c r="I145" t="str">
        <f t="shared" si="8"/>
        <v>Brick Guards</v>
      </c>
      <c r="J145" t="str">
        <f t="shared" si="9"/>
        <v>Positive Tying</v>
      </c>
      <c r="K145">
        <v>1334</v>
      </c>
      <c r="L145" t="str">
        <f t="shared" si="10"/>
        <v>Garage 60</v>
      </c>
      <c r="M145" t="str">
        <f t="shared" si="11"/>
        <v>Loading Bay</v>
      </c>
      <c r="N145" t="str" cm="1">
        <f t="array" ref="N145">_xlfn.IFS(OR(G145="External Scaffolding",G145="Loading Tower", G145="Floor Propping"),"Tube and Fitting",G145="Birdcage","Birdcage", G145="Rhino Deck", "Rhino Deck", G145="Trad Deck", "Trad Deck")</f>
        <v>Tube and Fitting</v>
      </c>
      <c r="P145" t="s">
        <v>113</v>
      </c>
      <c r="Q145" t="str" cm="1">
        <f t="array" ref="Q145">_xlfn.IFS(M145="Loading Bay","15/OPT/1638-001",M145="Supporting Scaffold", "D/2020/23 rev.A",OR(M145&lt;&gt;"Loading Bay",M145&lt;&gt;"Supporting Scaffold"),"TG20:13 Scaffold")</f>
        <v>15/OPT/1638-001</v>
      </c>
      <c r="T145" t="s">
        <v>114</v>
      </c>
    </row>
    <row r="146" spans="1:20" x14ac:dyDescent="0.25">
      <c r="A146" t="s">
        <v>355</v>
      </c>
      <c r="B146" t="s">
        <v>112</v>
      </c>
      <c r="C146" t="s">
        <v>141</v>
      </c>
      <c r="D146" t="s">
        <v>0</v>
      </c>
      <c r="E146" t="s">
        <v>79</v>
      </c>
      <c r="F146" t="s">
        <v>27</v>
      </c>
      <c r="G146" t="str" cm="1">
        <f t="array" ref="G146">_xlfn.IFS(D146="External Scaffolding","External Scaffolding",D146="Loading Bay","Loading Tower",D146="Scaffolding Platform","Birdcage", D146="Supporting Scaffold","Floor Propping")</f>
        <v>External Scaffolding</v>
      </c>
      <c r="H146" s="1" t="str" cm="1">
        <f t="array" ref="H146">_xlfn.IFS(OR(G146="External Scaffolding",G146="Birdcage", G146="Trad Deck", G146="Floor Propping"),"2.0 kN/m² (General Purpose)",G146= "Loading Tower","10.0 kN/m² (Loading Bay)",G146="Rhino Deck","6.0 kN/m² (Rhino Deck)")</f>
        <v>2.0 kN/m² (General Purpose)</v>
      </c>
      <c r="I146" t="str">
        <f t="shared" si="8"/>
        <v>Brick Guards</v>
      </c>
      <c r="J146" t="str">
        <f t="shared" si="9"/>
        <v>Positive Tying</v>
      </c>
      <c r="K146">
        <v>1334</v>
      </c>
      <c r="L146" t="str">
        <f t="shared" si="10"/>
        <v>Garage 63</v>
      </c>
      <c r="M146" t="str">
        <f t="shared" si="11"/>
        <v>External Scaffolding</v>
      </c>
      <c r="N146" t="str" cm="1">
        <f t="array" ref="N146">_xlfn.IFS(OR(G146="External Scaffolding",G146="Loading Tower", G146="Floor Propping"),"Tube and Fitting",G146="Birdcage","Birdcage", G146="Rhino Deck", "Rhino Deck", G146="Trad Deck", "Trad Deck")</f>
        <v>Tube and Fitting</v>
      </c>
      <c r="P146" t="s">
        <v>113</v>
      </c>
      <c r="Q146" t="str" cm="1">
        <f t="array" ref="Q146">_xlfn.IFS(M146="Loading Bay","15/OPT/1638-001",M146="Supporting Scaffold", "D/2020/23 rev.A",OR(M146&lt;&gt;"Loading Bay",M146&lt;&gt;"Supporting Scaffold"),"TG20:13 Scaffold")</f>
        <v>TG20:13 Scaffold</v>
      </c>
      <c r="T146" t="s">
        <v>114</v>
      </c>
    </row>
    <row r="147" spans="1:20" x14ac:dyDescent="0.25">
      <c r="A147" t="s">
        <v>356</v>
      </c>
      <c r="B147" t="s">
        <v>112</v>
      </c>
      <c r="C147" t="s">
        <v>141</v>
      </c>
      <c r="D147" t="s">
        <v>1</v>
      </c>
      <c r="E147" t="s">
        <v>79</v>
      </c>
      <c r="F147" t="s">
        <v>27</v>
      </c>
      <c r="G147" t="str" cm="1">
        <f t="array" ref="G147">_xlfn.IFS(D147="External Scaffolding","External Scaffolding",D147="Loading Bay","Loading Tower",D147="Scaffolding Platform","Birdcage", D147="Supporting Scaffold","Floor Propping")</f>
        <v>Loading Tower</v>
      </c>
      <c r="H147" s="1" t="str" cm="1">
        <f t="array" ref="H147">_xlfn.IFS(OR(G147="External Scaffolding",G147="Birdcage", G147="Trad Deck", G147="Floor Propping"),"2.0 kN/m² (General Purpose)",G147= "Loading Tower","10.0 kN/m² (Loading Bay)",G147="Rhino Deck","6.0 kN/m² (Rhino Deck)")</f>
        <v>10.0 kN/m² (Loading Bay)</v>
      </c>
      <c r="I147" t="str">
        <f t="shared" si="8"/>
        <v>Brick Guards</v>
      </c>
      <c r="J147" t="str">
        <f t="shared" si="9"/>
        <v>Positive Tying</v>
      </c>
      <c r="K147">
        <v>1334</v>
      </c>
      <c r="L147" t="str">
        <f t="shared" si="10"/>
        <v>Garage 63</v>
      </c>
      <c r="M147" t="str">
        <f t="shared" si="11"/>
        <v>Loading Bay</v>
      </c>
      <c r="N147" t="str" cm="1">
        <f t="array" ref="N147">_xlfn.IFS(OR(G147="External Scaffolding",G147="Loading Tower", G147="Floor Propping"),"Tube and Fitting",G147="Birdcage","Birdcage", G147="Rhino Deck", "Rhino Deck", G147="Trad Deck", "Trad Deck")</f>
        <v>Tube and Fitting</v>
      </c>
      <c r="P147" t="s">
        <v>113</v>
      </c>
      <c r="Q147" t="str" cm="1">
        <f t="array" ref="Q147">_xlfn.IFS(M147="Loading Bay","15/OPT/1638-001",M147="Supporting Scaffold", "D/2020/23 rev.A",OR(M147&lt;&gt;"Loading Bay",M147&lt;&gt;"Supporting Scaffold"),"TG20:13 Scaffold")</f>
        <v>15/OPT/1638-001</v>
      </c>
      <c r="T147" t="s">
        <v>114</v>
      </c>
    </row>
    <row r="148" spans="1:20" x14ac:dyDescent="0.25">
      <c r="A148" t="s">
        <v>357</v>
      </c>
      <c r="B148" t="s">
        <v>112</v>
      </c>
      <c r="C148" t="s">
        <v>141</v>
      </c>
      <c r="D148" t="s">
        <v>0</v>
      </c>
      <c r="E148" t="s">
        <v>79</v>
      </c>
      <c r="F148" t="s">
        <v>28</v>
      </c>
      <c r="G148" t="str" cm="1">
        <f t="array" ref="G148">_xlfn.IFS(D148="External Scaffolding","External Scaffolding",D148="Loading Bay","Loading Tower",D148="Scaffolding Platform","Birdcage", D148="Supporting Scaffold","Floor Propping")</f>
        <v>External Scaffolding</v>
      </c>
      <c r="H148" s="1" t="str" cm="1">
        <f t="array" ref="H148">_xlfn.IFS(OR(G148="External Scaffolding",G148="Birdcage", G148="Trad Deck", G148="Floor Propping"),"2.0 kN/m² (General Purpose)",G148= "Loading Tower","10.0 kN/m² (Loading Bay)",G148="Rhino Deck","6.0 kN/m² (Rhino Deck)")</f>
        <v>2.0 kN/m² (General Purpose)</v>
      </c>
      <c r="I148" t="str">
        <f t="shared" si="8"/>
        <v>Brick Guards</v>
      </c>
      <c r="J148" t="str">
        <f t="shared" si="9"/>
        <v>Positive Tying</v>
      </c>
      <c r="K148">
        <v>1334</v>
      </c>
      <c r="L148" t="str">
        <f t="shared" si="10"/>
        <v>Garage 64</v>
      </c>
      <c r="M148" t="str">
        <f t="shared" si="11"/>
        <v>External Scaffolding</v>
      </c>
      <c r="N148" t="str" cm="1">
        <f t="array" ref="N148">_xlfn.IFS(OR(G148="External Scaffolding",G148="Loading Tower", G148="Floor Propping"),"Tube and Fitting",G148="Birdcage","Birdcage", G148="Rhino Deck", "Rhino Deck", G148="Trad Deck", "Trad Deck")</f>
        <v>Tube and Fitting</v>
      </c>
      <c r="P148" t="s">
        <v>113</v>
      </c>
      <c r="Q148" t="str" cm="1">
        <f t="array" ref="Q148">_xlfn.IFS(M148="Loading Bay","15/OPT/1638-001",M148="Supporting Scaffold", "D/2020/23 rev.A",OR(M148&lt;&gt;"Loading Bay",M148&lt;&gt;"Supporting Scaffold"),"TG20:13 Scaffold")</f>
        <v>TG20:13 Scaffold</v>
      </c>
      <c r="T148" t="s">
        <v>114</v>
      </c>
    </row>
    <row r="149" spans="1:20" x14ac:dyDescent="0.25">
      <c r="A149" t="s">
        <v>358</v>
      </c>
      <c r="B149" t="s">
        <v>112</v>
      </c>
      <c r="C149" t="s">
        <v>141</v>
      </c>
      <c r="D149" t="s">
        <v>1</v>
      </c>
      <c r="E149" t="s">
        <v>79</v>
      </c>
      <c r="F149" t="s">
        <v>28</v>
      </c>
      <c r="G149" t="str" cm="1">
        <f t="array" ref="G149">_xlfn.IFS(D149="External Scaffolding","External Scaffolding",D149="Loading Bay","Loading Tower",D149="Scaffolding Platform","Birdcage", D149="Supporting Scaffold","Floor Propping")</f>
        <v>Loading Tower</v>
      </c>
      <c r="H149" s="1" t="str" cm="1">
        <f t="array" ref="H149">_xlfn.IFS(OR(G149="External Scaffolding",G149="Birdcage", G149="Trad Deck", G149="Floor Propping"),"2.0 kN/m² (General Purpose)",G149= "Loading Tower","10.0 kN/m² (Loading Bay)",G149="Rhino Deck","6.0 kN/m² (Rhino Deck)")</f>
        <v>10.0 kN/m² (Loading Bay)</v>
      </c>
      <c r="I149" t="str">
        <f t="shared" si="8"/>
        <v>Brick Guards</v>
      </c>
      <c r="J149" t="str">
        <f t="shared" si="9"/>
        <v>Positive Tying</v>
      </c>
      <c r="K149">
        <v>1334</v>
      </c>
      <c r="L149" t="str">
        <f t="shared" si="10"/>
        <v>Garage 64</v>
      </c>
      <c r="M149" t="str">
        <f t="shared" si="11"/>
        <v>Loading Bay</v>
      </c>
      <c r="N149" t="str" cm="1">
        <f t="array" ref="N149">_xlfn.IFS(OR(G149="External Scaffolding",G149="Loading Tower", G149="Floor Propping"),"Tube and Fitting",G149="Birdcage","Birdcage", G149="Rhino Deck", "Rhino Deck", G149="Trad Deck", "Trad Deck")</f>
        <v>Tube and Fitting</v>
      </c>
      <c r="P149" t="s">
        <v>113</v>
      </c>
      <c r="Q149" t="str" cm="1">
        <f t="array" ref="Q149">_xlfn.IFS(M149="Loading Bay","15/OPT/1638-001",M149="Supporting Scaffold", "D/2020/23 rev.A",OR(M149&lt;&gt;"Loading Bay",M149&lt;&gt;"Supporting Scaffold"),"TG20:13 Scaffold")</f>
        <v>15/OPT/1638-001</v>
      </c>
      <c r="T149" t="s">
        <v>114</v>
      </c>
    </row>
    <row r="150" spans="1:20" x14ac:dyDescent="0.25">
      <c r="A150" t="s">
        <v>359</v>
      </c>
      <c r="B150" t="s">
        <v>112</v>
      </c>
      <c r="C150" t="s">
        <v>141</v>
      </c>
      <c r="D150" t="s">
        <v>0</v>
      </c>
      <c r="E150" t="s">
        <v>79</v>
      </c>
      <c r="F150" t="s">
        <v>29</v>
      </c>
      <c r="G150" t="str" cm="1">
        <f t="array" ref="G150">_xlfn.IFS(D150="External Scaffolding","External Scaffolding",D150="Loading Bay","Loading Tower",D150="Scaffolding Platform","Birdcage", D150="Supporting Scaffold","Floor Propping")</f>
        <v>External Scaffolding</v>
      </c>
      <c r="H150" s="1" t="str" cm="1">
        <f t="array" ref="H150">_xlfn.IFS(OR(G150="External Scaffolding",G150="Birdcage", G150="Trad Deck", G150="Floor Propping"),"2.0 kN/m² (General Purpose)",G150= "Loading Tower","10.0 kN/m² (Loading Bay)",G150="Rhino Deck","6.0 kN/m² (Rhino Deck)")</f>
        <v>2.0 kN/m² (General Purpose)</v>
      </c>
      <c r="I150" t="str">
        <f t="shared" si="8"/>
        <v>Brick Guards</v>
      </c>
      <c r="J150" t="str">
        <f t="shared" si="9"/>
        <v>Positive Tying</v>
      </c>
      <c r="K150">
        <v>1334</v>
      </c>
      <c r="L150" t="str">
        <f t="shared" si="10"/>
        <v>Garage 65-72</v>
      </c>
      <c r="M150" t="str">
        <f t="shared" si="11"/>
        <v>External Scaffolding</v>
      </c>
      <c r="N150" t="str" cm="1">
        <f t="array" ref="N150">_xlfn.IFS(OR(G150="External Scaffolding",G150="Loading Tower", G150="Floor Propping"),"Tube and Fitting",G150="Birdcage","Birdcage", G150="Rhino Deck", "Rhino Deck", G150="Trad Deck", "Trad Deck")</f>
        <v>Tube and Fitting</v>
      </c>
      <c r="P150" t="s">
        <v>113</v>
      </c>
      <c r="Q150" t="str" cm="1">
        <f t="array" ref="Q150">_xlfn.IFS(M150="Loading Bay","15/OPT/1638-001",M150="Supporting Scaffold", "D/2020/23 rev.A",OR(M150&lt;&gt;"Loading Bay",M150&lt;&gt;"Supporting Scaffold"),"TG20:13 Scaffold")</f>
        <v>TG20:13 Scaffold</v>
      </c>
      <c r="T150" t="s">
        <v>114</v>
      </c>
    </row>
    <row r="151" spans="1:20" x14ac:dyDescent="0.25">
      <c r="A151" t="s">
        <v>360</v>
      </c>
      <c r="B151" t="s">
        <v>112</v>
      </c>
      <c r="C151" t="s">
        <v>141</v>
      </c>
      <c r="D151" t="s">
        <v>1</v>
      </c>
      <c r="E151" t="s">
        <v>79</v>
      </c>
      <c r="F151" t="s">
        <v>29</v>
      </c>
      <c r="G151" t="str" cm="1">
        <f t="array" ref="G151">_xlfn.IFS(D151="External Scaffolding","External Scaffolding",D151="Loading Bay","Loading Tower",D151="Scaffolding Platform","Birdcage", D151="Supporting Scaffold","Floor Propping")</f>
        <v>Loading Tower</v>
      </c>
      <c r="H151" s="1" t="str" cm="1">
        <f t="array" ref="H151">_xlfn.IFS(OR(G151="External Scaffolding",G151="Birdcage", G151="Trad Deck", G151="Floor Propping"),"2.0 kN/m² (General Purpose)",G151= "Loading Tower","10.0 kN/m² (Loading Bay)",G151="Rhino Deck","6.0 kN/m² (Rhino Deck)")</f>
        <v>10.0 kN/m² (Loading Bay)</v>
      </c>
      <c r="I151" t="str">
        <f t="shared" si="8"/>
        <v>Brick Guards</v>
      </c>
      <c r="J151" t="str">
        <f t="shared" si="9"/>
        <v>Positive Tying</v>
      </c>
      <c r="K151">
        <v>1334</v>
      </c>
      <c r="L151" t="str">
        <f t="shared" si="10"/>
        <v>Garage 65-72</v>
      </c>
      <c r="M151" t="str">
        <f t="shared" si="11"/>
        <v>Loading Bay</v>
      </c>
      <c r="N151" t="str" cm="1">
        <f t="array" ref="N151">_xlfn.IFS(OR(G151="External Scaffolding",G151="Loading Tower", G151="Floor Propping"),"Tube and Fitting",G151="Birdcage","Birdcage", G151="Rhino Deck", "Rhino Deck", G151="Trad Deck", "Trad Deck")</f>
        <v>Tube and Fitting</v>
      </c>
      <c r="P151" t="s">
        <v>113</v>
      </c>
      <c r="Q151" t="str" cm="1">
        <f t="array" ref="Q151">_xlfn.IFS(M151="Loading Bay","15/OPT/1638-001",M151="Supporting Scaffold", "D/2020/23 rev.A",OR(M151&lt;&gt;"Loading Bay",M151&lt;&gt;"Supporting Scaffold"),"TG20:13 Scaffold")</f>
        <v>15/OPT/1638-001</v>
      </c>
      <c r="T151" t="s">
        <v>114</v>
      </c>
    </row>
    <row r="152" spans="1:20" x14ac:dyDescent="0.25">
      <c r="A152" t="s">
        <v>361</v>
      </c>
      <c r="B152" t="s">
        <v>112</v>
      </c>
      <c r="C152" t="s">
        <v>141</v>
      </c>
      <c r="D152" t="s">
        <v>0</v>
      </c>
      <c r="E152" t="s">
        <v>79</v>
      </c>
      <c r="F152" t="s">
        <v>30</v>
      </c>
      <c r="G152" t="str" cm="1">
        <f t="array" ref="G152">_xlfn.IFS(D152="External Scaffolding","External Scaffolding",D152="Loading Bay","Loading Tower",D152="Scaffolding Platform","Birdcage", D152="Supporting Scaffold","Floor Propping")</f>
        <v>External Scaffolding</v>
      </c>
      <c r="H152" s="1" t="str" cm="1">
        <f t="array" ref="H152">_xlfn.IFS(OR(G152="External Scaffolding",G152="Birdcage", G152="Trad Deck", G152="Floor Propping"),"2.0 kN/m² (General Purpose)",G152= "Loading Tower","10.0 kN/m² (Loading Bay)",G152="Rhino Deck","6.0 kN/m² (Rhino Deck)")</f>
        <v>2.0 kN/m² (General Purpose)</v>
      </c>
      <c r="I152" t="str">
        <f t="shared" si="8"/>
        <v>Brick Guards</v>
      </c>
      <c r="J152" t="str">
        <f t="shared" si="9"/>
        <v>Positive Tying</v>
      </c>
      <c r="K152">
        <v>1334</v>
      </c>
      <c r="L152" t="str">
        <f t="shared" si="10"/>
        <v>Garage 66</v>
      </c>
      <c r="M152" t="str">
        <f t="shared" si="11"/>
        <v>External Scaffolding</v>
      </c>
      <c r="N152" t="str" cm="1">
        <f t="array" ref="N152">_xlfn.IFS(OR(G152="External Scaffolding",G152="Loading Tower", G152="Floor Propping"),"Tube and Fitting",G152="Birdcage","Birdcage", G152="Rhino Deck", "Rhino Deck", G152="Trad Deck", "Trad Deck")</f>
        <v>Tube and Fitting</v>
      </c>
      <c r="P152" t="s">
        <v>113</v>
      </c>
      <c r="Q152" t="str" cm="1">
        <f t="array" ref="Q152">_xlfn.IFS(M152="Loading Bay","15/OPT/1638-001",M152="Supporting Scaffold", "D/2020/23 rev.A",OR(M152&lt;&gt;"Loading Bay",M152&lt;&gt;"Supporting Scaffold"),"TG20:13 Scaffold")</f>
        <v>TG20:13 Scaffold</v>
      </c>
      <c r="T152" t="s">
        <v>114</v>
      </c>
    </row>
    <row r="153" spans="1:20" x14ac:dyDescent="0.25">
      <c r="A153" t="s">
        <v>362</v>
      </c>
      <c r="B153" t="s">
        <v>112</v>
      </c>
      <c r="C153" t="s">
        <v>141</v>
      </c>
      <c r="D153" t="s">
        <v>1</v>
      </c>
      <c r="E153" t="s">
        <v>79</v>
      </c>
      <c r="F153" t="s">
        <v>30</v>
      </c>
      <c r="G153" t="str" cm="1">
        <f t="array" ref="G153">_xlfn.IFS(D153="External Scaffolding","External Scaffolding",D153="Loading Bay","Loading Tower",D153="Scaffolding Platform","Birdcage", D153="Supporting Scaffold","Floor Propping")</f>
        <v>Loading Tower</v>
      </c>
      <c r="H153" s="1" t="str" cm="1">
        <f t="array" ref="H153">_xlfn.IFS(OR(G153="External Scaffolding",G153="Birdcage", G153="Trad Deck", G153="Floor Propping"),"2.0 kN/m² (General Purpose)",G153= "Loading Tower","10.0 kN/m² (Loading Bay)",G153="Rhino Deck","6.0 kN/m² (Rhino Deck)")</f>
        <v>10.0 kN/m² (Loading Bay)</v>
      </c>
      <c r="I153" t="str">
        <f t="shared" si="8"/>
        <v>Brick Guards</v>
      </c>
      <c r="J153" t="str">
        <f t="shared" si="9"/>
        <v>Positive Tying</v>
      </c>
      <c r="K153">
        <v>1334</v>
      </c>
      <c r="L153" t="str">
        <f t="shared" si="10"/>
        <v>Garage 66</v>
      </c>
      <c r="M153" t="str">
        <f t="shared" si="11"/>
        <v>Loading Bay</v>
      </c>
      <c r="N153" t="str" cm="1">
        <f t="array" ref="N153">_xlfn.IFS(OR(G153="External Scaffolding",G153="Loading Tower", G153="Floor Propping"),"Tube and Fitting",G153="Birdcage","Birdcage", G153="Rhino Deck", "Rhino Deck", G153="Trad Deck", "Trad Deck")</f>
        <v>Tube and Fitting</v>
      </c>
      <c r="P153" t="s">
        <v>113</v>
      </c>
      <c r="Q153" t="str" cm="1">
        <f t="array" ref="Q153">_xlfn.IFS(M153="Loading Bay","15/OPT/1638-001",M153="Supporting Scaffold", "D/2020/23 rev.A",OR(M153&lt;&gt;"Loading Bay",M153&lt;&gt;"Supporting Scaffold"),"TG20:13 Scaffold")</f>
        <v>15/OPT/1638-001</v>
      </c>
      <c r="T153" t="s">
        <v>114</v>
      </c>
    </row>
    <row r="154" spans="1:20" x14ac:dyDescent="0.25">
      <c r="A154" t="s">
        <v>363</v>
      </c>
      <c r="B154" t="s">
        <v>112</v>
      </c>
      <c r="C154" t="s">
        <v>141</v>
      </c>
      <c r="D154" t="s">
        <v>0</v>
      </c>
      <c r="E154" t="s">
        <v>79</v>
      </c>
      <c r="F154" t="s">
        <v>31</v>
      </c>
      <c r="G154" t="str" cm="1">
        <f t="array" ref="G154">_xlfn.IFS(D154="External Scaffolding","External Scaffolding",D154="Loading Bay","Loading Tower",D154="Scaffolding Platform","Birdcage", D154="Supporting Scaffold","Floor Propping")</f>
        <v>External Scaffolding</v>
      </c>
      <c r="H154" s="1" t="str" cm="1">
        <f t="array" ref="H154">_xlfn.IFS(OR(G154="External Scaffolding",G154="Birdcage", G154="Trad Deck", G154="Floor Propping"),"2.0 kN/m² (General Purpose)",G154= "Loading Tower","10.0 kN/m² (Loading Bay)",G154="Rhino Deck","6.0 kN/m² (Rhino Deck)")</f>
        <v>2.0 kN/m² (General Purpose)</v>
      </c>
      <c r="I154" t="str">
        <f t="shared" si="8"/>
        <v>Brick Guards</v>
      </c>
      <c r="J154" t="str">
        <f t="shared" si="9"/>
        <v>Positive Tying</v>
      </c>
      <c r="K154">
        <v>1334</v>
      </c>
      <c r="L154" t="str">
        <f t="shared" si="10"/>
        <v>Garage 67</v>
      </c>
      <c r="M154" t="str">
        <f t="shared" si="11"/>
        <v>External Scaffolding</v>
      </c>
      <c r="N154" t="str" cm="1">
        <f t="array" ref="N154">_xlfn.IFS(OR(G154="External Scaffolding",G154="Loading Tower", G154="Floor Propping"),"Tube and Fitting",G154="Birdcage","Birdcage", G154="Rhino Deck", "Rhino Deck", G154="Trad Deck", "Trad Deck")</f>
        <v>Tube and Fitting</v>
      </c>
      <c r="P154" t="s">
        <v>113</v>
      </c>
      <c r="Q154" t="str" cm="1">
        <f t="array" ref="Q154">_xlfn.IFS(M154="Loading Bay","15/OPT/1638-001",M154="Supporting Scaffold", "D/2020/23 rev.A",OR(M154&lt;&gt;"Loading Bay",M154&lt;&gt;"Supporting Scaffold"),"TG20:13 Scaffold")</f>
        <v>TG20:13 Scaffold</v>
      </c>
      <c r="T154" t="s">
        <v>114</v>
      </c>
    </row>
    <row r="155" spans="1:20" x14ac:dyDescent="0.25">
      <c r="A155" t="s">
        <v>364</v>
      </c>
      <c r="B155" t="s">
        <v>112</v>
      </c>
      <c r="C155" t="s">
        <v>141</v>
      </c>
      <c r="D155" t="s">
        <v>1</v>
      </c>
      <c r="E155" t="s">
        <v>79</v>
      </c>
      <c r="F155" t="s">
        <v>31</v>
      </c>
      <c r="G155" t="str" cm="1">
        <f t="array" ref="G155">_xlfn.IFS(D155="External Scaffolding","External Scaffolding",D155="Loading Bay","Loading Tower",D155="Scaffolding Platform","Birdcage", D155="Supporting Scaffold","Floor Propping")</f>
        <v>Loading Tower</v>
      </c>
      <c r="H155" s="1" t="str" cm="1">
        <f t="array" ref="H155">_xlfn.IFS(OR(G155="External Scaffolding",G155="Birdcage", G155="Trad Deck", G155="Floor Propping"),"2.0 kN/m² (General Purpose)",G155= "Loading Tower","10.0 kN/m² (Loading Bay)",G155="Rhino Deck","6.0 kN/m² (Rhino Deck)")</f>
        <v>10.0 kN/m² (Loading Bay)</v>
      </c>
      <c r="I155" t="str">
        <f t="shared" si="8"/>
        <v>Brick Guards</v>
      </c>
      <c r="J155" t="str">
        <f t="shared" si="9"/>
        <v>Positive Tying</v>
      </c>
      <c r="K155">
        <v>1334</v>
      </c>
      <c r="L155" t="str">
        <f t="shared" si="10"/>
        <v>Garage 67</v>
      </c>
      <c r="M155" t="str">
        <f t="shared" si="11"/>
        <v>Loading Bay</v>
      </c>
      <c r="N155" t="str" cm="1">
        <f t="array" ref="N155">_xlfn.IFS(OR(G155="External Scaffolding",G155="Loading Tower", G155="Floor Propping"),"Tube and Fitting",G155="Birdcage","Birdcage", G155="Rhino Deck", "Rhino Deck", G155="Trad Deck", "Trad Deck")</f>
        <v>Tube and Fitting</v>
      </c>
      <c r="P155" t="s">
        <v>113</v>
      </c>
      <c r="Q155" t="str" cm="1">
        <f t="array" ref="Q155">_xlfn.IFS(M155="Loading Bay","15/OPT/1638-001",M155="Supporting Scaffold", "D/2020/23 rev.A",OR(M155&lt;&gt;"Loading Bay",M155&lt;&gt;"Supporting Scaffold"),"TG20:13 Scaffold")</f>
        <v>15/OPT/1638-001</v>
      </c>
      <c r="T155" t="s">
        <v>114</v>
      </c>
    </row>
    <row r="156" spans="1:20" x14ac:dyDescent="0.25">
      <c r="A156" t="s">
        <v>365</v>
      </c>
      <c r="B156" t="s">
        <v>112</v>
      </c>
      <c r="C156" t="s">
        <v>141</v>
      </c>
      <c r="D156" t="s">
        <v>0</v>
      </c>
      <c r="E156" t="s">
        <v>79</v>
      </c>
      <c r="F156" t="s">
        <v>32</v>
      </c>
      <c r="G156" t="str" cm="1">
        <f t="array" ref="G156">_xlfn.IFS(D156="External Scaffolding","External Scaffolding",D156="Loading Bay","Loading Tower",D156="Scaffolding Platform","Birdcage", D156="Supporting Scaffold","Floor Propping")</f>
        <v>External Scaffolding</v>
      </c>
      <c r="H156" s="1" t="str" cm="1">
        <f t="array" ref="H156">_xlfn.IFS(OR(G156="External Scaffolding",G156="Birdcage", G156="Trad Deck", G156="Floor Propping"),"2.0 kN/m² (General Purpose)",G156= "Loading Tower","10.0 kN/m² (Loading Bay)",G156="Rhino Deck","6.0 kN/m² (Rhino Deck)")</f>
        <v>2.0 kN/m² (General Purpose)</v>
      </c>
      <c r="I156" t="str">
        <f t="shared" si="8"/>
        <v>Brick Guards</v>
      </c>
      <c r="J156" t="str">
        <f t="shared" si="9"/>
        <v>Positive Tying</v>
      </c>
      <c r="K156">
        <v>1334</v>
      </c>
      <c r="L156" t="str">
        <f t="shared" si="10"/>
        <v>Garage 68</v>
      </c>
      <c r="M156" t="str">
        <f t="shared" si="11"/>
        <v>External Scaffolding</v>
      </c>
      <c r="N156" t="str" cm="1">
        <f t="array" ref="N156">_xlfn.IFS(OR(G156="External Scaffolding",G156="Loading Tower", G156="Floor Propping"),"Tube and Fitting",G156="Birdcage","Birdcage", G156="Rhino Deck", "Rhino Deck", G156="Trad Deck", "Trad Deck")</f>
        <v>Tube and Fitting</v>
      </c>
      <c r="P156" t="s">
        <v>113</v>
      </c>
      <c r="Q156" t="str" cm="1">
        <f t="array" ref="Q156">_xlfn.IFS(M156="Loading Bay","15/OPT/1638-001",M156="Supporting Scaffold", "D/2020/23 rev.A",OR(M156&lt;&gt;"Loading Bay",M156&lt;&gt;"Supporting Scaffold"),"TG20:13 Scaffold")</f>
        <v>TG20:13 Scaffold</v>
      </c>
      <c r="T156" t="s">
        <v>114</v>
      </c>
    </row>
    <row r="157" spans="1:20" x14ac:dyDescent="0.25">
      <c r="A157" t="s">
        <v>366</v>
      </c>
      <c r="B157" t="s">
        <v>112</v>
      </c>
      <c r="C157" t="s">
        <v>141</v>
      </c>
      <c r="D157" t="s">
        <v>1</v>
      </c>
      <c r="E157" t="s">
        <v>79</v>
      </c>
      <c r="F157" t="s">
        <v>32</v>
      </c>
      <c r="G157" t="str" cm="1">
        <f t="array" ref="G157">_xlfn.IFS(D157="External Scaffolding","External Scaffolding",D157="Loading Bay","Loading Tower",D157="Scaffolding Platform","Birdcage", D157="Supporting Scaffold","Floor Propping")</f>
        <v>Loading Tower</v>
      </c>
      <c r="H157" s="1" t="str" cm="1">
        <f t="array" ref="H157">_xlfn.IFS(OR(G157="External Scaffolding",G157="Birdcage", G157="Trad Deck", G157="Floor Propping"),"2.0 kN/m² (General Purpose)",G157= "Loading Tower","10.0 kN/m² (Loading Bay)",G157="Rhino Deck","6.0 kN/m² (Rhino Deck)")</f>
        <v>10.0 kN/m² (Loading Bay)</v>
      </c>
      <c r="I157" t="str">
        <f t="shared" si="8"/>
        <v>Brick Guards</v>
      </c>
      <c r="J157" t="str">
        <f t="shared" si="9"/>
        <v>Positive Tying</v>
      </c>
      <c r="K157">
        <v>1334</v>
      </c>
      <c r="L157" t="str">
        <f t="shared" si="10"/>
        <v>Garage 68</v>
      </c>
      <c r="M157" t="str">
        <f t="shared" si="11"/>
        <v>Loading Bay</v>
      </c>
      <c r="N157" t="str" cm="1">
        <f t="array" ref="N157">_xlfn.IFS(OR(G157="External Scaffolding",G157="Loading Tower", G157="Floor Propping"),"Tube and Fitting",G157="Birdcage","Birdcage", G157="Rhino Deck", "Rhino Deck", G157="Trad Deck", "Trad Deck")</f>
        <v>Tube and Fitting</v>
      </c>
      <c r="P157" t="s">
        <v>113</v>
      </c>
      <c r="Q157" t="str" cm="1">
        <f t="array" ref="Q157">_xlfn.IFS(M157="Loading Bay","15/OPT/1638-001",M157="Supporting Scaffold", "D/2020/23 rev.A",OR(M157&lt;&gt;"Loading Bay",M157&lt;&gt;"Supporting Scaffold"),"TG20:13 Scaffold")</f>
        <v>15/OPT/1638-001</v>
      </c>
      <c r="T157" t="s">
        <v>114</v>
      </c>
    </row>
    <row r="158" spans="1:20" x14ac:dyDescent="0.25">
      <c r="A158" t="s">
        <v>367</v>
      </c>
      <c r="B158" t="s">
        <v>112</v>
      </c>
      <c r="C158" t="s">
        <v>141</v>
      </c>
      <c r="D158" t="s">
        <v>0</v>
      </c>
      <c r="E158" t="s">
        <v>79</v>
      </c>
      <c r="F158" t="s">
        <v>33</v>
      </c>
      <c r="G158" t="str" cm="1">
        <f t="array" ref="G158">_xlfn.IFS(D158="External Scaffolding","External Scaffolding",D158="Loading Bay","Loading Tower",D158="Scaffolding Platform","Birdcage", D158="Supporting Scaffold","Floor Propping")</f>
        <v>External Scaffolding</v>
      </c>
      <c r="H158" s="1" t="str" cm="1">
        <f t="array" ref="H158">_xlfn.IFS(OR(G158="External Scaffolding",G158="Birdcage", G158="Trad Deck", G158="Floor Propping"),"2.0 kN/m² (General Purpose)",G158= "Loading Tower","10.0 kN/m² (Loading Bay)",G158="Rhino Deck","6.0 kN/m² (Rhino Deck)")</f>
        <v>2.0 kN/m² (General Purpose)</v>
      </c>
      <c r="I158" t="str">
        <f t="shared" si="8"/>
        <v>Brick Guards</v>
      </c>
      <c r="J158" t="str">
        <f t="shared" si="9"/>
        <v>Positive Tying</v>
      </c>
      <c r="K158">
        <v>1334</v>
      </c>
      <c r="L158" t="str">
        <f t="shared" si="10"/>
        <v>Garage 69</v>
      </c>
      <c r="M158" t="str">
        <f t="shared" si="11"/>
        <v>External Scaffolding</v>
      </c>
      <c r="N158" t="str" cm="1">
        <f t="array" ref="N158">_xlfn.IFS(OR(G158="External Scaffolding",G158="Loading Tower", G158="Floor Propping"),"Tube and Fitting",G158="Birdcage","Birdcage", G158="Rhino Deck", "Rhino Deck", G158="Trad Deck", "Trad Deck")</f>
        <v>Tube and Fitting</v>
      </c>
      <c r="P158" t="s">
        <v>113</v>
      </c>
      <c r="Q158" t="str" cm="1">
        <f t="array" ref="Q158">_xlfn.IFS(M158="Loading Bay","15/OPT/1638-001",M158="Supporting Scaffold", "D/2020/23 rev.A",OR(M158&lt;&gt;"Loading Bay",M158&lt;&gt;"Supporting Scaffold"),"TG20:13 Scaffold")</f>
        <v>TG20:13 Scaffold</v>
      </c>
      <c r="T158" t="s">
        <v>114</v>
      </c>
    </row>
    <row r="159" spans="1:20" x14ac:dyDescent="0.25">
      <c r="A159" t="s">
        <v>368</v>
      </c>
      <c r="B159" t="s">
        <v>112</v>
      </c>
      <c r="C159" t="s">
        <v>141</v>
      </c>
      <c r="D159" t="s">
        <v>1</v>
      </c>
      <c r="E159" t="s">
        <v>79</v>
      </c>
      <c r="F159" t="s">
        <v>33</v>
      </c>
      <c r="G159" t="str" cm="1">
        <f t="array" ref="G159">_xlfn.IFS(D159="External Scaffolding","External Scaffolding",D159="Loading Bay","Loading Tower",D159="Scaffolding Platform","Birdcage", D159="Supporting Scaffold","Floor Propping")</f>
        <v>Loading Tower</v>
      </c>
      <c r="H159" s="1" t="str" cm="1">
        <f t="array" ref="H159">_xlfn.IFS(OR(G159="External Scaffolding",G159="Birdcage", G159="Trad Deck", G159="Floor Propping"),"2.0 kN/m² (General Purpose)",G159= "Loading Tower","10.0 kN/m² (Loading Bay)",G159="Rhino Deck","6.0 kN/m² (Rhino Deck)")</f>
        <v>10.0 kN/m² (Loading Bay)</v>
      </c>
      <c r="I159" t="str">
        <f t="shared" si="8"/>
        <v>Brick Guards</v>
      </c>
      <c r="J159" t="str">
        <f t="shared" si="9"/>
        <v>Positive Tying</v>
      </c>
      <c r="K159">
        <v>1334</v>
      </c>
      <c r="L159" t="str">
        <f t="shared" si="10"/>
        <v>Garage 69</v>
      </c>
      <c r="M159" t="str">
        <f t="shared" si="11"/>
        <v>Loading Bay</v>
      </c>
      <c r="N159" t="str" cm="1">
        <f t="array" ref="N159">_xlfn.IFS(OR(G159="External Scaffolding",G159="Loading Tower", G159="Floor Propping"),"Tube and Fitting",G159="Birdcage","Birdcage", G159="Rhino Deck", "Rhino Deck", G159="Trad Deck", "Trad Deck")</f>
        <v>Tube and Fitting</v>
      </c>
      <c r="P159" t="s">
        <v>113</v>
      </c>
      <c r="Q159" t="str" cm="1">
        <f t="array" ref="Q159">_xlfn.IFS(M159="Loading Bay","15/OPT/1638-001",M159="Supporting Scaffold", "D/2020/23 rev.A",OR(M159&lt;&gt;"Loading Bay",M159&lt;&gt;"Supporting Scaffold"),"TG20:13 Scaffold")</f>
        <v>15/OPT/1638-001</v>
      </c>
      <c r="T159" t="s">
        <v>114</v>
      </c>
    </row>
    <row r="160" spans="1:20" x14ac:dyDescent="0.25">
      <c r="A160" t="s">
        <v>369</v>
      </c>
      <c r="B160" t="s">
        <v>112</v>
      </c>
      <c r="C160" t="s">
        <v>141</v>
      </c>
      <c r="D160" t="s">
        <v>0</v>
      </c>
      <c r="E160" t="s">
        <v>79</v>
      </c>
      <c r="F160" t="s">
        <v>34</v>
      </c>
      <c r="G160" t="str" cm="1">
        <f t="array" ref="G160">_xlfn.IFS(D160="External Scaffolding","External Scaffolding",D160="Loading Bay","Loading Tower",D160="Scaffolding Platform","Birdcage", D160="Supporting Scaffold","Floor Propping")</f>
        <v>External Scaffolding</v>
      </c>
      <c r="H160" s="1" t="str" cm="1">
        <f t="array" ref="H160">_xlfn.IFS(OR(G160="External Scaffolding",G160="Birdcage", G160="Trad Deck", G160="Floor Propping"),"2.0 kN/m² (General Purpose)",G160= "Loading Tower","10.0 kN/m² (Loading Bay)",G160="Rhino Deck","6.0 kN/m² (Rhino Deck)")</f>
        <v>2.0 kN/m² (General Purpose)</v>
      </c>
      <c r="I160" t="str">
        <f t="shared" si="8"/>
        <v>Brick Guards</v>
      </c>
      <c r="J160" t="str">
        <f t="shared" si="9"/>
        <v>Positive Tying</v>
      </c>
      <c r="K160">
        <v>1334</v>
      </c>
      <c r="L160" t="str">
        <f t="shared" si="10"/>
        <v>Garage 70</v>
      </c>
      <c r="M160" t="str">
        <f t="shared" si="11"/>
        <v>External Scaffolding</v>
      </c>
      <c r="N160" t="str" cm="1">
        <f t="array" ref="N160">_xlfn.IFS(OR(G160="External Scaffolding",G160="Loading Tower", G160="Floor Propping"),"Tube and Fitting",G160="Birdcage","Birdcage", G160="Rhino Deck", "Rhino Deck", G160="Trad Deck", "Trad Deck")</f>
        <v>Tube and Fitting</v>
      </c>
      <c r="P160" t="s">
        <v>113</v>
      </c>
      <c r="Q160" t="str" cm="1">
        <f t="array" ref="Q160">_xlfn.IFS(M160="Loading Bay","15/OPT/1638-001",M160="Supporting Scaffold", "D/2020/23 rev.A",OR(M160&lt;&gt;"Loading Bay",M160&lt;&gt;"Supporting Scaffold"),"TG20:13 Scaffold")</f>
        <v>TG20:13 Scaffold</v>
      </c>
      <c r="T160" t="s">
        <v>114</v>
      </c>
    </row>
    <row r="161" spans="1:20" x14ac:dyDescent="0.25">
      <c r="A161" t="s">
        <v>370</v>
      </c>
      <c r="B161" t="s">
        <v>112</v>
      </c>
      <c r="C161" t="s">
        <v>141</v>
      </c>
      <c r="D161" t="s">
        <v>1</v>
      </c>
      <c r="E161" t="s">
        <v>79</v>
      </c>
      <c r="F161" t="s">
        <v>34</v>
      </c>
      <c r="G161" t="str" cm="1">
        <f t="array" ref="G161">_xlfn.IFS(D161="External Scaffolding","External Scaffolding",D161="Loading Bay","Loading Tower",D161="Scaffolding Platform","Birdcage", D161="Supporting Scaffold","Floor Propping")</f>
        <v>Loading Tower</v>
      </c>
      <c r="H161" s="1" t="str" cm="1">
        <f t="array" ref="H161">_xlfn.IFS(OR(G161="External Scaffolding",G161="Birdcage", G161="Trad Deck", G161="Floor Propping"),"2.0 kN/m² (General Purpose)",G161= "Loading Tower","10.0 kN/m² (Loading Bay)",G161="Rhino Deck","6.0 kN/m² (Rhino Deck)")</f>
        <v>10.0 kN/m² (Loading Bay)</v>
      </c>
      <c r="I161" t="str">
        <f t="shared" si="8"/>
        <v>Brick Guards</v>
      </c>
      <c r="J161" t="str">
        <f t="shared" si="9"/>
        <v>Positive Tying</v>
      </c>
      <c r="K161">
        <v>1334</v>
      </c>
      <c r="L161" t="str">
        <f t="shared" si="10"/>
        <v>Garage 70</v>
      </c>
      <c r="M161" t="str">
        <f t="shared" si="11"/>
        <v>Loading Bay</v>
      </c>
      <c r="N161" t="str" cm="1">
        <f t="array" ref="N161">_xlfn.IFS(OR(G161="External Scaffolding",G161="Loading Tower", G161="Floor Propping"),"Tube and Fitting",G161="Birdcage","Birdcage", G161="Rhino Deck", "Rhino Deck", G161="Trad Deck", "Trad Deck")</f>
        <v>Tube and Fitting</v>
      </c>
      <c r="P161" t="s">
        <v>113</v>
      </c>
      <c r="Q161" t="str" cm="1">
        <f t="array" ref="Q161">_xlfn.IFS(M161="Loading Bay","15/OPT/1638-001",M161="Supporting Scaffold", "D/2020/23 rev.A",OR(M161&lt;&gt;"Loading Bay",M161&lt;&gt;"Supporting Scaffold"),"TG20:13 Scaffold")</f>
        <v>15/OPT/1638-001</v>
      </c>
      <c r="T161" t="s">
        <v>114</v>
      </c>
    </row>
    <row r="162" spans="1:20" x14ac:dyDescent="0.25">
      <c r="A162" t="s">
        <v>371</v>
      </c>
      <c r="B162" t="s">
        <v>112</v>
      </c>
      <c r="C162" t="s">
        <v>141</v>
      </c>
      <c r="D162" t="s">
        <v>0</v>
      </c>
      <c r="E162" t="s">
        <v>79</v>
      </c>
      <c r="F162" t="s">
        <v>35</v>
      </c>
      <c r="G162" t="str" cm="1">
        <f t="array" ref="G162">_xlfn.IFS(D162="External Scaffolding","External Scaffolding",D162="Loading Bay","Loading Tower",D162="Scaffolding Platform","Birdcage", D162="Supporting Scaffold","Floor Propping")</f>
        <v>External Scaffolding</v>
      </c>
      <c r="H162" s="1" t="str" cm="1">
        <f t="array" ref="H162">_xlfn.IFS(OR(G162="External Scaffolding",G162="Birdcage", G162="Trad Deck", G162="Floor Propping"),"2.0 kN/m² (General Purpose)",G162= "Loading Tower","10.0 kN/m² (Loading Bay)",G162="Rhino Deck","6.0 kN/m² (Rhino Deck)")</f>
        <v>2.0 kN/m² (General Purpose)</v>
      </c>
      <c r="I162" t="str">
        <f t="shared" si="8"/>
        <v>Brick Guards</v>
      </c>
      <c r="J162" t="str">
        <f t="shared" si="9"/>
        <v>Positive Tying</v>
      </c>
      <c r="K162">
        <v>1334</v>
      </c>
      <c r="L162" t="str">
        <f t="shared" si="10"/>
        <v>Garage 71</v>
      </c>
      <c r="M162" t="str">
        <f t="shared" si="11"/>
        <v>External Scaffolding</v>
      </c>
      <c r="N162" t="str" cm="1">
        <f t="array" ref="N162">_xlfn.IFS(OR(G162="External Scaffolding",G162="Loading Tower", G162="Floor Propping"),"Tube and Fitting",G162="Birdcage","Birdcage", G162="Rhino Deck", "Rhino Deck", G162="Trad Deck", "Trad Deck")</f>
        <v>Tube and Fitting</v>
      </c>
      <c r="P162" t="s">
        <v>113</v>
      </c>
      <c r="Q162" t="str" cm="1">
        <f t="array" ref="Q162">_xlfn.IFS(M162="Loading Bay","15/OPT/1638-001",M162="Supporting Scaffold", "D/2020/23 rev.A",OR(M162&lt;&gt;"Loading Bay",M162&lt;&gt;"Supporting Scaffold"),"TG20:13 Scaffold")</f>
        <v>TG20:13 Scaffold</v>
      </c>
      <c r="T162" t="s">
        <v>114</v>
      </c>
    </row>
    <row r="163" spans="1:20" x14ac:dyDescent="0.25">
      <c r="A163" t="s">
        <v>372</v>
      </c>
      <c r="B163" t="s">
        <v>112</v>
      </c>
      <c r="C163" t="s">
        <v>141</v>
      </c>
      <c r="D163" t="s">
        <v>1</v>
      </c>
      <c r="E163" t="s">
        <v>79</v>
      </c>
      <c r="F163" t="s">
        <v>35</v>
      </c>
      <c r="G163" t="str" cm="1">
        <f t="array" ref="G163">_xlfn.IFS(D163="External Scaffolding","External Scaffolding",D163="Loading Bay","Loading Tower",D163="Scaffolding Platform","Birdcage", D163="Supporting Scaffold","Floor Propping")</f>
        <v>Loading Tower</v>
      </c>
      <c r="H163" s="1" t="str" cm="1">
        <f t="array" ref="H163">_xlfn.IFS(OR(G163="External Scaffolding",G163="Birdcage", G163="Trad Deck", G163="Floor Propping"),"2.0 kN/m² (General Purpose)",G163= "Loading Tower","10.0 kN/m² (Loading Bay)",G163="Rhino Deck","6.0 kN/m² (Rhino Deck)")</f>
        <v>10.0 kN/m² (Loading Bay)</v>
      </c>
      <c r="I163" t="str">
        <f t="shared" si="8"/>
        <v>Brick Guards</v>
      </c>
      <c r="J163" t="str">
        <f t="shared" si="9"/>
        <v>Positive Tying</v>
      </c>
      <c r="K163">
        <v>1334</v>
      </c>
      <c r="L163" t="str">
        <f t="shared" si="10"/>
        <v>Garage 71</v>
      </c>
      <c r="M163" t="str">
        <f t="shared" si="11"/>
        <v>Loading Bay</v>
      </c>
      <c r="N163" t="str" cm="1">
        <f t="array" ref="N163">_xlfn.IFS(OR(G163="External Scaffolding",G163="Loading Tower", G163="Floor Propping"),"Tube and Fitting",G163="Birdcage","Birdcage", G163="Rhino Deck", "Rhino Deck", G163="Trad Deck", "Trad Deck")</f>
        <v>Tube and Fitting</v>
      </c>
      <c r="P163" t="s">
        <v>113</v>
      </c>
      <c r="Q163" t="str" cm="1">
        <f t="array" ref="Q163">_xlfn.IFS(M163="Loading Bay","15/OPT/1638-001",M163="Supporting Scaffold", "D/2020/23 rev.A",OR(M163&lt;&gt;"Loading Bay",M163&lt;&gt;"Supporting Scaffold"),"TG20:13 Scaffold")</f>
        <v>15/OPT/1638-001</v>
      </c>
      <c r="T163" t="s">
        <v>114</v>
      </c>
    </row>
    <row r="164" spans="1:20" x14ac:dyDescent="0.25">
      <c r="A164" t="s">
        <v>373</v>
      </c>
      <c r="B164" t="s">
        <v>112</v>
      </c>
      <c r="C164" t="s">
        <v>141</v>
      </c>
      <c r="D164" t="s">
        <v>0</v>
      </c>
      <c r="E164" t="s">
        <v>79</v>
      </c>
      <c r="F164" t="s">
        <v>36</v>
      </c>
      <c r="G164" t="str" cm="1">
        <f t="array" ref="G164">_xlfn.IFS(D164="External Scaffolding","External Scaffolding",D164="Loading Bay","Loading Tower",D164="Scaffolding Platform","Birdcage", D164="Supporting Scaffold","Floor Propping")</f>
        <v>External Scaffolding</v>
      </c>
      <c r="H164" s="1" t="str" cm="1">
        <f t="array" ref="H164">_xlfn.IFS(OR(G164="External Scaffolding",G164="Birdcage", G164="Trad Deck", G164="Floor Propping"),"2.0 kN/m² (General Purpose)",G164= "Loading Tower","10.0 kN/m² (Loading Bay)",G164="Rhino Deck","6.0 kN/m² (Rhino Deck)")</f>
        <v>2.0 kN/m² (General Purpose)</v>
      </c>
      <c r="I164" t="str">
        <f t="shared" si="8"/>
        <v>Brick Guards</v>
      </c>
      <c r="J164" t="str">
        <f t="shared" si="9"/>
        <v>Positive Tying</v>
      </c>
      <c r="K164">
        <v>1334</v>
      </c>
      <c r="L164" t="str">
        <f t="shared" si="10"/>
        <v>Garage 73</v>
      </c>
      <c r="M164" t="str">
        <f t="shared" si="11"/>
        <v>External Scaffolding</v>
      </c>
      <c r="N164" t="str" cm="1">
        <f t="array" ref="N164">_xlfn.IFS(OR(G164="External Scaffolding",G164="Loading Tower", G164="Floor Propping"),"Tube and Fitting",G164="Birdcage","Birdcage", G164="Rhino Deck", "Rhino Deck", G164="Trad Deck", "Trad Deck")</f>
        <v>Tube and Fitting</v>
      </c>
      <c r="P164" t="s">
        <v>113</v>
      </c>
      <c r="Q164" t="str" cm="1">
        <f t="array" ref="Q164">_xlfn.IFS(M164="Loading Bay","15/OPT/1638-001",M164="Supporting Scaffold", "D/2020/23 rev.A",OR(M164&lt;&gt;"Loading Bay",M164&lt;&gt;"Supporting Scaffold"),"TG20:13 Scaffold")</f>
        <v>TG20:13 Scaffold</v>
      </c>
      <c r="T164" t="s">
        <v>114</v>
      </c>
    </row>
    <row r="165" spans="1:20" x14ac:dyDescent="0.25">
      <c r="A165" t="s">
        <v>374</v>
      </c>
      <c r="B165" t="s">
        <v>112</v>
      </c>
      <c r="C165" t="s">
        <v>141</v>
      </c>
      <c r="D165" t="s">
        <v>1</v>
      </c>
      <c r="E165" t="s">
        <v>79</v>
      </c>
      <c r="F165" t="s">
        <v>36</v>
      </c>
      <c r="G165" t="str" cm="1">
        <f t="array" ref="G165">_xlfn.IFS(D165="External Scaffolding","External Scaffolding",D165="Loading Bay","Loading Tower",D165="Scaffolding Platform","Birdcage", D165="Supporting Scaffold","Floor Propping")</f>
        <v>Loading Tower</v>
      </c>
      <c r="H165" s="1" t="str" cm="1">
        <f t="array" ref="H165">_xlfn.IFS(OR(G165="External Scaffolding",G165="Birdcage", G165="Trad Deck", G165="Floor Propping"),"2.0 kN/m² (General Purpose)",G165= "Loading Tower","10.0 kN/m² (Loading Bay)",G165="Rhino Deck","6.0 kN/m² (Rhino Deck)")</f>
        <v>10.0 kN/m² (Loading Bay)</v>
      </c>
      <c r="I165" t="str">
        <f t="shared" si="8"/>
        <v>Brick Guards</v>
      </c>
      <c r="J165" t="str">
        <f t="shared" si="9"/>
        <v>Positive Tying</v>
      </c>
      <c r="K165">
        <v>1334</v>
      </c>
      <c r="L165" t="str">
        <f t="shared" si="10"/>
        <v>Garage 73</v>
      </c>
      <c r="M165" t="str">
        <f t="shared" si="11"/>
        <v>Loading Bay</v>
      </c>
      <c r="N165" t="str" cm="1">
        <f t="array" ref="N165">_xlfn.IFS(OR(G165="External Scaffolding",G165="Loading Tower", G165="Floor Propping"),"Tube and Fitting",G165="Birdcage","Birdcage", G165="Rhino Deck", "Rhino Deck", G165="Trad Deck", "Trad Deck")</f>
        <v>Tube and Fitting</v>
      </c>
      <c r="P165" t="s">
        <v>113</v>
      </c>
      <c r="Q165" t="str" cm="1">
        <f t="array" ref="Q165">_xlfn.IFS(M165="Loading Bay","15/OPT/1638-001",M165="Supporting Scaffold", "D/2020/23 rev.A",OR(M165&lt;&gt;"Loading Bay",M165&lt;&gt;"Supporting Scaffold"),"TG20:13 Scaffold")</f>
        <v>15/OPT/1638-001</v>
      </c>
      <c r="T165" t="s">
        <v>114</v>
      </c>
    </row>
    <row r="166" spans="1:20" x14ac:dyDescent="0.25">
      <c r="A166" t="s">
        <v>375</v>
      </c>
      <c r="B166" t="s">
        <v>112</v>
      </c>
      <c r="C166" t="s">
        <v>141</v>
      </c>
      <c r="D166" t="s">
        <v>0</v>
      </c>
      <c r="E166" t="s">
        <v>79</v>
      </c>
      <c r="F166" t="s">
        <v>37</v>
      </c>
      <c r="G166" t="str" cm="1">
        <f t="array" ref="G166">_xlfn.IFS(D166="External Scaffolding","External Scaffolding",D166="Loading Bay","Loading Tower",D166="Scaffolding Platform","Birdcage", D166="Supporting Scaffold","Floor Propping")</f>
        <v>External Scaffolding</v>
      </c>
      <c r="H166" s="1" t="str" cm="1">
        <f t="array" ref="H166">_xlfn.IFS(OR(G166="External Scaffolding",G166="Birdcage", G166="Trad Deck", G166="Floor Propping"),"2.0 kN/m² (General Purpose)",G166= "Loading Tower","10.0 kN/m² (Loading Bay)",G166="Rhino Deck","6.0 kN/m² (Rhino Deck)")</f>
        <v>2.0 kN/m² (General Purpose)</v>
      </c>
      <c r="I166" t="str">
        <f t="shared" si="8"/>
        <v>Brick Guards</v>
      </c>
      <c r="J166" t="str">
        <f t="shared" si="9"/>
        <v>Positive Tying</v>
      </c>
      <c r="K166">
        <v>1334</v>
      </c>
      <c r="L166" t="str">
        <f t="shared" si="10"/>
        <v>Garage 74</v>
      </c>
      <c r="M166" t="str">
        <f t="shared" si="11"/>
        <v>External Scaffolding</v>
      </c>
      <c r="N166" t="str" cm="1">
        <f t="array" ref="N166">_xlfn.IFS(OR(G166="External Scaffolding",G166="Loading Tower", G166="Floor Propping"),"Tube and Fitting",G166="Birdcage","Birdcage", G166="Rhino Deck", "Rhino Deck", G166="Trad Deck", "Trad Deck")</f>
        <v>Tube and Fitting</v>
      </c>
      <c r="P166" t="s">
        <v>113</v>
      </c>
      <c r="Q166" t="str" cm="1">
        <f t="array" ref="Q166">_xlfn.IFS(M166="Loading Bay","15/OPT/1638-001",M166="Supporting Scaffold", "D/2020/23 rev.A",OR(M166&lt;&gt;"Loading Bay",M166&lt;&gt;"Supporting Scaffold"),"TG20:13 Scaffold")</f>
        <v>TG20:13 Scaffold</v>
      </c>
      <c r="T166" t="s">
        <v>114</v>
      </c>
    </row>
    <row r="167" spans="1:20" x14ac:dyDescent="0.25">
      <c r="A167" t="s">
        <v>376</v>
      </c>
      <c r="B167" t="s">
        <v>112</v>
      </c>
      <c r="C167" t="s">
        <v>141</v>
      </c>
      <c r="D167" t="s">
        <v>1</v>
      </c>
      <c r="E167" t="s">
        <v>79</v>
      </c>
      <c r="F167" t="s">
        <v>37</v>
      </c>
      <c r="G167" t="str" cm="1">
        <f t="array" ref="G167">_xlfn.IFS(D167="External Scaffolding","External Scaffolding",D167="Loading Bay","Loading Tower",D167="Scaffolding Platform","Birdcage", D167="Supporting Scaffold","Floor Propping")</f>
        <v>Loading Tower</v>
      </c>
      <c r="H167" s="1" t="str" cm="1">
        <f t="array" ref="H167">_xlfn.IFS(OR(G167="External Scaffolding",G167="Birdcage", G167="Trad Deck", G167="Floor Propping"),"2.0 kN/m² (General Purpose)",G167= "Loading Tower","10.0 kN/m² (Loading Bay)",G167="Rhino Deck","6.0 kN/m² (Rhino Deck)")</f>
        <v>10.0 kN/m² (Loading Bay)</v>
      </c>
      <c r="I167" t="str">
        <f t="shared" si="8"/>
        <v>Brick Guards</v>
      </c>
      <c r="J167" t="str">
        <f t="shared" si="9"/>
        <v>Positive Tying</v>
      </c>
      <c r="K167">
        <v>1334</v>
      </c>
      <c r="L167" t="str">
        <f t="shared" si="10"/>
        <v>Garage 74</v>
      </c>
      <c r="M167" t="str">
        <f t="shared" si="11"/>
        <v>Loading Bay</v>
      </c>
      <c r="N167" t="str" cm="1">
        <f t="array" ref="N167">_xlfn.IFS(OR(G167="External Scaffolding",G167="Loading Tower", G167="Floor Propping"),"Tube and Fitting",G167="Birdcage","Birdcage", G167="Rhino Deck", "Rhino Deck", G167="Trad Deck", "Trad Deck")</f>
        <v>Tube and Fitting</v>
      </c>
      <c r="P167" t="s">
        <v>113</v>
      </c>
      <c r="Q167" t="str" cm="1">
        <f t="array" ref="Q167">_xlfn.IFS(M167="Loading Bay","15/OPT/1638-001",M167="Supporting Scaffold", "D/2020/23 rev.A",OR(M167&lt;&gt;"Loading Bay",M167&lt;&gt;"Supporting Scaffold"),"TG20:13 Scaffold")</f>
        <v>15/OPT/1638-001</v>
      </c>
      <c r="T167" t="s">
        <v>114</v>
      </c>
    </row>
    <row r="168" spans="1:20" x14ac:dyDescent="0.25">
      <c r="A168" t="s">
        <v>377</v>
      </c>
      <c r="B168" t="s">
        <v>112</v>
      </c>
      <c r="C168" t="s">
        <v>141</v>
      </c>
      <c r="D168" t="s">
        <v>0</v>
      </c>
      <c r="E168" t="s">
        <v>79</v>
      </c>
      <c r="F168" t="s">
        <v>38</v>
      </c>
      <c r="G168" t="str" cm="1">
        <f t="array" ref="G168">_xlfn.IFS(D168="External Scaffolding","External Scaffolding",D168="Loading Bay","Loading Tower",D168="Scaffolding Platform","Birdcage", D168="Supporting Scaffold","Floor Propping")</f>
        <v>External Scaffolding</v>
      </c>
      <c r="H168" s="1" t="str" cm="1">
        <f t="array" ref="H168">_xlfn.IFS(OR(G168="External Scaffolding",G168="Birdcage", G168="Trad Deck", G168="Floor Propping"),"2.0 kN/m² (General Purpose)",G168= "Loading Tower","10.0 kN/m² (Loading Bay)",G168="Rhino Deck","6.0 kN/m² (Rhino Deck)")</f>
        <v>2.0 kN/m² (General Purpose)</v>
      </c>
      <c r="I168" t="str">
        <f t="shared" si="8"/>
        <v>Brick Guards</v>
      </c>
      <c r="J168" t="str">
        <f t="shared" si="9"/>
        <v>Positive Tying</v>
      </c>
      <c r="K168">
        <v>1334</v>
      </c>
      <c r="L168" t="str">
        <f t="shared" si="10"/>
        <v>Garage 75</v>
      </c>
      <c r="M168" t="str">
        <f t="shared" si="11"/>
        <v>External Scaffolding</v>
      </c>
      <c r="N168" t="str" cm="1">
        <f t="array" ref="N168">_xlfn.IFS(OR(G168="External Scaffolding",G168="Loading Tower", G168="Floor Propping"),"Tube and Fitting",G168="Birdcage","Birdcage", G168="Rhino Deck", "Rhino Deck", G168="Trad Deck", "Trad Deck")</f>
        <v>Tube and Fitting</v>
      </c>
      <c r="P168" t="s">
        <v>113</v>
      </c>
      <c r="Q168" t="str" cm="1">
        <f t="array" ref="Q168">_xlfn.IFS(M168="Loading Bay","15/OPT/1638-001",M168="Supporting Scaffold", "D/2020/23 rev.A",OR(M168&lt;&gt;"Loading Bay",M168&lt;&gt;"Supporting Scaffold"),"TG20:13 Scaffold")</f>
        <v>TG20:13 Scaffold</v>
      </c>
      <c r="T168" t="s">
        <v>114</v>
      </c>
    </row>
    <row r="169" spans="1:20" x14ac:dyDescent="0.25">
      <c r="A169" t="s">
        <v>378</v>
      </c>
      <c r="B169" t="s">
        <v>112</v>
      </c>
      <c r="C169" t="s">
        <v>141</v>
      </c>
      <c r="D169" t="s">
        <v>1</v>
      </c>
      <c r="E169" t="s">
        <v>79</v>
      </c>
      <c r="F169" t="s">
        <v>38</v>
      </c>
      <c r="G169" t="str" cm="1">
        <f t="array" ref="G169">_xlfn.IFS(D169="External Scaffolding","External Scaffolding",D169="Loading Bay","Loading Tower",D169="Scaffolding Platform","Birdcage", D169="Supporting Scaffold","Floor Propping")</f>
        <v>Loading Tower</v>
      </c>
      <c r="H169" s="1" t="str" cm="1">
        <f t="array" ref="H169">_xlfn.IFS(OR(G169="External Scaffolding",G169="Birdcage", G169="Trad Deck", G169="Floor Propping"),"2.0 kN/m² (General Purpose)",G169= "Loading Tower","10.0 kN/m² (Loading Bay)",G169="Rhino Deck","6.0 kN/m² (Rhino Deck)")</f>
        <v>10.0 kN/m² (Loading Bay)</v>
      </c>
      <c r="I169" t="str">
        <f t="shared" si="8"/>
        <v>Brick Guards</v>
      </c>
      <c r="J169" t="str">
        <f t="shared" si="9"/>
        <v>Positive Tying</v>
      </c>
      <c r="K169">
        <v>1334</v>
      </c>
      <c r="L169" t="str">
        <f t="shared" si="10"/>
        <v>Garage 75</v>
      </c>
      <c r="M169" t="str">
        <f t="shared" si="11"/>
        <v>Loading Bay</v>
      </c>
      <c r="N169" t="str" cm="1">
        <f t="array" ref="N169">_xlfn.IFS(OR(G169="External Scaffolding",G169="Loading Tower", G169="Floor Propping"),"Tube and Fitting",G169="Birdcage","Birdcage", G169="Rhino Deck", "Rhino Deck", G169="Trad Deck", "Trad Deck")</f>
        <v>Tube and Fitting</v>
      </c>
      <c r="P169" t="s">
        <v>113</v>
      </c>
      <c r="Q169" t="str" cm="1">
        <f t="array" ref="Q169">_xlfn.IFS(M169="Loading Bay","15/OPT/1638-001",M169="Supporting Scaffold", "D/2020/23 rev.A",OR(M169&lt;&gt;"Loading Bay",M169&lt;&gt;"Supporting Scaffold"),"TG20:13 Scaffold")</f>
        <v>15/OPT/1638-001</v>
      </c>
      <c r="T169" t="s">
        <v>114</v>
      </c>
    </row>
    <row r="170" spans="1:20" x14ac:dyDescent="0.25">
      <c r="A170" t="s">
        <v>379</v>
      </c>
      <c r="B170" t="s">
        <v>112</v>
      </c>
      <c r="C170" t="s">
        <v>141</v>
      </c>
      <c r="D170" t="s">
        <v>0</v>
      </c>
      <c r="E170" t="s">
        <v>79</v>
      </c>
      <c r="F170" t="s">
        <v>39</v>
      </c>
      <c r="G170" t="str" cm="1">
        <f t="array" ref="G170">_xlfn.IFS(D170="External Scaffolding","External Scaffolding",D170="Loading Bay","Loading Tower",D170="Scaffolding Platform","Birdcage", D170="Supporting Scaffold","Floor Propping")</f>
        <v>External Scaffolding</v>
      </c>
      <c r="H170" s="1" t="str" cm="1">
        <f t="array" ref="H170">_xlfn.IFS(OR(G170="External Scaffolding",G170="Birdcage", G170="Trad Deck", G170="Floor Propping"),"2.0 kN/m² (General Purpose)",G170= "Loading Tower","10.0 kN/m² (Loading Bay)",G170="Rhino Deck","6.0 kN/m² (Rhino Deck)")</f>
        <v>2.0 kN/m² (General Purpose)</v>
      </c>
      <c r="I170" t="str">
        <f t="shared" si="8"/>
        <v>Brick Guards</v>
      </c>
      <c r="J170" t="str">
        <f t="shared" si="9"/>
        <v>Positive Tying</v>
      </c>
      <c r="K170">
        <v>1334</v>
      </c>
      <c r="L170" t="str">
        <f t="shared" si="10"/>
        <v>Garage 76</v>
      </c>
      <c r="M170" t="str">
        <f t="shared" si="11"/>
        <v>External Scaffolding</v>
      </c>
      <c r="N170" t="str" cm="1">
        <f t="array" ref="N170">_xlfn.IFS(OR(G170="External Scaffolding",G170="Loading Tower", G170="Floor Propping"),"Tube and Fitting",G170="Birdcage","Birdcage", G170="Rhino Deck", "Rhino Deck", G170="Trad Deck", "Trad Deck")</f>
        <v>Tube and Fitting</v>
      </c>
      <c r="P170" t="s">
        <v>113</v>
      </c>
      <c r="Q170" t="str" cm="1">
        <f t="array" ref="Q170">_xlfn.IFS(M170="Loading Bay","15/OPT/1638-001",M170="Supporting Scaffold", "D/2020/23 rev.A",OR(M170&lt;&gt;"Loading Bay",M170&lt;&gt;"Supporting Scaffold"),"TG20:13 Scaffold")</f>
        <v>TG20:13 Scaffold</v>
      </c>
      <c r="T170" t="s">
        <v>114</v>
      </c>
    </row>
    <row r="171" spans="1:20" x14ac:dyDescent="0.25">
      <c r="A171" t="s">
        <v>380</v>
      </c>
      <c r="B171" t="s">
        <v>112</v>
      </c>
      <c r="C171" t="s">
        <v>141</v>
      </c>
      <c r="D171" t="s">
        <v>1</v>
      </c>
      <c r="E171" t="s">
        <v>79</v>
      </c>
      <c r="F171" t="s">
        <v>39</v>
      </c>
      <c r="G171" t="str" cm="1">
        <f t="array" ref="G171">_xlfn.IFS(D171="External Scaffolding","External Scaffolding",D171="Loading Bay","Loading Tower",D171="Scaffolding Platform","Birdcage", D171="Supporting Scaffold","Floor Propping")</f>
        <v>Loading Tower</v>
      </c>
      <c r="H171" s="1" t="str" cm="1">
        <f t="array" ref="H171">_xlfn.IFS(OR(G171="External Scaffolding",G171="Birdcage", G171="Trad Deck", G171="Floor Propping"),"2.0 kN/m² (General Purpose)",G171= "Loading Tower","10.0 kN/m² (Loading Bay)",G171="Rhino Deck","6.0 kN/m² (Rhino Deck)")</f>
        <v>10.0 kN/m² (Loading Bay)</v>
      </c>
      <c r="I171" t="str">
        <f t="shared" si="8"/>
        <v>Brick Guards</v>
      </c>
      <c r="J171" t="str">
        <f t="shared" si="9"/>
        <v>Positive Tying</v>
      </c>
      <c r="K171">
        <v>1334</v>
      </c>
      <c r="L171" t="str">
        <f t="shared" si="10"/>
        <v>Garage 76</v>
      </c>
      <c r="M171" t="str">
        <f t="shared" si="11"/>
        <v>Loading Bay</v>
      </c>
      <c r="N171" t="str" cm="1">
        <f t="array" ref="N171">_xlfn.IFS(OR(G171="External Scaffolding",G171="Loading Tower", G171="Floor Propping"),"Tube and Fitting",G171="Birdcage","Birdcage", G171="Rhino Deck", "Rhino Deck", G171="Trad Deck", "Trad Deck")</f>
        <v>Tube and Fitting</v>
      </c>
      <c r="P171" t="s">
        <v>113</v>
      </c>
      <c r="Q171" t="str" cm="1">
        <f t="array" ref="Q171">_xlfn.IFS(M171="Loading Bay","15/OPT/1638-001",M171="Supporting Scaffold", "D/2020/23 rev.A",OR(M171&lt;&gt;"Loading Bay",M171&lt;&gt;"Supporting Scaffold"),"TG20:13 Scaffold")</f>
        <v>15/OPT/1638-001</v>
      </c>
      <c r="T171" t="s">
        <v>114</v>
      </c>
    </row>
    <row r="172" spans="1:20" x14ac:dyDescent="0.25">
      <c r="A172" t="s">
        <v>381</v>
      </c>
      <c r="B172" t="s">
        <v>112</v>
      </c>
      <c r="C172" t="s">
        <v>141</v>
      </c>
      <c r="D172" t="s">
        <v>0</v>
      </c>
      <c r="E172" t="s">
        <v>79</v>
      </c>
      <c r="F172" t="s">
        <v>40</v>
      </c>
      <c r="G172" t="str" cm="1">
        <f t="array" ref="G172">_xlfn.IFS(D172="External Scaffolding","External Scaffolding",D172="Loading Bay","Loading Tower",D172="Scaffolding Platform","Birdcage", D172="Supporting Scaffold","Floor Propping")</f>
        <v>External Scaffolding</v>
      </c>
      <c r="H172" s="1" t="str" cm="1">
        <f t="array" ref="H172">_xlfn.IFS(OR(G172="External Scaffolding",G172="Birdcage", G172="Trad Deck", G172="Floor Propping"),"2.0 kN/m² (General Purpose)",G172= "Loading Tower","10.0 kN/m² (Loading Bay)",G172="Rhino Deck","6.0 kN/m² (Rhino Deck)")</f>
        <v>2.0 kN/m² (General Purpose)</v>
      </c>
      <c r="I172" t="str">
        <f t="shared" si="8"/>
        <v>Brick Guards</v>
      </c>
      <c r="J172" t="str">
        <f t="shared" si="9"/>
        <v>Positive Tying</v>
      </c>
      <c r="K172">
        <v>1334</v>
      </c>
      <c r="L172" t="str">
        <f t="shared" si="10"/>
        <v>Garage 77</v>
      </c>
      <c r="M172" t="str">
        <f t="shared" si="11"/>
        <v>External Scaffolding</v>
      </c>
      <c r="N172" t="str" cm="1">
        <f t="array" ref="N172">_xlfn.IFS(OR(G172="External Scaffolding",G172="Loading Tower", G172="Floor Propping"),"Tube and Fitting",G172="Birdcage","Birdcage", G172="Rhino Deck", "Rhino Deck", G172="Trad Deck", "Trad Deck")</f>
        <v>Tube and Fitting</v>
      </c>
      <c r="P172" t="s">
        <v>113</v>
      </c>
      <c r="Q172" t="str" cm="1">
        <f t="array" ref="Q172">_xlfn.IFS(M172="Loading Bay","15/OPT/1638-001",M172="Supporting Scaffold", "D/2020/23 rev.A",OR(M172&lt;&gt;"Loading Bay",M172&lt;&gt;"Supporting Scaffold"),"TG20:13 Scaffold")</f>
        <v>TG20:13 Scaffold</v>
      </c>
      <c r="T172" t="s">
        <v>114</v>
      </c>
    </row>
    <row r="173" spans="1:20" x14ac:dyDescent="0.25">
      <c r="A173" t="s">
        <v>382</v>
      </c>
      <c r="B173" t="s">
        <v>112</v>
      </c>
      <c r="C173" t="s">
        <v>141</v>
      </c>
      <c r="D173" t="s">
        <v>1</v>
      </c>
      <c r="E173" t="s">
        <v>79</v>
      </c>
      <c r="F173" t="s">
        <v>40</v>
      </c>
      <c r="G173" t="str" cm="1">
        <f t="array" ref="G173">_xlfn.IFS(D173="External Scaffolding","External Scaffolding",D173="Loading Bay","Loading Tower",D173="Scaffolding Platform","Birdcage", D173="Supporting Scaffold","Floor Propping")</f>
        <v>Loading Tower</v>
      </c>
      <c r="H173" s="1" t="str" cm="1">
        <f t="array" ref="H173">_xlfn.IFS(OR(G173="External Scaffolding",G173="Birdcage", G173="Trad Deck", G173="Floor Propping"),"2.0 kN/m² (General Purpose)",G173= "Loading Tower","10.0 kN/m² (Loading Bay)",G173="Rhino Deck","6.0 kN/m² (Rhino Deck)")</f>
        <v>10.0 kN/m² (Loading Bay)</v>
      </c>
      <c r="I173" t="str">
        <f t="shared" si="8"/>
        <v>Brick Guards</v>
      </c>
      <c r="J173" t="str">
        <f t="shared" si="9"/>
        <v>Positive Tying</v>
      </c>
      <c r="K173">
        <v>1334</v>
      </c>
      <c r="L173" t="str">
        <f t="shared" si="10"/>
        <v>Garage 77</v>
      </c>
      <c r="M173" t="str">
        <f t="shared" si="11"/>
        <v>Loading Bay</v>
      </c>
      <c r="N173" t="str" cm="1">
        <f t="array" ref="N173">_xlfn.IFS(OR(G173="External Scaffolding",G173="Loading Tower", G173="Floor Propping"),"Tube and Fitting",G173="Birdcage","Birdcage", G173="Rhino Deck", "Rhino Deck", G173="Trad Deck", "Trad Deck")</f>
        <v>Tube and Fitting</v>
      </c>
      <c r="P173" t="s">
        <v>113</v>
      </c>
      <c r="Q173" t="str" cm="1">
        <f t="array" ref="Q173">_xlfn.IFS(M173="Loading Bay","15/OPT/1638-001",M173="Supporting Scaffold", "D/2020/23 rev.A",OR(M173&lt;&gt;"Loading Bay",M173&lt;&gt;"Supporting Scaffold"),"TG20:13 Scaffold")</f>
        <v>15/OPT/1638-001</v>
      </c>
      <c r="T173" t="s">
        <v>114</v>
      </c>
    </row>
    <row r="174" spans="1:20" x14ac:dyDescent="0.25">
      <c r="A174" t="s">
        <v>383</v>
      </c>
      <c r="B174" t="s">
        <v>112</v>
      </c>
      <c r="C174" t="s">
        <v>141</v>
      </c>
      <c r="D174" t="s">
        <v>0</v>
      </c>
      <c r="E174" t="s">
        <v>79</v>
      </c>
      <c r="F174" t="s">
        <v>41</v>
      </c>
      <c r="G174" t="str" cm="1">
        <f t="array" ref="G174">_xlfn.IFS(D174="External Scaffolding","External Scaffolding",D174="Loading Bay","Loading Tower",D174="Scaffolding Platform","Birdcage", D174="Supporting Scaffold","Floor Propping")</f>
        <v>External Scaffolding</v>
      </c>
      <c r="H174" s="1" t="str" cm="1">
        <f t="array" ref="H174">_xlfn.IFS(OR(G174="External Scaffolding",G174="Birdcage", G174="Trad Deck", G174="Floor Propping"),"2.0 kN/m² (General Purpose)",G174= "Loading Tower","10.0 kN/m² (Loading Bay)",G174="Rhino Deck","6.0 kN/m² (Rhino Deck)")</f>
        <v>2.0 kN/m² (General Purpose)</v>
      </c>
      <c r="I174" t="str">
        <f t="shared" si="8"/>
        <v>Brick Guards</v>
      </c>
      <c r="J174" t="str">
        <f t="shared" si="9"/>
        <v>Positive Tying</v>
      </c>
      <c r="K174">
        <v>1334</v>
      </c>
      <c r="L174" t="str">
        <f t="shared" si="10"/>
        <v>Garage 78-79</v>
      </c>
      <c r="M174" t="str">
        <f t="shared" si="11"/>
        <v>External Scaffolding</v>
      </c>
      <c r="N174" t="str" cm="1">
        <f t="array" ref="N174">_xlfn.IFS(OR(G174="External Scaffolding",G174="Loading Tower", G174="Floor Propping"),"Tube and Fitting",G174="Birdcage","Birdcage", G174="Rhino Deck", "Rhino Deck", G174="Trad Deck", "Trad Deck")</f>
        <v>Tube and Fitting</v>
      </c>
      <c r="P174" t="s">
        <v>113</v>
      </c>
      <c r="Q174" t="str" cm="1">
        <f t="array" ref="Q174">_xlfn.IFS(M174="Loading Bay","15/OPT/1638-001",M174="Supporting Scaffold", "D/2020/23 rev.A",OR(M174&lt;&gt;"Loading Bay",M174&lt;&gt;"Supporting Scaffold"),"TG20:13 Scaffold")</f>
        <v>TG20:13 Scaffold</v>
      </c>
      <c r="T174" t="s">
        <v>114</v>
      </c>
    </row>
    <row r="175" spans="1:20" x14ac:dyDescent="0.25">
      <c r="A175" t="s">
        <v>384</v>
      </c>
      <c r="B175" t="s">
        <v>112</v>
      </c>
      <c r="C175" t="s">
        <v>141</v>
      </c>
      <c r="D175" t="s">
        <v>1</v>
      </c>
      <c r="E175" t="s">
        <v>79</v>
      </c>
      <c r="F175" t="s">
        <v>41</v>
      </c>
      <c r="G175" t="str" cm="1">
        <f t="array" ref="G175">_xlfn.IFS(D175="External Scaffolding","External Scaffolding",D175="Loading Bay","Loading Tower",D175="Scaffolding Platform","Birdcage", D175="Supporting Scaffold","Floor Propping")</f>
        <v>Loading Tower</v>
      </c>
      <c r="H175" s="1" t="str" cm="1">
        <f t="array" ref="H175">_xlfn.IFS(OR(G175="External Scaffolding",G175="Birdcage", G175="Trad Deck", G175="Floor Propping"),"2.0 kN/m² (General Purpose)",G175= "Loading Tower","10.0 kN/m² (Loading Bay)",G175="Rhino Deck","6.0 kN/m² (Rhino Deck)")</f>
        <v>10.0 kN/m² (Loading Bay)</v>
      </c>
      <c r="I175" t="str">
        <f t="shared" si="8"/>
        <v>Brick Guards</v>
      </c>
      <c r="J175" t="str">
        <f t="shared" si="9"/>
        <v>Positive Tying</v>
      </c>
      <c r="K175">
        <v>1334</v>
      </c>
      <c r="L175" t="str">
        <f t="shared" si="10"/>
        <v>Garage 78-79</v>
      </c>
      <c r="M175" t="str">
        <f t="shared" si="11"/>
        <v>Loading Bay</v>
      </c>
      <c r="N175" t="str" cm="1">
        <f t="array" ref="N175">_xlfn.IFS(OR(G175="External Scaffolding",G175="Loading Tower", G175="Floor Propping"),"Tube and Fitting",G175="Birdcage","Birdcage", G175="Rhino Deck", "Rhino Deck", G175="Trad Deck", "Trad Deck")</f>
        <v>Tube and Fitting</v>
      </c>
      <c r="P175" t="s">
        <v>113</v>
      </c>
      <c r="Q175" t="str" cm="1">
        <f t="array" ref="Q175">_xlfn.IFS(M175="Loading Bay","15/OPT/1638-001",M175="Supporting Scaffold", "D/2020/23 rev.A",OR(M175&lt;&gt;"Loading Bay",M175&lt;&gt;"Supporting Scaffold"),"TG20:13 Scaffold")</f>
        <v>15/OPT/1638-001</v>
      </c>
      <c r="T175" t="s">
        <v>114</v>
      </c>
    </row>
    <row r="176" spans="1:20" x14ac:dyDescent="0.25">
      <c r="A176" t="s">
        <v>385</v>
      </c>
      <c r="B176" t="s">
        <v>112</v>
      </c>
      <c r="C176" t="s">
        <v>141</v>
      </c>
      <c r="D176" t="s">
        <v>0</v>
      </c>
      <c r="E176" t="s">
        <v>79</v>
      </c>
      <c r="F176" t="s">
        <v>42</v>
      </c>
      <c r="G176" t="str" cm="1">
        <f t="array" ref="G176">_xlfn.IFS(D176="External Scaffolding","External Scaffolding",D176="Loading Bay","Loading Tower",D176="Scaffolding Platform","Birdcage", D176="Supporting Scaffold","Floor Propping")</f>
        <v>External Scaffolding</v>
      </c>
      <c r="H176" s="1" t="str" cm="1">
        <f t="array" ref="H176">_xlfn.IFS(OR(G176="External Scaffolding",G176="Birdcage", G176="Trad Deck", G176="Floor Propping"),"2.0 kN/m² (General Purpose)",G176= "Loading Tower","10.0 kN/m² (Loading Bay)",G176="Rhino Deck","6.0 kN/m² (Rhino Deck)")</f>
        <v>2.0 kN/m² (General Purpose)</v>
      </c>
      <c r="I176" t="str">
        <f t="shared" si="8"/>
        <v>Brick Guards</v>
      </c>
      <c r="J176" t="str">
        <f t="shared" si="9"/>
        <v>Positive Tying</v>
      </c>
      <c r="K176">
        <v>1334</v>
      </c>
      <c r="L176" t="str">
        <f t="shared" si="10"/>
        <v>Garage 83</v>
      </c>
      <c r="M176" t="str">
        <f t="shared" si="11"/>
        <v>External Scaffolding</v>
      </c>
      <c r="N176" t="str" cm="1">
        <f t="array" ref="N176">_xlfn.IFS(OR(G176="External Scaffolding",G176="Loading Tower", G176="Floor Propping"),"Tube and Fitting",G176="Birdcage","Birdcage", G176="Rhino Deck", "Rhino Deck", G176="Trad Deck", "Trad Deck")</f>
        <v>Tube and Fitting</v>
      </c>
      <c r="P176" t="s">
        <v>113</v>
      </c>
      <c r="Q176" t="str" cm="1">
        <f t="array" ref="Q176">_xlfn.IFS(M176="Loading Bay","15/OPT/1638-001",M176="Supporting Scaffold", "D/2020/23 rev.A",OR(M176&lt;&gt;"Loading Bay",M176&lt;&gt;"Supporting Scaffold"),"TG20:13 Scaffold")</f>
        <v>TG20:13 Scaffold</v>
      </c>
      <c r="T176" t="s">
        <v>114</v>
      </c>
    </row>
    <row r="177" spans="1:20" x14ac:dyDescent="0.25">
      <c r="A177" t="s">
        <v>386</v>
      </c>
      <c r="B177" t="s">
        <v>112</v>
      </c>
      <c r="C177" t="s">
        <v>141</v>
      </c>
      <c r="D177" t="s">
        <v>1</v>
      </c>
      <c r="E177" t="s">
        <v>79</v>
      </c>
      <c r="F177" t="s">
        <v>42</v>
      </c>
      <c r="G177" t="str" cm="1">
        <f t="array" ref="G177">_xlfn.IFS(D177="External Scaffolding","External Scaffolding",D177="Loading Bay","Loading Tower",D177="Scaffolding Platform","Birdcage", D177="Supporting Scaffold","Floor Propping")</f>
        <v>Loading Tower</v>
      </c>
      <c r="H177" s="1" t="str" cm="1">
        <f t="array" ref="H177">_xlfn.IFS(OR(G177="External Scaffolding",G177="Birdcage", G177="Trad Deck", G177="Floor Propping"),"2.0 kN/m² (General Purpose)",G177= "Loading Tower","10.0 kN/m² (Loading Bay)",G177="Rhino Deck","6.0 kN/m² (Rhino Deck)")</f>
        <v>10.0 kN/m² (Loading Bay)</v>
      </c>
      <c r="I177" t="str">
        <f t="shared" si="8"/>
        <v>Brick Guards</v>
      </c>
      <c r="J177" t="str">
        <f t="shared" si="9"/>
        <v>Positive Tying</v>
      </c>
      <c r="K177">
        <v>1334</v>
      </c>
      <c r="L177" t="str">
        <f t="shared" si="10"/>
        <v>Garage 83</v>
      </c>
      <c r="M177" t="str">
        <f t="shared" si="11"/>
        <v>Loading Bay</v>
      </c>
      <c r="N177" t="str" cm="1">
        <f t="array" ref="N177">_xlfn.IFS(OR(G177="External Scaffolding",G177="Loading Tower", G177="Floor Propping"),"Tube and Fitting",G177="Birdcage","Birdcage", G177="Rhino Deck", "Rhino Deck", G177="Trad Deck", "Trad Deck")</f>
        <v>Tube and Fitting</v>
      </c>
      <c r="P177" t="s">
        <v>113</v>
      </c>
      <c r="Q177" t="str" cm="1">
        <f t="array" ref="Q177">_xlfn.IFS(M177="Loading Bay","15/OPT/1638-001",M177="Supporting Scaffold", "D/2020/23 rev.A",OR(M177&lt;&gt;"Loading Bay",M177&lt;&gt;"Supporting Scaffold"),"TG20:13 Scaffold")</f>
        <v>15/OPT/1638-001</v>
      </c>
      <c r="T177" t="s">
        <v>114</v>
      </c>
    </row>
    <row r="178" spans="1:20" x14ac:dyDescent="0.25">
      <c r="A178" t="s">
        <v>387</v>
      </c>
      <c r="B178" t="s">
        <v>112</v>
      </c>
      <c r="C178" t="s">
        <v>141</v>
      </c>
      <c r="D178" t="s">
        <v>0</v>
      </c>
      <c r="E178" t="s">
        <v>79</v>
      </c>
      <c r="F178" t="s">
        <v>43</v>
      </c>
      <c r="G178" t="str" cm="1">
        <f t="array" ref="G178">_xlfn.IFS(D178="External Scaffolding","External Scaffolding",D178="Loading Bay","Loading Tower",D178="Scaffolding Platform","Birdcage", D178="Supporting Scaffold","Floor Propping")</f>
        <v>External Scaffolding</v>
      </c>
      <c r="H178" s="1" t="str" cm="1">
        <f t="array" ref="H178">_xlfn.IFS(OR(G178="External Scaffolding",G178="Birdcage", G178="Trad Deck", G178="Floor Propping"),"2.0 kN/m² (General Purpose)",G178= "Loading Tower","10.0 kN/m² (Loading Bay)",G178="Rhino Deck","6.0 kN/m² (Rhino Deck)")</f>
        <v>2.0 kN/m² (General Purpose)</v>
      </c>
      <c r="I178" t="str">
        <f t="shared" si="8"/>
        <v>Brick Guards</v>
      </c>
      <c r="J178" t="str">
        <f t="shared" si="9"/>
        <v>Positive Tying</v>
      </c>
      <c r="K178">
        <v>1334</v>
      </c>
      <c r="L178" t="str">
        <f t="shared" si="10"/>
        <v>Garage 84</v>
      </c>
      <c r="M178" t="str">
        <f t="shared" si="11"/>
        <v>External Scaffolding</v>
      </c>
      <c r="N178" t="str" cm="1">
        <f t="array" ref="N178">_xlfn.IFS(OR(G178="External Scaffolding",G178="Loading Tower", G178="Floor Propping"),"Tube and Fitting",G178="Birdcage","Birdcage", G178="Rhino Deck", "Rhino Deck", G178="Trad Deck", "Trad Deck")</f>
        <v>Tube and Fitting</v>
      </c>
      <c r="P178" t="s">
        <v>113</v>
      </c>
      <c r="Q178" t="str" cm="1">
        <f t="array" ref="Q178">_xlfn.IFS(M178="Loading Bay","15/OPT/1638-001",M178="Supporting Scaffold", "D/2020/23 rev.A",OR(M178&lt;&gt;"Loading Bay",M178&lt;&gt;"Supporting Scaffold"),"TG20:13 Scaffold")</f>
        <v>TG20:13 Scaffold</v>
      </c>
      <c r="T178" t="s">
        <v>114</v>
      </c>
    </row>
    <row r="179" spans="1:20" x14ac:dyDescent="0.25">
      <c r="A179" t="s">
        <v>388</v>
      </c>
      <c r="B179" t="s">
        <v>112</v>
      </c>
      <c r="C179" t="s">
        <v>141</v>
      </c>
      <c r="D179" t="s">
        <v>1</v>
      </c>
      <c r="E179" t="s">
        <v>79</v>
      </c>
      <c r="F179" t="s">
        <v>43</v>
      </c>
      <c r="G179" t="str" cm="1">
        <f t="array" ref="G179">_xlfn.IFS(D179="External Scaffolding","External Scaffolding",D179="Loading Bay","Loading Tower",D179="Scaffolding Platform","Birdcage", D179="Supporting Scaffold","Floor Propping")</f>
        <v>Loading Tower</v>
      </c>
      <c r="H179" s="1" t="str" cm="1">
        <f t="array" ref="H179">_xlfn.IFS(OR(G179="External Scaffolding",G179="Birdcage", G179="Trad Deck", G179="Floor Propping"),"2.0 kN/m² (General Purpose)",G179= "Loading Tower","10.0 kN/m² (Loading Bay)",G179="Rhino Deck","6.0 kN/m² (Rhino Deck)")</f>
        <v>10.0 kN/m² (Loading Bay)</v>
      </c>
      <c r="I179" t="str">
        <f t="shared" si="8"/>
        <v>Brick Guards</v>
      </c>
      <c r="J179" t="str">
        <f t="shared" si="9"/>
        <v>Positive Tying</v>
      </c>
      <c r="K179">
        <v>1334</v>
      </c>
      <c r="L179" t="str">
        <f t="shared" si="10"/>
        <v>Garage 84</v>
      </c>
      <c r="M179" t="str">
        <f t="shared" si="11"/>
        <v>Loading Bay</v>
      </c>
      <c r="N179" t="str" cm="1">
        <f t="array" ref="N179">_xlfn.IFS(OR(G179="External Scaffolding",G179="Loading Tower", G179="Floor Propping"),"Tube and Fitting",G179="Birdcage","Birdcage", G179="Rhino Deck", "Rhino Deck", G179="Trad Deck", "Trad Deck")</f>
        <v>Tube and Fitting</v>
      </c>
      <c r="P179" t="s">
        <v>113</v>
      </c>
      <c r="Q179" t="str" cm="1">
        <f t="array" ref="Q179">_xlfn.IFS(M179="Loading Bay","15/OPT/1638-001",M179="Supporting Scaffold", "D/2020/23 rev.A",OR(M179&lt;&gt;"Loading Bay",M179&lt;&gt;"Supporting Scaffold"),"TG20:13 Scaffold")</f>
        <v>15/OPT/1638-001</v>
      </c>
      <c r="T179" t="s">
        <v>114</v>
      </c>
    </row>
    <row r="180" spans="1:20" x14ac:dyDescent="0.25">
      <c r="A180" t="s">
        <v>389</v>
      </c>
      <c r="B180" t="s">
        <v>112</v>
      </c>
      <c r="C180" t="s">
        <v>141</v>
      </c>
      <c r="D180" t="s">
        <v>0</v>
      </c>
      <c r="E180" t="s">
        <v>79</v>
      </c>
      <c r="F180" t="s">
        <v>44</v>
      </c>
      <c r="G180" t="str" cm="1">
        <f t="array" ref="G180">_xlfn.IFS(D180="External Scaffolding","External Scaffolding",D180="Loading Bay","Loading Tower",D180="Scaffolding Platform","Birdcage", D180="Supporting Scaffold","Floor Propping")</f>
        <v>External Scaffolding</v>
      </c>
      <c r="H180" s="1" t="str" cm="1">
        <f t="array" ref="H180">_xlfn.IFS(OR(G180="External Scaffolding",G180="Birdcage", G180="Trad Deck", G180="Floor Propping"),"2.0 kN/m² (General Purpose)",G180= "Loading Tower","10.0 kN/m² (Loading Bay)",G180="Rhino Deck","6.0 kN/m² (Rhino Deck)")</f>
        <v>2.0 kN/m² (General Purpose)</v>
      </c>
      <c r="I180" t="str">
        <f t="shared" si="8"/>
        <v>Brick Guards</v>
      </c>
      <c r="J180" t="str">
        <f t="shared" si="9"/>
        <v>Positive Tying</v>
      </c>
      <c r="K180">
        <v>1334</v>
      </c>
      <c r="L180" t="str">
        <f t="shared" si="10"/>
        <v>Garage 85</v>
      </c>
      <c r="M180" t="str">
        <f t="shared" si="11"/>
        <v>External Scaffolding</v>
      </c>
      <c r="N180" t="str" cm="1">
        <f t="array" ref="N180">_xlfn.IFS(OR(G180="External Scaffolding",G180="Loading Tower", G180="Floor Propping"),"Tube and Fitting",G180="Birdcage","Birdcage", G180="Rhino Deck", "Rhino Deck", G180="Trad Deck", "Trad Deck")</f>
        <v>Tube and Fitting</v>
      </c>
      <c r="P180" t="s">
        <v>113</v>
      </c>
      <c r="Q180" t="str" cm="1">
        <f t="array" ref="Q180">_xlfn.IFS(M180="Loading Bay","15/OPT/1638-001",M180="Supporting Scaffold", "D/2020/23 rev.A",OR(M180&lt;&gt;"Loading Bay",M180&lt;&gt;"Supporting Scaffold"),"TG20:13 Scaffold")</f>
        <v>TG20:13 Scaffold</v>
      </c>
      <c r="T180" t="s">
        <v>114</v>
      </c>
    </row>
    <row r="181" spans="1:20" x14ac:dyDescent="0.25">
      <c r="A181" t="s">
        <v>390</v>
      </c>
      <c r="B181" t="s">
        <v>112</v>
      </c>
      <c r="C181" t="s">
        <v>141</v>
      </c>
      <c r="D181" t="s">
        <v>1</v>
      </c>
      <c r="E181" t="s">
        <v>79</v>
      </c>
      <c r="F181" t="s">
        <v>44</v>
      </c>
      <c r="G181" t="str" cm="1">
        <f t="array" ref="G181">_xlfn.IFS(D181="External Scaffolding","External Scaffolding",D181="Loading Bay","Loading Tower",D181="Scaffolding Platform","Birdcage", D181="Supporting Scaffold","Floor Propping")</f>
        <v>Loading Tower</v>
      </c>
      <c r="H181" s="1" t="str" cm="1">
        <f t="array" ref="H181">_xlfn.IFS(OR(G181="External Scaffolding",G181="Birdcage", G181="Trad Deck", G181="Floor Propping"),"2.0 kN/m² (General Purpose)",G181= "Loading Tower","10.0 kN/m² (Loading Bay)",G181="Rhino Deck","6.0 kN/m² (Rhino Deck)")</f>
        <v>10.0 kN/m² (Loading Bay)</v>
      </c>
      <c r="I181" t="str">
        <f t="shared" si="8"/>
        <v>Brick Guards</v>
      </c>
      <c r="J181" t="str">
        <f t="shared" si="9"/>
        <v>Positive Tying</v>
      </c>
      <c r="K181">
        <v>1334</v>
      </c>
      <c r="L181" t="str">
        <f t="shared" si="10"/>
        <v>Garage 85</v>
      </c>
      <c r="M181" t="str">
        <f t="shared" si="11"/>
        <v>Loading Bay</v>
      </c>
      <c r="N181" t="str" cm="1">
        <f t="array" ref="N181">_xlfn.IFS(OR(G181="External Scaffolding",G181="Loading Tower", G181="Floor Propping"),"Tube and Fitting",G181="Birdcage","Birdcage", G181="Rhino Deck", "Rhino Deck", G181="Trad Deck", "Trad Deck")</f>
        <v>Tube and Fitting</v>
      </c>
      <c r="P181" t="s">
        <v>113</v>
      </c>
      <c r="Q181" t="str" cm="1">
        <f t="array" ref="Q181">_xlfn.IFS(M181="Loading Bay","15/OPT/1638-001",M181="Supporting Scaffold", "D/2020/23 rev.A",OR(M181&lt;&gt;"Loading Bay",M181&lt;&gt;"Supporting Scaffold"),"TG20:13 Scaffold")</f>
        <v>15/OPT/1638-001</v>
      </c>
      <c r="T181" t="s">
        <v>114</v>
      </c>
    </row>
    <row r="182" spans="1:20" x14ac:dyDescent="0.25">
      <c r="A182" t="s">
        <v>391</v>
      </c>
      <c r="B182" t="s">
        <v>112</v>
      </c>
      <c r="C182" t="s">
        <v>141</v>
      </c>
      <c r="D182" t="s">
        <v>0</v>
      </c>
      <c r="E182" t="s">
        <v>79</v>
      </c>
      <c r="F182" t="s">
        <v>45</v>
      </c>
      <c r="G182" t="str" cm="1">
        <f t="array" ref="G182">_xlfn.IFS(D182="External Scaffolding","External Scaffolding",D182="Loading Bay","Loading Tower",D182="Scaffolding Platform","Birdcage", D182="Supporting Scaffold","Floor Propping")</f>
        <v>External Scaffolding</v>
      </c>
      <c r="H182" s="1" t="str" cm="1">
        <f t="array" ref="H182">_xlfn.IFS(OR(G182="External Scaffolding",G182="Birdcage", G182="Trad Deck", G182="Floor Propping"),"2.0 kN/m² (General Purpose)",G182= "Loading Tower","10.0 kN/m² (Loading Bay)",G182="Rhino Deck","6.0 kN/m² (Rhino Deck)")</f>
        <v>2.0 kN/m² (General Purpose)</v>
      </c>
      <c r="I182" t="str">
        <f t="shared" si="8"/>
        <v>Brick Guards</v>
      </c>
      <c r="J182" t="str">
        <f t="shared" si="9"/>
        <v>Positive Tying</v>
      </c>
      <c r="K182">
        <v>1334</v>
      </c>
      <c r="L182" t="str">
        <f t="shared" si="10"/>
        <v>Garage 88-89</v>
      </c>
      <c r="M182" t="str">
        <f t="shared" si="11"/>
        <v>External Scaffolding</v>
      </c>
      <c r="N182" t="str" cm="1">
        <f t="array" ref="N182">_xlfn.IFS(OR(G182="External Scaffolding",G182="Loading Tower", G182="Floor Propping"),"Tube and Fitting",G182="Birdcage","Birdcage", G182="Rhino Deck", "Rhino Deck", G182="Trad Deck", "Trad Deck")</f>
        <v>Tube and Fitting</v>
      </c>
      <c r="P182" t="s">
        <v>113</v>
      </c>
      <c r="Q182" t="str" cm="1">
        <f t="array" ref="Q182">_xlfn.IFS(M182="Loading Bay","15/OPT/1638-001",M182="Supporting Scaffold", "D/2020/23 rev.A",OR(M182&lt;&gt;"Loading Bay",M182&lt;&gt;"Supporting Scaffold"),"TG20:13 Scaffold")</f>
        <v>TG20:13 Scaffold</v>
      </c>
      <c r="T182" t="s">
        <v>114</v>
      </c>
    </row>
    <row r="183" spans="1:20" x14ac:dyDescent="0.25">
      <c r="A183" t="s">
        <v>392</v>
      </c>
      <c r="B183" t="s">
        <v>112</v>
      </c>
      <c r="C183" t="s">
        <v>141</v>
      </c>
      <c r="D183" t="s">
        <v>1</v>
      </c>
      <c r="E183" t="s">
        <v>79</v>
      </c>
      <c r="F183" t="s">
        <v>45</v>
      </c>
      <c r="G183" t="str" cm="1">
        <f t="array" ref="G183">_xlfn.IFS(D183="External Scaffolding","External Scaffolding",D183="Loading Bay","Loading Tower",D183="Scaffolding Platform","Birdcage", D183="Supporting Scaffold","Floor Propping")</f>
        <v>Loading Tower</v>
      </c>
      <c r="H183" s="1" t="str" cm="1">
        <f t="array" ref="H183">_xlfn.IFS(OR(G183="External Scaffolding",G183="Birdcage", G183="Trad Deck", G183="Floor Propping"),"2.0 kN/m² (General Purpose)",G183= "Loading Tower","10.0 kN/m² (Loading Bay)",G183="Rhino Deck","6.0 kN/m² (Rhino Deck)")</f>
        <v>10.0 kN/m² (Loading Bay)</v>
      </c>
      <c r="I183" t="str">
        <f t="shared" si="8"/>
        <v>Brick Guards</v>
      </c>
      <c r="J183" t="str">
        <f t="shared" si="9"/>
        <v>Positive Tying</v>
      </c>
      <c r="K183">
        <v>1334</v>
      </c>
      <c r="L183" t="str">
        <f t="shared" si="10"/>
        <v>Garage 88-89</v>
      </c>
      <c r="M183" t="str">
        <f t="shared" si="11"/>
        <v>Loading Bay</v>
      </c>
      <c r="N183" t="str" cm="1">
        <f t="array" ref="N183">_xlfn.IFS(OR(G183="External Scaffolding",G183="Loading Tower", G183="Floor Propping"),"Tube and Fitting",G183="Birdcage","Birdcage", G183="Rhino Deck", "Rhino Deck", G183="Trad Deck", "Trad Deck")</f>
        <v>Tube and Fitting</v>
      </c>
      <c r="P183" t="s">
        <v>113</v>
      </c>
      <c r="Q183" t="str" cm="1">
        <f t="array" ref="Q183">_xlfn.IFS(M183="Loading Bay","15/OPT/1638-001",M183="Supporting Scaffold", "D/2020/23 rev.A",OR(M183&lt;&gt;"Loading Bay",M183&lt;&gt;"Supporting Scaffold"),"TG20:13 Scaffold")</f>
        <v>15/OPT/1638-001</v>
      </c>
      <c r="T183" t="s">
        <v>114</v>
      </c>
    </row>
    <row r="184" spans="1:20" x14ac:dyDescent="0.25">
      <c r="A184" t="s">
        <v>393</v>
      </c>
      <c r="B184" t="s">
        <v>112</v>
      </c>
      <c r="C184" t="s">
        <v>141</v>
      </c>
      <c r="D184" t="s">
        <v>0</v>
      </c>
      <c r="E184" t="s">
        <v>79</v>
      </c>
      <c r="F184" t="s">
        <v>46</v>
      </c>
      <c r="G184" t="str" cm="1">
        <f t="array" ref="G184">_xlfn.IFS(D184="External Scaffolding","External Scaffolding",D184="Loading Bay","Loading Tower",D184="Scaffolding Platform","Birdcage", D184="Supporting Scaffold","Floor Propping")</f>
        <v>External Scaffolding</v>
      </c>
      <c r="H184" s="1" t="str" cm="1">
        <f t="array" ref="H184">_xlfn.IFS(OR(G184="External Scaffolding",G184="Birdcage", G184="Trad Deck", G184="Floor Propping"),"2.0 kN/m² (General Purpose)",G184= "Loading Tower","10.0 kN/m² (Loading Bay)",G184="Rhino Deck","6.0 kN/m² (Rhino Deck)")</f>
        <v>2.0 kN/m² (General Purpose)</v>
      </c>
      <c r="I184" t="str">
        <f t="shared" si="8"/>
        <v>Brick Guards</v>
      </c>
      <c r="J184" t="str">
        <f t="shared" si="9"/>
        <v>Positive Tying</v>
      </c>
      <c r="K184">
        <v>1334</v>
      </c>
      <c r="L184" t="str">
        <f t="shared" si="10"/>
        <v>Garage 90</v>
      </c>
      <c r="M184" t="str">
        <f t="shared" si="11"/>
        <v>External Scaffolding</v>
      </c>
      <c r="N184" t="str" cm="1">
        <f t="array" ref="N184">_xlfn.IFS(OR(G184="External Scaffolding",G184="Loading Tower", G184="Floor Propping"),"Tube and Fitting",G184="Birdcage","Birdcage", G184="Rhino Deck", "Rhino Deck", G184="Trad Deck", "Trad Deck")</f>
        <v>Tube and Fitting</v>
      </c>
      <c r="P184" t="s">
        <v>113</v>
      </c>
      <c r="Q184" t="str" cm="1">
        <f t="array" ref="Q184">_xlfn.IFS(M184="Loading Bay","15/OPT/1638-001",M184="Supporting Scaffold", "D/2020/23 rev.A",OR(M184&lt;&gt;"Loading Bay",M184&lt;&gt;"Supporting Scaffold"),"TG20:13 Scaffold")</f>
        <v>TG20:13 Scaffold</v>
      </c>
      <c r="T184" t="s">
        <v>114</v>
      </c>
    </row>
    <row r="185" spans="1:20" x14ac:dyDescent="0.25">
      <c r="A185" t="s">
        <v>394</v>
      </c>
      <c r="B185" t="s">
        <v>112</v>
      </c>
      <c r="C185" t="s">
        <v>141</v>
      </c>
      <c r="D185" t="s">
        <v>1</v>
      </c>
      <c r="E185" t="s">
        <v>79</v>
      </c>
      <c r="F185" t="s">
        <v>46</v>
      </c>
      <c r="G185" t="str" cm="1">
        <f t="array" ref="G185">_xlfn.IFS(D185="External Scaffolding","External Scaffolding",D185="Loading Bay","Loading Tower",D185="Scaffolding Platform","Birdcage", D185="Supporting Scaffold","Floor Propping")</f>
        <v>Loading Tower</v>
      </c>
      <c r="H185" s="1" t="str" cm="1">
        <f t="array" ref="H185">_xlfn.IFS(OR(G185="External Scaffolding",G185="Birdcage", G185="Trad Deck", G185="Floor Propping"),"2.0 kN/m² (General Purpose)",G185= "Loading Tower","10.0 kN/m² (Loading Bay)",G185="Rhino Deck","6.0 kN/m² (Rhino Deck)")</f>
        <v>10.0 kN/m² (Loading Bay)</v>
      </c>
      <c r="I185" t="str">
        <f t="shared" si="8"/>
        <v>Brick Guards</v>
      </c>
      <c r="J185" t="str">
        <f t="shared" si="9"/>
        <v>Positive Tying</v>
      </c>
      <c r="K185">
        <v>1334</v>
      </c>
      <c r="L185" t="str">
        <f t="shared" si="10"/>
        <v>Garage 90</v>
      </c>
      <c r="M185" t="str">
        <f t="shared" si="11"/>
        <v>Loading Bay</v>
      </c>
      <c r="N185" t="str" cm="1">
        <f t="array" ref="N185">_xlfn.IFS(OR(G185="External Scaffolding",G185="Loading Tower", G185="Floor Propping"),"Tube and Fitting",G185="Birdcage","Birdcage", G185="Rhino Deck", "Rhino Deck", G185="Trad Deck", "Trad Deck")</f>
        <v>Tube and Fitting</v>
      </c>
      <c r="P185" t="s">
        <v>113</v>
      </c>
      <c r="Q185" t="str" cm="1">
        <f t="array" ref="Q185">_xlfn.IFS(M185="Loading Bay","15/OPT/1638-001",M185="Supporting Scaffold", "D/2020/23 rev.A",OR(M185&lt;&gt;"Loading Bay",M185&lt;&gt;"Supporting Scaffold"),"TG20:13 Scaffold")</f>
        <v>15/OPT/1638-001</v>
      </c>
      <c r="T185" t="s">
        <v>114</v>
      </c>
    </row>
    <row r="186" spans="1:20" x14ac:dyDescent="0.25">
      <c r="A186" t="s">
        <v>395</v>
      </c>
      <c r="B186" t="s">
        <v>112</v>
      </c>
      <c r="C186" t="s">
        <v>141</v>
      </c>
      <c r="D186" t="s">
        <v>0</v>
      </c>
      <c r="E186" t="s">
        <v>79</v>
      </c>
      <c r="F186" t="s">
        <v>47</v>
      </c>
      <c r="G186" t="str" cm="1">
        <f t="array" ref="G186">_xlfn.IFS(D186="External Scaffolding","External Scaffolding",D186="Loading Bay","Loading Tower",D186="Scaffolding Platform","Birdcage", D186="Supporting Scaffold","Floor Propping")</f>
        <v>External Scaffolding</v>
      </c>
      <c r="H186" s="1" t="str" cm="1">
        <f t="array" ref="H186">_xlfn.IFS(OR(G186="External Scaffolding",G186="Birdcage", G186="Trad Deck", G186="Floor Propping"),"2.0 kN/m² (General Purpose)",G186= "Loading Tower","10.0 kN/m² (Loading Bay)",G186="Rhino Deck","6.0 kN/m² (Rhino Deck)")</f>
        <v>2.0 kN/m² (General Purpose)</v>
      </c>
      <c r="I186" t="str">
        <f t="shared" si="8"/>
        <v>Brick Guards</v>
      </c>
      <c r="J186" t="str">
        <f t="shared" si="9"/>
        <v>Positive Tying</v>
      </c>
      <c r="K186">
        <v>1334</v>
      </c>
      <c r="L186" t="str">
        <f t="shared" si="10"/>
        <v>Garage 109</v>
      </c>
      <c r="M186" t="str">
        <f t="shared" si="11"/>
        <v>External Scaffolding</v>
      </c>
      <c r="N186" t="str" cm="1">
        <f t="array" ref="N186">_xlfn.IFS(OR(G186="External Scaffolding",G186="Loading Tower", G186="Floor Propping"),"Tube and Fitting",G186="Birdcage","Birdcage", G186="Rhino Deck", "Rhino Deck", G186="Trad Deck", "Trad Deck")</f>
        <v>Tube and Fitting</v>
      </c>
      <c r="P186" t="s">
        <v>113</v>
      </c>
      <c r="Q186" t="str" cm="1">
        <f t="array" ref="Q186">_xlfn.IFS(M186="Loading Bay","15/OPT/1638-001",M186="Supporting Scaffold", "D/2020/23 rev.A",OR(M186&lt;&gt;"Loading Bay",M186&lt;&gt;"Supporting Scaffold"),"TG20:13 Scaffold")</f>
        <v>TG20:13 Scaffold</v>
      </c>
      <c r="T186" t="s">
        <v>114</v>
      </c>
    </row>
    <row r="187" spans="1:20" x14ac:dyDescent="0.25">
      <c r="A187" t="s">
        <v>396</v>
      </c>
      <c r="B187" t="s">
        <v>112</v>
      </c>
      <c r="C187" t="s">
        <v>141</v>
      </c>
      <c r="D187" t="s">
        <v>1</v>
      </c>
      <c r="E187" t="s">
        <v>79</v>
      </c>
      <c r="F187" t="s">
        <v>47</v>
      </c>
      <c r="G187" t="str" cm="1">
        <f t="array" ref="G187">_xlfn.IFS(D187="External Scaffolding","External Scaffolding",D187="Loading Bay","Loading Tower",D187="Scaffolding Platform","Birdcage", D187="Supporting Scaffold","Floor Propping")</f>
        <v>Loading Tower</v>
      </c>
      <c r="H187" s="1" t="str" cm="1">
        <f t="array" ref="H187">_xlfn.IFS(OR(G187="External Scaffolding",G187="Birdcage", G187="Trad Deck", G187="Floor Propping"),"2.0 kN/m² (General Purpose)",G187= "Loading Tower","10.0 kN/m² (Loading Bay)",G187="Rhino Deck","6.0 kN/m² (Rhino Deck)")</f>
        <v>10.0 kN/m² (Loading Bay)</v>
      </c>
      <c r="I187" t="str">
        <f t="shared" si="8"/>
        <v>Brick Guards</v>
      </c>
      <c r="J187" t="str">
        <f t="shared" si="9"/>
        <v>Positive Tying</v>
      </c>
      <c r="K187">
        <v>1334</v>
      </c>
      <c r="L187" t="str">
        <f t="shared" si="10"/>
        <v>Garage 109</v>
      </c>
      <c r="M187" t="str">
        <f t="shared" si="11"/>
        <v>Loading Bay</v>
      </c>
      <c r="N187" t="str" cm="1">
        <f t="array" ref="N187">_xlfn.IFS(OR(G187="External Scaffolding",G187="Loading Tower", G187="Floor Propping"),"Tube and Fitting",G187="Birdcage","Birdcage", G187="Rhino Deck", "Rhino Deck", G187="Trad Deck", "Trad Deck")</f>
        <v>Tube and Fitting</v>
      </c>
      <c r="P187" t="s">
        <v>113</v>
      </c>
      <c r="Q187" t="str" cm="1">
        <f t="array" ref="Q187">_xlfn.IFS(M187="Loading Bay","15/OPT/1638-001",M187="Supporting Scaffold", "D/2020/23 rev.A",OR(M187&lt;&gt;"Loading Bay",M187&lt;&gt;"Supporting Scaffold"),"TG20:13 Scaffold")</f>
        <v>15/OPT/1638-001</v>
      </c>
      <c r="T187" t="s">
        <v>114</v>
      </c>
    </row>
    <row r="188" spans="1:20" x14ac:dyDescent="0.25">
      <c r="A188" t="s">
        <v>397</v>
      </c>
      <c r="B188" t="s">
        <v>112</v>
      </c>
      <c r="C188" t="s">
        <v>141</v>
      </c>
      <c r="D188" t="s">
        <v>0</v>
      </c>
      <c r="E188" t="s">
        <v>79</v>
      </c>
      <c r="F188" t="s">
        <v>48</v>
      </c>
      <c r="G188" t="str" cm="1">
        <f t="array" ref="G188">_xlfn.IFS(D188="External Scaffolding","External Scaffolding",D188="Loading Bay","Loading Tower",D188="Scaffolding Platform","Birdcage", D188="Supporting Scaffold","Floor Propping")</f>
        <v>External Scaffolding</v>
      </c>
      <c r="H188" s="1" t="str" cm="1">
        <f t="array" ref="H188">_xlfn.IFS(OR(G188="External Scaffolding",G188="Birdcage", G188="Trad Deck", G188="Floor Propping"),"2.0 kN/m² (General Purpose)",G188= "Loading Tower","10.0 kN/m² (Loading Bay)",G188="Rhino Deck","6.0 kN/m² (Rhino Deck)")</f>
        <v>2.0 kN/m² (General Purpose)</v>
      </c>
      <c r="I188" t="str">
        <f t="shared" si="8"/>
        <v>Brick Guards</v>
      </c>
      <c r="J188" t="str">
        <f t="shared" si="9"/>
        <v>Positive Tying</v>
      </c>
      <c r="K188">
        <v>1334</v>
      </c>
      <c r="L188" t="str">
        <f t="shared" si="10"/>
        <v>Garage 120</v>
      </c>
      <c r="M188" t="str">
        <f t="shared" si="11"/>
        <v>External Scaffolding</v>
      </c>
      <c r="N188" t="str" cm="1">
        <f t="array" ref="N188">_xlfn.IFS(OR(G188="External Scaffolding",G188="Loading Tower", G188="Floor Propping"),"Tube and Fitting",G188="Birdcage","Birdcage", G188="Rhino Deck", "Rhino Deck", G188="Trad Deck", "Trad Deck")</f>
        <v>Tube and Fitting</v>
      </c>
      <c r="P188" t="s">
        <v>113</v>
      </c>
      <c r="Q188" t="str" cm="1">
        <f t="array" ref="Q188">_xlfn.IFS(M188="Loading Bay","15/OPT/1638-001",M188="Supporting Scaffold", "D/2020/23 rev.A",OR(M188&lt;&gt;"Loading Bay",M188&lt;&gt;"Supporting Scaffold"),"TG20:13 Scaffold")</f>
        <v>TG20:13 Scaffold</v>
      </c>
      <c r="T188" t="s">
        <v>114</v>
      </c>
    </row>
    <row r="189" spans="1:20" x14ac:dyDescent="0.25">
      <c r="A189" t="s">
        <v>398</v>
      </c>
      <c r="B189" t="s">
        <v>112</v>
      </c>
      <c r="C189" t="s">
        <v>141</v>
      </c>
      <c r="D189" t="s">
        <v>1</v>
      </c>
      <c r="E189" t="s">
        <v>79</v>
      </c>
      <c r="F189" t="s">
        <v>48</v>
      </c>
      <c r="G189" t="str" cm="1">
        <f t="array" ref="G189">_xlfn.IFS(D189="External Scaffolding","External Scaffolding",D189="Loading Bay","Loading Tower",D189="Scaffolding Platform","Birdcage", D189="Supporting Scaffold","Floor Propping")</f>
        <v>Loading Tower</v>
      </c>
      <c r="H189" s="1" t="str" cm="1">
        <f t="array" ref="H189">_xlfn.IFS(OR(G189="External Scaffolding",G189="Birdcage", G189="Trad Deck", G189="Floor Propping"),"2.0 kN/m² (General Purpose)",G189= "Loading Tower","10.0 kN/m² (Loading Bay)",G189="Rhino Deck","6.0 kN/m² (Rhino Deck)")</f>
        <v>10.0 kN/m² (Loading Bay)</v>
      </c>
      <c r="I189" t="str">
        <f t="shared" si="8"/>
        <v>Brick Guards</v>
      </c>
      <c r="J189" t="str">
        <f t="shared" si="9"/>
        <v>Positive Tying</v>
      </c>
      <c r="K189">
        <v>1334</v>
      </c>
      <c r="L189" t="str">
        <f t="shared" si="10"/>
        <v>Garage 120</v>
      </c>
      <c r="M189" t="str">
        <f t="shared" si="11"/>
        <v>Loading Bay</v>
      </c>
      <c r="N189" t="str" cm="1">
        <f t="array" ref="N189">_xlfn.IFS(OR(G189="External Scaffolding",G189="Loading Tower", G189="Floor Propping"),"Tube and Fitting",G189="Birdcage","Birdcage", G189="Rhino Deck", "Rhino Deck", G189="Trad Deck", "Trad Deck")</f>
        <v>Tube and Fitting</v>
      </c>
      <c r="P189" t="s">
        <v>113</v>
      </c>
      <c r="Q189" t="str" cm="1">
        <f t="array" ref="Q189">_xlfn.IFS(M189="Loading Bay","15/OPT/1638-001",M189="Supporting Scaffold", "D/2020/23 rev.A",OR(M189&lt;&gt;"Loading Bay",M189&lt;&gt;"Supporting Scaffold"),"TG20:13 Scaffold")</f>
        <v>15/OPT/1638-001</v>
      </c>
      <c r="T189" t="s">
        <v>114</v>
      </c>
    </row>
    <row r="190" spans="1:20" x14ac:dyDescent="0.25">
      <c r="A190" t="s">
        <v>399</v>
      </c>
      <c r="B190" t="s">
        <v>112</v>
      </c>
      <c r="C190" t="s">
        <v>141</v>
      </c>
      <c r="D190" t="s">
        <v>0</v>
      </c>
      <c r="E190" t="s">
        <v>79</v>
      </c>
      <c r="F190" t="s">
        <v>49</v>
      </c>
      <c r="G190" t="str" cm="1">
        <f t="array" ref="G190">_xlfn.IFS(D190="External Scaffolding","External Scaffolding",D190="Loading Bay","Loading Tower",D190="Scaffolding Platform","Birdcage", D190="Supporting Scaffold","Floor Propping")</f>
        <v>External Scaffolding</v>
      </c>
      <c r="H190" s="1" t="str" cm="1">
        <f t="array" ref="H190">_xlfn.IFS(OR(G190="External Scaffolding",G190="Birdcage", G190="Trad Deck", G190="Floor Propping"),"2.0 kN/m² (General Purpose)",G190= "Loading Tower","10.0 kN/m² (Loading Bay)",G190="Rhino Deck","6.0 kN/m² (Rhino Deck)")</f>
        <v>2.0 kN/m² (General Purpose)</v>
      </c>
      <c r="I190" t="str">
        <f t="shared" si="8"/>
        <v>Brick Guards</v>
      </c>
      <c r="J190" t="str">
        <f t="shared" si="9"/>
        <v>Positive Tying</v>
      </c>
      <c r="K190">
        <v>1334</v>
      </c>
      <c r="L190" t="str">
        <f t="shared" si="10"/>
        <v>Garage 121</v>
      </c>
      <c r="M190" t="str">
        <f t="shared" si="11"/>
        <v>External Scaffolding</v>
      </c>
      <c r="N190" t="str" cm="1">
        <f t="array" ref="N190">_xlfn.IFS(OR(G190="External Scaffolding",G190="Loading Tower", G190="Floor Propping"),"Tube and Fitting",G190="Birdcage","Birdcage", G190="Rhino Deck", "Rhino Deck", G190="Trad Deck", "Trad Deck")</f>
        <v>Tube and Fitting</v>
      </c>
      <c r="P190" t="s">
        <v>113</v>
      </c>
      <c r="Q190" t="str" cm="1">
        <f t="array" ref="Q190">_xlfn.IFS(M190="Loading Bay","15/OPT/1638-001",M190="Supporting Scaffold", "D/2020/23 rev.A",OR(M190&lt;&gt;"Loading Bay",M190&lt;&gt;"Supporting Scaffold"),"TG20:13 Scaffold")</f>
        <v>TG20:13 Scaffold</v>
      </c>
      <c r="T190" t="s">
        <v>114</v>
      </c>
    </row>
    <row r="191" spans="1:20" x14ac:dyDescent="0.25">
      <c r="A191" t="s">
        <v>400</v>
      </c>
      <c r="B191" t="s">
        <v>112</v>
      </c>
      <c r="C191" t="s">
        <v>141</v>
      </c>
      <c r="D191" t="s">
        <v>1</v>
      </c>
      <c r="E191" t="s">
        <v>79</v>
      </c>
      <c r="F191" t="s">
        <v>49</v>
      </c>
      <c r="G191" t="str" cm="1">
        <f t="array" ref="G191">_xlfn.IFS(D191="External Scaffolding","External Scaffolding",D191="Loading Bay","Loading Tower",D191="Scaffolding Platform","Birdcage", D191="Supporting Scaffold","Floor Propping")</f>
        <v>Loading Tower</v>
      </c>
      <c r="H191" s="1" t="str" cm="1">
        <f t="array" ref="H191">_xlfn.IFS(OR(G191="External Scaffolding",G191="Birdcage", G191="Trad Deck", G191="Floor Propping"),"2.0 kN/m² (General Purpose)",G191= "Loading Tower","10.0 kN/m² (Loading Bay)",G191="Rhino Deck","6.0 kN/m² (Rhino Deck)")</f>
        <v>10.0 kN/m² (Loading Bay)</v>
      </c>
      <c r="I191" t="str">
        <f t="shared" si="8"/>
        <v>Brick Guards</v>
      </c>
      <c r="J191" t="str">
        <f t="shared" si="9"/>
        <v>Positive Tying</v>
      </c>
      <c r="K191">
        <v>1334</v>
      </c>
      <c r="L191" t="str">
        <f t="shared" si="10"/>
        <v>Garage 121</v>
      </c>
      <c r="M191" t="str">
        <f t="shared" si="11"/>
        <v>Loading Bay</v>
      </c>
      <c r="N191" t="str" cm="1">
        <f t="array" ref="N191">_xlfn.IFS(OR(G191="External Scaffolding",G191="Loading Tower", G191="Floor Propping"),"Tube and Fitting",G191="Birdcage","Birdcage", G191="Rhino Deck", "Rhino Deck", G191="Trad Deck", "Trad Deck")</f>
        <v>Tube and Fitting</v>
      </c>
      <c r="P191" t="s">
        <v>113</v>
      </c>
      <c r="Q191" t="str" cm="1">
        <f t="array" ref="Q191">_xlfn.IFS(M191="Loading Bay","15/OPT/1638-001",M191="Supporting Scaffold", "D/2020/23 rev.A",OR(M191&lt;&gt;"Loading Bay",M191&lt;&gt;"Supporting Scaffold"),"TG20:13 Scaffold")</f>
        <v>15/OPT/1638-001</v>
      </c>
      <c r="T191" t="s">
        <v>114</v>
      </c>
    </row>
    <row r="192" spans="1:20" x14ac:dyDescent="0.25">
      <c r="A192" t="s">
        <v>401</v>
      </c>
      <c r="B192" t="s">
        <v>112</v>
      </c>
      <c r="C192" t="s">
        <v>141</v>
      </c>
      <c r="D192" t="s">
        <v>0</v>
      </c>
      <c r="E192" t="s">
        <v>79</v>
      </c>
      <c r="F192" t="s">
        <v>50</v>
      </c>
      <c r="G192" t="str" cm="1">
        <f t="array" ref="G192">_xlfn.IFS(D192="External Scaffolding","External Scaffolding",D192="Loading Bay","Loading Tower",D192="Scaffolding Platform","Birdcage", D192="Supporting Scaffold","Floor Propping")</f>
        <v>External Scaffolding</v>
      </c>
      <c r="H192" s="1" t="str" cm="1">
        <f t="array" ref="H192">_xlfn.IFS(OR(G192="External Scaffolding",G192="Birdcage", G192="Trad Deck", G192="Floor Propping"),"2.0 kN/m² (General Purpose)",G192= "Loading Tower","10.0 kN/m² (Loading Bay)",G192="Rhino Deck","6.0 kN/m² (Rhino Deck)")</f>
        <v>2.0 kN/m² (General Purpose)</v>
      </c>
      <c r="I192" t="str">
        <f t="shared" si="8"/>
        <v>Brick Guards</v>
      </c>
      <c r="J192" t="str">
        <f t="shared" si="9"/>
        <v>Positive Tying</v>
      </c>
      <c r="K192">
        <v>1334</v>
      </c>
      <c r="L192" t="str">
        <f t="shared" si="10"/>
        <v>Garage 122</v>
      </c>
      <c r="M192" t="str">
        <f t="shared" si="11"/>
        <v>External Scaffolding</v>
      </c>
      <c r="N192" t="str" cm="1">
        <f t="array" ref="N192">_xlfn.IFS(OR(G192="External Scaffolding",G192="Loading Tower", G192="Floor Propping"),"Tube and Fitting",G192="Birdcage","Birdcage", G192="Rhino Deck", "Rhino Deck", G192="Trad Deck", "Trad Deck")</f>
        <v>Tube and Fitting</v>
      </c>
      <c r="P192" t="s">
        <v>113</v>
      </c>
      <c r="Q192" t="str" cm="1">
        <f t="array" ref="Q192">_xlfn.IFS(M192="Loading Bay","15/OPT/1638-001",M192="Supporting Scaffold", "D/2020/23 rev.A",OR(M192&lt;&gt;"Loading Bay",M192&lt;&gt;"Supporting Scaffold"),"TG20:13 Scaffold")</f>
        <v>TG20:13 Scaffold</v>
      </c>
      <c r="T192" t="s">
        <v>114</v>
      </c>
    </row>
    <row r="193" spans="1:20" x14ac:dyDescent="0.25">
      <c r="A193" t="s">
        <v>402</v>
      </c>
      <c r="B193" t="s">
        <v>112</v>
      </c>
      <c r="C193" t="s">
        <v>141</v>
      </c>
      <c r="D193" t="s">
        <v>1</v>
      </c>
      <c r="E193" t="s">
        <v>79</v>
      </c>
      <c r="F193" t="s">
        <v>50</v>
      </c>
      <c r="G193" t="str" cm="1">
        <f t="array" ref="G193">_xlfn.IFS(D193="External Scaffolding","External Scaffolding",D193="Loading Bay","Loading Tower",D193="Scaffolding Platform","Birdcage", D193="Supporting Scaffold","Floor Propping")</f>
        <v>Loading Tower</v>
      </c>
      <c r="H193" s="1" t="str" cm="1">
        <f t="array" ref="H193">_xlfn.IFS(OR(G193="External Scaffolding",G193="Birdcage", G193="Trad Deck", G193="Floor Propping"),"2.0 kN/m² (General Purpose)",G193= "Loading Tower","10.0 kN/m² (Loading Bay)",G193="Rhino Deck","6.0 kN/m² (Rhino Deck)")</f>
        <v>10.0 kN/m² (Loading Bay)</v>
      </c>
      <c r="I193" t="str">
        <f t="shared" si="8"/>
        <v>Brick Guards</v>
      </c>
      <c r="J193" t="str">
        <f t="shared" si="9"/>
        <v>Positive Tying</v>
      </c>
      <c r="K193">
        <v>1334</v>
      </c>
      <c r="L193" t="str">
        <f t="shared" si="10"/>
        <v>Garage 122</v>
      </c>
      <c r="M193" t="str">
        <f t="shared" si="11"/>
        <v>Loading Bay</v>
      </c>
      <c r="N193" t="str" cm="1">
        <f t="array" ref="N193">_xlfn.IFS(OR(G193="External Scaffolding",G193="Loading Tower", G193="Floor Propping"),"Tube and Fitting",G193="Birdcage","Birdcage", G193="Rhino Deck", "Rhino Deck", G193="Trad Deck", "Trad Deck")</f>
        <v>Tube and Fitting</v>
      </c>
      <c r="P193" t="s">
        <v>113</v>
      </c>
      <c r="Q193" t="str" cm="1">
        <f t="array" ref="Q193">_xlfn.IFS(M193="Loading Bay","15/OPT/1638-001",M193="Supporting Scaffold", "D/2020/23 rev.A",OR(M193&lt;&gt;"Loading Bay",M193&lt;&gt;"Supporting Scaffold"),"TG20:13 Scaffold")</f>
        <v>15/OPT/1638-001</v>
      </c>
      <c r="T193" t="s">
        <v>114</v>
      </c>
    </row>
    <row r="194" spans="1:20" x14ac:dyDescent="0.25">
      <c r="A194" t="s">
        <v>403</v>
      </c>
      <c r="B194" t="s">
        <v>112</v>
      </c>
      <c r="C194" t="s">
        <v>141</v>
      </c>
      <c r="D194" t="s">
        <v>0</v>
      </c>
      <c r="E194" t="s">
        <v>79</v>
      </c>
      <c r="F194" t="s">
        <v>51</v>
      </c>
      <c r="G194" t="str" cm="1">
        <f t="array" ref="G194">_xlfn.IFS(D194="External Scaffolding","External Scaffolding",D194="Loading Bay","Loading Tower",D194="Scaffolding Platform","Birdcage", D194="Supporting Scaffold","Floor Propping")</f>
        <v>External Scaffolding</v>
      </c>
      <c r="H194" s="1" t="str" cm="1">
        <f t="array" ref="H194">_xlfn.IFS(OR(G194="External Scaffolding",G194="Birdcage", G194="Trad Deck", G194="Floor Propping"),"2.0 kN/m² (General Purpose)",G194= "Loading Tower","10.0 kN/m² (Loading Bay)",G194="Rhino Deck","6.0 kN/m² (Rhino Deck)")</f>
        <v>2.0 kN/m² (General Purpose)</v>
      </c>
      <c r="I194" t="str">
        <f t="shared" si="8"/>
        <v>Brick Guards</v>
      </c>
      <c r="J194" t="str">
        <f t="shared" si="9"/>
        <v>Positive Tying</v>
      </c>
      <c r="K194">
        <v>1334</v>
      </c>
      <c r="L194" t="str">
        <f t="shared" si="10"/>
        <v>Garage 123</v>
      </c>
      <c r="M194" t="str">
        <f t="shared" si="11"/>
        <v>External Scaffolding</v>
      </c>
      <c r="N194" t="str" cm="1">
        <f t="array" ref="N194">_xlfn.IFS(OR(G194="External Scaffolding",G194="Loading Tower", G194="Floor Propping"),"Tube and Fitting",G194="Birdcage","Birdcage", G194="Rhino Deck", "Rhino Deck", G194="Trad Deck", "Trad Deck")</f>
        <v>Tube and Fitting</v>
      </c>
      <c r="P194" t="s">
        <v>113</v>
      </c>
      <c r="Q194" t="str" cm="1">
        <f t="array" ref="Q194">_xlfn.IFS(M194="Loading Bay","15/OPT/1638-001",M194="Supporting Scaffold", "D/2020/23 rev.A",OR(M194&lt;&gt;"Loading Bay",M194&lt;&gt;"Supporting Scaffold"),"TG20:13 Scaffold")</f>
        <v>TG20:13 Scaffold</v>
      </c>
      <c r="T194" t="s">
        <v>114</v>
      </c>
    </row>
    <row r="195" spans="1:20" x14ac:dyDescent="0.25">
      <c r="A195" t="s">
        <v>404</v>
      </c>
      <c r="B195" t="s">
        <v>112</v>
      </c>
      <c r="C195" t="s">
        <v>141</v>
      </c>
      <c r="D195" t="s">
        <v>1</v>
      </c>
      <c r="E195" t="s">
        <v>79</v>
      </c>
      <c r="F195" t="s">
        <v>51</v>
      </c>
      <c r="G195" t="str" cm="1">
        <f t="array" ref="G195">_xlfn.IFS(D195="External Scaffolding","External Scaffolding",D195="Loading Bay","Loading Tower",D195="Scaffolding Platform","Birdcage", D195="Supporting Scaffold","Floor Propping")</f>
        <v>Loading Tower</v>
      </c>
      <c r="H195" s="1" t="str" cm="1">
        <f t="array" ref="H195">_xlfn.IFS(OR(G195="External Scaffolding",G195="Birdcage", G195="Trad Deck", G195="Floor Propping"),"2.0 kN/m² (General Purpose)",G195= "Loading Tower","10.0 kN/m² (Loading Bay)",G195="Rhino Deck","6.0 kN/m² (Rhino Deck)")</f>
        <v>10.0 kN/m² (Loading Bay)</v>
      </c>
      <c r="I195" t="str">
        <f t="shared" ref="I195:I239" si="12">IF(D195="Scaffolding Platform","None","Brick Guards")</f>
        <v>Brick Guards</v>
      </c>
      <c r="J195" t="str">
        <f t="shared" ref="J195:J239" si="13">IF(OR(G195="Birdcage",G195="Rhino Deck"),"Butted","Positive Tying")</f>
        <v>Positive Tying</v>
      </c>
      <c r="K195">
        <v>1334</v>
      </c>
      <c r="L195" t="str">
        <f t="shared" ref="L195:L239" si="14">F195</f>
        <v>Garage 123</v>
      </c>
      <c r="M195" t="str">
        <f t="shared" ref="M195:M239" si="15">D195</f>
        <v>Loading Bay</v>
      </c>
      <c r="N195" t="str" cm="1">
        <f t="array" ref="N195">_xlfn.IFS(OR(G195="External Scaffolding",G195="Loading Tower", G195="Floor Propping"),"Tube and Fitting",G195="Birdcage","Birdcage", G195="Rhino Deck", "Rhino Deck", G195="Trad Deck", "Trad Deck")</f>
        <v>Tube and Fitting</v>
      </c>
      <c r="P195" t="s">
        <v>113</v>
      </c>
      <c r="Q195" t="str" cm="1">
        <f t="array" ref="Q195">_xlfn.IFS(M195="Loading Bay","15/OPT/1638-001",M195="Supporting Scaffold", "D/2020/23 rev.A",OR(M195&lt;&gt;"Loading Bay",M195&lt;&gt;"Supporting Scaffold"),"TG20:13 Scaffold")</f>
        <v>15/OPT/1638-001</v>
      </c>
      <c r="T195" t="s">
        <v>114</v>
      </c>
    </row>
    <row r="196" spans="1:20" x14ac:dyDescent="0.25">
      <c r="A196" t="s">
        <v>405</v>
      </c>
      <c r="B196" t="s">
        <v>112</v>
      </c>
      <c r="C196" t="s">
        <v>141</v>
      </c>
      <c r="D196" t="s">
        <v>0</v>
      </c>
      <c r="E196" t="s">
        <v>79</v>
      </c>
      <c r="F196" t="s">
        <v>52</v>
      </c>
      <c r="G196" t="str" cm="1">
        <f t="array" ref="G196">_xlfn.IFS(D196="External Scaffolding","External Scaffolding",D196="Loading Bay","Loading Tower",D196="Scaffolding Platform","Birdcage", D196="Supporting Scaffold","Floor Propping")</f>
        <v>External Scaffolding</v>
      </c>
      <c r="H196" s="1" t="str" cm="1">
        <f t="array" ref="H196">_xlfn.IFS(OR(G196="External Scaffolding",G196="Birdcage", G196="Trad Deck", G196="Floor Propping"),"2.0 kN/m² (General Purpose)",G196= "Loading Tower","10.0 kN/m² (Loading Bay)",G196="Rhino Deck","6.0 kN/m² (Rhino Deck)")</f>
        <v>2.0 kN/m² (General Purpose)</v>
      </c>
      <c r="I196" t="str">
        <f t="shared" si="12"/>
        <v>Brick Guards</v>
      </c>
      <c r="J196" t="str">
        <f t="shared" si="13"/>
        <v>Positive Tying</v>
      </c>
      <c r="K196">
        <v>1334</v>
      </c>
      <c r="L196" t="str">
        <f t="shared" si="14"/>
        <v>Garage 124</v>
      </c>
      <c r="M196" t="str">
        <f t="shared" si="15"/>
        <v>External Scaffolding</v>
      </c>
      <c r="N196" t="str" cm="1">
        <f t="array" ref="N196">_xlfn.IFS(OR(G196="External Scaffolding",G196="Loading Tower", G196="Floor Propping"),"Tube and Fitting",G196="Birdcage","Birdcage", G196="Rhino Deck", "Rhino Deck", G196="Trad Deck", "Trad Deck")</f>
        <v>Tube and Fitting</v>
      </c>
      <c r="P196" t="s">
        <v>113</v>
      </c>
      <c r="Q196" t="str" cm="1">
        <f t="array" ref="Q196">_xlfn.IFS(M196="Loading Bay","15/OPT/1638-001",M196="Supporting Scaffold", "D/2020/23 rev.A",OR(M196&lt;&gt;"Loading Bay",M196&lt;&gt;"Supporting Scaffold"),"TG20:13 Scaffold")</f>
        <v>TG20:13 Scaffold</v>
      </c>
      <c r="T196" t="s">
        <v>114</v>
      </c>
    </row>
    <row r="197" spans="1:20" x14ac:dyDescent="0.25">
      <c r="A197" t="s">
        <v>406</v>
      </c>
      <c r="B197" t="s">
        <v>112</v>
      </c>
      <c r="C197" t="s">
        <v>141</v>
      </c>
      <c r="D197" t="s">
        <v>1</v>
      </c>
      <c r="E197" t="s">
        <v>79</v>
      </c>
      <c r="F197" t="s">
        <v>52</v>
      </c>
      <c r="G197" t="str" cm="1">
        <f t="array" ref="G197">_xlfn.IFS(D197="External Scaffolding","External Scaffolding",D197="Loading Bay","Loading Tower",D197="Scaffolding Platform","Birdcage", D197="Supporting Scaffold","Floor Propping")</f>
        <v>Loading Tower</v>
      </c>
      <c r="H197" s="1" t="str" cm="1">
        <f t="array" ref="H197">_xlfn.IFS(OR(G197="External Scaffolding",G197="Birdcage", G197="Trad Deck", G197="Floor Propping"),"2.0 kN/m² (General Purpose)",G197= "Loading Tower","10.0 kN/m² (Loading Bay)",G197="Rhino Deck","6.0 kN/m² (Rhino Deck)")</f>
        <v>10.0 kN/m² (Loading Bay)</v>
      </c>
      <c r="I197" t="str">
        <f t="shared" si="12"/>
        <v>Brick Guards</v>
      </c>
      <c r="J197" t="str">
        <f t="shared" si="13"/>
        <v>Positive Tying</v>
      </c>
      <c r="K197">
        <v>1334</v>
      </c>
      <c r="L197" t="str">
        <f t="shared" si="14"/>
        <v>Garage 124</v>
      </c>
      <c r="M197" t="str">
        <f t="shared" si="15"/>
        <v>Loading Bay</v>
      </c>
      <c r="N197" t="str" cm="1">
        <f t="array" ref="N197">_xlfn.IFS(OR(G197="External Scaffolding",G197="Loading Tower", G197="Floor Propping"),"Tube and Fitting",G197="Birdcage","Birdcage", G197="Rhino Deck", "Rhino Deck", G197="Trad Deck", "Trad Deck")</f>
        <v>Tube and Fitting</v>
      </c>
      <c r="P197" t="s">
        <v>113</v>
      </c>
      <c r="Q197" t="str" cm="1">
        <f t="array" ref="Q197">_xlfn.IFS(M197="Loading Bay","15/OPT/1638-001",M197="Supporting Scaffold", "D/2020/23 rev.A",OR(M197&lt;&gt;"Loading Bay",M197&lt;&gt;"Supporting Scaffold"),"TG20:13 Scaffold")</f>
        <v>15/OPT/1638-001</v>
      </c>
      <c r="T197" t="s">
        <v>114</v>
      </c>
    </row>
    <row r="198" spans="1:20" x14ac:dyDescent="0.25">
      <c r="A198" t="s">
        <v>407</v>
      </c>
      <c r="B198" t="s">
        <v>112</v>
      </c>
      <c r="C198" t="s">
        <v>141</v>
      </c>
      <c r="D198" t="s">
        <v>0</v>
      </c>
      <c r="E198" t="s">
        <v>79</v>
      </c>
      <c r="F198" t="s">
        <v>53</v>
      </c>
      <c r="G198" t="str" cm="1">
        <f t="array" ref="G198">_xlfn.IFS(D198="External Scaffolding","External Scaffolding",D198="Loading Bay","Loading Tower",D198="Scaffolding Platform","Birdcage", D198="Supporting Scaffold","Floor Propping")</f>
        <v>External Scaffolding</v>
      </c>
      <c r="H198" s="1" t="str" cm="1">
        <f t="array" ref="H198">_xlfn.IFS(OR(G198="External Scaffolding",G198="Birdcage", G198="Trad Deck", G198="Floor Propping"),"2.0 kN/m² (General Purpose)",G198= "Loading Tower","10.0 kN/m² (Loading Bay)",G198="Rhino Deck","6.0 kN/m² (Rhino Deck)")</f>
        <v>2.0 kN/m² (General Purpose)</v>
      </c>
      <c r="I198" t="str">
        <f t="shared" si="12"/>
        <v>Brick Guards</v>
      </c>
      <c r="J198" t="str">
        <f t="shared" si="13"/>
        <v>Positive Tying</v>
      </c>
      <c r="K198">
        <v>1334</v>
      </c>
      <c r="L198" t="str">
        <f t="shared" si="14"/>
        <v>Garage 125</v>
      </c>
      <c r="M198" t="str">
        <f t="shared" si="15"/>
        <v>External Scaffolding</v>
      </c>
      <c r="N198" t="str" cm="1">
        <f t="array" ref="N198">_xlfn.IFS(OR(G198="External Scaffolding",G198="Loading Tower", G198="Floor Propping"),"Tube and Fitting",G198="Birdcage","Birdcage", G198="Rhino Deck", "Rhino Deck", G198="Trad Deck", "Trad Deck")</f>
        <v>Tube and Fitting</v>
      </c>
      <c r="P198" t="s">
        <v>113</v>
      </c>
      <c r="Q198" t="str" cm="1">
        <f t="array" ref="Q198">_xlfn.IFS(M198="Loading Bay","15/OPT/1638-001",M198="Supporting Scaffold", "D/2020/23 rev.A",OR(M198&lt;&gt;"Loading Bay",M198&lt;&gt;"Supporting Scaffold"),"TG20:13 Scaffold")</f>
        <v>TG20:13 Scaffold</v>
      </c>
      <c r="T198" t="s">
        <v>114</v>
      </c>
    </row>
    <row r="199" spans="1:20" x14ac:dyDescent="0.25">
      <c r="A199" t="s">
        <v>408</v>
      </c>
      <c r="B199" t="s">
        <v>112</v>
      </c>
      <c r="C199" t="s">
        <v>141</v>
      </c>
      <c r="D199" t="s">
        <v>1</v>
      </c>
      <c r="E199" t="s">
        <v>79</v>
      </c>
      <c r="F199" t="s">
        <v>53</v>
      </c>
      <c r="G199" t="str" cm="1">
        <f t="array" ref="G199">_xlfn.IFS(D199="External Scaffolding","External Scaffolding",D199="Loading Bay","Loading Tower",D199="Scaffolding Platform","Birdcage", D199="Supporting Scaffold","Floor Propping")</f>
        <v>Loading Tower</v>
      </c>
      <c r="H199" s="1" t="str" cm="1">
        <f t="array" ref="H199">_xlfn.IFS(OR(G199="External Scaffolding",G199="Birdcage", G199="Trad Deck", G199="Floor Propping"),"2.0 kN/m² (General Purpose)",G199= "Loading Tower","10.0 kN/m² (Loading Bay)",G199="Rhino Deck","6.0 kN/m² (Rhino Deck)")</f>
        <v>10.0 kN/m² (Loading Bay)</v>
      </c>
      <c r="I199" t="str">
        <f t="shared" si="12"/>
        <v>Brick Guards</v>
      </c>
      <c r="J199" t="str">
        <f t="shared" si="13"/>
        <v>Positive Tying</v>
      </c>
      <c r="K199">
        <v>1334</v>
      </c>
      <c r="L199" t="str">
        <f t="shared" si="14"/>
        <v>Garage 125</v>
      </c>
      <c r="M199" t="str">
        <f t="shared" si="15"/>
        <v>Loading Bay</v>
      </c>
      <c r="N199" t="str" cm="1">
        <f t="array" ref="N199">_xlfn.IFS(OR(G199="External Scaffolding",G199="Loading Tower", G199="Floor Propping"),"Tube and Fitting",G199="Birdcage","Birdcage", G199="Rhino Deck", "Rhino Deck", G199="Trad Deck", "Trad Deck")</f>
        <v>Tube and Fitting</v>
      </c>
      <c r="P199" t="s">
        <v>113</v>
      </c>
      <c r="Q199" t="str" cm="1">
        <f t="array" ref="Q199">_xlfn.IFS(M199="Loading Bay","15/OPT/1638-001",M199="Supporting Scaffold", "D/2020/23 rev.A",OR(M199&lt;&gt;"Loading Bay",M199&lt;&gt;"Supporting Scaffold"),"TG20:13 Scaffold")</f>
        <v>15/OPT/1638-001</v>
      </c>
      <c r="T199" t="s">
        <v>114</v>
      </c>
    </row>
    <row r="200" spans="1:20" x14ac:dyDescent="0.25">
      <c r="A200" t="s">
        <v>409</v>
      </c>
      <c r="B200" t="s">
        <v>112</v>
      </c>
      <c r="C200" t="s">
        <v>141</v>
      </c>
      <c r="D200" t="s">
        <v>0</v>
      </c>
      <c r="E200" t="s">
        <v>79</v>
      </c>
      <c r="F200" t="s">
        <v>54</v>
      </c>
      <c r="G200" t="str" cm="1">
        <f t="array" ref="G200">_xlfn.IFS(D200="External Scaffolding","External Scaffolding",D200="Loading Bay","Loading Tower",D200="Scaffolding Platform","Birdcage", D200="Supporting Scaffold","Floor Propping")</f>
        <v>External Scaffolding</v>
      </c>
      <c r="H200" s="1" t="str" cm="1">
        <f t="array" ref="H200">_xlfn.IFS(OR(G200="External Scaffolding",G200="Birdcage", G200="Trad Deck", G200="Floor Propping"),"2.0 kN/m² (General Purpose)",G200= "Loading Tower","10.0 kN/m² (Loading Bay)",G200="Rhino Deck","6.0 kN/m² (Rhino Deck)")</f>
        <v>2.0 kN/m² (General Purpose)</v>
      </c>
      <c r="I200" t="str">
        <f t="shared" si="12"/>
        <v>Brick Guards</v>
      </c>
      <c r="J200" t="str">
        <f t="shared" si="13"/>
        <v>Positive Tying</v>
      </c>
      <c r="K200">
        <v>1334</v>
      </c>
      <c r="L200" t="str">
        <f t="shared" si="14"/>
        <v>Garage 132</v>
      </c>
      <c r="M200" t="str">
        <f t="shared" si="15"/>
        <v>External Scaffolding</v>
      </c>
      <c r="N200" t="str" cm="1">
        <f t="array" ref="N200">_xlfn.IFS(OR(G200="External Scaffolding",G200="Loading Tower", G200="Floor Propping"),"Tube and Fitting",G200="Birdcage","Birdcage", G200="Rhino Deck", "Rhino Deck", G200="Trad Deck", "Trad Deck")</f>
        <v>Tube and Fitting</v>
      </c>
      <c r="P200" t="s">
        <v>113</v>
      </c>
      <c r="Q200" t="str" cm="1">
        <f t="array" ref="Q200">_xlfn.IFS(M200="Loading Bay","15/OPT/1638-001",M200="Supporting Scaffold", "D/2020/23 rev.A",OR(M200&lt;&gt;"Loading Bay",M200&lt;&gt;"Supporting Scaffold"),"TG20:13 Scaffold")</f>
        <v>TG20:13 Scaffold</v>
      </c>
      <c r="T200" t="s">
        <v>114</v>
      </c>
    </row>
    <row r="201" spans="1:20" x14ac:dyDescent="0.25">
      <c r="A201" t="s">
        <v>410</v>
      </c>
      <c r="B201" t="s">
        <v>112</v>
      </c>
      <c r="C201" t="s">
        <v>141</v>
      </c>
      <c r="D201" t="s">
        <v>1</v>
      </c>
      <c r="E201" t="s">
        <v>79</v>
      </c>
      <c r="F201" t="s">
        <v>54</v>
      </c>
      <c r="G201" t="str" cm="1">
        <f t="array" ref="G201">_xlfn.IFS(D201="External Scaffolding","External Scaffolding",D201="Loading Bay","Loading Tower",D201="Scaffolding Platform","Birdcage", D201="Supporting Scaffold","Floor Propping")</f>
        <v>Loading Tower</v>
      </c>
      <c r="H201" s="1" t="str" cm="1">
        <f t="array" ref="H201">_xlfn.IFS(OR(G201="External Scaffolding",G201="Birdcage", G201="Trad Deck", G201="Floor Propping"),"2.0 kN/m² (General Purpose)",G201= "Loading Tower","10.0 kN/m² (Loading Bay)",G201="Rhino Deck","6.0 kN/m² (Rhino Deck)")</f>
        <v>10.0 kN/m² (Loading Bay)</v>
      </c>
      <c r="I201" t="str">
        <f t="shared" si="12"/>
        <v>Brick Guards</v>
      </c>
      <c r="J201" t="str">
        <f t="shared" si="13"/>
        <v>Positive Tying</v>
      </c>
      <c r="K201">
        <v>1334</v>
      </c>
      <c r="L201" t="str">
        <f t="shared" si="14"/>
        <v>Garage 132</v>
      </c>
      <c r="M201" t="str">
        <f t="shared" si="15"/>
        <v>Loading Bay</v>
      </c>
      <c r="N201" t="str" cm="1">
        <f t="array" ref="N201">_xlfn.IFS(OR(G201="External Scaffolding",G201="Loading Tower", G201="Floor Propping"),"Tube and Fitting",G201="Birdcage","Birdcage", G201="Rhino Deck", "Rhino Deck", G201="Trad Deck", "Trad Deck")</f>
        <v>Tube and Fitting</v>
      </c>
      <c r="P201" t="s">
        <v>113</v>
      </c>
      <c r="Q201" t="str" cm="1">
        <f t="array" ref="Q201">_xlfn.IFS(M201="Loading Bay","15/OPT/1638-001",M201="Supporting Scaffold", "D/2020/23 rev.A",OR(M201&lt;&gt;"Loading Bay",M201&lt;&gt;"Supporting Scaffold"),"TG20:13 Scaffold")</f>
        <v>15/OPT/1638-001</v>
      </c>
      <c r="T201" t="s">
        <v>114</v>
      </c>
    </row>
    <row r="202" spans="1:20" x14ac:dyDescent="0.25">
      <c r="A202" t="s">
        <v>411</v>
      </c>
      <c r="B202" t="s">
        <v>112</v>
      </c>
      <c r="C202" t="s">
        <v>141</v>
      </c>
      <c r="D202" t="s">
        <v>0</v>
      </c>
      <c r="E202" t="s">
        <v>79</v>
      </c>
      <c r="F202" t="s">
        <v>55</v>
      </c>
      <c r="G202" t="str" cm="1">
        <f t="array" ref="G202">_xlfn.IFS(D202="External Scaffolding","External Scaffolding",D202="Loading Bay","Loading Tower",D202="Scaffolding Platform","Birdcage", D202="Supporting Scaffold","Floor Propping")</f>
        <v>External Scaffolding</v>
      </c>
      <c r="H202" s="1" t="str" cm="1">
        <f t="array" ref="H202">_xlfn.IFS(OR(G202="External Scaffolding",G202="Birdcage", G202="Trad Deck", G202="Floor Propping"),"2.0 kN/m² (General Purpose)",G202= "Loading Tower","10.0 kN/m² (Loading Bay)",G202="Rhino Deck","6.0 kN/m² (Rhino Deck)")</f>
        <v>2.0 kN/m² (General Purpose)</v>
      </c>
      <c r="I202" t="str">
        <f t="shared" si="12"/>
        <v>Brick Guards</v>
      </c>
      <c r="J202" t="str">
        <f t="shared" si="13"/>
        <v>Positive Tying</v>
      </c>
      <c r="K202">
        <v>1334</v>
      </c>
      <c r="L202" t="str">
        <f t="shared" si="14"/>
        <v>Garage 135</v>
      </c>
      <c r="M202" t="str">
        <f t="shared" si="15"/>
        <v>External Scaffolding</v>
      </c>
      <c r="N202" t="str" cm="1">
        <f t="array" ref="N202">_xlfn.IFS(OR(G202="External Scaffolding",G202="Loading Tower", G202="Floor Propping"),"Tube and Fitting",G202="Birdcage","Birdcage", G202="Rhino Deck", "Rhino Deck", G202="Trad Deck", "Trad Deck")</f>
        <v>Tube and Fitting</v>
      </c>
      <c r="P202" t="s">
        <v>113</v>
      </c>
      <c r="Q202" t="str" cm="1">
        <f t="array" ref="Q202">_xlfn.IFS(M202="Loading Bay","15/OPT/1638-001",M202="Supporting Scaffold", "D/2020/23 rev.A",OR(M202&lt;&gt;"Loading Bay",M202&lt;&gt;"Supporting Scaffold"),"TG20:13 Scaffold")</f>
        <v>TG20:13 Scaffold</v>
      </c>
      <c r="T202" t="s">
        <v>114</v>
      </c>
    </row>
    <row r="203" spans="1:20" x14ac:dyDescent="0.25">
      <c r="A203" t="s">
        <v>412</v>
      </c>
      <c r="B203" t="s">
        <v>112</v>
      </c>
      <c r="C203" t="s">
        <v>141</v>
      </c>
      <c r="D203" t="s">
        <v>1</v>
      </c>
      <c r="E203" t="s">
        <v>79</v>
      </c>
      <c r="F203" t="s">
        <v>55</v>
      </c>
      <c r="G203" t="str" cm="1">
        <f t="array" ref="G203">_xlfn.IFS(D203="External Scaffolding","External Scaffolding",D203="Loading Bay","Loading Tower",D203="Scaffolding Platform","Birdcage", D203="Supporting Scaffold","Floor Propping")</f>
        <v>Loading Tower</v>
      </c>
      <c r="H203" s="1" t="str" cm="1">
        <f t="array" ref="H203">_xlfn.IFS(OR(G203="External Scaffolding",G203="Birdcage", G203="Trad Deck", G203="Floor Propping"),"2.0 kN/m² (General Purpose)",G203= "Loading Tower","10.0 kN/m² (Loading Bay)",G203="Rhino Deck","6.0 kN/m² (Rhino Deck)")</f>
        <v>10.0 kN/m² (Loading Bay)</v>
      </c>
      <c r="I203" t="str">
        <f t="shared" si="12"/>
        <v>Brick Guards</v>
      </c>
      <c r="J203" t="str">
        <f t="shared" si="13"/>
        <v>Positive Tying</v>
      </c>
      <c r="K203">
        <v>1334</v>
      </c>
      <c r="L203" t="str">
        <f t="shared" si="14"/>
        <v>Garage 135</v>
      </c>
      <c r="M203" t="str">
        <f t="shared" si="15"/>
        <v>Loading Bay</v>
      </c>
      <c r="N203" t="str" cm="1">
        <f t="array" ref="N203">_xlfn.IFS(OR(G203="External Scaffolding",G203="Loading Tower", G203="Floor Propping"),"Tube and Fitting",G203="Birdcage","Birdcage", G203="Rhino Deck", "Rhino Deck", G203="Trad Deck", "Trad Deck")</f>
        <v>Tube and Fitting</v>
      </c>
      <c r="P203" t="s">
        <v>113</v>
      </c>
      <c r="Q203" t="str" cm="1">
        <f t="array" ref="Q203">_xlfn.IFS(M203="Loading Bay","15/OPT/1638-001",M203="Supporting Scaffold", "D/2020/23 rev.A",OR(M203&lt;&gt;"Loading Bay",M203&lt;&gt;"Supporting Scaffold"),"TG20:13 Scaffold")</f>
        <v>15/OPT/1638-001</v>
      </c>
      <c r="T203" t="s">
        <v>114</v>
      </c>
    </row>
    <row r="204" spans="1:20" x14ac:dyDescent="0.25">
      <c r="A204" t="s">
        <v>413</v>
      </c>
      <c r="B204" t="s">
        <v>112</v>
      </c>
      <c r="C204" t="s">
        <v>141</v>
      </c>
      <c r="D204" t="s">
        <v>0</v>
      </c>
      <c r="E204" t="s">
        <v>79</v>
      </c>
      <c r="F204" t="s">
        <v>56</v>
      </c>
      <c r="G204" t="str" cm="1">
        <f t="array" ref="G204">_xlfn.IFS(D204="External Scaffolding","External Scaffolding",D204="Loading Bay","Loading Tower",D204="Scaffolding Platform","Birdcage", D204="Supporting Scaffold","Floor Propping")</f>
        <v>External Scaffolding</v>
      </c>
      <c r="H204" s="1" t="str" cm="1">
        <f t="array" ref="H204">_xlfn.IFS(OR(G204="External Scaffolding",G204="Birdcage", G204="Trad Deck", G204="Floor Propping"),"2.0 kN/m² (General Purpose)",G204= "Loading Tower","10.0 kN/m² (Loading Bay)",G204="Rhino Deck","6.0 kN/m² (Rhino Deck)")</f>
        <v>2.0 kN/m² (General Purpose)</v>
      </c>
      <c r="I204" t="str">
        <f t="shared" si="12"/>
        <v>Brick Guards</v>
      </c>
      <c r="J204" t="str">
        <f t="shared" si="13"/>
        <v>Positive Tying</v>
      </c>
      <c r="K204">
        <v>1334</v>
      </c>
      <c r="L204" t="str">
        <f t="shared" si="14"/>
        <v>Garage 136-137</v>
      </c>
      <c r="M204" t="str">
        <f t="shared" si="15"/>
        <v>External Scaffolding</v>
      </c>
      <c r="N204" t="str" cm="1">
        <f t="array" ref="N204">_xlfn.IFS(OR(G204="External Scaffolding",G204="Loading Tower", G204="Floor Propping"),"Tube and Fitting",G204="Birdcage","Birdcage", G204="Rhino Deck", "Rhino Deck", G204="Trad Deck", "Trad Deck")</f>
        <v>Tube and Fitting</v>
      </c>
      <c r="P204" t="s">
        <v>113</v>
      </c>
      <c r="Q204" t="str" cm="1">
        <f t="array" ref="Q204">_xlfn.IFS(M204="Loading Bay","15/OPT/1638-001",M204="Supporting Scaffold", "D/2020/23 rev.A",OR(M204&lt;&gt;"Loading Bay",M204&lt;&gt;"Supporting Scaffold"),"TG20:13 Scaffold")</f>
        <v>TG20:13 Scaffold</v>
      </c>
      <c r="T204" t="s">
        <v>114</v>
      </c>
    </row>
    <row r="205" spans="1:20" x14ac:dyDescent="0.25">
      <c r="A205" t="s">
        <v>414</v>
      </c>
      <c r="B205" t="s">
        <v>112</v>
      </c>
      <c r="C205" t="s">
        <v>141</v>
      </c>
      <c r="D205" t="s">
        <v>1</v>
      </c>
      <c r="E205" t="s">
        <v>79</v>
      </c>
      <c r="F205" t="s">
        <v>56</v>
      </c>
      <c r="G205" t="str" cm="1">
        <f t="array" ref="G205">_xlfn.IFS(D205="External Scaffolding","External Scaffolding",D205="Loading Bay","Loading Tower",D205="Scaffolding Platform","Birdcage", D205="Supporting Scaffold","Floor Propping")</f>
        <v>Loading Tower</v>
      </c>
      <c r="H205" s="1" t="str" cm="1">
        <f t="array" ref="H205">_xlfn.IFS(OR(G205="External Scaffolding",G205="Birdcage", G205="Trad Deck", G205="Floor Propping"),"2.0 kN/m² (General Purpose)",G205= "Loading Tower","10.0 kN/m² (Loading Bay)",G205="Rhino Deck","6.0 kN/m² (Rhino Deck)")</f>
        <v>10.0 kN/m² (Loading Bay)</v>
      </c>
      <c r="I205" t="str">
        <f t="shared" si="12"/>
        <v>Brick Guards</v>
      </c>
      <c r="J205" t="str">
        <f t="shared" si="13"/>
        <v>Positive Tying</v>
      </c>
      <c r="K205">
        <v>1334</v>
      </c>
      <c r="L205" t="str">
        <f t="shared" si="14"/>
        <v>Garage 136-137</v>
      </c>
      <c r="M205" t="str">
        <f t="shared" si="15"/>
        <v>Loading Bay</v>
      </c>
      <c r="N205" t="str" cm="1">
        <f t="array" ref="N205">_xlfn.IFS(OR(G205="External Scaffolding",G205="Loading Tower", G205="Floor Propping"),"Tube and Fitting",G205="Birdcage","Birdcage", G205="Rhino Deck", "Rhino Deck", G205="Trad Deck", "Trad Deck")</f>
        <v>Tube and Fitting</v>
      </c>
      <c r="P205" t="s">
        <v>113</v>
      </c>
      <c r="Q205" t="str" cm="1">
        <f t="array" ref="Q205">_xlfn.IFS(M205="Loading Bay","15/OPT/1638-001",M205="Supporting Scaffold", "D/2020/23 rev.A",OR(M205&lt;&gt;"Loading Bay",M205&lt;&gt;"Supporting Scaffold"),"TG20:13 Scaffold")</f>
        <v>15/OPT/1638-001</v>
      </c>
      <c r="T205" t="s">
        <v>114</v>
      </c>
    </row>
    <row r="206" spans="1:20" x14ac:dyDescent="0.25">
      <c r="A206" t="s">
        <v>415</v>
      </c>
      <c r="B206" t="s">
        <v>112</v>
      </c>
      <c r="C206" t="s">
        <v>141</v>
      </c>
      <c r="D206" t="s">
        <v>0</v>
      </c>
      <c r="E206" t="s">
        <v>79</v>
      </c>
      <c r="F206" t="s">
        <v>57</v>
      </c>
      <c r="G206" t="str" cm="1">
        <f t="array" ref="G206">_xlfn.IFS(D206="External Scaffolding","External Scaffolding",D206="Loading Bay","Loading Tower",D206="Scaffolding Platform","Birdcage", D206="Supporting Scaffold","Floor Propping")</f>
        <v>External Scaffolding</v>
      </c>
      <c r="H206" s="1" t="str" cm="1">
        <f t="array" ref="H206">_xlfn.IFS(OR(G206="External Scaffolding",G206="Birdcage", G206="Trad Deck", G206="Floor Propping"),"2.0 kN/m² (General Purpose)",G206= "Loading Tower","10.0 kN/m² (Loading Bay)",G206="Rhino Deck","6.0 kN/m² (Rhino Deck)")</f>
        <v>2.0 kN/m² (General Purpose)</v>
      </c>
      <c r="I206" t="str">
        <f t="shared" si="12"/>
        <v>Brick Guards</v>
      </c>
      <c r="J206" t="str">
        <f t="shared" si="13"/>
        <v>Positive Tying</v>
      </c>
      <c r="K206">
        <v>1334</v>
      </c>
      <c r="L206" t="str">
        <f t="shared" si="14"/>
        <v>Garage 138</v>
      </c>
      <c r="M206" t="str">
        <f t="shared" si="15"/>
        <v>External Scaffolding</v>
      </c>
      <c r="N206" t="str" cm="1">
        <f t="array" ref="N206">_xlfn.IFS(OR(G206="External Scaffolding",G206="Loading Tower", G206="Floor Propping"),"Tube and Fitting",G206="Birdcage","Birdcage", G206="Rhino Deck", "Rhino Deck", G206="Trad Deck", "Trad Deck")</f>
        <v>Tube and Fitting</v>
      </c>
      <c r="P206" t="s">
        <v>113</v>
      </c>
      <c r="Q206" t="str" cm="1">
        <f t="array" ref="Q206">_xlfn.IFS(M206="Loading Bay","15/OPT/1638-001",M206="Supporting Scaffold", "D/2020/23 rev.A",OR(M206&lt;&gt;"Loading Bay",M206&lt;&gt;"Supporting Scaffold"),"TG20:13 Scaffold")</f>
        <v>TG20:13 Scaffold</v>
      </c>
      <c r="T206" t="s">
        <v>114</v>
      </c>
    </row>
    <row r="207" spans="1:20" x14ac:dyDescent="0.25">
      <c r="A207" t="s">
        <v>416</v>
      </c>
      <c r="B207" t="s">
        <v>112</v>
      </c>
      <c r="C207" t="s">
        <v>141</v>
      </c>
      <c r="D207" t="s">
        <v>1</v>
      </c>
      <c r="E207" t="s">
        <v>79</v>
      </c>
      <c r="F207" t="s">
        <v>57</v>
      </c>
      <c r="G207" t="str" cm="1">
        <f t="array" ref="G207">_xlfn.IFS(D207="External Scaffolding","External Scaffolding",D207="Loading Bay","Loading Tower",D207="Scaffolding Platform","Birdcage", D207="Supporting Scaffold","Floor Propping")</f>
        <v>Loading Tower</v>
      </c>
      <c r="H207" s="1" t="str" cm="1">
        <f t="array" ref="H207">_xlfn.IFS(OR(G207="External Scaffolding",G207="Birdcage", G207="Trad Deck", G207="Floor Propping"),"2.0 kN/m² (General Purpose)",G207= "Loading Tower","10.0 kN/m² (Loading Bay)",G207="Rhino Deck","6.0 kN/m² (Rhino Deck)")</f>
        <v>10.0 kN/m² (Loading Bay)</v>
      </c>
      <c r="I207" t="str">
        <f t="shared" si="12"/>
        <v>Brick Guards</v>
      </c>
      <c r="J207" t="str">
        <f t="shared" si="13"/>
        <v>Positive Tying</v>
      </c>
      <c r="K207">
        <v>1334</v>
      </c>
      <c r="L207" t="str">
        <f t="shared" si="14"/>
        <v>Garage 138</v>
      </c>
      <c r="M207" t="str">
        <f t="shared" si="15"/>
        <v>Loading Bay</v>
      </c>
      <c r="N207" t="str" cm="1">
        <f t="array" ref="N207">_xlfn.IFS(OR(G207="External Scaffolding",G207="Loading Tower", G207="Floor Propping"),"Tube and Fitting",G207="Birdcage","Birdcage", G207="Rhino Deck", "Rhino Deck", G207="Trad Deck", "Trad Deck")</f>
        <v>Tube and Fitting</v>
      </c>
      <c r="P207" t="s">
        <v>113</v>
      </c>
      <c r="Q207" t="str" cm="1">
        <f t="array" ref="Q207">_xlfn.IFS(M207="Loading Bay","15/OPT/1638-001",M207="Supporting Scaffold", "D/2020/23 rev.A",OR(M207&lt;&gt;"Loading Bay",M207&lt;&gt;"Supporting Scaffold"),"TG20:13 Scaffold")</f>
        <v>15/OPT/1638-001</v>
      </c>
      <c r="T207" t="s">
        <v>114</v>
      </c>
    </row>
    <row r="208" spans="1:20" x14ac:dyDescent="0.25">
      <c r="A208" t="s">
        <v>417</v>
      </c>
      <c r="B208" t="s">
        <v>112</v>
      </c>
      <c r="C208" t="s">
        <v>141</v>
      </c>
      <c r="D208" t="s">
        <v>0</v>
      </c>
      <c r="E208" t="s">
        <v>79</v>
      </c>
      <c r="F208" t="s">
        <v>58</v>
      </c>
      <c r="G208" t="str" cm="1">
        <f t="array" ref="G208">_xlfn.IFS(D208="External Scaffolding","External Scaffolding",D208="Loading Bay","Loading Tower",D208="Scaffolding Platform","Birdcage", D208="Supporting Scaffold","Floor Propping")</f>
        <v>External Scaffolding</v>
      </c>
      <c r="H208" s="1" t="str" cm="1">
        <f t="array" ref="H208">_xlfn.IFS(OR(G208="External Scaffolding",G208="Birdcage", G208="Trad Deck", G208="Floor Propping"),"2.0 kN/m² (General Purpose)",G208= "Loading Tower","10.0 kN/m² (Loading Bay)",G208="Rhino Deck","6.0 kN/m² (Rhino Deck)")</f>
        <v>2.0 kN/m² (General Purpose)</v>
      </c>
      <c r="I208" t="str">
        <f t="shared" si="12"/>
        <v>Brick Guards</v>
      </c>
      <c r="J208" t="str">
        <f t="shared" si="13"/>
        <v>Positive Tying</v>
      </c>
      <c r="K208">
        <v>1334</v>
      </c>
      <c r="L208" t="str">
        <f t="shared" si="14"/>
        <v>Garage 141</v>
      </c>
      <c r="M208" t="str">
        <f t="shared" si="15"/>
        <v>External Scaffolding</v>
      </c>
      <c r="N208" t="str" cm="1">
        <f t="array" ref="N208">_xlfn.IFS(OR(G208="External Scaffolding",G208="Loading Tower", G208="Floor Propping"),"Tube and Fitting",G208="Birdcage","Birdcage", G208="Rhino Deck", "Rhino Deck", G208="Trad Deck", "Trad Deck")</f>
        <v>Tube and Fitting</v>
      </c>
      <c r="P208" t="s">
        <v>113</v>
      </c>
      <c r="Q208" t="str" cm="1">
        <f t="array" ref="Q208">_xlfn.IFS(M208="Loading Bay","15/OPT/1638-001",M208="Supporting Scaffold", "D/2020/23 rev.A",OR(M208&lt;&gt;"Loading Bay",M208&lt;&gt;"Supporting Scaffold"),"TG20:13 Scaffold")</f>
        <v>TG20:13 Scaffold</v>
      </c>
      <c r="T208" t="s">
        <v>114</v>
      </c>
    </row>
    <row r="209" spans="1:20" x14ac:dyDescent="0.25">
      <c r="A209" t="s">
        <v>418</v>
      </c>
      <c r="B209" t="s">
        <v>112</v>
      </c>
      <c r="C209" t="s">
        <v>141</v>
      </c>
      <c r="D209" t="s">
        <v>1</v>
      </c>
      <c r="E209" t="s">
        <v>79</v>
      </c>
      <c r="F209" t="s">
        <v>58</v>
      </c>
      <c r="G209" t="str" cm="1">
        <f t="array" ref="G209">_xlfn.IFS(D209="External Scaffolding","External Scaffolding",D209="Loading Bay","Loading Tower",D209="Scaffolding Platform","Birdcage", D209="Supporting Scaffold","Floor Propping")</f>
        <v>Loading Tower</v>
      </c>
      <c r="H209" s="1" t="str" cm="1">
        <f t="array" ref="H209">_xlfn.IFS(OR(G209="External Scaffolding",G209="Birdcage", G209="Trad Deck", G209="Floor Propping"),"2.0 kN/m² (General Purpose)",G209= "Loading Tower","10.0 kN/m² (Loading Bay)",G209="Rhino Deck","6.0 kN/m² (Rhino Deck)")</f>
        <v>10.0 kN/m² (Loading Bay)</v>
      </c>
      <c r="I209" t="str">
        <f t="shared" si="12"/>
        <v>Brick Guards</v>
      </c>
      <c r="J209" t="str">
        <f t="shared" si="13"/>
        <v>Positive Tying</v>
      </c>
      <c r="K209">
        <v>1334</v>
      </c>
      <c r="L209" t="str">
        <f t="shared" si="14"/>
        <v>Garage 141</v>
      </c>
      <c r="M209" t="str">
        <f t="shared" si="15"/>
        <v>Loading Bay</v>
      </c>
      <c r="N209" t="str" cm="1">
        <f t="array" ref="N209">_xlfn.IFS(OR(G209="External Scaffolding",G209="Loading Tower", G209="Floor Propping"),"Tube and Fitting",G209="Birdcage","Birdcage", G209="Rhino Deck", "Rhino Deck", G209="Trad Deck", "Trad Deck")</f>
        <v>Tube and Fitting</v>
      </c>
      <c r="P209" t="s">
        <v>113</v>
      </c>
      <c r="Q209" t="str" cm="1">
        <f t="array" ref="Q209">_xlfn.IFS(M209="Loading Bay","15/OPT/1638-001",M209="Supporting Scaffold", "D/2020/23 rev.A",OR(M209&lt;&gt;"Loading Bay",M209&lt;&gt;"Supporting Scaffold"),"TG20:13 Scaffold")</f>
        <v>15/OPT/1638-001</v>
      </c>
      <c r="T209" t="s">
        <v>114</v>
      </c>
    </row>
    <row r="210" spans="1:20" x14ac:dyDescent="0.25">
      <c r="A210" t="s">
        <v>419</v>
      </c>
      <c r="B210" t="s">
        <v>112</v>
      </c>
      <c r="C210" t="s">
        <v>141</v>
      </c>
      <c r="D210" t="s">
        <v>0</v>
      </c>
      <c r="E210" t="s">
        <v>79</v>
      </c>
      <c r="F210" t="s">
        <v>59</v>
      </c>
      <c r="G210" t="str" cm="1">
        <f t="array" ref="G210">_xlfn.IFS(D210="External Scaffolding","External Scaffolding",D210="Loading Bay","Loading Tower",D210="Scaffolding Platform","Birdcage", D210="Supporting Scaffold","Floor Propping")</f>
        <v>External Scaffolding</v>
      </c>
      <c r="H210" s="1" t="str" cm="1">
        <f t="array" ref="H210">_xlfn.IFS(OR(G210="External Scaffolding",G210="Birdcage", G210="Trad Deck", G210="Floor Propping"),"2.0 kN/m² (General Purpose)",G210= "Loading Tower","10.0 kN/m² (Loading Bay)",G210="Rhino Deck","6.0 kN/m² (Rhino Deck)")</f>
        <v>2.0 kN/m² (General Purpose)</v>
      </c>
      <c r="I210" t="str">
        <f t="shared" si="12"/>
        <v>Brick Guards</v>
      </c>
      <c r="J210" t="str">
        <f t="shared" si="13"/>
        <v>Positive Tying</v>
      </c>
      <c r="K210">
        <v>1334</v>
      </c>
      <c r="L210" t="str">
        <f t="shared" si="14"/>
        <v>Garage 142-143</v>
      </c>
      <c r="M210" t="str">
        <f t="shared" si="15"/>
        <v>External Scaffolding</v>
      </c>
      <c r="N210" t="str" cm="1">
        <f t="array" ref="N210">_xlfn.IFS(OR(G210="External Scaffolding",G210="Loading Tower", G210="Floor Propping"),"Tube and Fitting",G210="Birdcage","Birdcage", G210="Rhino Deck", "Rhino Deck", G210="Trad Deck", "Trad Deck")</f>
        <v>Tube and Fitting</v>
      </c>
      <c r="P210" t="s">
        <v>113</v>
      </c>
      <c r="Q210" t="str" cm="1">
        <f t="array" ref="Q210">_xlfn.IFS(M210="Loading Bay","15/OPT/1638-001",M210="Supporting Scaffold", "D/2020/23 rev.A",OR(M210&lt;&gt;"Loading Bay",M210&lt;&gt;"Supporting Scaffold"),"TG20:13 Scaffold")</f>
        <v>TG20:13 Scaffold</v>
      </c>
      <c r="T210" t="s">
        <v>114</v>
      </c>
    </row>
    <row r="211" spans="1:20" x14ac:dyDescent="0.25">
      <c r="A211" t="s">
        <v>420</v>
      </c>
      <c r="B211" t="s">
        <v>112</v>
      </c>
      <c r="C211" t="s">
        <v>141</v>
      </c>
      <c r="D211" t="s">
        <v>1</v>
      </c>
      <c r="E211" t="s">
        <v>79</v>
      </c>
      <c r="F211" t="s">
        <v>59</v>
      </c>
      <c r="G211" t="str" cm="1">
        <f t="array" ref="G211">_xlfn.IFS(D211="External Scaffolding","External Scaffolding",D211="Loading Bay","Loading Tower",D211="Scaffolding Platform","Birdcage", D211="Supporting Scaffold","Floor Propping")</f>
        <v>Loading Tower</v>
      </c>
      <c r="H211" s="1" t="str" cm="1">
        <f t="array" ref="H211">_xlfn.IFS(OR(G211="External Scaffolding",G211="Birdcage", G211="Trad Deck", G211="Floor Propping"),"2.0 kN/m² (General Purpose)",G211= "Loading Tower","10.0 kN/m² (Loading Bay)",G211="Rhino Deck","6.0 kN/m² (Rhino Deck)")</f>
        <v>10.0 kN/m² (Loading Bay)</v>
      </c>
      <c r="I211" t="str">
        <f t="shared" si="12"/>
        <v>Brick Guards</v>
      </c>
      <c r="J211" t="str">
        <f t="shared" si="13"/>
        <v>Positive Tying</v>
      </c>
      <c r="K211">
        <v>1334</v>
      </c>
      <c r="L211" t="str">
        <f t="shared" si="14"/>
        <v>Garage 142-143</v>
      </c>
      <c r="M211" t="str">
        <f t="shared" si="15"/>
        <v>Loading Bay</v>
      </c>
      <c r="N211" t="str" cm="1">
        <f t="array" ref="N211">_xlfn.IFS(OR(G211="External Scaffolding",G211="Loading Tower", G211="Floor Propping"),"Tube and Fitting",G211="Birdcage","Birdcage", G211="Rhino Deck", "Rhino Deck", G211="Trad Deck", "Trad Deck")</f>
        <v>Tube and Fitting</v>
      </c>
      <c r="P211" t="s">
        <v>113</v>
      </c>
      <c r="Q211" t="str" cm="1">
        <f t="array" ref="Q211">_xlfn.IFS(M211="Loading Bay","15/OPT/1638-001",M211="Supporting Scaffold", "D/2020/23 rev.A",OR(M211&lt;&gt;"Loading Bay",M211&lt;&gt;"Supporting Scaffold"),"TG20:13 Scaffold")</f>
        <v>15/OPT/1638-001</v>
      </c>
      <c r="T211" t="s">
        <v>114</v>
      </c>
    </row>
    <row r="212" spans="1:20" x14ac:dyDescent="0.25">
      <c r="A212" t="s">
        <v>421</v>
      </c>
      <c r="B212" t="s">
        <v>112</v>
      </c>
      <c r="C212" t="s">
        <v>141</v>
      </c>
      <c r="D212" t="s">
        <v>0</v>
      </c>
      <c r="E212" t="s">
        <v>79</v>
      </c>
      <c r="F212" t="s">
        <v>60</v>
      </c>
      <c r="G212" t="str" cm="1">
        <f t="array" ref="G212">_xlfn.IFS(D212="External Scaffolding","External Scaffolding",D212="Loading Bay","Loading Tower",D212="Scaffolding Platform","Birdcage", D212="Supporting Scaffold","Floor Propping")</f>
        <v>External Scaffolding</v>
      </c>
      <c r="H212" s="1" t="str" cm="1">
        <f t="array" ref="H212">_xlfn.IFS(OR(G212="External Scaffolding",G212="Birdcage", G212="Trad Deck", G212="Floor Propping"),"2.0 kN/m² (General Purpose)",G212= "Loading Tower","10.0 kN/m² (Loading Bay)",G212="Rhino Deck","6.0 kN/m² (Rhino Deck)")</f>
        <v>2.0 kN/m² (General Purpose)</v>
      </c>
      <c r="I212" t="str">
        <f t="shared" si="12"/>
        <v>Brick Guards</v>
      </c>
      <c r="J212" t="str">
        <f t="shared" si="13"/>
        <v>Positive Tying</v>
      </c>
      <c r="K212">
        <v>1334</v>
      </c>
      <c r="L212" t="str">
        <f t="shared" si="14"/>
        <v>Garage 144</v>
      </c>
      <c r="M212" t="str">
        <f t="shared" si="15"/>
        <v>External Scaffolding</v>
      </c>
      <c r="N212" t="str" cm="1">
        <f t="array" ref="N212">_xlfn.IFS(OR(G212="External Scaffolding",G212="Loading Tower", G212="Floor Propping"),"Tube and Fitting",G212="Birdcage","Birdcage", G212="Rhino Deck", "Rhino Deck", G212="Trad Deck", "Trad Deck")</f>
        <v>Tube and Fitting</v>
      </c>
      <c r="P212" t="s">
        <v>113</v>
      </c>
      <c r="Q212" t="str" cm="1">
        <f t="array" ref="Q212">_xlfn.IFS(M212="Loading Bay","15/OPT/1638-001",M212="Supporting Scaffold", "D/2020/23 rev.A",OR(M212&lt;&gt;"Loading Bay",M212&lt;&gt;"Supporting Scaffold"),"TG20:13 Scaffold")</f>
        <v>TG20:13 Scaffold</v>
      </c>
      <c r="T212" t="s">
        <v>114</v>
      </c>
    </row>
    <row r="213" spans="1:20" x14ac:dyDescent="0.25">
      <c r="A213" t="s">
        <v>422</v>
      </c>
      <c r="B213" t="s">
        <v>112</v>
      </c>
      <c r="C213" t="s">
        <v>141</v>
      </c>
      <c r="D213" t="s">
        <v>1</v>
      </c>
      <c r="E213" t="s">
        <v>79</v>
      </c>
      <c r="F213" t="s">
        <v>60</v>
      </c>
      <c r="G213" t="str" cm="1">
        <f t="array" ref="G213">_xlfn.IFS(D213="External Scaffolding","External Scaffolding",D213="Loading Bay","Loading Tower",D213="Scaffolding Platform","Birdcage", D213="Supporting Scaffold","Floor Propping")</f>
        <v>Loading Tower</v>
      </c>
      <c r="H213" s="1" t="str" cm="1">
        <f t="array" ref="H213">_xlfn.IFS(OR(G213="External Scaffolding",G213="Birdcage", G213="Trad Deck", G213="Floor Propping"),"2.0 kN/m² (General Purpose)",G213= "Loading Tower","10.0 kN/m² (Loading Bay)",G213="Rhino Deck","6.0 kN/m² (Rhino Deck)")</f>
        <v>10.0 kN/m² (Loading Bay)</v>
      </c>
      <c r="I213" t="str">
        <f t="shared" si="12"/>
        <v>Brick Guards</v>
      </c>
      <c r="J213" t="str">
        <f t="shared" si="13"/>
        <v>Positive Tying</v>
      </c>
      <c r="K213">
        <v>1334</v>
      </c>
      <c r="L213" t="str">
        <f t="shared" si="14"/>
        <v>Garage 144</v>
      </c>
      <c r="M213" t="str">
        <f t="shared" si="15"/>
        <v>Loading Bay</v>
      </c>
      <c r="N213" t="str" cm="1">
        <f t="array" ref="N213">_xlfn.IFS(OR(G213="External Scaffolding",G213="Loading Tower", G213="Floor Propping"),"Tube and Fitting",G213="Birdcage","Birdcage", G213="Rhino Deck", "Rhino Deck", G213="Trad Deck", "Trad Deck")</f>
        <v>Tube and Fitting</v>
      </c>
      <c r="P213" t="s">
        <v>113</v>
      </c>
      <c r="Q213" t="str" cm="1">
        <f t="array" ref="Q213">_xlfn.IFS(M213="Loading Bay","15/OPT/1638-001",M213="Supporting Scaffold", "D/2020/23 rev.A",OR(M213&lt;&gt;"Loading Bay",M213&lt;&gt;"Supporting Scaffold"),"TG20:13 Scaffold")</f>
        <v>15/OPT/1638-001</v>
      </c>
      <c r="T213" t="s">
        <v>114</v>
      </c>
    </row>
    <row r="214" spans="1:20" x14ac:dyDescent="0.25">
      <c r="A214" t="s">
        <v>423</v>
      </c>
      <c r="B214" t="s">
        <v>112</v>
      </c>
      <c r="C214" t="s">
        <v>141</v>
      </c>
      <c r="D214" t="s">
        <v>0</v>
      </c>
      <c r="E214" t="s">
        <v>79</v>
      </c>
      <c r="F214" t="s">
        <v>61</v>
      </c>
      <c r="G214" t="str" cm="1">
        <f t="array" ref="G214">_xlfn.IFS(D214="External Scaffolding","External Scaffolding",D214="Loading Bay","Loading Tower",D214="Scaffolding Platform","Birdcage", D214="Supporting Scaffold","Floor Propping")</f>
        <v>External Scaffolding</v>
      </c>
      <c r="H214" s="1" t="str" cm="1">
        <f t="array" ref="H214">_xlfn.IFS(OR(G214="External Scaffolding",G214="Birdcage", G214="Trad Deck", G214="Floor Propping"),"2.0 kN/m² (General Purpose)",G214= "Loading Tower","10.0 kN/m² (Loading Bay)",G214="Rhino Deck","6.0 kN/m² (Rhino Deck)")</f>
        <v>2.0 kN/m² (General Purpose)</v>
      </c>
      <c r="I214" t="str">
        <f t="shared" si="12"/>
        <v>Brick Guards</v>
      </c>
      <c r="J214" t="str">
        <f t="shared" si="13"/>
        <v>Positive Tying</v>
      </c>
      <c r="K214">
        <v>1334</v>
      </c>
      <c r="L214" t="str">
        <f t="shared" si="14"/>
        <v>Garage 145-146</v>
      </c>
      <c r="M214" t="str">
        <f t="shared" si="15"/>
        <v>External Scaffolding</v>
      </c>
      <c r="N214" t="str" cm="1">
        <f t="array" ref="N214">_xlfn.IFS(OR(G214="External Scaffolding",G214="Loading Tower", G214="Floor Propping"),"Tube and Fitting",G214="Birdcage","Birdcage", G214="Rhino Deck", "Rhino Deck", G214="Trad Deck", "Trad Deck")</f>
        <v>Tube and Fitting</v>
      </c>
      <c r="P214" t="s">
        <v>113</v>
      </c>
      <c r="Q214" t="str" cm="1">
        <f t="array" ref="Q214">_xlfn.IFS(M214="Loading Bay","15/OPT/1638-001",M214="Supporting Scaffold", "D/2020/23 rev.A",OR(M214&lt;&gt;"Loading Bay",M214&lt;&gt;"Supporting Scaffold"),"TG20:13 Scaffold")</f>
        <v>TG20:13 Scaffold</v>
      </c>
      <c r="T214" t="s">
        <v>114</v>
      </c>
    </row>
    <row r="215" spans="1:20" x14ac:dyDescent="0.25">
      <c r="A215" t="s">
        <v>424</v>
      </c>
      <c r="B215" t="s">
        <v>112</v>
      </c>
      <c r="C215" t="s">
        <v>141</v>
      </c>
      <c r="D215" t="s">
        <v>1</v>
      </c>
      <c r="E215" t="s">
        <v>79</v>
      </c>
      <c r="F215" t="s">
        <v>61</v>
      </c>
      <c r="G215" t="str" cm="1">
        <f t="array" ref="G215">_xlfn.IFS(D215="External Scaffolding","External Scaffolding",D215="Loading Bay","Loading Tower",D215="Scaffolding Platform","Birdcage", D215="Supporting Scaffold","Floor Propping")</f>
        <v>Loading Tower</v>
      </c>
      <c r="H215" s="1" t="str" cm="1">
        <f t="array" ref="H215">_xlfn.IFS(OR(G215="External Scaffolding",G215="Birdcage", G215="Trad Deck", G215="Floor Propping"),"2.0 kN/m² (General Purpose)",G215= "Loading Tower","10.0 kN/m² (Loading Bay)",G215="Rhino Deck","6.0 kN/m² (Rhino Deck)")</f>
        <v>10.0 kN/m² (Loading Bay)</v>
      </c>
      <c r="I215" t="str">
        <f t="shared" si="12"/>
        <v>Brick Guards</v>
      </c>
      <c r="J215" t="str">
        <f t="shared" si="13"/>
        <v>Positive Tying</v>
      </c>
      <c r="K215">
        <v>1334</v>
      </c>
      <c r="L215" t="str">
        <f t="shared" si="14"/>
        <v>Garage 145-146</v>
      </c>
      <c r="M215" t="str">
        <f t="shared" si="15"/>
        <v>Loading Bay</v>
      </c>
      <c r="N215" t="str" cm="1">
        <f t="array" ref="N215">_xlfn.IFS(OR(G215="External Scaffolding",G215="Loading Tower", G215="Floor Propping"),"Tube and Fitting",G215="Birdcage","Birdcage", G215="Rhino Deck", "Rhino Deck", G215="Trad Deck", "Trad Deck")</f>
        <v>Tube and Fitting</v>
      </c>
      <c r="P215" t="s">
        <v>113</v>
      </c>
      <c r="Q215" t="str" cm="1">
        <f t="array" ref="Q215">_xlfn.IFS(M215="Loading Bay","15/OPT/1638-001",M215="Supporting Scaffold", "D/2020/23 rev.A",OR(M215&lt;&gt;"Loading Bay",M215&lt;&gt;"Supporting Scaffold"),"TG20:13 Scaffold")</f>
        <v>15/OPT/1638-001</v>
      </c>
      <c r="T215" t="s">
        <v>114</v>
      </c>
    </row>
    <row r="216" spans="1:20" x14ac:dyDescent="0.25">
      <c r="A216" t="s">
        <v>425</v>
      </c>
      <c r="B216" t="s">
        <v>112</v>
      </c>
      <c r="C216" t="s">
        <v>141</v>
      </c>
      <c r="D216" t="s">
        <v>0</v>
      </c>
      <c r="E216" t="s">
        <v>79</v>
      </c>
      <c r="F216" t="s">
        <v>62</v>
      </c>
      <c r="G216" t="str" cm="1">
        <f t="array" ref="G216">_xlfn.IFS(D216="External Scaffolding","External Scaffolding",D216="Loading Bay","Loading Tower",D216="Scaffolding Platform","Birdcage", D216="Supporting Scaffold","Floor Propping")</f>
        <v>External Scaffolding</v>
      </c>
      <c r="H216" s="1" t="str" cm="1">
        <f t="array" ref="H216">_xlfn.IFS(OR(G216="External Scaffolding",G216="Birdcage", G216="Trad Deck", G216="Floor Propping"),"2.0 kN/m² (General Purpose)",G216= "Loading Tower","10.0 kN/m² (Loading Bay)",G216="Rhino Deck","6.0 kN/m² (Rhino Deck)")</f>
        <v>2.0 kN/m² (General Purpose)</v>
      </c>
      <c r="I216" t="str">
        <f t="shared" si="12"/>
        <v>Brick Guards</v>
      </c>
      <c r="J216" t="str">
        <f t="shared" si="13"/>
        <v>Positive Tying</v>
      </c>
      <c r="K216">
        <v>1334</v>
      </c>
      <c r="L216" t="str">
        <f t="shared" si="14"/>
        <v>Garage 147</v>
      </c>
      <c r="M216" t="str">
        <f t="shared" si="15"/>
        <v>External Scaffolding</v>
      </c>
      <c r="N216" t="str" cm="1">
        <f t="array" ref="N216">_xlfn.IFS(OR(G216="External Scaffolding",G216="Loading Tower", G216="Floor Propping"),"Tube and Fitting",G216="Birdcage","Birdcage", G216="Rhino Deck", "Rhino Deck", G216="Trad Deck", "Trad Deck")</f>
        <v>Tube and Fitting</v>
      </c>
      <c r="P216" t="s">
        <v>113</v>
      </c>
      <c r="Q216" t="str" cm="1">
        <f t="array" ref="Q216">_xlfn.IFS(M216="Loading Bay","15/OPT/1638-001",M216="Supporting Scaffold", "D/2020/23 rev.A",OR(M216&lt;&gt;"Loading Bay",M216&lt;&gt;"Supporting Scaffold"),"TG20:13 Scaffold")</f>
        <v>TG20:13 Scaffold</v>
      </c>
      <c r="T216" t="s">
        <v>114</v>
      </c>
    </row>
    <row r="217" spans="1:20" x14ac:dyDescent="0.25">
      <c r="A217" t="s">
        <v>426</v>
      </c>
      <c r="B217" t="s">
        <v>112</v>
      </c>
      <c r="C217" t="s">
        <v>141</v>
      </c>
      <c r="D217" t="s">
        <v>1</v>
      </c>
      <c r="E217" t="s">
        <v>79</v>
      </c>
      <c r="F217" t="s">
        <v>62</v>
      </c>
      <c r="G217" t="str" cm="1">
        <f t="array" ref="G217">_xlfn.IFS(D217="External Scaffolding","External Scaffolding",D217="Loading Bay","Loading Tower",D217="Scaffolding Platform","Birdcage", D217="Supporting Scaffold","Floor Propping")</f>
        <v>Loading Tower</v>
      </c>
      <c r="H217" s="1" t="str" cm="1">
        <f t="array" ref="H217">_xlfn.IFS(OR(G217="External Scaffolding",G217="Birdcage", G217="Trad Deck", G217="Floor Propping"),"2.0 kN/m² (General Purpose)",G217= "Loading Tower","10.0 kN/m² (Loading Bay)",G217="Rhino Deck","6.0 kN/m² (Rhino Deck)")</f>
        <v>10.0 kN/m² (Loading Bay)</v>
      </c>
      <c r="I217" t="str">
        <f t="shared" si="12"/>
        <v>Brick Guards</v>
      </c>
      <c r="J217" t="str">
        <f t="shared" si="13"/>
        <v>Positive Tying</v>
      </c>
      <c r="K217">
        <v>1334</v>
      </c>
      <c r="L217" t="str">
        <f t="shared" si="14"/>
        <v>Garage 147</v>
      </c>
      <c r="M217" t="str">
        <f t="shared" si="15"/>
        <v>Loading Bay</v>
      </c>
      <c r="N217" t="str" cm="1">
        <f t="array" ref="N217">_xlfn.IFS(OR(G217="External Scaffolding",G217="Loading Tower", G217="Floor Propping"),"Tube and Fitting",G217="Birdcage","Birdcage", G217="Rhino Deck", "Rhino Deck", G217="Trad Deck", "Trad Deck")</f>
        <v>Tube and Fitting</v>
      </c>
      <c r="P217" t="s">
        <v>113</v>
      </c>
      <c r="Q217" t="str" cm="1">
        <f t="array" ref="Q217">_xlfn.IFS(M217="Loading Bay","15/OPT/1638-001",M217="Supporting Scaffold", "D/2020/23 rev.A",OR(M217&lt;&gt;"Loading Bay",M217&lt;&gt;"Supporting Scaffold"),"TG20:13 Scaffold")</f>
        <v>15/OPT/1638-001</v>
      </c>
      <c r="T217" t="s">
        <v>114</v>
      </c>
    </row>
    <row r="218" spans="1:20" x14ac:dyDescent="0.25">
      <c r="A218" t="s">
        <v>427</v>
      </c>
      <c r="B218" t="s">
        <v>112</v>
      </c>
      <c r="C218" t="s">
        <v>141</v>
      </c>
      <c r="D218" t="s">
        <v>0</v>
      </c>
      <c r="E218" t="s">
        <v>79</v>
      </c>
      <c r="F218" t="s">
        <v>63</v>
      </c>
      <c r="G218" t="str" cm="1">
        <f t="array" ref="G218">_xlfn.IFS(D218="External Scaffolding","External Scaffolding",D218="Loading Bay","Loading Tower",D218="Scaffolding Platform","Birdcage", D218="Supporting Scaffold","Floor Propping")</f>
        <v>External Scaffolding</v>
      </c>
      <c r="H218" s="1" t="str" cm="1">
        <f t="array" ref="H218">_xlfn.IFS(OR(G218="External Scaffolding",G218="Birdcage", G218="Trad Deck", G218="Floor Propping"),"2.0 kN/m² (General Purpose)",G218= "Loading Tower","10.0 kN/m² (Loading Bay)",G218="Rhino Deck","6.0 kN/m² (Rhino Deck)")</f>
        <v>2.0 kN/m² (General Purpose)</v>
      </c>
      <c r="I218" t="str">
        <f t="shared" si="12"/>
        <v>Brick Guards</v>
      </c>
      <c r="J218" t="str">
        <f t="shared" si="13"/>
        <v>Positive Tying</v>
      </c>
      <c r="K218">
        <v>1334</v>
      </c>
      <c r="L218" t="str">
        <f t="shared" si="14"/>
        <v>Garage 150</v>
      </c>
      <c r="M218" t="str">
        <f t="shared" si="15"/>
        <v>External Scaffolding</v>
      </c>
      <c r="N218" t="str" cm="1">
        <f t="array" ref="N218">_xlfn.IFS(OR(G218="External Scaffolding",G218="Loading Tower", G218="Floor Propping"),"Tube and Fitting",G218="Birdcage","Birdcage", G218="Rhino Deck", "Rhino Deck", G218="Trad Deck", "Trad Deck")</f>
        <v>Tube and Fitting</v>
      </c>
      <c r="P218" t="s">
        <v>113</v>
      </c>
      <c r="Q218" t="str" cm="1">
        <f t="array" ref="Q218">_xlfn.IFS(M218="Loading Bay","15/OPT/1638-001",M218="Supporting Scaffold", "D/2020/23 rev.A",OR(M218&lt;&gt;"Loading Bay",M218&lt;&gt;"Supporting Scaffold"),"TG20:13 Scaffold")</f>
        <v>TG20:13 Scaffold</v>
      </c>
      <c r="T218" t="s">
        <v>114</v>
      </c>
    </row>
    <row r="219" spans="1:20" x14ac:dyDescent="0.25">
      <c r="A219" t="s">
        <v>428</v>
      </c>
      <c r="B219" t="s">
        <v>112</v>
      </c>
      <c r="C219" t="s">
        <v>141</v>
      </c>
      <c r="D219" t="s">
        <v>1</v>
      </c>
      <c r="E219" t="s">
        <v>79</v>
      </c>
      <c r="F219" t="s">
        <v>63</v>
      </c>
      <c r="G219" t="str" cm="1">
        <f t="array" ref="G219">_xlfn.IFS(D219="External Scaffolding","External Scaffolding",D219="Loading Bay","Loading Tower",D219="Scaffolding Platform","Birdcage", D219="Supporting Scaffold","Floor Propping")</f>
        <v>Loading Tower</v>
      </c>
      <c r="H219" s="1" t="str" cm="1">
        <f t="array" ref="H219">_xlfn.IFS(OR(G219="External Scaffolding",G219="Birdcage", G219="Trad Deck", G219="Floor Propping"),"2.0 kN/m² (General Purpose)",G219= "Loading Tower","10.0 kN/m² (Loading Bay)",G219="Rhino Deck","6.0 kN/m² (Rhino Deck)")</f>
        <v>10.0 kN/m² (Loading Bay)</v>
      </c>
      <c r="I219" t="str">
        <f t="shared" si="12"/>
        <v>Brick Guards</v>
      </c>
      <c r="J219" t="str">
        <f t="shared" si="13"/>
        <v>Positive Tying</v>
      </c>
      <c r="K219">
        <v>1334</v>
      </c>
      <c r="L219" t="str">
        <f t="shared" si="14"/>
        <v>Garage 150</v>
      </c>
      <c r="M219" t="str">
        <f t="shared" si="15"/>
        <v>Loading Bay</v>
      </c>
      <c r="N219" t="str" cm="1">
        <f t="array" ref="N219">_xlfn.IFS(OR(G219="External Scaffolding",G219="Loading Tower", G219="Floor Propping"),"Tube and Fitting",G219="Birdcage","Birdcage", G219="Rhino Deck", "Rhino Deck", G219="Trad Deck", "Trad Deck")</f>
        <v>Tube and Fitting</v>
      </c>
      <c r="P219" t="s">
        <v>113</v>
      </c>
      <c r="Q219" t="str" cm="1">
        <f t="array" ref="Q219">_xlfn.IFS(M219="Loading Bay","15/OPT/1638-001",M219="Supporting Scaffold", "D/2020/23 rev.A",OR(M219&lt;&gt;"Loading Bay",M219&lt;&gt;"Supporting Scaffold"),"TG20:13 Scaffold")</f>
        <v>15/OPT/1638-001</v>
      </c>
      <c r="T219" t="s">
        <v>114</v>
      </c>
    </row>
    <row r="220" spans="1:20" x14ac:dyDescent="0.25">
      <c r="A220" t="s">
        <v>429</v>
      </c>
      <c r="B220" t="s">
        <v>112</v>
      </c>
      <c r="C220" t="s">
        <v>141</v>
      </c>
      <c r="D220" t="s">
        <v>0</v>
      </c>
      <c r="E220" t="s">
        <v>79</v>
      </c>
      <c r="F220" t="s">
        <v>64</v>
      </c>
      <c r="G220" t="str" cm="1">
        <f t="array" ref="G220">_xlfn.IFS(D220="External Scaffolding","External Scaffolding",D220="Loading Bay","Loading Tower",D220="Scaffolding Platform","Birdcage", D220="Supporting Scaffold","Floor Propping")</f>
        <v>External Scaffolding</v>
      </c>
      <c r="H220" s="1" t="str" cm="1">
        <f t="array" ref="H220">_xlfn.IFS(OR(G220="External Scaffolding",G220="Birdcage", G220="Trad Deck", G220="Floor Propping"),"2.0 kN/m² (General Purpose)",G220= "Loading Tower","10.0 kN/m² (Loading Bay)",G220="Rhino Deck","6.0 kN/m² (Rhino Deck)")</f>
        <v>2.0 kN/m² (General Purpose)</v>
      </c>
      <c r="I220" t="str">
        <f t="shared" si="12"/>
        <v>Brick Guards</v>
      </c>
      <c r="J220" t="str">
        <f t="shared" si="13"/>
        <v>Positive Tying</v>
      </c>
      <c r="K220">
        <v>1334</v>
      </c>
      <c r="L220" t="str">
        <f t="shared" si="14"/>
        <v>Garage 151</v>
      </c>
      <c r="M220" t="str">
        <f t="shared" si="15"/>
        <v>External Scaffolding</v>
      </c>
      <c r="N220" t="str" cm="1">
        <f t="array" ref="N220">_xlfn.IFS(OR(G220="External Scaffolding",G220="Loading Tower", G220="Floor Propping"),"Tube and Fitting",G220="Birdcage","Birdcage", G220="Rhino Deck", "Rhino Deck", G220="Trad Deck", "Trad Deck")</f>
        <v>Tube and Fitting</v>
      </c>
      <c r="P220" t="s">
        <v>113</v>
      </c>
      <c r="Q220" t="str" cm="1">
        <f t="array" ref="Q220">_xlfn.IFS(M220="Loading Bay","15/OPT/1638-001",M220="Supporting Scaffold", "D/2020/23 rev.A",OR(M220&lt;&gt;"Loading Bay",M220&lt;&gt;"Supporting Scaffold"),"TG20:13 Scaffold")</f>
        <v>TG20:13 Scaffold</v>
      </c>
      <c r="T220" t="s">
        <v>114</v>
      </c>
    </row>
    <row r="221" spans="1:20" x14ac:dyDescent="0.25">
      <c r="A221" t="s">
        <v>430</v>
      </c>
      <c r="B221" t="s">
        <v>112</v>
      </c>
      <c r="C221" t="s">
        <v>141</v>
      </c>
      <c r="D221" t="s">
        <v>1</v>
      </c>
      <c r="E221" t="s">
        <v>79</v>
      </c>
      <c r="F221" t="s">
        <v>64</v>
      </c>
      <c r="G221" t="str" cm="1">
        <f t="array" ref="G221">_xlfn.IFS(D221="External Scaffolding","External Scaffolding",D221="Loading Bay","Loading Tower",D221="Scaffolding Platform","Birdcage", D221="Supporting Scaffold","Floor Propping")</f>
        <v>Loading Tower</v>
      </c>
      <c r="H221" s="1" t="str" cm="1">
        <f t="array" ref="H221">_xlfn.IFS(OR(G221="External Scaffolding",G221="Birdcage", G221="Trad Deck", G221="Floor Propping"),"2.0 kN/m² (General Purpose)",G221= "Loading Tower","10.0 kN/m² (Loading Bay)",G221="Rhino Deck","6.0 kN/m² (Rhino Deck)")</f>
        <v>10.0 kN/m² (Loading Bay)</v>
      </c>
      <c r="I221" t="str">
        <f t="shared" si="12"/>
        <v>Brick Guards</v>
      </c>
      <c r="J221" t="str">
        <f t="shared" si="13"/>
        <v>Positive Tying</v>
      </c>
      <c r="K221">
        <v>1334</v>
      </c>
      <c r="L221" t="str">
        <f t="shared" si="14"/>
        <v>Garage 151</v>
      </c>
      <c r="M221" t="str">
        <f t="shared" si="15"/>
        <v>Loading Bay</v>
      </c>
      <c r="N221" t="str" cm="1">
        <f t="array" ref="N221">_xlfn.IFS(OR(G221="External Scaffolding",G221="Loading Tower", G221="Floor Propping"),"Tube and Fitting",G221="Birdcage","Birdcage", G221="Rhino Deck", "Rhino Deck", G221="Trad Deck", "Trad Deck")</f>
        <v>Tube and Fitting</v>
      </c>
      <c r="P221" t="s">
        <v>113</v>
      </c>
      <c r="Q221" t="str" cm="1">
        <f t="array" ref="Q221">_xlfn.IFS(M221="Loading Bay","15/OPT/1638-001",M221="Supporting Scaffold", "D/2020/23 rev.A",OR(M221&lt;&gt;"Loading Bay",M221&lt;&gt;"Supporting Scaffold"),"TG20:13 Scaffold")</f>
        <v>15/OPT/1638-001</v>
      </c>
      <c r="T221" t="s">
        <v>114</v>
      </c>
    </row>
    <row r="222" spans="1:20" x14ac:dyDescent="0.25">
      <c r="A222" t="s">
        <v>431</v>
      </c>
      <c r="B222" t="s">
        <v>112</v>
      </c>
      <c r="C222" t="s">
        <v>141</v>
      </c>
      <c r="D222" t="s">
        <v>0</v>
      </c>
      <c r="E222" t="s">
        <v>79</v>
      </c>
      <c r="F222" t="s">
        <v>65</v>
      </c>
      <c r="G222" t="str" cm="1">
        <f t="array" ref="G222">_xlfn.IFS(D222="External Scaffolding","External Scaffolding",D222="Loading Bay","Loading Tower",D222="Scaffolding Platform","Birdcage", D222="Supporting Scaffold","Floor Propping")</f>
        <v>External Scaffolding</v>
      </c>
      <c r="H222" s="1" t="str" cm="1">
        <f t="array" ref="H222">_xlfn.IFS(OR(G222="External Scaffolding",G222="Birdcage", G222="Trad Deck", G222="Floor Propping"),"2.0 kN/m² (General Purpose)",G222= "Loading Tower","10.0 kN/m² (Loading Bay)",G222="Rhino Deck","6.0 kN/m² (Rhino Deck)")</f>
        <v>2.0 kN/m² (General Purpose)</v>
      </c>
      <c r="I222" t="str">
        <f t="shared" si="12"/>
        <v>Brick Guards</v>
      </c>
      <c r="J222" t="str">
        <f t="shared" si="13"/>
        <v>Positive Tying</v>
      </c>
      <c r="K222">
        <v>1334</v>
      </c>
      <c r="L222" t="str">
        <f t="shared" si="14"/>
        <v>Garage 152</v>
      </c>
      <c r="M222" t="str">
        <f t="shared" si="15"/>
        <v>External Scaffolding</v>
      </c>
      <c r="N222" t="str" cm="1">
        <f t="array" ref="N222">_xlfn.IFS(OR(G222="External Scaffolding",G222="Loading Tower", G222="Floor Propping"),"Tube and Fitting",G222="Birdcage","Birdcage", G222="Rhino Deck", "Rhino Deck", G222="Trad Deck", "Trad Deck")</f>
        <v>Tube and Fitting</v>
      </c>
      <c r="P222" t="s">
        <v>113</v>
      </c>
      <c r="Q222" t="str" cm="1">
        <f t="array" ref="Q222">_xlfn.IFS(M222="Loading Bay","15/OPT/1638-001",M222="Supporting Scaffold", "D/2020/23 rev.A",OR(M222&lt;&gt;"Loading Bay",M222&lt;&gt;"Supporting Scaffold"),"TG20:13 Scaffold")</f>
        <v>TG20:13 Scaffold</v>
      </c>
      <c r="T222" t="s">
        <v>114</v>
      </c>
    </row>
    <row r="223" spans="1:20" x14ac:dyDescent="0.25">
      <c r="A223" t="s">
        <v>432</v>
      </c>
      <c r="B223" t="s">
        <v>112</v>
      </c>
      <c r="C223" t="s">
        <v>141</v>
      </c>
      <c r="D223" t="s">
        <v>1</v>
      </c>
      <c r="E223" t="s">
        <v>79</v>
      </c>
      <c r="F223" t="s">
        <v>65</v>
      </c>
      <c r="G223" t="str" cm="1">
        <f t="array" ref="G223">_xlfn.IFS(D223="External Scaffolding","External Scaffolding",D223="Loading Bay","Loading Tower",D223="Scaffolding Platform","Birdcage", D223="Supporting Scaffold","Floor Propping")</f>
        <v>Loading Tower</v>
      </c>
      <c r="H223" s="1" t="str" cm="1">
        <f t="array" ref="H223">_xlfn.IFS(OR(G223="External Scaffolding",G223="Birdcage", G223="Trad Deck", G223="Floor Propping"),"2.0 kN/m² (General Purpose)",G223= "Loading Tower","10.0 kN/m² (Loading Bay)",G223="Rhino Deck","6.0 kN/m² (Rhino Deck)")</f>
        <v>10.0 kN/m² (Loading Bay)</v>
      </c>
      <c r="I223" t="str">
        <f t="shared" si="12"/>
        <v>Brick Guards</v>
      </c>
      <c r="J223" t="str">
        <f t="shared" si="13"/>
        <v>Positive Tying</v>
      </c>
      <c r="K223">
        <v>1334</v>
      </c>
      <c r="L223" t="str">
        <f t="shared" si="14"/>
        <v>Garage 152</v>
      </c>
      <c r="M223" t="str">
        <f t="shared" si="15"/>
        <v>Loading Bay</v>
      </c>
      <c r="N223" t="str" cm="1">
        <f t="array" ref="N223">_xlfn.IFS(OR(G223="External Scaffolding",G223="Loading Tower", G223="Floor Propping"),"Tube and Fitting",G223="Birdcage","Birdcage", G223="Rhino Deck", "Rhino Deck", G223="Trad Deck", "Trad Deck")</f>
        <v>Tube and Fitting</v>
      </c>
      <c r="P223" t="s">
        <v>113</v>
      </c>
      <c r="Q223" t="str" cm="1">
        <f t="array" ref="Q223">_xlfn.IFS(M223="Loading Bay","15/OPT/1638-001",M223="Supporting Scaffold", "D/2020/23 rev.A",OR(M223&lt;&gt;"Loading Bay",M223&lt;&gt;"Supporting Scaffold"),"TG20:13 Scaffold")</f>
        <v>15/OPT/1638-001</v>
      </c>
      <c r="T223" t="s">
        <v>114</v>
      </c>
    </row>
    <row r="224" spans="1:20" x14ac:dyDescent="0.25">
      <c r="A224" t="s">
        <v>433</v>
      </c>
      <c r="B224" t="s">
        <v>112</v>
      </c>
      <c r="C224" t="s">
        <v>141</v>
      </c>
      <c r="D224" t="s">
        <v>0</v>
      </c>
      <c r="E224" t="s">
        <v>79</v>
      </c>
      <c r="F224" t="s">
        <v>66</v>
      </c>
      <c r="G224" t="str" cm="1">
        <f t="array" ref="G224">_xlfn.IFS(D224="External Scaffolding","External Scaffolding",D224="Loading Bay","Loading Tower",D224="Scaffolding Platform","Birdcage", D224="Supporting Scaffold","Floor Propping")</f>
        <v>External Scaffolding</v>
      </c>
      <c r="H224" s="1" t="str" cm="1">
        <f t="array" ref="H224">_xlfn.IFS(OR(G224="External Scaffolding",G224="Birdcage", G224="Trad Deck", G224="Floor Propping"),"2.0 kN/m² (General Purpose)",G224= "Loading Tower","10.0 kN/m² (Loading Bay)",G224="Rhino Deck","6.0 kN/m² (Rhino Deck)")</f>
        <v>2.0 kN/m² (General Purpose)</v>
      </c>
      <c r="I224" t="str">
        <f t="shared" si="12"/>
        <v>Brick Guards</v>
      </c>
      <c r="J224" t="str">
        <f t="shared" si="13"/>
        <v>Positive Tying</v>
      </c>
      <c r="K224">
        <v>1334</v>
      </c>
      <c r="L224" t="str">
        <f t="shared" si="14"/>
        <v>Garage 153</v>
      </c>
      <c r="M224" t="str">
        <f t="shared" si="15"/>
        <v>External Scaffolding</v>
      </c>
      <c r="N224" t="str" cm="1">
        <f t="array" ref="N224">_xlfn.IFS(OR(G224="External Scaffolding",G224="Loading Tower", G224="Floor Propping"),"Tube and Fitting",G224="Birdcage","Birdcage", G224="Rhino Deck", "Rhino Deck", G224="Trad Deck", "Trad Deck")</f>
        <v>Tube and Fitting</v>
      </c>
      <c r="P224" t="s">
        <v>113</v>
      </c>
      <c r="Q224" t="str" cm="1">
        <f t="array" ref="Q224">_xlfn.IFS(M224="Loading Bay","15/OPT/1638-001",M224="Supporting Scaffold", "D/2020/23 rev.A",OR(M224&lt;&gt;"Loading Bay",M224&lt;&gt;"Supporting Scaffold"),"TG20:13 Scaffold")</f>
        <v>TG20:13 Scaffold</v>
      </c>
      <c r="T224" t="s">
        <v>114</v>
      </c>
    </row>
    <row r="225" spans="1:20" x14ac:dyDescent="0.25">
      <c r="A225" t="s">
        <v>434</v>
      </c>
      <c r="B225" t="s">
        <v>112</v>
      </c>
      <c r="C225" t="s">
        <v>141</v>
      </c>
      <c r="D225" t="s">
        <v>1</v>
      </c>
      <c r="E225" t="s">
        <v>79</v>
      </c>
      <c r="F225" t="s">
        <v>66</v>
      </c>
      <c r="G225" t="str" cm="1">
        <f t="array" ref="G225">_xlfn.IFS(D225="External Scaffolding","External Scaffolding",D225="Loading Bay","Loading Tower",D225="Scaffolding Platform","Birdcage", D225="Supporting Scaffold","Floor Propping")</f>
        <v>Loading Tower</v>
      </c>
      <c r="H225" s="1" t="str" cm="1">
        <f t="array" ref="H225">_xlfn.IFS(OR(G225="External Scaffolding",G225="Birdcage", G225="Trad Deck", G225="Floor Propping"),"2.0 kN/m² (General Purpose)",G225= "Loading Tower","10.0 kN/m² (Loading Bay)",G225="Rhino Deck","6.0 kN/m² (Rhino Deck)")</f>
        <v>10.0 kN/m² (Loading Bay)</v>
      </c>
      <c r="I225" t="str">
        <f t="shared" si="12"/>
        <v>Brick Guards</v>
      </c>
      <c r="J225" t="str">
        <f t="shared" si="13"/>
        <v>Positive Tying</v>
      </c>
      <c r="K225">
        <v>1334</v>
      </c>
      <c r="L225" t="str">
        <f t="shared" si="14"/>
        <v>Garage 153</v>
      </c>
      <c r="M225" t="str">
        <f t="shared" si="15"/>
        <v>Loading Bay</v>
      </c>
      <c r="N225" t="str" cm="1">
        <f t="array" ref="N225">_xlfn.IFS(OR(G225="External Scaffolding",G225="Loading Tower", G225="Floor Propping"),"Tube and Fitting",G225="Birdcage","Birdcage", G225="Rhino Deck", "Rhino Deck", G225="Trad Deck", "Trad Deck")</f>
        <v>Tube and Fitting</v>
      </c>
      <c r="P225" t="s">
        <v>113</v>
      </c>
      <c r="Q225" t="str" cm="1">
        <f t="array" ref="Q225">_xlfn.IFS(M225="Loading Bay","15/OPT/1638-001",M225="Supporting Scaffold", "D/2020/23 rev.A",OR(M225&lt;&gt;"Loading Bay",M225&lt;&gt;"Supporting Scaffold"),"TG20:13 Scaffold")</f>
        <v>15/OPT/1638-001</v>
      </c>
      <c r="T225" t="s">
        <v>114</v>
      </c>
    </row>
    <row r="226" spans="1:20" x14ac:dyDescent="0.25">
      <c r="A226" t="s">
        <v>435</v>
      </c>
      <c r="B226" t="s">
        <v>112</v>
      </c>
      <c r="C226" t="s">
        <v>141</v>
      </c>
      <c r="D226" t="s">
        <v>0</v>
      </c>
      <c r="E226" t="s">
        <v>79</v>
      </c>
      <c r="F226" t="s">
        <v>67</v>
      </c>
      <c r="G226" t="str" cm="1">
        <f t="array" ref="G226">_xlfn.IFS(D226="External Scaffolding","External Scaffolding",D226="Loading Bay","Loading Tower",D226="Scaffolding Platform","Birdcage", D226="Supporting Scaffold","Floor Propping")</f>
        <v>External Scaffolding</v>
      </c>
      <c r="H226" s="1" t="str" cm="1">
        <f t="array" ref="H226">_xlfn.IFS(OR(G226="External Scaffolding",G226="Birdcage", G226="Trad Deck", G226="Floor Propping"),"2.0 kN/m² (General Purpose)",G226= "Loading Tower","10.0 kN/m² (Loading Bay)",G226="Rhino Deck","6.0 kN/m² (Rhino Deck)")</f>
        <v>2.0 kN/m² (General Purpose)</v>
      </c>
      <c r="I226" t="str">
        <f t="shared" si="12"/>
        <v>Brick Guards</v>
      </c>
      <c r="J226" t="str">
        <f t="shared" si="13"/>
        <v>Positive Tying</v>
      </c>
      <c r="K226">
        <v>1334</v>
      </c>
      <c r="L226" t="str">
        <f t="shared" si="14"/>
        <v>Garage 154</v>
      </c>
      <c r="M226" t="str">
        <f t="shared" si="15"/>
        <v>External Scaffolding</v>
      </c>
      <c r="N226" t="str" cm="1">
        <f t="array" ref="N226">_xlfn.IFS(OR(G226="External Scaffolding",G226="Loading Tower", G226="Floor Propping"),"Tube and Fitting",G226="Birdcage","Birdcage", G226="Rhino Deck", "Rhino Deck", G226="Trad Deck", "Trad Deck")</f>
        <v>Tube and Fitting</v>
      </c>
      <c r="P226" t="s">
        <v>113</v>
      </c>
      <c r="Q226" t="str" cm="1">
        <f t="array" ref="Q226">_xlfn.IFS(M226="Loading Bay","15/OPT/1638-001",M226="Supporting Scaffold", "D/2020/23 rev.A",OR(M226&lt;&gt;"Loading Bay",M226&lt;&gt;"Supporting Scaffold"),"TG20:13 Scaffold")</f>
        <v>TG20:13 Scaffold</v>
      </c>
      <c r="T226" t="s">
        <v>114</v>
      </c>
    </row>
    <row r="227" spans="1:20" x14ac:dyDescent="0.25">
      <c r="A227" t="s">
        <v>436</v>
      </c>
      <c r="B227" t="s">
        <v>112</v>
      </c>
      <c r="C227" t="s">
        <v>141</v>
      </c>
      <c r="D227" t="s">
        <v>1</v>
      </c>
      <c r="E227" t="s">
        <v>79</v>
      </c>
      <c r="F227" t="s">
        <v>67</v>
      </c>
      <c r="G227" t="str" cm="1">
        <f t="array" ref="G227">_xlfn.IFS(D227="External Scaffolding","External Scaffolding",D227="Loading Bay","Loading Tower",D227="Scaffolding Platform","Birdcage", D227="Supporting Scaffold","Floor Propping")</f>
        <v>Loading Tower</v>
      </c>
      <c r="H227" s="1" t="str" cm="1">
        <f t="array" ref="H227">_xlfn.IFS(OR(G227="External Scaffolding",G227="Birdcage", G227="Trad Deck", G227="Floor Propping"),"2.0 kN/m² (General Purpose)",G227= "Loading Tower","10.0 kN/m² (Loading Bay)",G227="Rhino Deck","6.0 kN/m² (Rhino Deck)")</f>
        <v>10.0 kN/m² (Loading Bay)</v>
      </c>
      <c r="I227" t="str">
        <f t="shared" si="12"/>
        <v>Brick Guards</v>
      </c>
      <c r="J227" t="str">
        <f t="shared" si="13"/>
        <v>Positive Tying</v>
      </c>
      <c r="K227">
        <v>1334</v>
      </c>
      <c r="L227" t="str">
        <f t="shared" si="14"/>
        <v>Garage 154</v>
      </c>
      <c r="M227" t="str">
        <f t="shared" si="15"/>
        <v>Loading Bay</v>
      </c>
      <c r="N227" t="str" cm="1">
        <f t="array" ref="N227">_xlfn.IFS(OR(G227="External Scaffolding",G227="Loading Tower", G227="Floor Propping"),"Tube and Fitting",G227="Birdcage","Birdcage", G227="Rhino Deck", "Rhino Deck", G227="Trad Deck", "Trad Deck")</f>
        <v>Tube and Fitting</v>
      </c>
      <c r="P227" t="s">
        <v>113</v>
      </c>
      <c r="Q227" t="str" cm="1">
        <f t="array" ref="Q227">_xlfn.IFS(M227="Loading Bay","15/OPT/1638-001",M227="Supporting Scaffold", "D/2020/23 rev.A",OR(M227&lt;&gt;"Loading Bay",M227&lt;&gt;"Supporting Scaffold"),"TG20:13 Scaffold")</f>
        <v>15/OPT/1638-001</v>
      </c>
      <c r="T227" t="s">
        <v>114</v>
      </c>
    </row>
    <row r="228" spans="1:20" x14ac:dyDescent="0.25">
      <c r="A228" t="s">
        <v>437</v>
      </c>
      <c r="B228" t="s">
        <v>112</v>
      </c>
      <c r="C228" t="s">
        <v>141</v>
      </c>
      <c r="D228" t="s">
        <v>0</v>
      </c>
      <c r="E228" t="s">
        <v>79</v>
      </c>
      <c r="F228" t="s">
        <v>68</v>
      </c>
      <c r="G228" t="str" cm="1">
        <f t="array" ref="G228">_xlfn.IFS(D228="External Scaffolding","External Scaffolding",D228="Loading Bay","Loading Tower",D228="Scaffolding Platform","Birdcage", D228="Supporting Scaffold","Floor Propping")</f>
        <v>External Scaffolding</v>
      </c>
      <c r="H228" s="1" t="str" cm="1">
        <f t="array" ref="H228">_xlfn.IFS(OR(G228="External Scaffolding",G228="Birdcage", G228="Trad Deck", G228="Floor Propping"),"2.0 kN/m² (General Purpose)",G228= "Loading Tower","10.0 kN/m² (Loading Bay)",G228="Rhino Deck","6.0 kN/m² (Rhino Deck)")</f>
        <v>2.0 kN/m² (General Purpose)</v>
      </c>
      <c r="I228" t="str">
        <f t="shared" si="12"/>
        <v>Brick Guards</v>
      </c>
      <c r="J228" t="str">
        <f t="shared" si="13"/>
        <v>Positive Tying</v>
      </c>
      <c r="K228">
        <v>1334</v>
      </c>
      <c r="L228" t="str">
        <f t="shared" si="14"/>
        <v>Garage 157</v>
      </c>
      <c r="M228" t="str">
        <f t="shared" si="15"/>
        <v>External Scaffolding</v>
      </c>
      <c r="N228" t="str" cm="1">
        <f t="array" ref="N228">_xlfn.IFS(OR(G228="External Scaffolding",G228="Loading Tower", G228="Floor Propping"),"Tube and Fitting",G228="Birdcage","Birdcage", G228="Rhino Deck", "Rhino Deck", G228="Trad Deck", "Trad Deck")</f>
        <v>Tube and Fitting</v>
      </c>
      <c r="P228" t="s">
        <v>113</v>
      </c>
      <c r="Q228" t="str" cm="1">
        <f t="array" ref="Q228">_xlfn.IFS(M228="Loading Bay","15/OPT/1638-001",M228="Supporting Scaffold", "D/2020/23 rev.A",OR(M228&lt;&gt;"Loading Bay",M228&lt;&gt;"Supporting Scaffold"),"TG20:13 Scaffold")</f>
        <v>TG20:13 Scaffold</v>
      </c>
      <c r="T228" t="s">
        <v>114</v>
      </c>
    </row>
    <row r="229" spans="1:20" x14ac:dyDescent="0.25">
      <c r="A229" t="s">
        <v>438</v>
      </c>
      <c r="B229" t="s">
        <v>112</v>
      </c>
      <c r="C229" t="s">
        <v>141</v>
      </c>
      <c r="D229" t="s">
        <v>1</v>
      </c>
      <c r="E229" t="s">
        <v>79</v>
      </c>
      <c r="F229" t="s">
        <v>68</v>
      </c>
      <c r="G229" t="str" cm="1">
        <f t="array" ref="G229">_xlfn.IFS(D229="External Scaffolding","External Scaffolding",D229="Loading Bay","Loading Tower",D229="Scaffolding Platform","Birdcage", D229="Supporting Scaffold","Floor Propping")</f>
        <v>Loading Tower</v>
      </c>
      <c r="H229" s="1" t="str" cm="1">
        <f t="array" ref="H229">_xlfn.IFS(OR(G229="External Scaffolding",G229="Birdcage", G229="Trad Deck", G229="Floor Propping"),"2.0 kN/m² (General Purpose)",G229= "Loading Tower","10.0 kN/m² (Loading Bay)",G229="Rhino Deck","6.0 kN/m² (Rhino Deck)")</f>
        <v>10.0 kN/m² (Loading Bay)</v>
      </c>
      <c r="I229" t="str">
        <f t="shared" si="12"/>
        <v>Brick Guards</v>
      </c>
      <c r="J229" t="str">
        <f t="shared" si="13"/>
        <v>Positive Tying</v>
      </c>
      <c r="K229">
        <v>1334</v>
      </c>
      <c r="L229" t="str">
        <f t="shared" si="14"/>
        <v>Garage 157</v>
      </c>
      <c r="M229" t="str">
        <f t="shared" si="15"/>
        <v>Loading Bay</v>
      </c>
      <c r="N229" t="str" cm="1">
        <f t="array" ref="N229">_xlfn.IFS(OR(G229="External Scaffolding",G229="Loading Tower", G229="Floor Propping"),"Tube and Fitting",G229="Birdcage","Birdcage", G229="Rhino Deck", "Rhino Deck", G229="Trad Deck", "Trad Deck")</f>
        <v>Tube and Fitting</v>
      </c>
      <c r="P229" t="s">
        <v>113</v>
      </c>
      <c r="Q229" t="str" cm="1">
        <f t="array" ref="Q229">_xlfn.IFS(M229="Loading Bay","15/OPT/1638-001",M229="Supporting Scaffold", "D/2020/23 rev.A",OR(M229&lt;&gt;"Loading Bay",M229&lt;&gt;"Supporting Scaffold"),"TG20:13 Scaffold")</f>
        <v>15/OPT/1638-001</v>
      </c>
      <c r="T229" t="s">
        <v>114</v>
      </c>
    </row>
    <row r="230" spans="1:20" x14ac:dyDescent="0.25">
      <c r="A230" t="s">
        <v>439</v>
      </c>
      <c r="B230" t="s">
        <v>112</v>
      </c>
      <c r="C230" t="s">
        <v>141</v>
      </c>
      <c r="D230" t="s">
        <v>0</v>
      </c>
      <c r="E230" t="s">
        <v>79</v>
      </c>
      <c r="F230" t="s">
        <v>69</v>
      </c>
      <c r="G230" t="str" cm="1">
        <f t="array" ref="G230">_xlfn.IFS(D230="External Scaffolding","External Scaffolding",D230="Loading Bay","Loading Tower",D230="Scaffolding Platform","Birdcage", D230="Supporting Scaffold","Floor Propping")</f>
        <v>External Scaffolding</v>
      </c>
      <c r="H230" s="1" t="str" cm="1">
        <f t="array" ref="H230">_xlfn.IFS(OR(G230="External Scaffolding",G230="Birdcage", G230="Trad Deck", G230="Floor Propping"),"2.0 kN/m² (General Purpose)",G230= "Loading Tower","10.0 kN/m² (Loading Bay)",G230="Rhino Deck","6.0 kN/m² (Rhino Deck)")</f>
        <v>2.0 kN/m² (General Purpose)</v>
      </c>
      <c r="I230" t="str">
        <f t="shared" si="12"/>
        <v>Brick Guards</v>
      </c>
      <c r="J230" t="str">
        <f t="shared" si="13"/>
        <v>Positive Tying</v>
      </c>
      <c r="K230">
        <v>1334</v>
      </c>
      <c r="L230" t="str">
        <f t="shared" si="14"/>
        <v>Garage 158-159</v>
      </c>
      <c r="M230" t="str">
        <f t="shared" si="15"/>
        <v>External Scaffolding</v>
      </c>
      <c r="N230" t="str" cm="1">
        <f t="array" ref="N230">_xlfn.IFS(OR(G230="External Scaffolding",G230="Loading Tower", G230="Floor Propping"),"Tube and Fitting",G230="Birdcage","Birdcage", G230="Rhino Deck", "Rhino Deck", G230="Trad Deck", "Trad Deck")</f>
        <v>Tube and Fitting</v>
      </c>
      <c r="P230" t="s">
        <v>113</v>
      </c>
      <c r="Q230" t="str" cm="1">
        <f t="array" ref="Q230">_xlfn.IFS(M230="Loading Bay","15/OPT/1638-001",M230="Supporting Scaffold", "D/2020/23 rev.A",OR(M230&lt;&gt;"Loading Bay",M230&lt;&gt;"Supporting Scaffold"),"TG20:13 Scaffold")</f>
        <v>TG20:13 Scaffold</v>
      </c>
      <c r="T230" t="s">
        <v>114</v>
      </c>
    </row>
    <row r="231" spans="1:20" x14ac:dyDescent="0.25">
      <c r="A231" t="s">
        <v>440</v>
      </c>
      <c r="B231" t="s">
        <v>112</v>
      </c>
      <c r="C231" t="s">
        <v>141</v>
      </c>
      <c r="D231" t="s">
        <v>1</v>
      </c>
      <c r="E231" t="s">
        <v>79</v>
      </c>
      <c r="F231" t="s">
        <v>69</v>
      </c>
      <c r="G231" t="str" cm="1">
        <f t="array" ref="G231">_xlfn.IFS(D231="External Scaffolding","External Scaffolding",D231="Loading Bay","Loading Tower",D231="Scaffolding Platform","Birdcage", D231="Supporting Scaffold","Floor Propping")</f>
        <v>Loading Tower</v>
      </c>
      <c r="H231" s="1" t="str" cm="1">
        <f t="array" ref="H231">_xlfn.IFS(OR(G231="External Scaffolding",G231="Birdcage", G231="Trad Deck", G231="Floor Propping"),"2.0 kN/m² (General Purpose)",G231= "Loading Tower","10.0 kN/m² (Loading Bay)",G231="Rhino Deck","6.0 kN/m² (Rhino Deck)")</f>
        <v>10.0 kN/m² (Loading Bay)</v>
      </c>
      <c r="I231" t="str">
        <f t="shared" si="12"/>
        <v>Brick Guards</v>
      </c>
      <c r="J231" t="str">
        <f t="shared" si="13"/>
        <v>Positive Tying</v>
      </c>
      <c r="K231">
        <v>1334</v>
      </c>
      <c r="L231" t="str">
        <f t="shared" si="14"/>
        <v>Garage 158-159</v>
      </c>
      <c r="M231" t="str">
        <f t="shared" si="15"/>
        <v>Loading Bay</v>
      </c>
      <c r="N231" t="str" cm="1">
        <f t="array" ref="N231">_xlfn.IFS(OR(G231="External Scaffolding",G231="Loading Tower", G231="Floor Propping"),"Tube and Fitting",G231="Birdcage","Birdcage", G231="Rhino Deck", "Rhino Deck", G231="Trad Deck", "Trad Deck")</f>
        <v>Tube and Fitting</v>
      </c>
      <c r="P231" t="s">
        <v>113</v>
      </c>
      <c r="Q231" t="str" cm="1">
        <f t="array" ref="Q231">_xlfn.IFS(M231="Loading Bay","15/OPT/1638-001",M231="Supporting Scaffold", "D/2020/23 rev.A",OR(M231&lt;&gt;"Loading Bay",M231&lt;&gt;"Supporting Scaffold"),"TG20:13 Scaffold")</f>
        <v>15/OPT/1638-001</v>
      </c>
      <c r="T231" t="s">
        <v>114</v>
      </c>
    </row>
    <row r="232" spans="1:20" x14ac:dyDescent="0.25">
      <c r="A232" t="s">
        <v>441</v>
      </c>
      <c r="B232" t="s">
        <v>112</v>
      </c>
      <c r="C232" t="s">
        <v>141</v>
      </c>
      <c r="D232" t="s">
        <v>0</v>
      </c>
      <c r="E232" t="s">
        <v>79</v>
      </c>
      <c r="F232" t="s">
        <v>70</v>
      </c>
      <c r="G232" t="str" cm="1">
        <f t="array" ref="G232">_xlfn.IFS(D232="External Scaffolding","External Scaffolding",D232="Loading Bay","Loading Tower",D232="Scaffolding Platform","Birdcage", D232="Supporting Scaffold","Floor Propping")</f>
        <v>External Scaffolding</v>
      </c>
      <c r="H232" s="1" t="str" cm="1">
        <f t="array" ref="H232">_xlfn.IFS(OR(G232="External Scaffolding",G232="Birdcage", G232="Trad Deck", G232="Floor Propping"),"2.0 kN/m² (General Purpose)",G232= "Loading Tower","10.0 kN/m² (Loading Bay)",G232="Rhino Deck","6.0 kN/m² (Rhino Deck)")</f>
        <v>2.0 kN/m² (General Purpose)</v>
      </c>
      <c r="I232" t="str">
        <f t="shared" si="12"/>
        <v>Brick Guards</v>
      </c>
      <c r="J232" t="str">
        <f t="shared" si="13"/>
        <v>Positive Tying</v>
      </c>
      <c r="K232">
        <v>1334</v>
      </c>
      <c r="L232" t="str">
        <f t="shared" si="14"/>
        <v>Garage 164-165</v>
      </c>
      <c r="M232" t="str">
        <f t="shared" si="15"/>
        <v>External Scaffolding</v>
      </c>
      <c r="N232" t="str" cm="1">
        <f t="array" ref="N232">_xlfn.IFS(OR(G232="External Scaffolding",G232="Loading Tower", G232="Floor Propping"),"Tube and Fitting",G232="Birdcage","Birdcage", G232="Rhino Deck", "Rhino Deck", G232="Trad Deck", "Trad Deck")</f>
        <v>Tube and Fitting</v>
      </c>
      <c r="P232" t="s">
        <v>113</v>
      </c>
      <c r="Q232" t="str" cm="1">
        <f t="array" ref="Q232">_xlfn.IFS(M232="Loading Bay","15/OPT/1638-001",M232="Supporting Scaffold", "D/2020/23 rev.A",OR(M232&lt;&gt;"Loading Bay",M232&lt;&gt;"Supporting Scaffold"),"TG20:13 Scaffold")</f>
        <v>TG20:13 Scaffold</v>
      </c>
      <c r="T232" t="s">
        <v>114</v>
      </c>
    </row>
    <row r="233" spans="1:20" x14ac:dyDescent="0.25">
      <c r="A233" t="s">
        <v>442</v>
      </c>
      <c r="B233" t="s">
        <v>112</v>
      </c>
      <c r="C233" t="s">
        <v>141</v>
      </c>
      <c r="D233" t="s">
        <v>1</v>
      </c>
      <c r="E233" t="s">
        <v>79</v>
      </c>
      <c r="F233" t="s">
        <v>70</v>
      </c>
      <c r="G233" t="str" cm="1">
        <f t="array" ref="G233">_xlfn.IFS(D233="External Scaffolding","External Scaffolding",D233="Loading Bay","Loading Tower",D233="Scaffolding Platform","Birdcage", D233="Supporting Scaffold","Floor Propping")</f>
        <v>Loading Tower</v>
      </c>
      <c r="H233" s="1" t="str" cm="1">
        <f t="array" ref="H233">_xlfn.IFS(OR(G233="External Scaffolding",G233="Birdcage", G233="Trad Deck", G233="Floor Propping"),"2.0 kN/m² (General Purpose)",G233= "Loading Tower","10.0 kN/m² (Loading Bay)",G233="Rhino Deck","6.0 kN/m² (Rhino Deck)")</f>
        <v>10.0 kN/m² (Loading Bay)</v>
      </c>
      <c r="I233" t="str">
        <f t="shared" si="12"/>
        <v>Brick Guards</v>
      </c>
      <c r="J233" t="str">
        <f t="shared" si="13"/>
        <v>Positive Tying</v>
      </c>
      <c r="K233">
        <v>1334</v>
      </c>
      <c r="L233" t="str">
        <f t="shared" si="14"/>
        <v>Garage 164-165</v>
      </c>
      <c r="M233" t="str">
        <f t="shared" si="15"/>
        <v>Loading Bay</v>
      </c>
      <c r="N233" t="str" cm="1">
        <f t="array" ref="N233">_xlfn.IFS(OR(G233="External Scaffolding",G233="Loading Tower", G233="Floor Propping"),"Tube and Fitting",G233="Birdcage","Birdcage", G233="Rhino Deck", "Rhino Deck", G233="Trad Deck", "Trad Deck")</f>
        <v>Tube and Fitting</v>
      </c>
      <c r="P233" t="s">
        <v>113</v>
      </c>
      <c r="Q233" t="str" cm="1">
        <f t="array" ref="Q233">_xlfn.IFS(M233="Loading Bay","15/OPT/1638-001",M233="Supporting Scaffold", "D/2020/23 rev.A",OR(M233&lt;&gt;"Loading Bay",M233&lt;&gt;"Supporting Scaffold"),"TG20:13 Scaffold")</f>
        <v>15/OPT/1638-001</v>
      </c>
      <c r="T233" t="s">
        <v>114</v>
      </c>
    </row>
    <row r="234" spans="1:20" x14ac:dyDescent="0.25">
      <c r="A234" t="s">
        <v>443</v>
      </c>
      <c r="B234" t="s">
        <v>112</v>
      </c>
      <c r="C234" t="s">
        <v>141</v>
      </c>
      <c r="D234" t="s">
        <v>0</v>
      </c>
      <c r="E234" t="s">
        <v>79</v>
      </c>
      <c r="F234" t="s">
        <v>71</v>
      </c>
      <c r="G234" t="str" cm="1">
        <f t="array" ref="G234">_xlfn.IFS(D234="External Scaffolding","External Scaffolding",D234="Loading Bay","Loading Tower",D234="Scaffolding Platform","Birdcage", D234="Supporting Scaffold","Floor Propping")</f>
        <v>External Scaffolding</v>
      </c>
      <c r="H234" s="1" t="str" cm="1">
        <f t="array" ref="H234">_xlfn.IFS(OR(G234="External Scaffolding",G234="Birdcage", G234="Trad Deck", G234="Floor Propping"),"2.0 kN/m² (General Purpose)",G234= "Loading Tower","10.0 kN/m² (Loading Bay)",G234="Rhino Deck","6.0 kN/m² (Rhino Deck)")</f>
        <v>2.0 kN/m² (General Purpose)</v>
      </c>
      <c r="I234" t="str">
        <f t="shared" si="12"/>
        <v>Brick Guards</v>
      </c>
      <c r="J234" t="str">
        <f t="shared" si="13"/>
        <v>Positive Tying</v>
      </c>
      <c r="K234">
        <v>1334</v>
      </c>
      <c r="L234" t="str">
        <f t="shared" si="14"/>
        <v>Garage 168-169-172</v>
      </c>
      <c r="M234" t="str">
        <f t="shared" si="15"/>
        <v>External Scaffolding</v>
      </c>
      <c r="N234" t="str" cm="1">
        <f t="array" ref="N234">_xlfn.IFS(OR(G234="External Scaffolding",G234="Loading Tower", G234="Floor Propping"),"Tube and Fitting",G234="Birdcage","Birdcage", G234="Rhino Deck", "Rhino Deck", G234="Trad Deck", "Trad Deck")</f>
        <v>Tube and Fitting</v>
      </c>
      <c r="P234" t="s">
        <v>113</v>
      </c>
      <c r="Q234" t="str" cm="1">
        <f t="array" ref="Q234">_xlfn.IFS(M234="Loading Bay","15/OPT/1638-001",M234="Supporting Scaffold", "D/2020/23 rev.A",OR(M234&lt;&gt;"Loading Bay",M234&lt;&gt;"Supporting Scaffold"),"TG20:13 Scaffold")</f>
        <v>TG20:13 Scaffold</v>
      </c>
      <c r="T234" t="s">
        <v>114</v>
      </c>
    </row>
    <row r="235" spans="1:20" x14ac:dyDescent="0.25">
      <c r="A235" t="s">
        <v>444</v>
      </c>
      <c r="B235" t="s">
        <v>112</v>
      </c>
      <c r="C235" t="s">
        <v>141</v>
      </c>
      <c r="D235" t="s">
        <v>1</v>
      </c>
      <c r="E235" t="s">
        <v>79</v>
      </c>
      <c r="F235" t="s">
        <v>71</v>
      </c>
      <c r="G235" t="str" cm="1">
        <f t="array" ref="G235">_xlfn.IFS(D235="External Scaffolding","External Scaffolding",D235="Loading Bay","Loading Tower",D235="Scaffolding Platform","Birdcage", D235="Supporting Scaffold","Floor Propping")</f>
        <v>Loading Tower</v>
      </c>
      <c r="H235" s="1" t="str" cm="1">
        <f t="array" ref="H235">_xlfn.IFS(OR(G235="External Scaffolding",G235="Birdcage", G235="Trad Deck", G235="Floor Propping"),"2.0 kN/m² (General Purpose)",G235= "Loading Tower","10.0 kN/m² (Loading Bay)",G235="Rhino Deck","6.0 kN/m² (Rhino Deck)")</f>
        <v>10.0 kN/m² (Loading Bay)</v>
      </c>
      <c r="I235" t="str">
        <f t="shared" si="12"/>
        <v>Brick Guards</v>
      </c>
      <c r="J235" t="str">
        <f t="shared" si="13"/>
        <v>Positive Tying</v>
      </c>
      <c r="K235">
        <v>1334</v>
      </c>
      <c r="L235" t="str">
        <f t="shared" si="14"/>
        <v>Garage 168-169-172</v>
      </c>
      <c r="M235" t="str">
        <f t="shared" si="15"/>
        <v>Loading Bay</v>
      </c>
      <c r="N235" t="str" cm="1">
        <f t="array" ref="N235">_xlfn.IFS(OR(G235="External Scaffolding",G235="Loading Tower", G235="Floor Propping"),"Tube and Fitting",G235="Birdcage","Birdcage", G235="Rhino Deck", "Rhino Deck", G235="Trad Deck", "Trad Deck")</f>
        <v>Tube and Fitting</v>
      </c>
      <c r="P235" t="s">
        <v>113</v>
      </c>
      <c r="Q235" t="str" cm="1">
        <f t="array" ref="Q235">_xlfn.IFS(M235="Loading Bay","15/OPT/1638-001",M235="Supporting Scaffold", "D/2020/23 rev.A",OR(M235&lt;&gt;"Loading Bay",M235&lt;&gt;"Supporting Scaffold"),"TG20:13 Scaffold")</f>
        <v>15/OPT/1638-001</v>
      </c>
      <c r="T235" t="s">
        <v>114</v>
      </c>
    </row>
    <row r="236" spans="1:20" x14ac:dyDescent="0.25">
      <c r="A236" t="s">
        <v>445</v>
      </c>
      <c r="B236" t="s">
        <v>112</v>
      </c>
      <c r="C236" t="s">
        <v>141</v>
      </c>
      <c r="D236" t="s">
        <v>0</v>
      </c>
      <c r="E236" t="s">
        <v>79</v>
      </c>
      <c r="F236" t="s">
        <v>72</v>
      </c>
      <c r="G236" t="str" cm="1">
        <f t="array" ref="G236">_xlfn.IFS(D236="External Scaffolding","External Scaffolding",D236="Loading Bay","Loading Tower",D236="Scaffolding Platform","Birdcage", D236="Supporting Scaffold","Floor Propping")</f>
        <v>External Scaffolding</v>
      </c>
      <c r="H236" s="1" t="str" cm="1">
        <f t="array" ref="H236">_xlfn.IFS(OR(G236="External Scaffolding",G236="Birdcage", G236="Trad Deck", G236="Floor Propping"),"2.0 kN/m² (General Purpose)",G236= "Loading Tower","10.0 kN/m² (Loading Bay)",G236="Rhino Deck","6.0 kN/m² (Rhino Deck)")</f>
        <v>2.0 kN/m² (General Purpose)</v>
      </c>
      <c r="I236" t="str">
        <f t="shared" si="12"/>
        <v>Brick Guards</v>
      </c>
      <c r="J236" t="str">
        <f t="shared" si="13"/>
        <v>Positive Tying</v>
      </c>
      <c r="K236">
        <v>1334</v>
      </c>
      <c r="L236" t="str">
        <f t="shared" si="14"/>
        <v>Garage 170-171</v>
      </c>
      <c r="M236" t="str">
        <f t="shared" si="15"/>
        <v>External Scaffolding</v>
      </c>
      <c r="N236" t="str" cm="1">
        <f t="array" ref="N236">_xlfn.IFS(OR(G236="External Scaffolding",G236="Loading Tower", G236="Floor Propping"),"Tube and Fitting",G236="Birdcage","Birdcage", G236="Rhino Deck", "Rhino Deck", G236="Trad Deck", "Trad Deck")</f>
        <v>Tube and Fitting</v>
      </c>
      <c r="P236" t="s">
        <v>113</v>
      </c>
      <c r="Q236" t="str" cm="1">
        <f t="array" ref="Q236">_xlfn.IFS(M236="Loading Bay","15/OPT/1638-001",M236="Supporting Scaffold", "D/2020/23 rev.A",OR(M236&lt;&gt;"Loading Bay",M236&lt;&gt;"Supporting Scaffold"),"TG20:13 Scaffold")</f>
        <v>TG20:13 Scaffold</v>
      </c>
      <c r="T236" t="s">
        <v>114</v>
      </c>
    </row>
    <row r="237" spans="1:20" x14ac:dyDescent="0.25">
      <c r="A237" t="s">
        <v>446</v>
      </c>
      <c r="B237" t="s">
        <v>112</v>
      </c>
      <c r="C237" t="s">
        <v>141</v>
      </c>
      <c r="D237" t="s">
        <v>1</v>
      </c>
      <c r="E237" t="s">
        <v>79</v>
      </c>
      <c r="F237" t="s">
        <v>72</v>
      </c>
      <c r="G237" t="str" cm="1">
        <f t="array" ref="G237">_xlfn.IFS(D237="External Scaffolding","External Scaffolding",D237="Loading Bay","Loading Tower",D237="Scaffolding Platform","Birdcage", D237="Supporting Scaffold","Floor Propping")</f>
        <v>Loading Tower</v>
      </c>
      <c r="H237" s="1" t="str" cm="1">
        <f t="array" ref="H237">_xlfn.IFS(OR(G237="External Scaffolding",G237="Birdcage", G237="Trad Deck", G237="Floor Propping"),"2.0 kN/m² (General Purpose)",G237= "Loading Tower","10.0 kN/m² (Loading Bay)",G237="Rhino Deck","6.0 kN/m² (Rhino Deck)")</f>
        <v>10.0 kN/m² (Loading Bay)</v>
      </c>
      <c r="I237" t="str">
        <f t="shared" si="12"/>
        <v>Brick Guards</v>
      </c>
      <c r="J237" t="str">
        <f t="shared" si="13"/>
        <v>Positive Tying</v>
      </c>
      <c r="K237">
        <v>1334</v>
      </c>
      <c r="L237" t="str">
        <f t="shared" si="14"/>
        <v>Garage 170-171</v>
      </c>
      <c r="M237" t="str">
        <f t="shared" si="15"/>
        <v>Loading Bay</v>
      </c>
      <c r="N237" t="str" cm="1">
        <f t="array" ref="N237">_xlfn.IFS(OR(G237="External Scaffolding",G237="Loading Tower", G237="Floor Propping"),"Tube and Fitting",G237="Birdcage","Birdcage", G237="Rhino Deck", "Rhino Deck", G237="Trad Deck", "Trad Deck")</f>
        <v>Tube and Fitting</v>
      </c>
      <c r="P237" t="s">
        <v>113</v>
      </c>
      <c r="Q237" t="str" cm="1">
        <f t="array" ref="Q237">_xlfn.IFS(M237="Loading Bay","15/OPT/1638-001",M237="Supporting Scaffold", "D/2020/23 rev.A",OR(M237&lt;&gt;"Loading Bay",M237&lt;&gt;"Supporting Scaffold"),"TG20:13 Scaffold")</f>
        <v>15/OPT/1638-001</v>
      </c>
      <c r="T237" t="s">
        <v>114</v>
      </c>
    </row>
    <row r="238" spans="1:20" x14ac:dyDescent="0.25">
      <c r="A238" t="s">
        <v>447</v>
      </c>
      <c r="B238" t="s">
        <v>112</v>
      </c>
      <c r="C238" t="s">
        <v>141</v>
      </c>
      <c r="D238" t="s">
        <v>0</v>
      </c>
      <c r="E238" t="s">
        <v>79</v>
      </c>
      <c r="F238" t="s">
        <v>73</v>
      </c>
      <c r="G238" t="str" cm="1">
        <f t="array" ref="G238">_xlfn.IFS(D238="External Scaffolding","External Scaffolding",D238="Loading Bay","Loading Tower",D238="Scaffolding Platform","Birdcage", D238="Supporting Scaffold","Floor Propping")</f>
        <v>External Scaffolding</v>
      </c>
      <c r="H238" s="1" t="str" cm="1">
        <f t="array" ref="H238">_xlfn.IFS(OR(G238="External Scaffolding",G238="Birdcage", G238="Trad Deck", G238="Floor Propping"),"2.0 kN/m² (General Purpose)",G238= "Loading Tower","10.0 kN/m² (Loading Bay)",G238="Rhino Deck","6.0 kN/m² (Rhino Deck)")</f>
        <v>2.0 kN/m² (General Purpose)</v>
      </c>
      <c r="I238" t="str">
        <f t="shared" si="12"/>
        <v>Brick Guards</v>
      </c>
      <c r="J238" t="str">
        <f t="shared" si="13"/>
        <v>Positive Tying</v>
      </c>
      <c r="K238">
        <v>1334</v>
      </c>
      <c r="L238" t="str">
        <f t="shared" si="14"/>
        <v>Garage 173</v>
      </c>
      <c r="M238" t="str">
        <f t="shared" si="15"/>
        <v>External Scaffolding</v>
      </c>
      <c r="N238" t="str" cm="1">
        <f t="array" ref="N238">_xlfn.IFS(OR(G238="External Scaffolding",G238="Loading Tower", G238="Floor Propping"),"Tube and Fitting",G238="Birdcage","Birdcage", G238="Rhino Deck", "Rhino Deck", G238="Trad Deck", "Trad Deck")</f>
        <v>Tube and Fitting</v>
      </c>
      <c r="P238" t="s">
        <v>113</v>
      </c>
      <c r="Q238" t="str" cm="1">
        <f t="array" ref="Q238">_xlfn.IFS(M238="Loading Bay","15/OPT/1638-001",M238="Supporting Scaffold", "D/2020/23 rev.A",OR(M238&lt;&gt;"Loading Bay",M238&lt;&gt;"Supporting Scaffold"),"TG20:13 Scaffold")</f>
        <v>TG20:13 Scaffold</v>
      </c>
      <c r="T238" t="s">
        <v>114</v>
      </c>
    </row>
    <row r="239" spans="1:20" x14ac:dyDescent="0.25">
      <c r="A239" t="s">
        <v>448</v>
      </c>
      <c r="B239" t="s">
        <v>112</v>
      </c>
      <c r="C239" t="s">
        <v>141</v>
      </c>
      <c r="D239" t="s">
        <v>1</v>
      </c>
      <c r="E239" t="s">
        <v>79</v>
      </c>
      <c r="F239" t="s">
        <v>73</v>
      </c>
      <c r="G239" t="str" cm="1">
        <f t="array" ref="G239">_xlfn.IFS(D239="External Scaffolding","External Scaffolding",D239="Loading Bay","Loading Tower",D239="Scaffolding Platform","Birdcage", D239="Supporting Scaffold","Floor Propping")</f>
        <v>Loading Tower</v>
      </c>
      <c r="H239" s="1" t="str" cm="1">
        <f t="array" ref="H239">_xlfn.IFS(OR(G239="External Scaffolding",G239="Birdcage", G239="Trad Deck", G239="Floor Propping"),"2.0 kN/m² (General Purpose)",G239= "Loading Tower","10.0 kN/m² (Loading Bay)",G239="Rhino Deck","6.0 kN/m² (Rhino Deck)")</f>
        <v>10.0 kN/m² (Loading Bay)</v>
      </c>
      <c r="I239" t="str">
        <f t="shared" si="12"/>
        <v>Brick Guards</v>
      </c>
      <c r="J239" t="str">
        <f t="shared" si="13"/>
        <v>Positive Tying</v>
      </c>
      <c r="K239">
        <v>1334</v>
      </c>
      <c r="L239" t="str">
        <f t="shared" si="14"/>
        <v>Garage 173</v>
      </c>
      <c r="M239" t="str">
        <f t="shared" si="15"/>
        <v>Loading Bay</v>
      </c>
      <c r="N239" t="str" cm="1">
        <f t="array" ref="N239">_xlfn.IFS(OR(G239="External Scaffolding",G239="Loading Tower", G239="Floor Propping"),"Tube and Fitting",G239="Birdcage","Birdcage", G239="Rhino Deck", "Rhino Deck", G239="Trad Deck", "Trad Deck")</f>
        <v>Tube and Fitting</v>
      </c>
      <c r="P239" t="s">
        <v>113</v>
      </c>
      <c r="Q239" t="str" cm="1">
        <f t="array" ref="Q239">_xlfn.IFS(M239="Loading Bay","15/OPT/1638-001",M239="Supporting Scaffold", "D/2020/23 rev.A",OR(M239&lt;&gt;"Loading Bay",M239&lt;&gt;"Supporting Scaffold"),"TG20:13 Scaffold")</f>
        <v>15/OPT/1638-001</v>
      </c>
      <c r="T239" t="s">
        <v>114</v>
      </c>
    </row>
  </sheetData>
  <phoneticPr fontId="15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E747CA-A4B8-4246-83B2-E473F75D01C1}">
  <sheetPr codeName="Sheet4"/>
  <dimension ref="A1:I66"/>
  <sheetViews>
    <sheetView showGridLines="0" view="pageBreakPreview" topLeftCell="A7" zoomScale="70" zoomScaleNormal="100" zoomScaleSheetLayoutView="70" workbookViewId="0">
      <selection activeCell="E26" sqref="E26:F28"/>
    </sheetView>
  </sheetViews>
  <sheetFormatPr defaultRowHeight="15" x14ac:dyDescent="0.25"/>
  <cols>
    <col min="1" max="1" width="3.85546875" customWidth="1"/>
    <col min="2" max="2" width="5.7109375" customWidth="1"/>
    <col min="3" max="3" width="16.140625" customWidth="1"/>
    <col min="4" max="4" width="18.5703125" customWidth="1"/>
    <col min="5" max="5" width="58.5703125" customWidth="1"/>
    <col min="6" max="6" width="18.5703125" customWidth="1"/>
    <col min="7" max="7" width="8.28515625" customWidth="1"/>
    <col min="8" max="8" width="54.5703125" customWidth="1"/>
    <col min="9" max="9" width="5" customWidth="1"/>
    <col min="10" max="10" width="9.140625" customWidth="1"/>
  </cols>
  <sheetData>
    <row r="1" spans="1:8" x14ac:dyDescent="0.25">
      <c r="A1" s="18"/>
      <c r="B1" s="18"/>
      <c r="C1" s="18"/>
      <c r="D1" s="18"/>
      <c r="E1" s="18"/>
    </row>
    <row r="2" spans="1:8" x14ac:dyDescent="0.25">
      <c r="A2" s="18"/>
      <c r="B2" s="18"/>
      <c r="C2" s="18"/>
      <c r="D2" s="18"/>
      <c r="E2" s="18"/>
    </row>
    <row r="3" spans="1:8" x14ac:dyDescent="0.25">
      <c r="A3" s="102"/>
      <c r="B3" s="102"/>
      <c r="C3" s="102"/>
      <c r="D3" s="102"/>
      <c r="E3" s="18"/>
    </row>
    <row r="4" spans="1:8" x14ac:dyDescent="0.25">
      <c r="A4" s="102"/>
      <c r="B4" s="102"/>
      <c r="C4" s="102"/>
      <c r="D4" s="102"/>
      <c r="E4" s="18"/>
    </row>
    <row r="5" spans="1:8" x14ac:dyDescent="0.25">
      <c r="A5" s="102"/>
      <c r="B5" s="102"/>
      <c r="C5" s="102"/>
      <c r="D5" s="102"/>
      <c r="E5" s="18"/>
    </row>
    <row r="6" spans="1:8" x14ac:dyDescent="0.25">
      <c r="A6" s="102"/>
      <c r="B6" s="102"/>
      <c r="C6" s="102"/>
      <c r="D6" s="102"/>
      <c r="E6" s="18"/>
    </row>
    <row r="7" spans="1:8" x14ac:dyDescent="0.25">
      <c r="A7" s="102"/>
      <c r="B7" s="102"/>
      <c r="C7" s="102"/>
      <c r="D7" s="102"/>
      <c r="E7" s="18"/>
    </row>
    <row r="8" spans="1:8" x14ac:dyDescent="0.25">
      <c r="A8" s="102"/>
      <c r="B8" s="102"/>
      <c r="C8" s="102"/>
      <c r="D8" s="102"/>
      <c r="E8" s="18"/>
    </row>
    <row r="9" spans="1:8" x14ac:dyDescent="0.25">
      <c r="A9" s="102"/>
      <c r="B9" s="102"/>
      <c r="C9" s="102"/>
      <c r="D9" s="102"/>
      <c r="E9" s="18"/>
    </row>
    <row r="10" spans="1:8" x14ac:dyDescent="0.25">
      <c r="A10" s="102"/>
      <c r="B10" s="102"/>
      <c r="C10" s="102"/>
      <c r="D10" s="102"/>
      <c r="E10" s="18"/>
    </row>
    <row r="11" spans="1:8" x14ac:dyDescent="0.25">
      <c r="A11" s="18"/>
      <c r="B11" s="18"/>
      <c r="C11" s="18"/>
      <c r="D11" s="18"/>
      <c r="E11" s="18"/>
    </row>
    <row r="12" spans="1:8" ht="28.35" customHeight="1" x14ac:dyDescent="0.25">
      <c r="A12" s="3"/>
      <c r="B12" s="103" t="s">
        <v>115</v>
      </c>
      <c r="C12" s="103"/>
      <c r="D12" s="103"/>
      <c r="E12" s="103"/>
      <c r="F12" s="103"/>
      <c r="G12" s="103"/>
      <c r="H12" s="103"/>
    </row>
    <row r="13" spans="1:8" ht="28.35" customHeight="1" x14ac:dyDescent="0.25">
      <c r="A13" s="3"/>
      <c r="B13" s="104" t="s">
        <v>142</v>
      </c>
      <c r="C13" s="104"/>
      <c r="D13" s="17">
        <f>INDEX(FinalTemplate!$A$1:$T$239,MATCH(Handover!$G$17,FinalTemplate!$A$1:$A$239,0),MATCH("Quote Number",FinalTemplate!$A$1:$T$1,0))</f>
        <v>1334</v>
      </c>
      <c r="E13" s="16"/>
      <c r="F13" s="16"/>
      <c r="G13" s="16"/>
      <c r="H13" s="16"/>
    </row>
    <row r="14" spans="1:8" ht="18.2" customHeight="1" x14ac:dyDescent="0.25">
      <c r="C14" s="4"/>
      <c r="D14" s="4"/>
      <c r="E14" s="4"/>
      <c r="F14" s="4"/>
      <c r="G14" s="4"/>
    </row>
    <row r="15" spans="1:8" ht="21" customHeight="1" x14ac:dyDescent="0.25">
      <c r="B15" s="101" t="s">
        <v>116</v>
      </c>
      <c r="C15" s="101"/>
      <c r="D15" s="73" t="str">
        <f>INDEX(FinalTemplate!$A$1:$T$239,MATCH(Handover!$G$17,FinalTemplate!$A$1:$A$239,0),MATCH("Project Name",FinalTemplate!$A$1:$T$1,0))</f>
        <v>Bishop Lydeard</v>
      </c>
      <c r="E15" s="73"/>
      <c r="F15" s="22" t="s">
        <v>117</v>
      </c>
      <c r="G15" s="73" t="str">
        <f>INDEX(FinalTemplate!$A$1:$T$239,MATCH(Handover!$G$17,FinalTemplate!$A$1:$A$239,0),MATCH("Customer",FinalTemplate!$A$1:$T$1,0))</f>
        <v>David Wilson Homes</v>
      </c>
      <c r="H15" s="73"/>
    </row>
    <row r="16" spans="1:8" ht="21" customHeight="1" x14ac:dyDescent="0.25">
      <c r="B16" s="101"/>
      <c r="C16" s="101"/>
      <c r="D16" s="24"/>
      <c r="E16" s="24"/>
      <c r="F16" s="24"/>
      <c r="G16" s="25"/>
      <c r="H16" s="26"/>
    </row>
    <row r="17" spans="1:8" ht="21" customHeight="1" x14ac:dyDescent="0.25">
      <c r="B17" s="101" t="s">
        <v>118</v>
      </c>
      <c r="C17" s="101"/>
      <c r="D17" s="27" t="s">
        <v>151</v>
      </c>
      <c r="E17" s="24"/>
      <c r="F17" s="22" t="s">
        <v>119</v>
      </c>
      <c r="G17" s="73" t="s">
        <v>441</v>
      </c>
      <c r="H17" s="73"/>
    </row>
    <row r="18" spans="1:8" ht="38.25" customHeight="1" x14ac:dyDescent="0.25">
      <c r="B18" s="5"/>
      <c r="C18" s="5"/>
      <c r="E18" s="4"/>
      <c r="F18" s="6"/>
      <c r="G18" s="21"/>
      <c r="H18" s="21"/>
    </row>
    <row r="19" spans="1:8" ht="27" customHeight="1" x14ac:dyDescent="0.25">
      <c r="A19" s="7"/>
      <c r="B19" s="76" t="s">
        <v>120</v>
      </c>
      <c r="C19" s="77"/>
      <c r="D19" s="77"/>
      <c r="E19" s="77"/>
      <c r="F19" s="77"/>
      <c r="G19" s="77"/>
      <c r="H19" s="78"/>
    </row>
    <row r="20" spans="1:8" ht="21" x14ac:dyDescent="0.25">
      <c r="B20" s="8"/>
      <c r="C20" s="105" t="s">
        <v>121</v>
      </c>
      <c r="D20" s="105"/>
      <c r="E20" s="105"/>
      <c r="F20" s="105"/>
      <c r="G20" s="105"/>
      <c r="H20" s="106"/>
    </row>
    <row r="21" spans="1:8" ht="21" x14ac:dyDescent="0.25">
      <c r="B21" s="8"/>
      <c r="C21" s="22"/>
      <c r="D21" s="22"/>
      <c r="E21" s="22"/>
      <c r="F21" s="22"/>
      <c r="G21" s="22"/>
      <c r="H21" s="23"/>
    </row>
    <row r="22" spans="1:8" ht="21" x14ac:dyDescent="0.25">
      <c r="B22" s="8"/>
      <c r="C22" s="28"/>
      <c r="D22" s="22" t="s">
        <v>122</v>
      </c>
      <c r="E22" s="73" t="str">
        <f>INDEX(FinalTemplate!$A$1:$T$239,MATCH(Handover!$G$17,FinalTemplate!$A$1:$A$239,0),MATCH("Scaffold Type",FinalTemplate!$A$1:$T$1,0))</f>
        <v>External Scaffolding</v>
      </c>
      <c r="F22" s="73"/>
      <c r="G22" s="24"/>
      <c r="H22" s="29"/>
    </row>
    <row r="23" spans="1:8" ht="20.25" customHeight="1" x14ac:dyDescent="0.25">
      <c r="B23" s="8"/>
      <c r="C23" s="24"/>
      <c r="D23" s="22" t="s">
        <v>123</v>
      </c>
      <c r="E23" s="73" t="str">
        <f>INDEX(FinalTemplate!$A$1:$T$239,MATCH(Handover!$G$17,FinalTemplate!$A$1:$A$239,0),MATCH("Scaffold Name",FinalTemplate!$A$1:$T$1,0))</f>
        <v>External Scaffolding</v>
      </c>
      <c r="F23" s="73"/>
      <c r="G23" s="24"/>
      <c r="H23" s="29"/>
    </row>
    <row r="24" spans="1:8" ht="20.25" customHeight="1" x14ac:dyDescent="0.25">
      <c r="B24" s="8"/>
      <c r="C24" s="24"/>
      <c r="D24" s="24" t="s">
        <v>152</v>
      </c>
      <c r="E24" s="73" t="str">
        <f>INDEX(FinalTemplate!$A$1:$T$239,MATCH(Handover!$G$17,FinalTemplate!$A$1:$A$239,0),MATCH("Scaffold Description",FinalTemplate!$A$1:$T$1,0))</f>
        <v>Lift 3</v>
      </c>
      <c r="F24" s="73"/>
      <c r="G24" s="24"/>
      <c r="H24" s="29"/>
    </row>
    <row r="25" spans="1:8" ht="20.25" customHeight="1" x14ac:dyDescent="0.25">
      <c r="B25" s="8"/>
      <c r="C25" s="24"/>
      <c r="D25" s="24" t="s">
        <v>153</v>
      </c>
      <c r="E25" s="73" t="str">
        <f>INDEX(FinalTemplate!$A$1:$T$239,MATCH(Handover!$G$17,FinalTemplate!$A$1:$A$239,0),MATCH("Area",FinalTemplate!$A$1:$T$1,0))</f>
        <v>Garage 164-165</v>
      </c>
      <c r="F25" s="73"/>
      <c r="G25" s="24"/>
      <c r="H25" s="29"/>
    </row>
    <row r="26" spans="1:8" ht="20.25" customHeight="1" x14ac:dyDescent="0.25">
      <c r="B26" s="8"/>
      <c r="C26" s="24"/>
      <c r="D26" s="22" t="s">
        <v>124</v>
      </c>
      <c r="E26" s="73" t="str">
        <f>INDEX(FinalTemplate!$A$1:$T$239,MATCH(Handover!$G$17,FinalTemplate!$A$1:$A$239,0),MATCH("Design Type",FinalTemplate!$A$1:$T$1,0))</f>
        <v>TG20:13 Scaffold</v>
      </c>
      <c r="F26" s="73"/>
      <c r="G26" s="22"/>
      <c r="H26" s="29"/>
    </row>
    <row r="27" spans="1:8" ht="20.25" customHeight="1" x14ac:dyDescent="0.25">
      <c r="B27" s="8"/>
      <c r="C27" s="24"/>
      <c r="D27" s="22" t="s">
        <v>125</v>
      </c>
      <c r="E27" s="73" t="str">
        <f>INDEX(FinalTemplate!$A$1:$T$239,MATCH(Handover!$G$17,FinalTemplate!$A$1:$A$239,0),MATCH("Loading Limit",FinalTemplate!$A$1:$T$1,0))</f>
        <v>2.0 kN/m² (General Purpose)</v>
      </c>
      <c r="F27" s="73"/>
      <c r="G27" s="22"/>
      <c r="H27" s="30"/>
    </row>
    <row r="28" spans="1:8" ht="21.2" customHeight="1" x14ac:dyDescent="0.25">
      <c r="B28" s="8"/>
      <c r="C28" s="24"/>
      <c r="D28" s="22" t="s">
        <v>126</v>
      </c>
      <c r="E28" s="73" t="str">
        <f>INDEX(FinalTemplate!$A$1:$T$239,MATCH(Handover!$G$17,FinalTemplate!$A$1:$A$239,0),MATCH("Method of Cladding",FinalTemplate!$A$1:$T$1,0))</f>
        <v>Brick Guards</v>
      </c>
      <c r="F28" s="73"/>
      <c r="G28" s="31"/>
      <c r="H28" s="30"/>
    </row>
    <row r="29" spans="1:8" ht="21.2" customHeight="1" x14ac:dyDescent="0.25">
      <c r="B29" s="8"/>
      <c r="C29" s="24"/>
      <c r="D29" s="22" t="s">
        <v>127</v>
      </c>
      <c r="E29" s="73" t="str">
        <f>INDEX(FinalTemplate!$A$1:$T$239,MATCH(Handover!$G$17,FinalTemplate!$A$1:$A$239,0),MATCH("Method of Tying",FinalTemplate!$A$1:$T$1,0))</f>
        <v>Positive Tying</v>
      </c>
      <c r="F29" s="73"/>
      <c r="G29" s="31"/>
      <c r="H29" s="30"/>
    </row>
    <row r="30" spans="1:8" s="19" customFormat="1" ht="13.5" customHeight="1" x14ac:dyDescent="0.25">
      <c r="B30" s="20"/>
      <c r="C30" s="25"/>
      <c r="D30" s="32"/>
      <c r="E30" s="25"/>
      <c r="F30" s="25"/>
      <c r="G30" s="33"/>
      <c r="H30" s="34"/>
    </row>
    <row r="31" spans="1:8" ht="25.5" customHeight="1" x14ac:dyDescent="0.25">
      <c r="B31" s="8"/>
      <c r="C31" s="24"/>
      <c r="D31" s="86" t="s">
        <v>143</v>
      </c>
      <c r="E31" s="86"/>
      <c r="F31" s="86"/>
      <c r="G31" s="35" t="s">
        <v>144</v>
      </c>
      <c r="H31" s="30"/>
    </row>
    <row r="32" spans="1:8" ht="30" customHeight="1" x14ac:dyDescent="0.25">
      <c r="B32" s="8"/>
      <c r="C32" s="24"/>
      <c r="D32" s="86"/>
      <c r="E32" s="86"/>
      <c r="F32" s="86"/>
      <c r="G32" s="35" t="s">
        <v>145</v>
      </c>
      <c r="H32" s="30"/>
    </row>
    <row r="33" spans="1:8" ht="28.5" customHeight="1" x14ac:dyDescent="0.25">
      <c r="B33" s="8"/>
      <c r="C33" s="24"/>
      <c r="D33" s="24"/>
      <c r="E33" s="24"/>
      <c r="F33" s="24"/>
      <c r="G33" s="24"/>
      <c r="H33" s="29"/>
    </row>
    <row r="34" spans="1:8" ht="24.75" customHeight="1" x14ac:dyDescent="0.25">
      <c r="B34" s="8"/>
      <c r="C34" s="74" t="s">
        <v>128</v>
      </c>
      <c r="D34" s="74"/>
      <c r="E34" s="74"/>
      <c r="F34" s="74"/>
      <c r="G34" s="74"/>
      <c r="H34" s="75"/>
    </row>
    <row r="35" spans="1:8" ht="24.75" customHeight="1" x14ac:dyDescent="0.25">
      <c r="B35" s="8"/>
      <c r="C35" s="82" t="s">
        <v>129</v>
      </c>
      <c r="D35" s="82"/>
      <c r="E35" s="82"/>
      <c r="F35" s="82"/>
      <c r="G35" s="82"/>
      <c r="H35" s="83"/>
    </row>
    <row r="36" spans="1:8" ht="24.75" customHeight="1" x14ac:dyDescent="0.25">
      <c r="B36" s="9"/>
      <c r="C36" s="84" t="s">
        <v>130</v>
      </c>
      <c r="D36" s="84"/>
      <c r="E36" s="84"/>
      <c r="F36" s="84"/>
      <c r="G36" s="84"/>
      <c r="H36" s="85"/>
    </row>
    <row r="37" spans="1:8" ht="21" customHeight="1" x14ac:dyDescent="0.25">
      <c r="C37" s="4"/>
      <c r="D37" s="4"/>
      <c r="E37" s="4"/>
      <c r="F37" s="4"/>
      <c r="G37" s="4"/>
    </row>
    <row r="38" spans="1:8" ht="27" customHeight="1" x14ac:dyDescent="0.25">
      <c r="A38" s="7"/>
      <c r="B38" s="76" t="s">
        <v>131</v>
      </c>
      <c r="C38" s="77"/>
      <c r="D38" s="77"/>
      <c r="E38" s="77"/>
      <c r="F38" s="77"/>
      <c r="G38" s="77"/>
      <c r="H38" s="78"/>
    </row>
    <row r="39" spans="1:8" ht="24.75" customHeight="1" x14ac:dyDescent="0.3">
      <c r="B39" s="10"/>
      <c r="C39" s="70" t="s">
        <v>132</v>
      </c>
      <c r="D39" s="71"/>
      <c r="E39" s="71"/>
      <c r="F39" s="71"/>
      <c r="G39" s="71"/>
      <c r="H39" s="72"/>
    </row>
    <row r="40" spans="1:8" ht="24.75" customHeight="1" x14ac:dyDescent="0.3">
      <c r="B40" s="11"/>
      <c r="C40" s="79" t="s">
        <v>133</v>
      </c>
      <c r="D40" s="80"/>
      <c r="E40" s="80"/>
      <c r="F40" s="80"/>
      <c r="G40" s="80"/>
      <c r="H40" s="81"/>
    </row>
    <row r="41" spans="1:8" ht="21" customHeight="1" x14ac:dyDescent="0.25">
      <c r="C41" s="4"/>
      <c r="D41" s="4"/>
      <c r="E41" s="4"/>
      <c r="F41" s="4"/>
      <c r="G41" s="4"/>
    </row>
    <row r="42" spans="1:8" ht="27" customHeight="1" x14ac:dyDescent="0.25">
      <c r="A42" s="7"/>
      <c r="B42" s="76" t="s">
        <v>134</v>
      </c>
      <c r="C42" s="77"/>
      <c r="D42" s="77"/>
      <c r="E42" s="77"/>
      <c r="F42" s="77"/>
      <c r="G42" s="77"/>
      <c r="H42" s="78"/>
    </row>
    <row r="43" spans="1:8" ht="24.75" customHeight="1" x14ac:dyDescent="0.35">
      <c r="B43" s="36"/>
      <c r="C43" s="70" t="s">
        <v>154</v>
      </c>
      <c r="D43" s="71"/>
      <c r="E43" s="71"/>
      <c r="F43" s="71"/>
      <c r="G43" s="71"/>
      <c r="H43" s="72"/>
    </row>
    <row r="44" spans="1:8" ht="24.75" customHeight="1" x14ac:dyDescent="0.35">
      <c r="B44" s="36"/>
      <c r="C44" s="70" t="s">
        <v>135</v>
      </c>
      <c r="D44" s="71"/>
      <c r="E44" s="71"/>
      <c r="F44" s="71"/>
      <c r="G44" s="71"/>
      <c r="H44" s="72"/>
    </row>
    <row r="45" spans="1:8" ht="12" customHeight="1" x14ac:dyDescent="0.35">
      <c r="B45" s="36"/>
      <c r="C45" s="31"/>
      <c r="D45" s="24"/>
      <c r="E45" s="25"/>
      <c r="F45" s="24"/>
      <c r="G45" s="24"/>
      <c r="H45" s="30"/>
    </row>
    <row r="46" spans="1:8" ht="51" customHeight="1" x14ac:dyDescent="0.35">
      <c r="B46" s="36"/>
      <c r="C46" s="24"/>
      <c r="D46" s="22" t="s">
        <v>136</v>
      </c>
      <c r="E46" s="25"/>
      <c r="F46" s="22" t="s">
        <v>137</v>
      </c>
      <c r="G46" s="87"/>
      <c r="H46" s="88"/>
    </row>
    <row r="47" spans="1:8" ht="51" customHeight="1" x14ac:dyDescent="0.35">
      <c r="B47" s="36"/>
      <c r="C47" s="24"/>
      <c r="D47" s="24" t="s">
        <v>155</v>
      </c>
      <c r="E47" s="25"/>
      <c r="F47" s="22" t="s">
        <v>138</v>
      </c>
      <c r="G47" s="87"/>
      <c r="H47" s="88"/>
    </row>
    <row r="48" spans="1:8" ht="21" customHeight="1" x14ac:dyDescent="0.35">
      <c r="B48" s="36"/>
      <c r="C48" s="24"/>
      <c r="D48" s="24"/>
      <c r="E48" s="24"/>
      <c r="F48" s="24"/>
      <c r="G48" s="24"/>
      <c r="H48" s="37"/>
    </row>
    <row r="49" spans="1:9" ht="36" customHeight="1" x14ac:dyDescent="0.25">
      <c r="A49" s="12"/>
      <c r="B49" s="38"/>
      <c r="C49" s="89" t="str">
        <f>"As authorised signatory's for "&amp;G15&amp;", I confirm that the scaffold has been completed in accordance with the specifications and regulations detailed above."</f>
        <v>As authorised signatory's for David Wilson Homes, I confirm that the scaffold has been completed in accordance with the specifications and regulations detailed above.</v>
      </c>
      <c r="D49" s="90"/>
      <c r="E49" s="90"/>
      <c r="F49" s="90"/>
      <c r="G49" s="90"/>
      <c r="H49" s="91"/>
    </row>
    <row r="50" spans="1:9" ht="10.5" customHeight="1" x14ac:dyDescent="0.25">
      <c r="A50" s="12"/>
      <c r="B50" s="38"/>
      <c r="C50" s="70"/>
      <c r="D50" s="71"/>
      <c r="E50" s="71"/>
      <c r="F50" s="71"/>
      <c r="G50" s="71"/>
      <c r="H50" s="72"/>
    </row>
    <row r="51" spans="1:9" ht="10.5" customHeight="1" x14ac:dyDescent="0.25">
      <c r="A51" s="12"/>
      <c r="B51" s="38"/>
      <c r="C51" s="31"/>
      <c r="D51" s="24"/>
      <c r="E51" s="24"/>
      <c r="F51" s="24"/>
      <c r="G51" s="24"/>
      <c r="H51" s="30"/>
    </row>
    <row r="52" spans="1:9" ht="10.5" customHeight="1" x14ac:dyDescent="0.25">
      <c r="A52" s="12"/>
      <c r="B52" s="38"/>
      <c r="C52" s="31"/>
      <c r="D52" s="24"/>
      <c r="E52" s="24"/>
      <c r="F52" s="24"/>
      <c r="G52" s="24"/>
      <c r="H52" s="30"/>
    </row>
    <row r="53" spans="1:9" ht="22.5" customHeight="1" x14ac:dyDescent="0.25">
      <c r="A53" s="12"/>
      <c r="B53" s="38"/>
      <c r="C53" s="92" t="str">
        <f>G15&amp;"'s Authorized Signature"</f>
        <v>David Wilson Homes's Authorized Signature</v>
      </c>
      <c r="D53" s="92"/>
      <c r="E53" s="92"/>
      <c r="F53" s="92"/>
      <c r="G53" s="92"/>
      <c r="H53" s="93"/>
      <c r="I53" s="13"/>
    </row>
    <row r="54" spans="1:9" ht="51" customHeight="1" x14ac:dyDescent="0.25">
      <c r="A54" s="12"/>
      <c r="B54" s="38"/>
      <c r="C54" s="31"/>
      <c r="D54" s="22" t="s">
        <v>136</v>
      </c>
      <c r="E54" s="25"/>
      <c r="F54" s="24"/>
      <c r="G54" s="24"/>
      <c r="H54" s="30"/>
    </row>
    <row r="55" spans="1:9" ht="51" customHeight="1" x14ac:dyDescent="0.25">
      <c r="A55" s="12"/>
      <c r="B55" s="38"/>
      <c r="C55" s="31"/>
      <c r="D55" s="24" t="s">
        <v>155</v>
      </c>
      <c r="E55" s="25"/>
      <c r="F55" s="24"/>
      <c r="G55" s="24"/>
      <c r="H55" s="30"/>
    </row>
    <row r="56" spans="1:9" ht="10.5" customHeight="1" x14ac:dyDescent="0.25">
      <c r="A56" s="12"/>
      <c r="B56" s="38"/>
      <c r="C56" s="31"/>
      <c r="D56" s="24"/>
      <c r="E56" s="24"/>
      <c r="F56" s="24"/>
      <c r="G56" s="24"/>
      <c r="H56" s="30"/>
    </row>
    <row r="57" spans="1:9" ht="10.5" customHeight="1" x14ac:dyDescent="0.25">
      <c r="A57" s="12"/>
      <c r="B57" s="38"/>
      <c r="C57" s="31"/>
      <c r="D57" s="24"/>
      <c r="E57" s="24"/>
      <c r="F57" s="24"/>
      <c r="G57" s="24"/>
      <c r="H57" s="30"/>
    </row>
    <row r="58" spans="1:9" ht="10.5" customHeight="1" x14ac:dyDescent="0.25">
      <c r="A58" s="12"/>
      <c r="B58" s="38"/>
      <c r="C58" s="31"/>
      <c r="D58" s="24"/>
      <c r="E58" s="24"/>
      <c r="F58" s="24"/>
      <c r="G58" s="24"/>
      <c r="H58" s="30"/>
    </row>
    <row r="59" spans="1:9" ht="27" customHeight="1" x14ac:dyDescent="0.25">
      <c r="A59" s="14"/>
      <c r="B59" s="94"/>
      <c r="C59" s="95"/>
      <c r="D59" s="95"/>
      <c r="E59" s="95"/>
      <c r="F59" s="95"/>
      <c r="G59" s="95"/>
      <c r="H59" s="96"/>
    </row>
    <row r="60" spans="1:9" ht="38.25" customHeight="1" x14ac:dyDescent="0.25">
      <c r="A60" s="12"/>
      <c r="B60" s="27"/>
      <c r="C60" s="39"/>
      <c r="D60" s="40"/>
      <c r="E60" s="40"/>
      <c r="F60" s="40"/>
      <c r="G60" s="40"/>
      <c r="H60" s="40"/>
    </row>
    <row r="61" spans="1:9" ht="22.5" customHeight="1" x14ac:dyDescent="0.25">
      <c r="A61" s="15"/>
      <c r="B61" s="97" t="s">
        <v>139</v>
      </c>
      <c r="C61" s="97"/>
      <c r="D61" s="97"/>
      <c r="E61" s="97"/>
      <c r="F61" s="97"/>
      <c r="G61" s="97"/>
      <c r="H61" s="97"/>
    </row>
    <row r="62" spans="1:9" ht="41.25" customHeight="1" x14ac:dyDescent="0.25">
      <c r="A62" s="12"/>
      <c r="B62" s="27"/>
      <c r="C62" s="98" t="str">
        <f>"In accordance with The Work at Height Regulations 2005 this scaffold must be inspected by "&amp;G15&amp;" and a record maintained of the inspection as follows:"</f>
        <v>In accordance with The Work at Height Regulations 2005 this scaffold must be inspected by David Wilson Homes and a record maintained of the inspection as follows:</v>
      </c>
      <c r="D62" s="98"/>
      <c r="E62" s="98"/>
      <c r="F62" s="98"/>
      <c r="G62" s="98"/>
      <c r="H62" s="98"/>
    </row>
    <row r="63" spans="1:9" ht="17.850000000000001" customHeight="1" x14ac:dyDescent="0.25">
      <c r="A63" s="12"/>
      <c r="B63" s="27"/>
      <c r="C63" s="99"/>
      <c r="D63" s="100"/>
      <c r="E63" s="100"/>
      <c r="F63" s="100"/>
      <c r="G63" s="100"/>
      <c r="H63" s="100"/>
    </row>
    <row r="64" spans="1:9" ht="24.75" customHeight="1" x14ac:dyDescent="0.25">
      <c r="A64" s="12"/>
      <c r="B64" s="27"/>
      <c r="C64" s="24"/>
      <c r="D64" s="71" t="s">
        <v>156</v>
      </c>
      <c r="E64" s="71"/>
      <c r="F64" s="71" t="s">
        <v>157</v>
      </c>
      <c r="G64" s="71"/>
      <c r="H64" s="71"/>
    </row>
    <row r="65" spans="1:8" ht="24.75" customHeight="1" x14ac:dyDescent="0.25">
      <c r="A65" s="12"/>
      <c r="B65" s="27"/>
      <c r="C65" s="24"/>
      <c r="D65" s="71" t="s">
        <v>158</v>
      </c>
      <c r="E65" s="71"/>
      <c r="F65" s="71" t="s">
        <v>159</v>
      </c>
      <c r="G65" s="71"/>
      <c r="H65" s="71"/>
    </row>
    <row r="66" spans="1:8" ht="27" customHeight="1" x14ac:dyDescent="0.25">
      <c r="C66" s="4"/>
      <c r="D66" s="4"/>
      <c r="E66" s="4"/>
      <c r="F66" s="4"/>
      <c r="G66" s="4"/>
    </row>
  </sheetData>
  <mergeCells count="42">
    <mergeCell ref="E25:F25"/>
    <mergeCell ref="B17:C17"/>
    <mergeCell ref="G17:H17"/>
    <mergeCell ref="D15:E15"/>
    <mergeCell ref="A3:D10"/>
    <mergeCell ref="B12:H12"/>
    <mergeCell ref="B15:C15"/>
    <mergeCell ref="G15:H15"/>
    <mergeCell ref="B16:C16"/>
    <mergeCell ref="B13:C13"/>
    <mergeCell ref="B19:H19"/>
    <mergeCell ref="C20:H20"/>
    <mergeCell ref="E22:F22"/>
    <mergeCell ref="E23:F23"/>
    <mergeCell ref="E24:F24"/>
    <mergeCell ref="D65:E65"/>
    <mergeCell ref="F65:H65"/>
    <mergeCell ref="G46:H46"/>
    <mergeCell ref="G47:H47"/>
    <mergeCell ref="C49:H49"/>
    <mergeCell ref="C50:H50"/>
    <mergeCell ref="C53:H53"/>
    <mergeCell ref="B59:H59"/>
    <mergeCell ref="B61:H61"/>
    <mergeCell ref="C62:H62"/>
    <mergeCell ref="C63:H63"/>
    <mergeCell ref="D64:E64"/>
    <mergeCell ref="F64:H64"/>
    <mergeCell ref="C44:H44"/>
    <mergeCell ref="E26:F26"/>
    <mergeCell ref="E27:F27"/>
    <mergeCell ref="E28:F28"/>
    <mergeCell ref="C34:H34"/>
    <mergeCell ref="B38:H38"/>
    <mergeCell ref="C39:H39"/>
    <mergeCell ref="C40:H40"/>
    <mergeCell ref="B42:H42"/>
    <mergeCell ref="C43:H43"/>
    <mergeCell ref="C35:H35"/>
    <mergeCell ref="C36:H36"/>
    <mergeCell ref="E29:F29"/>
    <mergeCell ref="D31:F32"/>
  </mergeCells>
  <pageMargins left="0.7" right="0.7" top="0.75" bottom="0.75" header="0.3" footer="0.3"/>
  <pageSetup paperSize="9" scale="4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SaveHandoversAsPDF">
                <anchor moveWithCells="1" sizeWithCells="1">
                  <from>
                    <xdr:col>11</xdr:col>
                    <xdr:colOff>314325</xdr:colOff>
                    <xdr:row>5</xdr:row>
                    <xdr:rowOff>142875</xdr:rowOff>
                  </from>
                  <to>
                    <xdr:col>15</xdr:col>
                    <xdr:colOff>257175</xdr:colOff>
                    <xdr:row>9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DA6E920-0B2D-4FF8-BF92-7D2C73C97370}">
          <x14:formula1>
            <xm:f>FinalTemplate!$A$2:$A$239</xm:f>
          </x14:formula1>
          <xm:sqref>G17:H17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50027-1B0D-454D-9BFA-8C73A6695BDC}">
  <sheetPr codeName="Sheet5"/>
  <dimension ref="A1:X69"/>
  <sheetViews>
    <sheetView showGridLines="0" view="pageBreakPreview" zoomScale="70" zoomScaleNormal="100" zoomScaleSheetLayoutView="70" workbookViewId="0">
      <selection activeCell="M17" sqref="M17"/>
    </sheetView>
  </sheetViews>
  <sheetFormatPr defaultRowHeight="15" x14ac:dyDescent="0.25"/>
  <cols>
    <col min="1" max="1" width="3.85546875" customWidth="1"/>
    <col min="2" max="2" width="5.7109375" customWidth="1"/>
    <col min="3" max="3" width="16.140625" customWidth="1"/>
    <col min="4" max="4" width="18.5703125" customWidth="1"/>
    <col min="5" max="5" width="58.5703125" customWidth="1"/>
    <col min="6" max="6" width="18.5703125" customWidth="1"/>
    <col min="7" max="7" width="8.28515625" customWidth="1"/>
    <col min="8" max="8" width="54.5703125" customWidth="1"/>
    <col min="9" max="9" width="5" customWidth="1"/>
    <col min="10" max="10" width="9.140625" customWidth="1"/>
  </cols>
  <sheetData>
    <row r="1" spans="1:24" x14ac:dyDescent="0.25">
      <c r="A1" s="18"/>
      <c r="B1" s="18"/>
      <c r="C1" s="18"/>
      <c r="D1" s="18"/>
      <c r="E1" s="18"/>
    </row>
    <row r="2" spans="1:24" x14ac:dyDescent="0.25">
      <c r="A2" s="18"/>
      <c r="B2" s="18"/>
      <c r="C2" s="18"/>
      <c r="D2" s="18"/>
      <c r="E2" s="18"/>
    </row>
    <row r="3" spans="1:24" x14ac:dyDescent="0.25">
      <c r="A3" s="102"/>
      <c r="B3" s="102"/>
      <c r="C3" s="102"/>
      <c r="D3" s="102"/>
      <c r="E3" s="18"/>
    </row>
    <row r="4" spans="1:24" x14ac:dyDescent="0.25">
      <c r="A4" s="102"/>
      <c r="B4" s="102"/>
      <c r="C4" s="102"/>
      <c r="D4" s="102"/>
      <c r="E4" s="18"/>
    </row>
    <row r="5" spans="1:24" x14ac:dyDescent="0.25">
      <c r="A5" s="102"/>
      <c r="B5" s="102"/>
      <c r="C5" s="102"/>
      <c r="D5" s="102"/>
      <c r="E5" s="18"/>
      <c r="W5">
        <v>1</v>
      </c>
      <c r="X5" t="str">
        <f>$D$13&amp;"-VO-0"&amp;W5</f>
        <v>1334-VO-01</v>
      </c>
    </row>
    <row r="6" spans="1:24" x14ac:dyDescent="0.25">
      <c r="A6" s="102"/>
      <c r="B6" s="102"/>
      <c r="C6" s="102"/>
      <c r="D6" s="102"/>
      <c r="E6" s="18"/>
      <c r="W6">
        <v>2</v>
      </c>
      <c r="X6" t="str">
        <f t="shared" ref="X6:X33" si="0">$D$13&amp;"-VO-0"&amp;W6</f>
        <v>1334-VO-02</v>
      </c>
    </row>
    <row r="7" spans="1:24" x14ac:dyDescent="0.25">
      <c r="A7" s="102"/>
      <c r="B7" s="102"/>
      <c r="C7" s="102"/>
      <c r="D7" s="102"/>
      <c r="E7" s="18"/>
      <c r="W7">
        <v>3</v>
      </c>
      <c r="X7" t="str">
        <f t="shared" si="0"/>
        <v>1334-VO-03</v>
      </c>
    </row>
    <row r="8" spans="1:24" x14ac:dyDescent="0.25">
      <c r="A8" s="102"/>
      <c r="B8" s="102"/>
      <c r="C8" s="102"/>
      <c r="D8" s="102"/>
      <c r="E8" s="18"/>
      <c r="W8">
        <v>4</v>
      </c>
      <c r="X8" t="str">
        <f t="shared" si="0"/>
        <v>1334-VO-04</v>
      </c>
    </row>
    <row r="9" spans="1:24" x14ac:dyDescent="0.25">
      <c r="A9" s="102"/>
      <c r="B9" s="102"/>
      <c r="C9" s="102"/>
      <c r="D9" s="102"/>
      <c r="E9" s="18"/>
      <c r="W9">
        <v>5</v>
      </c>
      <c r="X9" t="str">
        <f t="shared" si="0"/>
        <v>1334-VO-05</v>
      </c>
    </row>
    <row r="10" spans="1:24" x14ac:dyDescent="0.25">
      <c r="A10" s="102"/>
      <c r="B10" s="102"/>
      <c r="C10" s="102"/>
      <c r="D10" s="102"/>
      <c r="E10" s="18"/>
      <c r="W10">
        <v>6</v>
      </c>
      <c r="X10" t="str">
        <f t="shared" si="0"/>
        <v>1334-VO-06</v>
      </c>
    </row>
    <row r="11" spans="1:24" x14ac:dyDescent="0.25">
      <c r="A11" s="18"/>
      <c r="B11" s="18"/>
      <c r="C11" s="18"/>
      <c r="D11" s="18"/>
      <c r="E11" s="18"/>
      <c r="W11">
        <v>7</v>
      </c>
      <c r="X11" t="str">
        <f t="shared" si="0"/>
        <v>1334-VO-07</v>
      </c>
    </row>
    <row r="12" spans="1:24" ht="28.35" customHeight="1" x14ac:dyDescent="0.25">
      <c r="A12" s="3"/>
      <c r="B12" s="103" t="s">
        <v>115</v>
      </c>
      <c r="C12" s="103"/>
      <c r="D12" s="103"/>
      <c r="E12" s="103"/>
      <c r="F12" s="103"/>
      <c r="G12" s="103"/>
      <c r="H12" s="103"/>
      <c r="W12">
        <v>8</v>
      </c>
      <c r="X12" t="str">
        <f t="shared" si="0"/>
        <v>1334-VO-08</v>
      </c>
    </row>
    <row r="13" spans="1:24" ht="28.35" customHeight="1" x14ac:dyDescent="0.25">
      <c r="A13" s="3"/>
      <c r="B13" s="104" t="s">
        <v>142</v>
      </c>
      <c r="C13" s="104"/>
      <c r="D13" s="42">
        <v>1334</v>
      </c>
      <c r="E13" s="16"/>
      <c r="F13" s="16"/>
      <c r="G13" s="16"/>
      <c r="H13" s="16"/>
      <c r="W13">
        <v>9</v>
      </c>
      <c r="X13" t="str">
        <f t="shared" si="0"/>
        <v>1334-VO-09</v>
      </c>
    </row>
    <row r="14" spans="1:24" ht="18.2" customHeight="1" x14ac:dyDescent="0.25">
      <c r="C14" s="4"/>
      <c r="D14" s="4"/>
      <c r="E14" s="4"/>
      <c r="F14" s="4"/>
      <c r="G14" s="4"/>
      <c r="W14">
        <v>10</v>
      </c>
      <c r="X14" t="str">
        <f t="shared" si="0"/>
        <v>1334-VO-010</v>
      </c>
    </row>
    <row r="15" spans="1:24" ht="21" customHeight="1" x14ac:dyDescent="0.25">
      <c r="B15" s="101" t="s">
        <v>116</v>
      </c>
      <c r="C15" s="101"/>
      <c r="D15" s="73" t="s">
        <v>141</v>
      </c>
      <c r="E15" s="73"/>
      <c r="F15" s="43" t="s">
        <v>117</v>
      </c>
      <c r="G15" s="73" t="s">
        <v>112</v>
      </c>
      <c r="H15" s="73"/>
      <c r="W15">
        <v>11</v>
      </c>
      <c r="X15" t="str">
        <f t="shared" si="0"/>
        <v>1334-VO-011</v>
      </c>
    </row>
    <row r="16" spans="1:24" ht="21" customHeight="1" x14ac:dyDescent="0.25">
      <c r="B16" s="101"/>
      <c r="C16" s="101"/>
      <c r="D16" s="45"/>
      <c r="E16" s="45"/>
      <c r="F16" s="45"/>
      <c r="G16" s="41"/>
      <c r="H16" s="26"/>
      <c r="W16">
        <v>12</v>
      </c>
      <c r="X16" t="str">
        <f t="shared" si="0"/>
        <v>1334-VO-012</v>
      </c>
    </row>
    <row r="17" spans="1:24" ht="21" customHeight="1" x14ac:dyDescent="0.25">
      <c r="B17" s="101" t="s">
        <v>118</v>
      </c>
      <c r="C17" s="101"/>
      <c r="D17" s="27" t="s">
        <v>151</v>
      </c>
      <c r="E17" s="45"/>
      <c r="F17" s="43" t="s">
        <v>160</v>
      </c>
      <c r="G17" s="73"/>
      <c r="H17" s="73"/>
      <c r="W17">
        <v>13</v>
      </c>
      <c r="X17" t="str">
        <f t="shared" si="0"/>
        <v>1334-VO-013</v>
      </c>
    </row>
    <row r="18" spans="1:24" ht="38.25" customHeight="1" x14ac:dyDescent="0.25">
      <c r="B18" s="5"/>
      <c r="C18" s="5"/>
      <c r="E18" s="4"/>
      <c r="F18" s="6"/>
      <c r="G18" s="21"/>
      <c r="H18" s="21"/>
      <c r="W18">
        <v>14</v>
      </c>
      <c r="X18" t="str">
        <f t="shared" si="0"/>
        <v>1334-VO-014</v>
      </c>
    </row>
    <row r="19" spans="1:24" ht="27" customHeight="1" x14ac:dyDescent="0.25">
      <c r="A19" s="7"/>
      <c r="B19" s="76" t="s">
        <v>120</v>
      </c>
      <c r="C19" s="77"/>
      <c r="D19" s="77"/>
      <c r="E19" s="77"/>
      <c r="F19" s="77"/>
      <c r="G19" s="77"/>
      <c r="H19" s="78"/>
      <c r="W19">
        <v>15</v>
      </c>
      <c r="X19" t="str">
        <f t="shared" si="0"/>
        <v>1334-VO-015</v>
      </c>
    </row>
    <row r="20" spans="1:24" ht="21" x14ac:dyDescent="0.25">
      <c r="B20" s="8"/>
      <c r="C20" s="105" t="s">
        <v>121</v>
      </c>
      <c r="D20" s="105"/>
      <c r="E20" s="105"/>
      <c r="F20" s="105"/>
      <c r="G20" s="105"/>
      <c r="H20" s="106"/>
      <c r="W20">
        <v>16</v>
      </c>
      <c r="X20" t="str">
        <f t="shared" si="0"/>
        <v>1334-VO-016</v>
      </c>
    </row>
    <row r="21" spans="1:24" ht="21" x14ac:dyDescent="0.25">
      <c r="B21" s="8"/>
      <c r="C21" s="43"/>
      <c r="D21" s="43"/>
      <c r="E21" s="43"/>
      <c r="F21" s="43"/>
      <c r="G21" s="43"/>
      <c r="H21" s="44"/>
      <c r="W21">
        <v>17</v>
      </c>
      <c r="X21" t="str">
        <f t="shared" si="0"/>
        <v>1334-VO-017</v>
      </c>
    </row>
    <row r="22" spans="1:24" ht="21" x14ac:dyDescent="0.25">
      <c r="B22" s="8"/>
      <c r="C22" s="28"/>
      <c r="D22" s="43" t="s">
        <v>122</v>
      </c>
      <c r="E22" s="73"/>
      <c r="F22" s="73"/>
      <c r="G22" s="45"/>
      <c r="H22" s="29"/>
      <c r="W22">
        <v>18</v>
      </c>
      <c r="X22" t="str">
        <f t="shared" si="0"/>
        <v>1334-VO-018</v>
      </c>
    </row>
    <row r="23" spans="1:24" ht="20.25" customHeight="1" x14ac:dyDescent="0.25">
      <c r="B23" s="8"/>
      <c r="C23" s="45"/>
      <c r="D23" s="43" t="s">
        <v>123</v>
      </c>
      <c r="E23" s="73"/>
      <c r="F23" s="73"/>
      <c r="G23" s="45"/>
      <c r="H23" s="29"/>
      <c r="W23">
        <v>19</v>
      </c>
      <c r="X23" t="str">
        <f t="shared" si="0"/>
        <v>1334-VO-019</v>
      </c>
    </row>
    <row r="24" spans="1:24" ht="20.25" customHeight="1" x14ac:dyDescent="0.25">
      <c r="B24" s="8"/>
      <c r="C24" s="45"/>
      <c r="D24" s="45" t="s">
        <v>152</v>
      </c>
      <c r="E24" s="73"/>
      <c r="F24" s="73"/>
      <c r="G24" s="45"/>
      <c r="H24" s="29"/>
      <c r="W24">
        <v>20</v>
      </c>
      <c r="X24" t="str">
        <f t="shared" si="0"/>
        <v>1334-VO-020</v>
      </c>
    </row>
    <row r="25" spans="1:24" ht="20.25" customHeight="1" x14ac:dyDescent="0.25">
      <c r="B25" s="8"/>
      <c r="C25" s="45"/>
      <c r="D25" s="45" t="s">
        <v>153</v>
      </c>
      <c r="E25" s="73"/>
      <c r="F25" s="73"/>
      <c r="G25" s="45"/>
      <c r="H25" s="29"/>
      <c r="W25">
        <v>21</v>
      </c>
      <c r="X25" t="str">
        <f t="shared" si="0"/>
        <v>1334-VO-021</v>
      </c>
    </row>
    <row r="26" spans="1:24" ht="20.25" customHeight="1" x14ac:dyDescent="0.25">
      <c r="B26" s="8"/>
      <c r="C26" s="45"/>
      <c r="D26" s="43" t="s">
        <v>124</v>
      </c>
      <c r="E26" s="73"/>
      <c r="F26" s="73"/>
      <c r="G26" s="43"/>
      <c r="H26" s="29"/>
      <c r="W26">
        <v>22</v>
      </c>
      <c r="X26" t="str">
        <f t="shared" si="0"/>
        <v>1334-VO-022</v>
      </c>
    </row>
    <row r="27" spans="1:24" ht="20.25" customHeight="1" x14ac:dyDescent="0.25">
      <c r="B27" s="8"/>
      <c r="C27" s="45"/>
      <c r="D27" s="43" t="s">
        <v>125</v>
      </c>
      <c r="E27" s="73"/>
      <c r="F27" s="73"/>
      <c r="G27" s="43"/>
      <c r="H27" s="47"/>
      <c r="W27">
        <v>23</v>
      </c>
      <c r="X27" t="str">
        <f t="shared" si="0"/>
        <v>1334-VO-023</v>
      </c>
    </row>
    <row r="28" spans="1:24" ht="21.2" customHeight="1" x14ac:dyDescent="0.25">
      <c r="B28" s="8"/>
      <c r="C28" s="45"/>
      <c r="D28" s="43" t="s">
        <v>126</v>
      </c>
      <c r="E28" s="73"/>
      <c r="F28" s="73"/>
      <c r="G28" s="46"/>
      <c r="H28" s="47"/>
      <c r="W28">
        <v>24</v>
      </c>
      <c r="X28" t="str">
        <f t="shared" si="0"/>
        <v>1334-VO-024</v>
      </c>
    </row>
    <row r="29" spans="1:24" ht="21.2" customHeight="1" x14ac:dyDescent="0.25">
      <c r="B29" s="8"/>
      <c r="C29" s="45"/>
      <c r="D29" s="43" t="s">
        <v>127</v>
      </c>
      <c r="E29" s="73"/>
      <c r="F29" s="73"/>
      <c r="G29" s="46"/>
      <c r="H29" s="47"/>
      <c r="W29">
        <v>25</v>
      </c>
      <c r="X29" t="str">
        <f t="shared" si="0"/>
        <v>1334-VO-025</v>
      </c>
    </row>
    <row r="30" spans="1:24" s="19" customFormat="1" ht="13.5" customHeight="1" x14ac:dyDescent="0.25">
      <c r="B30" s="20"/>
      <c r="C30" s="41"/>
      <c r="D30" s="32"/>
      <c r="E30" s="41"/>
      <c r="F30" s="41"/>
      <c r="G30" s="33"/>
      <c r="H30" s="34"/>
      <c r="W30">
        <v>26</v>
      </c>
      <c r="X30" t="str">
        <f t="shared" si="0"/>
        <v>1334-VO-026</v>
      </c>
    </row>
    <row r="31" spans="1:24" ht="25.5" customHeight="1" x14ac:dyDescent="0.25">
      <c r="B31" s="8"/>
      <c r="C31" s="45"/>
      <c r="D31" s="86" t="s">
        <v>143</v>
      </c>
      <c r="E31" s="86"/>
      <c r="F31" s="86"/>
      <c r="G31" s="35" t="s">
        <v>144</v>
      </c>
      <c r="H31" s="47"/>
      <c r="W31">
        <v>27</v>
      </c>
      <c r="X31" t="str">
        <f t="shared" si="0"/>
        <v>1334-VO-027</v>
      </c>
    </row>
    <row r="32" spans="1:24" ht="34.5" customHeight="1" x14ac:dyDescent="0.25">
      <c r="B32" s="8"/>
      <c r="C32" s="45"/>
      <c r="D32" s="86"/>
      <c r="E32" s="86"/>
      <c r="F32" s="86"/>
      <c r="G32" s="35" t="s">
        <v>145</v>
      </c>
      <c r="H32" s="47"/>
      <c r="W32">
        <v>28</v>
      </c>
      <c r="X32" t="str">
        <f t="shared" si="0"/>
        <v>1334-VO-028</v>
      </c>
    </row>
    <row r="33" spans="1:24" ht="9" customHeight="1" x14ac:dyDescent="0.25">
      <c r="B33" s="8"/>
      <c r="C33" s="45"/>
      <c r="D33" s="49"/>
      <c r="E33" s="49"/>
      <c r="F33" s="49"/>
      <c r="G33" s="50"/>
      <c r="H33" s="47"/>
      <c r="W33">
        <v>29</v>
      </c>
      <c r="X33" t="str">
        <f t="shared" si="0"/>
        <v>1334-VO-029</v>
      </c>
    </row>
    <row r="34" spans="1:24" ht="42" customHeight="1" x14ac:dyDescent="0.25">
      <c r="B34" s="8"/>
      <c r="C34" s="45"/>
      <c r="D34" s="107" t="s">
        <v>161</v>
      </c>
      <c r="E34" s="107"/>
      <c r="F34" s="107"/>
      <c r="G34" s="107"/>
      <c r="H34" s="47"/>
      <c r="W34">
        <v>30</v>
      </c>
      <c r="X34" t="str">
        <f>$D$13&amp;"-VO-0"&amp;W34</f>
        <v>1334-VO-030</v>
      </c>
    </row>
    <row r="35" spans="1:24" ht="42" customHeight="1" x14ac:dyDescent="0.25">
      <c r="B35" s="8"/>
      <c r="C35" s="45"/>
      <c r="D35" s="107"/>
      <c r="E35" s="107"/>
      <c r="F35" s="107"/>
      <c r="G35" s="107"/>
      <c r="H35" s="47"/>
    </row>
    <row r="36" spans="1:24" ht="28.5" customHeight="1" x14ac:dyDescent="0.25">
      <c r="B36" s="8"/>
      <c r="C36" s="45"/>
      <c r="D36" s="45"/>
      <c r="E36" s="45"/>
      <c r="F36" s="45"/>
      <c r="G36" s="45"/>
      <c r="H36" s="29"/>
    </row>
    <row r="37" spans="1:24" ht="24.75" customHeight="1" x14ac:dyDescent="0.25">
      <c r="B37" s="8"/>
      <c r="C37" s="74" t="s">
        <v>128</v>
      </c>
      <c r="D37" s="74"/>
      <c r="E37" s="74"/>
      <c r="F37" s="74"/>
      <c r="G37" s="74"/>
      <c r="H37" s="75"/>
    </row>
    <row r="38" spans="1:24" ht="24.75" customHeight="1" x14ac:dyDescent="0.25">
      <c r="B38" s="8"/>
      <c r="C38" s="82" t="s">
        <v>129</v>
      </c>
      <c r="D38" s="82"/>
      <c r="E38" s="82"/>
      <c r="F38" s="82"/>
      <c r="G38" s="82"/>
      <c r="H38" s="83"/>
    </row>
    <row r="39" spans="1:24" ht="24.75" customHeight="1" x14ac:dyDescent="0.25">
      <c r="B39" s="9"/>
      <c r="C39" s="84" t="s">
        <v>130</v>
      </c>
      <c r="D39" s="84"/>
      <c r="E39" s="84"/>
      <c r="F39" s="84"/>
      <c r="G39" s="84"/>
      <c r="H39" s="85"/>
    </row>
    <row r="40" spans="1:24" ht="21" customHeight="1" x14ac:dyDescent="0.25">
      <c r="C40" s="4"/>
      <c r="D40" s="4"/>
      <c r="E40" s="4"/>
      <c r="F40" s="4"/>
      <c r="G40" s="4"/>
    </row>
    <row r="41" spans="1:24" ht="27" customHeight="1" x14ac:dyDescent="0.25">
      <c r="A41" s="7"/>
      <c r="B41" s="76" t="s">
        <v>131</v>
      </c>
      <c r="C41" s="77"/>
      <c r="D41" s="77"/>
      <c r="E41" s="77"/>
      <c r="F41" s="77"/>
      <c r="G41" s="77"/>
      <c r="H41" s="78"/>
    </row>
    <row r="42" spans="1:24" ht="24.75" customHeight="1" x14ac:dyDescent="0.3">
      <c r="B42" s="10"/>
      <c r="C42" s="70" t="s">
        <v>132</v>
      </c>
      <c r="D42" s="71"/>
      <c r="E42" s="71"/>
      <c r="F42" s="71"/>
      <c r="G42" s="71"/>
      <c r="H42" s="72"/>
    </row>
    <row r="43" spans="1:24" ht="24.75" customHeight="1" x14ac:dyDescent="0.3">
      <c r="B43" s="11"/>
      <c r="C43" s="79" t="s">
        <v>133</v>
      </c>
      <c r="D43" s="80"/>
      <c r="E43" s="80"/>
      <c r="F43" s="80"/>
      <c r="G43" s="80"/>
      <c r="H43" s="81"/>
    </row>
    <row r="44" spans="1:24" ht="21" customHeight="1" x14ac:dyDescent="0.25">
      <c r="C44" s="4"/>
      <c r="D44" s="4"/>
      <c r="E44" s="4"/>
      <c r="F44" s="4"/>
      <c r="G44" s="4"/>
    </row>
    <row r="45" spans="1:24" ht="27" customHeight="1" x14ac:dyDescent="0.25">
      <c r="A45" s="7"/>
      <c r="B45" s="76" t="s">
        <v>134</v>
      </c>
      <c r="C45" s="77"/>
      <c r="D45" s="77"/>
      <c r="E45" s="77"/>
      <c r="F45" s="77"/>
      <c r="G45" s="77"/>
      <c r="H45" s="78"/>
    </row>
    <row r="46" spans="1:24" ht="24.75" customHeight="1" x14ac:dyDescent="0.35">
      <c r="B46" s="36"/>
      <c r="C46" s="70" t="s">
        <v>154</v>
      </c>
      <c r="D46" s="71"/>
      <c r="E46" s="71"/>
      <c r="F46" s="71"/>
      <c r="G46" s="71"/>
      <c r="H46" s="72"/>
    </row>
    <row r="47" spans="1:24" ht="24.75" customHeight="1" x14ac:dyDescent="0.35">
      <c r="B47" s="36"/>
      <c r="C47" s="70" t="s">
        <v>135</v>
      </c>
      <c r="D47" s="71"/>
      <c r="E47" s="71"/>
      <c r="F47" s="71"/>
      <c r="G47" s="71"/>
      <c r="H47" s="72"/>
    </row>
    <row r="48" spans="1:24" ht="12" customHeight="1" x14ac:dyDescent="0.35">
      <c r="B48" s="36"/>
      <c r="C48" s="46"/>
      <c r="D48" s="45"/>
      <c r="E48" s="41"/>
      <c r="F48" s="45"/>
      <c r="G48" s="45"/>
      <c r="H48" s="47"/>
    </row>
    <row r="49" spans="1:9" ht="51" customHeight="1" x14ac:dyDescent="0.35">
      <c r="B49" s="36"/>
      <c r="C49" s="45"/>
      <c r="D49" s="43" t="s">
        <v>136</v>
      </c>
      <c r="E49" s="41"/>
      <c r="F49" s="43" t="s">
        <v>137</v>
      </c>
      <c r="G49" s="87"/>
      <c r="H49" s="88"/>
    </row>
    <row r="50" spans="1:9" ht="51" customHeight="1" x14ac:dyDescent="0.35">
      <c r="B50" s="36"/>
      <c r="C50" s="45"/>
      <c r="D50" s="45" t="s">
        <v>155</v>
      </c>
      <c r="E50" s="41"/>
      <c r="F50" s="43" t="s">
        <v>138</v>
      </c>
      <c r="G50" s="87"/>
      <c r="H50" s="88"/>
    </row>
    <row r="51" spans="1:9" ht="21" customHeight="1" x14ac:dyDescent="0.35">
      <c r="B51" s="36"/>
      <c r="C51" s="45"/>
      <c r="D51" s="45"/>
      <c r="E51" s="45"/>
      <c r="F51" s="45"/>
      <c r="G51" s="45"/>
      <c r="H51" s="37"/>
    </row>
    <row r="52" spans="1:9" ht="36" customHeight="1" x14ac:dyDescent="0.25">
      <c r="A52" s="12"/>
      <c r="B52" s="38"/>
      <c r="C52" s="89" t="str">
        <f>"As authorised signatory's for "&amp;G15&amp;", I confirm that the scaffold has been completed in accordance with the specifications and regulations detailed above."</f>
        <v>As authorised signatory's for David Wilson Homes, I confirm that the scaffold has been completed in accordance with the specifications and regulations detailed above.</v>
      </c>
      <c r="D52" s="90"/>
      <c r="E52" s="90"/>
      <c r="F52" s="90"/>
      <c r="G52" s="90"/>
      <c r="H52" s="91"/>
    </row>
    <row r="53" spans="1:9" ht="10.5" customHeight="1" x14ac:dyDescent="0.25">
      <c r="A53" s="12"/>
      <c r="B53" s="38"/>
      <c r="C53" s="70"/>
      <c r="D53" s="71"/>
      <c r="E53" s="71"/>
      <c r="F53" s="71"/>
      <c r="G53" s="71"/>
      <c r="H53" s="72"/>
    </row>
    <row r="54" spans="1:9" ht="10.5" customHeight="1" x14ac:dyDescent="0.25">
      <c r="A54" s="12"/>
      <c r="B54" s="38"/>
      <c r="C54" s="46"/>
      <c r="D54" s="45"/>
      <c r="E54" s="45"/>
      <c r="F54" s="45"/>
      <c r="G54" s="45"/>
      <c r="H54" s="47"/>
    </row>
    <row r="55" spans="1:9" ht="10.5" customHeight="1" x14ac:dyDescent="0.25">
      <c r="A55" s="12"/>
      <c r="B55" s="38"/>
      <c r="C55" s="46"/>
      <c r="D55" s="45"/>
      <c r="E55" s="45"/>
      <c r="F55" s="45"/>
      <c r="G55" s="45"/>
      <c r="H55" s="47"/>
    </row>
    <row r="56" spans="1:9" ht="22.5" customHeight="1" x14ac:dyDescent="0.25">
      <c r="A56" s="12"/>
      <c r="B56" s="38"/>
      <c r="C56" s="92" t="str">
        <f>G15&amp;"'s Authorized Signature"</f>
        <v>David Wilson Homes's Authorized Signature</v>
      </c>
      <c r="D56" s="92"/>
      <c r="E56" s="92"/>
      <c r="F56" s="92"/>
      <c r="G56" s="92"/>
      <c r="H56" s="93"/>
      <c r="I56" s="13"/>
    </row>
    <row r="57" spans="1:9" ht="51" customHeight="1" x14ac:dyDescent="0.25">
      <c r="A57" s="12"/>
      <c r="B57" s="38"/>
      <c r="C57" s="46"/>
      <c r="D57" s="43" t="s">
        <v>136</v>
      </c>
      <c r="E57" s="41"/>
      <c r="F57" s="45"/>
      <c r="G57" s="45"/>
      <c r="H57" s="47"/>
    </row>
    <row r="58" spans="1:9" ht="51" customHeight="1" x14ac:dyDescent="0.25">
      <c r="A58" s="12"/>
      <c r="B58" s="38"/>
      <c r="C58" s="46"/>
      <c r="D58" s="45" t="s">
        <v>155</v>
      </c>
      <c r="E58" s="41"/>
      <c r="F58" s="45"/>
      <c r="G58" s="45"/>
      <c r="H58" s="47"/>
    </row>
    <row r="59" spans="1:9" ht="10.5" customHeight="1" x14ac:dyDescent="0.25">
      <c r="A59" s="12"/>
      <c r="B59" s="38"/>
      <c r="C59" s="46"/>
      <c r="D59" s="45"/>
      <c r="E59" s="45"/>
      <c r="F59" s="45"/>
      <c r="G59" s="45"/>
      <c r="H59" s="47"/>
    </row>
    <row r="60" spans="1:9" ht="10.5" customHeight="1" x14ac:dyDescent="0.25">
      <c r="A60" s="12"/>
      <c r="B60" s="38"/>
      <c r="C60" s="46"/>
      <c r="D60" s="45"/>
      <c r="E60" s="45"/>
      <c r="F60" s="45"/>
      <c r="G60" s="45"/>
      <c r="H60" s="47"/>
    </row>
    <row r="61" spans="1:9" ht="10.5" customHeight="1" x14ac:dyDescent="0.25">
      <c r="A61" s="12"/>
      <c r="B61" s="38"/>
      <c r="C61" s="46"/>
      <c r="D61" s="45"/>
      <c r="E61" s="45"/>
      <c r="F61" s="45"/>
      <c r="G61" s="45"/>
      <c r="H61" s="47"/>
    </row>
    <row r="62" spans="1:9" ht="27" customHeight="1" x14ac:dyDescent="0.25">
      <c r="A62" s="14"/>
      <c r="B62" s="94"/>
      <c r="C62" s="95"/>
      <c r="D62" s="95"/>
      <c r="E62" s="95"/>
      <c r="F62" s="95"/>
      <c r="G62" s="95"/>
      <c r="H62" s="96"/>
    </row>
    <row r="63" spans="1:9" ht="38.25" customHeight="1" x14ac:dyDescent="0.25">
      <c r="A63" s="12"/>
      <c r="B63" s="27"/>
      <c r="C63" s="39"/>
      <c r="D63" s="48"/>
      <c r="E63" s="48"/>
      <c r="F63" s="48"/>
      <c r="G63" s="48"/>
      <c r="H63" s="48"/>
    </row>
    <row r="64" spans="1:9" ht="22.5" customHeight="1" x14ac:dyDescent="0.25">
      <c r="A64" s="15"/>
      <c r="B64" s="97" t="s">
        <v>139</v>
      </c>
      <c r="C64" s="97"/>
      <c r="D64" s="97"/>
      <c r="E64" s="97"/>
      <c r="F64" s="97"/>
      <c r="G64" s="97"/>
      <c r="H64" s="97"/>
    </row>
    <row r="65" spans="1:8" ht="41.25" customHeight="1" x14ac:dyDescent="0.25">
      <c r="A65" s="12"/>
      <c r="B65" s="27"/>
      <c r="C65" s="98" t="str">
        <f>"In accordance with The Work at Height Regulations 2005 this scaffold must be inspected by "&amp;G15&amp;" and a record maintained of the inspection as follows:"</f>
        <v>In accordance with The Work at Height Regulations 2005 this scaffold must be inspected by David Wilson Homes and a record maintained of the inspection as follows:</v>
      </c>
      <c r="D65" s="98"/>
      <c r="E65" s="98"/>
      <c r="F65" s="98"/>
      <c r="G65" s="98"/>
      <c r="H65" s="98"/>
    </row>
    <row r="66" spans="1:8" ht="17.850000000000001" customHeight="1" x14ac:dyDescent="0.25">
      <c r="A66" s="12"/>
      <c r="B66" s="27"/>
      <c r="C66" s="99"/>
      <c r="D66" s="100"/>
      <c r="E66" s="100"/>
      <c r="F66" s="100"/>
      <c r="G66" s="100"/>
      <c r="H66" s="100"/>
    </row>
    <row r="67" spans="1:8" ht="24.75" customHeight="1" x14ac:dyDescent="0.25">
      <c r="A67" s="12"/>
      <c r="B67" s="27"/>
      <c r="C67" s="45"/>
      <c r="D67" s="71" t="s">
        <v>156</v>
      </c>
      <c r="E67" s="71"/>
      <c r="F67" s="71" t="s">
        <v>157</v>
      </c>
      <c r="G67" s="71"/>
      <c r="H67" s="71"/>
    </row>
    <row r="68" spans="1:8" ht="24.75" customHeight="1" x14ac:dyDescent="0.25">
      <c r="A68" s="12"/>
      <c r="B68" s="27"/>
      <c r="C68" s="45"/>
      <c r="D68" s="71" t="s">
        <v>158</v>
      </c>
      <c r="E68" s="71"/>
      <c r="F68" s="71" t="s">
        <v>159</v>
      </c>
      <c r="G68" s="71"/>
      <c r="H68" s="71"/>
    </row>
    <row r="69" spans="1:8" ht="27" customHeight="1" x14ac:dyDescent="0.25">
      <c r="C69" s="4"/>
      <c r="D69" s="4"/>
      <c r="E69" s="4"/>
      <c r="F69" s="4"/>
      <c r="G69" s="4"/>
    </row>
  </sheetData>
  <mergeCells count="44">
    <mergeCell ref="C65:H65"/>
    <mergeCell ref="C66:H66"/>
    <mergeCell ref="D67:E67"/>
    <mergeCell ref="F67:H67"/>
    <mergeCell ref="D68:E68"/>
    <mergeCell ref="F68:H68"/>
    <mergeCell ref="B64:H64"/>
    <mergeCell ref="C42:H42"/>
    <mergeCell ref="C43:H43"/>
    <mergeCell ref="B45:H45"/>
    <mergeCell ref="C46:H46"/>
    <mergeCell ref="C47:H47"/>
    <mergeCell ref="G49:H49"/>
    <mergeCell ref="G50:H50"/>
    <mergeCell ref="C52:H52"/>
    <mergeCell ref="C53:H53"/>
    <mergeCell ref="C56:H56"/>
    <mergeCell ref="B62:H62"/>
    <mergeCell ref="B41:H41"/>
    <mergeCell ref="D34:D35"/>
    <mergeCell ref="E34:G35"/>
    <mergeCell ref="E23:F23"/>
    <mergeCell ref="E24:F24"/>
    <mergeCell ref="E25:F25"/>
    <mergeCell ref="E26:F26"/>
    <mergeCell ref="E27:F27"/>
    <mergeCell ref="E28:F28"/>
    <mergeCell ref="E29:F29"/>
    <mergeCell ref="D31:F32"/>
    <mergeCell ref="C37:H37"/>
    <mergeCell ref="C38:H38"/>
    <mergeCell ref="C39:H39"/>
    <mergeCell ref="E22:F22"/>
    <mergeCell ref="A3:D10"/>
    <mergeCell ref="B12:H12"/>
    <mergeCell ref="B13:C13"/>
    <mergeCell ref="B15:C15"/>
    <mergeCell ref="D15:E15"/>
    <mergeCell ref="G15:H15"/>
    <mergeCell ref="B16:C16"/>
    <mergeCell ref="B17:C17"/>
    <mergeCell ref="G17:H17"/>
    <mergeCell ref="B19:H19"/>
    <mergeCell ref="C20:H20"/>
  </mergeCells>
  <dataValidations disablePrompts="1" count="1">
    <dataValidation type="list" allowBlank="1" showInputMessage="1" showErrorMessage="1" sqref="G17:H17" xr:uid="{C13E4EDB-62B7-4382-A688-1B2FF46F9441}">
      <formula1>$X$5:$X$34</formula1>
    </dataValidation>
  </dataValidations>
  <pageMargins left="0.7" right="0.7" top="0.75" bottom="0.75" header="0.3" footer="0.3"/>
  <pageSetup paperSize="9" scale="4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ExportVOs">
                <anchor moveWithCells="1" sizeWithCells="1">
                  <from>
                    <xdr:col>11</xdr:col>
                    <xdr:colOff>314325</xdr:colOff>
                    <xdr:row>5</xdr:row>
                    <xdr:rowOff>142875</xdr:rowOff>
                  </from>
                  <to>
                    <xdr:col>15</xdr:col>
                    <xdr:colOff>257175</xdr:colOff>
                    <xdr:row>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D6E84C-6209-4DEE-B9ED-30C67EAF2F33}">
  <sheetPr codeName="Sheet6"/>
  <dimension ref="A1:X69"/>
  <sheetViews>
    <sheetView showGridLines="0" view="pageBreakPreview" zoomScale="70" zoomScaleNormal="100" zoomScaleSheetLayoutView="70" workbookViewId="0">
      <selection activeCell="E18" sqref="E18"/>
    </sheetView>
  </sheetViews>
  <sheetFormatPr defaultRowHeight="15" x14ac:dyDescent="0.25"/>
  <cols>
    <col min="1" max="1" width="3.85546875" customWidth="1"/>
    <col min="2" max="2" width="5.7109375" customWidth="1"/>
    <col min="3" max="3" width="16.140625" customWidth="1"/>
    <col min="4" max="4" width="18.5703125" customWidth="1"/>
    <col min="5" max="5" width="58.5703125" customWidth="1"/>
    <col min="6" max="6" width="18.5703125" customWidth="1"/>
    <col min="7" max="7" width="8.28515625" customWidth="1"/>
    <col min="8" max="8" width="54.5703125" customWidth="1"/>
    <col min="9" max="9" width="5" customWidth="1"/>
    <col min="10" max="10" width="9.140625" customWidth="1"/>
  </cols>
  <sheetData>
    <row r="1" spans="1:8" x14ac:dyDescent="0.25">
      <c r="A1" s="18"/>
      <c r="B1" s="18"/>
      <c r="C1" s="18"/>
      <c r="D1" s="18"/>
      <c r="E1" s="18"/>
    </row>
    <row r="2" spans="1:8" x14ac:dyDescent="0.25">
      <c r="A2" s="18"/>
      <c r="B2" s="18"/>
      <c r="C2" s="18"/>
      <c r="D2" s="18"/>
      <c r="E2" s="18"/>
    </row>
    <row r="3" spans="1:8" x14ac:dyDescent="0.25">
      <c r="A3" s="102"/>
      <c r="B3" s="102"/>
      <c r="C3" s="102"/>
      <c r="D3" s="102"/>
      <c r="E3" s="18"/>
    </row>
    <row r="4" spans="1:8" x14ac:dyDescent="0.25">
      <c r="A4" s="102"/>
      <c r="B4" s="102"/>
      <c r="C4" s="102"/>
      <c r="D4" s="102"/>
      <c r="E4" s="18"/>
    </row>
    <row r="5" spans="1:8" x14ac:dyDescent="0.25">
      <c r="A5" s="102"/>
      <c r="B5" s="102"/>
      <c r="C5" s="102"/>
      <c r="D5" s="102"/>
      <c r="E5" s="18"/>
    </row>
    <row r="6" spans="1:8" x14ac:dyDescent="0.25">
      <c r="A6" s="102"/>
      <c r="B6" s="102"/>
      <c r="C6" s="102"/>
      <c r="D6" s="102"/>
      <c r="E6" s="18"/>
    </row>
    <row r="7" spans="1:8" x14ac:dyDescent="0.25">
      <c r="A7" s="102"/>
      <c r="B7" s="102"/>
      <c r="C7" s="102"/>
      <c r="D7" s="102"/>
      <c r="E7" s="18"/>
    </row>
    <row r="8" spans="1:8" x14ac:dyDescent="0.25">
      <c r="A8" s="102"/>
      <c r="B8" s="102"/>
      <c r="C8" s="102"/>
      <c r="D8" s="102"/>
      <c r="E8" s="18"/>
    </row>
    <row r="9" spans="1:8" x14ac:dyDescent="0.25">
      <c r="A9" s="102"/>
      <c r="B9" s="102"/>
      <c r="C9" s="102"/>
      <c r="D9" s="102"/>
      <c r="E9" s="18"/>
    </row>
    <row r="10" spans="1:8" x14ac:dyDescent="0.25">
      <c r="A10" s="102"/>
      <c r="B10" s="102"/>
      <c r="C10" s="102"/>
      <c r="D10" s="102"/>
      <c r="E10" s="18"/>
    </row>
    <row r="11" spans="1:8" x14ac:dyDescent="0.25">
      <c r="A11" s="18"/>
      <c r="B11" s="18"/>
      <c r="C11" s="18"/>
      <c r="D11" s="18"/>
      <c r="E11" s="18"/>
    </row>
    <row r="12" spans="1:8" ht="28.35" customHeight="1" x14ac:dyDescent="0.25">
      <c r="A12" s="3"/>
      <c r="B12" s="103" t="s">
        <v>115</v>
      </c>
      <c r="C12" s="103"/>
      <c r="D12" s="103"/>
      <c r="E12" s="103"/>
      <c r="F12" s="103"/>
      <c r="G12" s="103"/>
      <c r="H12" s="103"/>
    </row>
    <row r="13" spans="1:8" ht="28.35" customHeight="1" x14ac:dyDescent="0.25">
      <c r="A13" s="3"/>
      <c r="B13" s="104" t="s">
        <v>142</v>
      </c>
      <c r="C13" s="104"/>
      <c r="D13" s="53">
        <v>1334</v>
      </c>
      <c r="E13" s="16"/>
      <c r="F13" s="16"/>
      <c r="G13" s="16"/>
      <c r="H13" s="16"/>
    </row>
    <row r="14" spans="1:8" ht="18.2" customHeight="1" x14ac:dyDescent="0.25">
      <c r="C14" s="4"/>
      <c r="D14" s="4"/>
      <c r="E14" s="4"/>
      <c r="F14" s="4"/>
      <c r="G14" s="4"/>
    </row>
    <row r="15" spans="1:8" ht="21" customHeight="1" x14ac:dyDescent="0.25">
      <c r="B15" s="101" t="s">
        <v>116</v>
      </c>
      <c r="C15" s="101"/>
      <c r="D15" s="73" t="s">
        <v>141</v>
      </c>
      <c r="E15" s="73"/>
      <c r="F15" s="54" t="s">
        <v>117</v>
      </c>
      <c r="G15" s="73" t="s">
        <v>112</v>
      </c>
      <c r="H15" s="73"/>
    </row>
    <row r="16" spans="1:8" ht="21" customHeight="1" x14ac:dyDescent="0.25">
      <c r="B16" s="101"/>
      <c r="C16" s="101"/>
      <c r="D16" s="56"/>
      <c r="E16" s="56"/>
      <c r="F16" s="56"/>
      <c r="G16" s="52"/>
      <c r="H16" s="26"/>
    </row>
    <row r="17" spans="1:24" ht="21" customHeight="1" x14ac:dyDescent="0.25">
      <c r="B17" s="101" t="s">
        <v>118</v>
      </c>
      <c r="C17" s="101"/>
      <c r="D17" s="27" t="s">
        <v>151</v>
      </c>
      <c r="E17" s="56"/>
      <c r="F17" s="54" t="s">
        <v>160</v>
      </c>
      <c r="G17" s="73" t="s">
        <v>206</v>
      </c>
      <c r="H17" s="73"/>
    </row>
    <row r="18" spans="1:24" ht="38.25" customHeight="1" x14ac:dyDescent="0.25">
      <c r="B18" s="5"/>
      <c r="C18" s="5"/>
      <c r="E18" s="4"/>
      <c r="F18" s="6"/>
      <c r="G18" s="21"/>
      <c r="H18" s="21"/>
    </row>
    <row r="19" spans="1:24" ht="27" customHeight="1" x14ac:dyDescent="0.25">
      <c r="A19" s="7"/>
      <c r="B19" s="76" t="s">
        <v>120</v>
      </c>
      <c r="C19" s="77"/>
      <c r="D19" s="77"/>
      <c r="E19" s="77"/>
      <c r="F19" s="77"/>
      <c r="G19" s="77"/>
      <c r="H19" s="78"/>
    </row>
    <row r="20" spans="1:24" ht="21" x14ac:dyDescent="0.25">
      <c r="B20" s="8"/>
      <c r="C20" s="105" t="s">
        <v>121</v>
      </c>
      <c r="D20" s="105"/>
      <c r="E20" s="105"/>
      <c r="F20" s="105"/>
      <c r="G20" s="105"/>
      <c r="H20" s="106"/>
    </row>
    <row r="21" spans="1:24" ht="21" x14ac:dyDescent="0.25">
      <c r="B21" s="8"/>
      <c r="C21" s="54"/>
      <c r="D21" s="54"/>
      <c r="E21" s="54"/>
      <c r="F21" s="54"/>
      <c r="G21" s="54"/>
      <c r="H21" s="55"/>
    </row>
    <row r="22" spans="1:24" ht="21" x14ac:dyDescent="0.25">
      <c r="B22" s="8"/>
      <c r="C22" s="28"/>
      <c r="D22" s="54" t="s">
        <v>122</v>
      </c>
      <c r="E22" s="73" t="s">
        <v>207</v>
      </c>
      <c r="F22" s="73"/>
      <c r="G22" s="56"/>
      <c r="H22" s="29"/>
    </row>
    <row r="23" spans="1:24" ht="20.25" customHeight="1" x14ac:dyDescent="0.25">
      <c r="B23" s="8"/>
      <c r="C23" s="56"/>
      <c r="D23" s="54" t="s">
        <v>123</v>
      </c>
      <c r="E23" s="73" t="s">
        <v>207</v>
      </c>
      <c r="F23" s="73"/>
      <c r="G23" s="56"/>
      <c r="H23" s="29"/>
    </row>
    <row r="24" spans="1:24" ht="20.25" customHeight="1" x14ac:dyDescent="0.25">
      <c r="B24" s="8"/>
      <c r="C24" s="56"/>
      <c r="D24" s="56" t="s">
        <v>152</v>
      </c>
      <c r="E24" s="73" t="s">
        <v>208</v>
      </c>
      <c r="F24" s="73"/>
      <c r="G24" s="56"/>
      <c r="H24" s="29"/>
    </row>
    <row r="25" spans="1:24" ht="20.25" customHeight="1" x14ac:dyDescent="0.25">
      <c r="B25" s="8"/>
      <c r="C25" s="56"/>
      <c r="D25" s="56" t="s">
        <v>153</v>
      </c>
      <c r="E25" s="73" t="s">
        <v>209</v>
      </c>
      <c r="F25" s="73"/>
      <c r="G25" s="56"/>
      <c r="H25" s="29"/>
    </row>
    <row r="26" spans="1:24" ht="20.25" customHeight="1" x14ac:dyDescent="0.25">
      <c r="B26" s="8"/>
      <c r="C26" s="56"/>
      <c r="D26" s="54" t="s">
        <v>124</v>
      </c>
      <c r="E26" s="73" t="s">
        <v>210</v>
      </c>
      <c r="F26" s="73"/>
      <c r="G26" s="54"/>
      <c r="H26" s="29"/>
    </row>
    <row r="27" spans="1:24" ht="20.25" customHeight="1" x14ac:dyDescent="0.25">
      <c r="B27" s="8"/>
      <c r="C27" s="56"/>
      <c r="D27" s="54" t="s">
        <v>125</v>
      </c>
      <c r="E27" s="73"/>
      <c r="F27" s="73"/>
      <c r="G27" s="54"/>
      <c r="H27" s="58"/>
    </row>
    <row r="28" spans="1:24" ht="21.2" customHeight="1" x14ac:dyDescent="0.25">
      <c r="B28" s="8"/>
      <c r="C28" s="56"/>
      <c r="D28" s="54" t="s">
        <v>126</v>
      </c>
      <c r="E28" s="73"/>
      <c r="F28" s="73"/>
      <c r="G28" s="57"/>
      <c r="H28" s="58"/>
    </row>
    <row r="29" spans="1:24" ht="21.2" customHeight="1" x14ac:dyDescent="0.25">
      <c r="B29" s="8"/>
      <c r="C29" s="56"/>
      <c r="D29" s="54" t="s">
        <v>127</v>
      </c>
      <c r="E29" s="73"/>
      <c r="F29" s="73"/>
      <c r="G29" s="57"/>
      <c r="H29" s="58"/>
    </row>
    <row r="30" spans="1:24" s="19" customFormat="1" ht="13.5" customHeight="1" x14ac:dyDescent="0.25">
      <c r="B30" s="20"/>
      <c r="C30" s="52"/>
      <c r="D30" s="32"/>
      <c r="E30" s="52"/>
      <c r="F30" s="52"/>
      <c r="G30" s="33"/>
      <c r="H30" s="34"/>
      <c r="W30"/>
      <c r="X30"/>
    </row>
    <row r="31" spans="1:24" ht="25.5" customHeight="1" x14ac:dyDescent="0.25">
      <c r="B31" s="8"/>
      <c r="C31" s="56"/>
      <c r="D31" s="86" t="s">
        <v>143</v>
      </c>
      <c r="E31" s="86"/>
      <c r="F31" s="86"/>
      <c r="G31" s="35" t="s">
        <v>144</v>
      </c>
      <c r="H31" s="58"/>
    </row>
    <row r="32" spans="1:24" ht="34.5" customHeight="1" x14ac:dyDescent="0.25">
      <c r="B32" s="8"/>
      <c r="C32" s="56"/>
      <c r="D32" s="86"/>
      <c r="E32" s="86"/>
      <c r="F32" s="86"/>
      <c r="G32" s="35" t="s">
        <v>145</v>
      </c>
      <c r="H32" s="58"/>
    </row>
    <row r="33" spans="1:8" ht="9" customHeight="1" x14ac:dyDescent="0.25">
      <c r="B33" s="8"/>
      <c r="C33" s="56"/>
      <c r="D33" s="60"/>
      <c r="E33" s="60"/>
      <c r="F33" s="60"/>
      <c r="G33" s="50"/>
      <c r="H33" s="58"/>
    </row>
    <row r="34" spans="1:8" ht="42" customHeight="1" x14ac:dyDescent="0.25">
      <c r="B34" s="8"/>
      <c r="C34" s="56"/>
      <c r="D34" s="107" t="s">
        <v>161</v>
      </c>
      <c r="E34" s="107"/>
      <c r="F34" s="107"/>
      <c r="G34" s="107"/>
      <c r="H34" s="58"/>
    </row>
    <row r="35" spans="1:8" ht="42" customHeight="1" x14ac:dyDescent="0.25">
      <c r="B35" s="8"/>
      <c r="C35" s="56"/>
      <c r="D35" s="107"/>
      <c r="E35" s="107"/>
      <c r="F35" s="107"/>
      <c r="G35" s="107"/>
      <c r="H35" s="58"/>
    </row>
    <row r="36" spans="1:8" ht="28.5" customHeight="1" x14ac:dyDescent="0.25">
      <c r="B36" s="8"/>
      <c r="C36" s="56"/>
      <c r="D36" s="56"/>
      <c r="E36" s="56"/>
      <c r="F36" s="56"/>
      <c r="G36" s="56"/>
      <c r="H36" s="29"/>
    </row>
    <row r="37" spans="1:8" ht="24.75" customHeight="1" x14ac:dyDescent="0.25">
      <c r="B37" s="8"/>
      <c r="C37" s="74" t="s">
        <v>128</v>
      </c>
      <c r="D37" s="74"/>
      <c r="E37" s="74"/>
      <c r="F37" s="74"/>
      <c r="G37" s="74"/>
      <c r="H37" s="75"/>
    </row>
    <row r="38" spans="1:8" ht="24.75" customHeight="1" x14ac:dyDescent="0.25">
      <c r="B38" s="8"/>
      <c r="C38" s="82" t="s">
        <v>129</v>
      </c>
      <c r="D38" s="82"/>
      <c r="E38" s="82"/>
      <c r="F38" s="82"/>
      <c r="G38" s="82"/>
      <c r="H38" s="83"/>
    </row>
    <row r="39" spans="1:8" ht="24.75" customHeight="1" x14ac:dyDescent="0.25">
      <c r="B39" s="9"/>
      <c r="C39" s="84" t="s">
        <v>130</v>
      </c>
      <c r="D39" s="84"/>
      <c r="E39" s="84"/>
      <c r="F39" s="84"/>
      <c r="G39" s="84"/>
      <c r="H39" s="85"/>
    </row>
    <row r="40" spans="1:8" ht="21" customHeight="1" x14ac:dyDescent="0.25">
      <c r="C40" s="4"/>
      <c r="D40" s="4"/>
      <c r="E40" s="4"/>
      <c r="F40" s="4"/>
      <c r="G40" s="4"/>
    </row>
    <row r="41" spans="1:8" ht="27" customHeight="1" x14ac:dyDescent="0.25">
      <c r="A41" s="7"/>
      <c r="B41" s="76" t="s">
        <v>131</v>
      </c>
      <c r="C41" s="77"/>
      <c r="D41" s="77"/>
      <c r="E41" s="77"/>
      <c r="F41" s="77"/>
      <c r="G41" s="77"/>
      <c r="H41" s="78"/>
    </row>
    <row r="42" spans="1:8" ht="24.75" customHeight="1" x14ac:dyDescent="0.3">
      <c r="B42" s="10"/>
      <c r="C42" s="70" t="s">
        <v>132</v>
      </c>
      <c r="D42" s="71"/>
      <c r="E42" s="71"/>
      <c r="F42" s="71"/>
      <c r="G42" s="71"/>
      <c r="H42" s="72"/>
    </row>
    <row r="43" spans="1:8" ht="24.75" customHeight="1" x14ac:dyDescent="0.3">
      <c r="B43" s="11"/>
      <c r="C43" s="79" t="s">
        <v>133</v>
      </c>
      <c r="D43" s="80"/>
      <c r="E43" s="80"/>
      <c r="F43" s="80"/>
      <c r="G43" s="80"/>
      <c r="H43" s="81"/>
    </row>
    <row r="44" spans="1:8" ht="21" customHeight="1" x14ac:dyDescent="0.25">
      <c r="C44" s="4"/>
      <c r="D44" s="4"/>
      <c r="E44" s="4"/>
      <c r="F44" s="4"/>
      <c r="G44" s="4"/>
    </row>
    <row r="45" spans="1:8" ht="27" customHeight="1" x14ac:dyDescent="0.25">
      <c r="A45" s="7"/>
      <c r="B45" s="76" t="s">
        <v>134</v>
      </c>
      <c r="C45" s="77"/>
      <c r="D45" s="77"/>
      <c r="E45" s="77"/>
      <c r="F45" s="77"/>
      <c r="G45" s="77"/>
      <c r="H45" s="78"/>
    </row>
    <row r="46" spans="1:8" ht="24.75" customHeight="1" x14ac:dyDescent="0.35">
      <c r="B46" s="36"/>
      <c r="C46" s="70" t="s">
        <v>154</v>
      </c>
      <c r="D46" s="71"/>
      <c r="E46" s="71"/>
      <c r="F46" s="71"/>
      <c r="G46" s="71"/>
      <c r="H46" s="72"/>
    </row>
    <row r="47" spans="1:8" ht="24.75" customHeight="1" x14ac:dyDescent="0.35">
      <c r="B47" s="36"/>
      <c r="C47" s="70" t="s">
        <v>135</v>
      </c>
      <c r="D47" s="71"/>
      <c r="E47" s="71"/>
      <c r="F47" s="71"/>
      <c r="G47" s="71"/>
      <c r="H47" s="72"/>
    </row>
    <row r="48" spans="1:8" ht="12" customHeight="1" x14ac:dyDescent="0.35">
      <c r="B48" s="36"/>
      <c r="C48" s="57"/>
      <c r="D48" s="56"/>
      <c r="E48" s="52"/>
      <c r="F48" s="56"/>
      <c r="G48" s="56"/>
      <c r="H48" s="58"/>
    </row>
    <row r="49" spans="1:9" ht="51" customHeight="1" x14ac:dyDescent="0.35">
      <c r="B49" s="36"/>
      <c r="C49" s="56"/>
      <c r="D49" s="54" t="s">
        <v>136</v>
      </c>
      <c r="E49" s="52"/>
      <c r="F49" s="54" t="s">
        <v>137</v>
      </c>
      <c r="G49" s="87"/>
      <c r="H49" s="88"/>
    </row>
    <row r="50" spans="1:9" ht="51" customHeight="1" x14ac:dyDescent="0.35">
      <c r="B50" s="36"/>
      <c r="C50" s="56"/>
      <c r="D50" s="56" t="s">
        <v>155</v>
      </c>
      <c r="E50" s="52"/>
      <c r="F50" s="54" t="s">
        <v>138</v>
      </c>
      <c r="G50" s="87"/>
      <c r="H50" s="88"/>
    </row>
    <row r="51" spans="1:9" ht="21" customHeight="1" x14ac:dyDescent="0.35">
      <c r="B51" s="36"/>
      <c r="C51" s="56"/>
      <c r="D51" s="56"/>
      <c r="E51" s="56"/>
      <c r="F51" s="56"/>
      <c r="G51" s="56"/>
      <c r="H51" s="37"/>
    </row>
    <row r="52" spans="1:9" ht="36" customHeight="1" x14ac:dyDescent="0.25">
      <c r="A52" s="12"/>
      <c r="B52" s="38"/>
      <c r="C52" s="89" t="str">
        <f>"As authorised signatory's for "&amp;G15&amp;", I confirm that the scaffold has been completed in accordance with the specifications and regulations detailed above."</f>
        <v>As authorised signatory's for David Wilson Homes, I confirm that the scaffold has been completed in accordance with the specifications and regulations detailed above.</v>
      </c>
      <c r="D52" s="90"/>
      <c r="E52" s="90"/>
      <c r="F52" s="90"/>
      <c r="G52" s="90"/>
      <c r="H52" s="91"/>
    </row>
    <row r="53" spans="1:9" ht="10.5" customHeight="1" x14ac:dyDescent="0.25">
      <c r="A53" s="12"/>
      <c r="B53" s="38"/>
      <c r="C53" s="70"/>
      <c r="D53" s="71"/>
      <c r="E53" s="71"/>
      <c r="F53" s="71"/>
      <c r="G53" s="71"/>
      <c r="H53" s="72"/>
    </row>
    <row r="54" spans="1:9" ht="10.5" customHeight="1" x14ac:dyDescent="0.25">
      <c r="A54" s="12"/>
      <c r="B54" s="38"/>
      <c r="C54" s="57"/>
      <c r="D54" s="56"/>
      <c r="E54" s="56"/>
      <c r="F54" s="56"/>
      <c r="G54" s="56"/>
      <c r="H54" s="58"/>
    </row>
    <row r="55" spans="1:9" ht="10.5" customHeight="1" x14ac:dyDescent="0.25">
      <c r="A55" s="12"/>
      <c r="B55" s="38"/>
      <c r="C55" s="57"/>
      <c r="D55" s="56"/>
      <c r="E55" s="56"/>
      <c r="F55" s="56"/>
      <c r="G55" s="56"/>
      <c r="H55" s="58"/>
    </row>
    <row r="56" spans="1:9" ht="22.5" customHeight="1" x14ac:dyDescent="0.25">
      <c r="A56" s="12"/>
      <c r="B56" s="38"/>
      <c r="C56" s="92" t="str">
        <f>G15&amp;"'s Authorized Signature"</f>
        <v>David Wilson Homes's Authorized Signature</v>
      </c>
      <c r="D56" s="92"/>
      <c r="E56" s="92"/>
      <c r="F56" s="92"/>
      <c r="G56" s="92"/>
      <c r="H56" s="93"/>
      <c r="I56" s="13"/>
    </row>
    <row r="57" spans="1:9" ht="51" customHeight="1" x14ac:dyDescent="0.25">
      <c r="A57" s="12"/>
      <c r="B57" s="38"/>
      <c r="C57" s="57"/>
      <c r="D57" s="54" t="s">
        <v>136</v>
      </c>
      <c r="E57" s="52"/>
      <c r="F57" s="56"/>
      <c r="G57" s="56"/>
      <c r="H57" s="58"/>
    </row>
    <row r="58" spans="1:9" ht="51" customHeight="1" x14ac:dyDescent="0.25">
      <c r="A58" s="12"/>
      <c r="B58" s="38"/>
      <c r="C58" s="57"/>
      <c r="D58" s="56" t="s">
        <v>155</v>
      </c>
      <c r="E58" s="52"/>
      <c r="F58" s="56"/>
      <c r="G58" s="56"/>
      <c r="H58" s="58"/>
    </row>
    <row r="59" spans="1:9" ht="10.5" customHeight="1" x14ac:dyDescent="0.25">
      <c r="A59" s="12"/>
      <c r="B59" s="38"/>
      <c r="C59" s="57"/>
      <c r="D59" s="56"/>
      <c r="E59" s="56"/>
      <c r="F59" s="56"/>
      <c r="G59" s="56"/>
      <c r="H59" s="58"/>
    </row>
    <row r="60" spans="1:9" ht="10.5" customHeight="1" x14ac:dyDescent="0.25">
      <c r="A60" s="12"/>
      <c r="B60" s="38"/>
      <c r="C60" s="57"/>
      <c r="D60" s="56"/>
      <c r="E60" s="56"/>
      <c r="F60" s="56"/>
      <c r="G60" s="56"/>
      <c r="H60" s="58"/>
    </row>
    <row r="61" spans="1:9" ht="10.5" customHeight="1" x14ac:dyDescent="0.25">
      <c r="A61" s="12"/>
      <c r="B61" s="38"/>
      <c r="C61" s="57"/>
      <c r="D61" s="56"/>
      <c r="E61" s="56"/>
      <c r="F61" s="56"/>
      <c r="G61" s="56"/>
      <c r="H61" s="58"/>
    </row>
    <row r="62" spans="1:9" ht="27" customHeight="1" x14ac:dyDescent="0.25">
      <c r="A62" s="14"/>
      <c r="B62" s="94"/>
      <c r="C62" s="95"/>
      <c r="D62" s="95"/>
      <c r="E62" s="95"/>
      <c r="F62" s="95"/>
      <c r="G62" s="95"/>
      <c r="H62" s="96"/>
    </row>
    <row r="63" spans="1:9" ht="38.25" customHeight="1" x14ac:dyDescent="0.25">
      <c r="A63" s="12"/>
      <c r="B63" s="27"/>
      <c r="C63" s="39"/>
      <c r="D63" s="59"/>
      <c r="E63" s="59"/>
      <c r="F63" s="59"/>
      <c r="G63" s="59"/>
      <c r="H63" s="59"/>
    </row>
    <row r="64" spans="1:9" ht="22.5" customHeight="1" x14ac:dyDescent="0.25">
      <c r="A64" s="15"/>
      <c r="B64" s="97" t="s">
        <v>139</v>
      </c>
      <c r="C64" s="97"/>
      <c r="D64" s="97"/>
      <c r="E64" s="97"/>
      <c r="F64" s="97"/>
      <c r="G64" s="97"/>
      <c r="H64" s="97"/>
    </row>
    <row r="65" spans="1:8" ht="41.25" customHeight="1" x14ac:dyDescent="0.25">
      <c r="A65" s="12"/>
      <c r="B65" s="27"/>
      <c r="C65" s="98" t="str">
        <f>"In accordance with The Work at Height Regulations 2005 this scaffold must be inspected by "&amp;G15&amp;" and a record maintained of the inspection as follows:"</f>
        <v>In accordance with The Work at Height Regulations 2005 this scaffold must be inspected by David Wilson Homes and a record maintained of the inspection as follows:</v>
      </c>
      <c r="D65" s="98"/>
      <c r="E65" s="98"/>
      <c r="F65" s="98"/>
      <c r="G65" s="98"/>
      <c r="H65" s="98"/>
    </row>
    <row r="66" spans="1:8" ht="17.850000000000001" customHeight="1" x14ac:dyDescent="0.25">
      <c r="A66" s="12"/>
      <c r="B66" s="27"/>
      <c r="C66" s="99"/>
      <c r="D66" s="100"/>
      <c r="E66" s="100"/>
      <c r="F66" s="100"/>
      <c r="G66" s="100"/>
      <c r="H66" s="100"/>
    </row>
    <row r="67" spans="1:8" ht="24.75" customHeight="1" x14ac:dyDescent="0.25">
      <c r="A67" s="12"/>
      <c r="B67" s="27"/>
      <c r="C67" s="56"/>
      <c r="D67" s="71" t="s">
        <v>156</v>
      </c>
      <c r="E67" s="71"/>
      <c r="F67" s="71" t="s">
        <v>157</v>
      </c>
      <c r="G67" s="71"/>
      <c r="H67" s="71"/>
    </row>
    <row r="68" spans="1:8" ht="24.75" customHeight="1" x14ac:dyDescent="0.25">
      <c r="A68" s="12"/>
      <c r="B68" s="27"/>
      <c r="C68" s="56"/>
      <c r="D68" s="71" t="s">
        <v>158</v>
      </c>
      <c r="E68" s="71"/>
      <c r="F68" s="71" t="s">
        <v>159</v>
      </c>
      <c r="G68" s="71"/>
      <c r="H68" s="71"/>
    </row>
    <row r="69" spans="1:8" ht="27" customHeight="1" x14ac:dyDescent="0.25">
      <c r="C69" s="4"/>
      <c r="D69" s="4"/>
      <c r="E69" s="4"/>
      <c r="F69" s="4"/>
      <c r="G69" s="4"/>
    </row>
  </sheetData>
  <mergeCells count="44">
    <mergeCell ref="D68:E68"/>
    <mergeCell ref="F68:H68"/>
    <mergeCell ref="B62:H62"/>
    <mergeCell ref="B64:H64"/>
    <mergeCell ref="C65:H65"/>
    <mergeCell ref="C66:H66"/>
    <mergeCell ref="D67:E67"/>
    <mergeCell ref="F67:H67"/>
    <mergeCell ref="C56:H56"/>
    <mergeCell ref="C39:H39"/>
    <mergeCell ref="B41:H41"/>
    <mergeCell ref="C42:H42"/>
    <mergeCell ref="C43:H43"/>
    <mergeCell ref="B45:H45"/>
    <mergeCell ref="C46:H46"/>
    <mergeCell ref="C47:H47"/>
    <mergeCell ref="G49:H49"/>
    <mergeCell ref="G50:H50"/>
    <mergeCell ref="C52:H52"/>
    <mergeCell ref="C53:H53"/>
    <mergeCell ref="C38:H38"/>
    <mergeCell ref="E23:F23"/>
    <mergeCell ref="E24:F24"/>
    <mergeCell ref="E25:F25"/>
    <mergeCell ref="E26:F26"/>
    <mergeCell ref="E27:F27"/>
    <mergeCell ref="E28:F28"/>
    <mergeCell ref="E29:F29"/>
    <mergeCell ref="D31:F32"/>
    <mergeCell ref="D34:D35"/>
    <mergeCell ref="E34:G35"/>
    <mergeCell ref="C37:H37"/>
    <mergeCell ref="E22:F22"/>
    <mergeCell ref="A3:D10"/>
    <mergeCell ref="B12:H12"/>
    <mergeCell ref="B13:C13"/>
    <mergeCell ref="B15:C15"/>
    <mergeCell ref="D15:E15"/>
    <mergeCell ref="G15:H15"/>
    <mergeCell ref="B16:C16"/>
    <mergeCell ref="B17:C17"/>
    <mergeCell ref="G17:H17"/>
    <mergeCell ref="B19:H19"/>
    <mergeCell ref="C20:H20"/>
  </mergeCells>
  <pageMargins left="0.7" right="0.7" top="0.75" bottom="0.75" header="0.3" footer="0.3"/>
  <pageSetup paperSize="9" scale="4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ExportVOs">
                <anchor moveWithCells="1" sizeWithCells="1">
                  <from>
                    <xdr:col>11</xdr:col>
                    <xdr:colOff>314325</xdr:colOff>
                    <xdr:row>5</xdr:row>
                    <xdr:rowOff>142875</xdr:rowOff>
                  </from>
                  <to>
                    <xdr:col>15</xdr:col>
                    <xdr:colOff>257175</xdr:colOff>
                    <xdr:row>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B4372-0F97-4319-B721-C2D7C1319F58}">
  <sheetPr codeName="Sheet7"/>
  <dimension ref="A1:X69"/>
  <sheetViews>
    <sheetView showGridLines="0" tabSelected="1" view="pageBreakPreview" zoomScale="70" zoomScaleNormal="100" zoomScaleSheetLayoutView="70" workbookViewId="0">
      <selection activeCell="U6" sqref="U6:U21"/>
    </sheetView>
  </sheetViews>
  <sheetFormatPr defaultRowHeight="15" x14ac:dyDescent="0.25"/>
  <cols>
    <col min="1" max="1" width="3.85546875" customWidth="1"/>
    <col min="2" max="2" width="5.7109375" customWidth="1"/>
    <col min="3" max="3" width="16.140625" customWidth="1"/>
    <col min="4" max="4" width="18.5703125" customWidth="1"/>
    <col min="5" max="5" width="58.5703125" customWidth="1"/>
    <col min="6" max="6" width="18.5703125" customWidth="1"/>
    <col min="7" max="7" width="8.28515625" customWidth="1"/>
    <col min="8" max="8" width="54.5703125" customWidth="1"/>
    <col min="9" max="9" width="5" customWidth="1"/>
    <col min="10" max="10" width="9.140625" customWidth="1"/>
  </cols>
  <sheetData>
    <row r="1" spans="1:24" x14ac:dyDescent="0.25">
      <c r="A1" s="18"/>
      <c r="B1" s="18"/>
      <c r="C1" s="18"/>
      <c r="D1" s="18"/>
      <c r="E1" s="18"/>
    </row>
    <row r="2" spans="1:24" x14ac:dyDescent="0.25">
      <c r="A2" s="18"/>
      <c r="B2" s="18"/>
      <c r="C2" s="18"/>
      <c r="D2" s="18"/>
      <c r="E2" s="18"/>
    </row>
    <row r="3" spans="1:24" x14ac:dyDescent="0.25">
      <c r="A3" s="102"/>
      <c r="B3" s="102"/>
      <c r="C3" s="102"/>
      <c r="D3" s="102"/>
      <c r="E3" s="18"/>
    </row>
    <row r="4" spans="1:24" x14ac:dyDescent="0.25">
      <c r="A4" s="102"/>
      <c r="B4" s="102"/>
      <c r="C4" s="102"/>
      <c r="D4" s="102"/>
      <c r="E4" s="18"/>
    </row>
    <row r="5" spans="1:24" x14ac:dyDescent="0.25">
      <c r="A5" s="102"/>
      <c r="B5" s="102"/>
      <c r="C5" s="102"/>
      <c r="D5" s="102"/>
      <c r="E5" s="18"/>
    </row>
    <row r="6" spans="1:24" x14ac:dyDescent="0.25">
      <c r="A6" s="102"/>
      <c r="B6" s="102"/>
      <c r="C6" s="102"/>
      <c r="D6" s="102"/>
      <c r="E6" s="18"/>
      <c r="U6" t="s">
        <v>449</v>
      </c>
      <c r="V6" t="s">
        <v>465</v>
      </c>
      <c r="W6" t="str">
        <f>"1334-"&amp;U6</f>
        <v>1334-SW41</v>
      </c>
      <c r="X6" t="s">
        <v>465</v>
      </c>
    </row>
    <row r="7" spans="1:24" x14ac:dyDescent="0.25">
      <c r="A7" s="102"/>
      <c r="B7" s="102"/>
      <c r="C7" s="102"/>
      <c r="D7" s="102"/>
      <c r="E7" s="18"/>
      <c r="U7" t="s">
        <v>450</v>
      </c>
      <c r="V7" t="s">
        <v>466</v>
      </c>
      <c r="W7" t="str">
        <f t="shared" ref="W7:W21" si="0">"1334-"&amp;U7</f>
        <v>1334-SW42</v>
      </c>
      <c r="X7" t="s">
        <v>466</v>
      </c>
    </row>
    <row r="8" spans="1:24" x14ac:dyDescent="0.25">
      <c r="A8" s="102"/>
      <c r="B8" s="102"/>
      <c r="C8" s="102"/>
      <c r="D8" s="102"/>
      <c r="E8" s="18"/>
      <c r="U8" t="s">
        <v>451</v>
      </c>
      <c r="V8" t="s">
        <v>467</v>
      </c>
      <c r="W8" t="str">
        <f t="shared" si="0"/>
        <v>1334-SW43</v>
      </c>
      <c r="X8" t="s">
        <v>467</v>
      </c>
    </row>
    <row r="9" spans="1:24" x14ac:dyDescent="0.25">
      <c r="A9" s="102"/>
      <c r="B9" s="102"/>
      <c r="C9" s="102"/>
      <c r="D9" s="102"/>
      <c r="E9" s="18"/>
      <c r="U9" t="s">
        <v>452</v>
      </c>
      <c r="V9" t="s">
        <v>468</v>
      </c>
      <c r="W9" t="str">
        <f t="shared" si="0"/>
        <v>1334-SW44</v>
      </c>
      <c r="X9" t="s">
        <v>468</v>
      </c>
    </row>
    <row r="10" spans="1:24" x14ac:dyDescent="0.25">
      <c r="A10" s="102"/>
      <c r="B10" s="102"/>
      <c r="C10" s="102"/>
      <c r="D10" s="102"/>
      <c r="E10" s="18"/>
      <c r="U10" t="s">
        <v>453</v>
      </c>
      <c r="V10" t="s">
        <v>469</v>
      </c>
      <c r="W10" t="str">
        <f t="shared" si="0"/>
        <v>1334-SW45</v>
      </c>
      <c r="X10" t="s">
        <v>469</v>
      </c>
    </row>
    <row r="11" spans="1:24" x14ac:dyDescent="0.25">
      <c r="A11" s="18"/>
      <c r="B11" s="18"/>
      <c r="C11" s="18"/>
      <c r="D11" s="18"/>
      <c r="E11" s="18"/>
      <c r="U11" t="s">
        <v>454</v>
      </c>
      <c r="V11" t="s">
        <v>470</v>
      </c>
      <c r="W11" t="str">
        <f t="shared" si="0"/>
        <v>1334-SW46</v>
      </c>
      <c r="X11" t="s">
        <v>470</v>
      </c>
    </row>
    <row r="12" spans="1:24" ht="28.35" customHeight="1" x14ac:dyDescent="0.25">
      <c r="A12" s="3"/>
      <c r="B12" s="103" t="s">
        <v>115</v>
      </c>
      <c r="C12" s="103"/>
      <c r="D12" s="103"/>
      <c r="E12" s="103"/>
      <c r="F12" s="103"/>
      <c r="G12" s="103"/>
      <c r="H12" s="103"/>
      <c r="U12" t="s">
        <v>455</v>
      </c>
      <c r="V12" t="s">
        <v>471</v>
      </c>
      <c r="W12" t="str">
        <f t="shared" si="0"/>
        <v>1334-SW47</v>
      </c>
      <c r="X12" t="s">
        <v>471</v>
      </c>
    </row>
    <row r="13" spans="1:24" ht="28.35" customHeight="1" x14ac:dyDescent="0.25">
      <c r="A13" s="3"/>
      <c r="B13" s="104" t="s">
        <v>142</v>
      </c>
      <c r="C13" s="104"/>
      <c r="D13" s="67">
        <v>1334</v>
      </c>
      <c r="E13" s="16"/>
      <c r="F13" s="16"/>
      <c r="G13" s="16"/>
      <c r="H13" s="16"/>
      <c r="U13" t="s">
        <v>456</v>
      </c>
      <c r="V13" t="s">
        <v>472</v>
      </c>
      <c r="W13" t="str">
        <f t="shared" si="0"/>
        <v>1334-SW48</v>
      </c>
      <c r="X13" t="s">
        <v>472</v>
      </c>
    </row>
    <row r="14" spans="1:24" ht="18.2" customHeight="1" x14ac:dyDescent="0.25">
      <c r="C14" s="4"/>
      <c r="D14" s="4"/>
      <c r="E14" s="4"/>
      <c r="F14" s="4"/>
      <c r="G14" s="4"/>
      <c r="U14" t="s">
        <v>457</v>
      </c>
      <c r="V14" t="s">
        <v>473</v>
      </c>
      <c r="W14" t="str">
        <f t="shared" si="0"/>
        <v>1334-SW49</v>
      </c>
      <c r="X14" t="s">
        <v>473</v>
      </c>
    </row>
    <row r="15" spans="1:24" ht="21" customHeight="1" x14ac:dyDescent="0.25">
      <c r="B15" s="101" t="s">
        <v>116</v>
      </c>
      <c r="C15" s="101"/>
      <c r="D15" s="73" t="s">
        <v>141</v>
      </c>
      <c r="E15" s="73"/>
      <c r="F15" s="68" t="s">
        <v>117</v>
      </c>
      <c r="G15" s="73" t="s">
        <v>112</v>
      </c>
      <c r="H15" s="73"/>
      <c r="U15" t="s">
        <v>458</v>
      </c>
      <c r="V15" t="s">
        <v>474</v>
      </c>
      <c r="W15" t="str">
        <f t="shared" si="0"/>
        <v>1334-SW50</v>
      </c>
      <c r="X15" t="s">
        <v>474</v>
      </c>
    </row>
    <row r="16" spans="1:24" ht="21" customHeight="1" x14ac:dyDescent="0.25">
      <c r="B16" s="101"/>
      <c r="C16" s="101"/>
      <c r="D16" s="62"/>
      <c r="E16" s="62"/>
      <c r="F16" s="62"/>
      <c r="G16" s="64"/>
      <c r="H16" s="26"/>
      <c r="U16" t="s">
        <v>459</v>
      </c>
      <c r="V16" t="s">
        <v>475</v>
      </c>
      <c r="W16" t="str">
        <f t="shared" si="0"/>
        <v>1334-SW51</v>
      </c>
      <c r="X16" t="s">
        <v>475</v>
      </c>
    </row>
    <row r="17" spans="1:24" ht="21" customHeight="1" x14ac:dyDescent="0.25">
      <c r="B17" s="101" t="s">
        <v>118</v>
      </c>
      <c r="C17" s="101"/>
      <c r="D17" s="27" t="s">
        <v>151</v>
      </c>
      <c r="E17" s="62"/>
      <c r="F17" s="68" t="s">
        <v>160</v>
      </c>
      <c r="G17" s="73" t="s">
        <v>486</v>
      </c>
      <c r="H17" s="73"/>
      <c r="U17" t="s">
        <v>460</v>
      </c>
      <c r="V17" t="s">
        <v>476</v>
      </c>
      <c r="W17" t="str">
        <f t="shared" si="0"/>
        <v>1334-SW52</v>
      </c>
      <c r="X17" t="s">
        <v>476</v>
      </c>
    </row>
    <row r="18" spans="1:24" ht="38.25" customHeight="1" x14ac:dyDescent="0.25">
      <c r="B18" s="5"/>
      <c r="C18" s="5"/>
      <c r="E18" s="4"/>
      <c r="F18" s="6"/>
      <c r="G18" s="21"/>
      <c r="H18" s="21"/>
      <c r="U18" t="s">
        <v>461</v>
      </c>
      <c r="V18" t="s">
        <v>477</v>
      </c>
      <c r="W18" t="str">
        <f t="shared" si="0"/>
        <v>1334-SW53</v>
      </c>
      <c r="X18" t="s">
        <v>477</v>
      </c>
    </row>
    <row r="19" spans="1:24" ht="27" customHeight="1" x14ac:dyDescent="0.25">
      <c r="A19" s="7"/>
      <c r="B19" s="76" t="s">
        <v>120</v>
      </c>
      <c r="C19" s="77"/>
      <c r="D19" s="77"/>
      <c r="E19" s="77"/>
      <c r="F19" s="77"/>
      <c r="G19" s="77"/>
      <c r="H19" s="78"/>
      <c r="U19" t="s">
        <v>462</v>
      </c>
      <c r="V19" t="s">
        <v>478</v>
      </c>
      <c r="W19" t="str">
        <f t="shared" si="0"/>
        <v>1334-SW54</v>
      </c>
      <c r="X19" t="s">
        <v>478</v>
      </c>
    </row>
    <row r="20" spans="1:24" ht="21" x14ac:dyDescent="0.25">
      <c r="B20" s="8"/>
      <c r="C20" s="105" t="s">
        <v>121</v>
      </c>
      <c r="D20" s="105"/>
      <c r="E20" s="105"/>
      <c r="F20" s="105"/>
      <c r="G20" s="105"/>
      <c r="H20" s="106"/>
      <c r="U20" t="s">
        <v>463</v>
      </c>
      <c r="V20" t="s">
        <v>479</v>
      </c>
      <c r="W20" t="str">
        <f t="shared" si="0"/>
        <v>1334-SW55</v>
      </c>
      <c r="X20" t="s">
        <v>479</v>
      </c>
    </row>
    <row r="21" spans="1:24" ht="21" x14ac:dyDescent="0.25">
      <c r="B21" s="8"/>
      <c r="C21" s="68"/>
      <c r="D21" s="68"/>
      <c r="E21" s="68"/>
      <c r="F21" s="68"/>
      <c r="G21" s="68"/>
      <c r="H21" s="69"/>
      <c r="U21" t="s">
        <v>464</v>
      </c>
      <c r="V21" t="s">
        <v>480</v>
      </c>
      <c r="W21" t="str">
        <f t="shared" si="0"/>
        <v>1334-SW58</v>
      </c>
      <c r="X21" t="s">
        <v>480</v>
      </c>
    </row>
    <row r="22" spans="1:24" ht="21" x14ac:dyDescent="0.25">
      <c r="B22" s="8"/>
      <c r="C22" s="28"/>
      <c r="D22" s="68" t="s">
        <v>122</v>
      </c>
      <c r="E22" s="73" t="s">
        <v>0</v>
      </c>
      <c r="F22" s="73"/>
      <c r="G22" s="62"/>
      <c r="H22" s="29"/>
    </row>
    <row r="23" spans="1:24" ht="20.25" customHeight="1" x14ac:dyDescent="0.25">
      <c r="B23" s="8"/>
      <c r="C23" s="62"/>
      <c r="D23" s="68" t="s">
        <v>123</v>
      </c>
      <c r="E23" s="73" t="s">
        <v>0</v>
      </c>
      <c r="F23" s="73"/>
      <c r="G23" s="62"/>
      <c r="H23" s="29"/>
    </row>
    <row r="24" spans="1:24" ht="20.25" customHeight="1" x14ac:dyDescent="0.25">
      <c r="B24" s="8"/>
      <c r="C24" s="62"/>
      <c r="D24" s="62" t="s">
        <v>152</v>
      </c>
      <c r="E24" s="73" t="s">
        <v>485</v>
      </c>
      <c r="F24" s="73"/>
      <c r="G24" s="62"/>
      <c r="H24" s="29"/>
    </row>
    <row r="25" spans="1:24" ht="20.25" customHeight="1" x14ac:dyDescent="0.25">
      <c r="B25" s="8"/>
      <c r="C25" s="62"/>
      <c r="D25" s="62" t="s">
        <v>153</v>
      </c>
      <c r="E25" s="73" t="str">
        <f>VLOOKUP(G17,$W$6:$X$21,2)</f>
        <v>Plot 141</v>
      </c>
      <c r="F25" s="73"/>
      <c r="G25" s="62"/>
      <c r="H25" s="29"/>
    </row>
    <row r="26" spans="1:24" ht="20.25" customHeight="1" x14ac:dyDescent="0.25">
      <c r="B26" s="8"/>
      <c r="C26" s="62"/>
      <c r="D26" s="68" t="s">
        <v>124</v>
      </c>
      <c r="E26" s="73" t="s">
        <v>481</v>
      </c>
      <c r="F26" s="73"/>
      <c r="G26" s="68"/>
      <c r="H26" s="29"/>
    </row>
    <row r="27" spans="1:24" ht="20.25" customHeight="1" x14ac:dyDescent="0.25">
      <c r="B27" s="8"/>
      <c r="C27" s="62"/>
      <c r="D27" s="68" t="s">
        <v>125</v>
      </c>
      <c r="E27" s="73" t="s">
        <v>482</v>
      </c>
      <c r="F27" s="73"/>
      <c r="G27" s="68"/>
      <c r="H27" s="63"/>
    </row>
    <row r="28" spans="1:24" ht="21.2" customHeight="1" x14ac:dyDescent="0.25">
      <c r="B28" s="8"/>
      <c r="C28" s="62"/>
      <c r="D28" s="68" t="s">
        <v>126</v>
      </c>
      <c r="E28" s="73" t="s">
        <v>483</v>
      </c>
      <c r="F28" s="73"/>
      <c r="G28" s="61"/>
      <c r="H28" s="63"/>
      <c r="U28" s="19"/>
    </row>
    <row r="29" spans="1:24" ht="21.2" customHeight="1" x14ac:dyDescent="0.25">
      <c r="B29" s="8"/>
      <c r="C29" s="62"/>
      <c r="D29" s="68" t="s">
        <v>127</v>
      </c>
      <c r="E29" s="73" t="s">
        <v>484</v>
      </c>
      <c r="F29" s="73"/>
      <c r="G29" s="61"/>
      <c r="H29" s="63"/>
    </row>
    <row r="30" spans="1:24" s="19" customFormat="1" ht="13.5" customHeight="1" x14ac:dyDescent="0.25">
      <c r="B30" s="20"/>
      <c r="C30" s="64"/>
      <c r="D30" s="32"/>
      <c r="E30" s="64"/>
      <c r="F30" s="64"/>
      <c r="G30" s="33"/>
      <c r="H30" s="34"/>
      <c r="U30"/>
      <c r="W30"/>
      <c r="X30"/>
    </row>
    <row r="31" spans="1:24" ht="25.5" customHeight="1" x14ac:dyDescent="0.25">
      <c r="B31" s="8"/>
      <c r="C31" s="62"/>
      <c r="D31" s="86" t="s">
        <v>143</v>
      </c>
      <c r="E31" s="86"/>
      <c r="F31" s="86"/>
      <c r="G31" s="35" t="s">
        <v>144</v>
      </c>
      <c r="H31" s="63"/>
    </row>
    <row r="32" spans="1:24" ht="34.5" customHeight="1" x14ac:dyDescent="0.25">
      <c r="B32" s="8"/>
      <c r="C32" s="62"/>
      <c r="D32" s="86"/>
      <c r="E32" s="86"/>
      <c r="F32" s="86"/>
      <c r="G32" s="35" t="s">
        <v>145</v>
      </c>
      <c r="H32" s="63"/>
    </row>
    <row r="33" spans="1:8" ht="9" customHeight="1" x14ac:dyDescent="0.25">
      <c r="B33" s="8"/>
      <c r="C33" s="62"/>
      <c r="D33" s="65"/>
      <c r="E33" s="65"/>
      <c r="F33" s="65"/>
      <c r="G33" s="50"/>
      <c r="H33" s="63"/>
    </row>
    <row r="34" spans="1:8" ht="42" customHeight="1" x14ac:dyDescent="0.25">
      <c r="B34" s="8"/>
      <c r="C34" s="62"/>
      <c r="D34" s="107" t="s">
        <v>161</v>
      </c>
      <c r="E34" s="107"/>
      <c r="F34" s="107"/>
      <c r="G34" s="107"/>
      <c r="H34" s="63"/>
    </row>
    <row r="35" spans="1:8" ht="42" customHeight="1" x14ac:dyDescent="0.25">
      <c r="B35" s="8"/>
      <c r="C35" s="62"/>
      <c r="D35" s="107"/>
      <c r="E35" s="107"/>
      <c r="F35" s="107"/>
      <c r="G35" s="107"/>
      <c r="H35" s="63"/>
    </row>
    <row r="36" spans="1:8" ht="28.5" customHeight="1" x14ac:dyDescent="0.25">
      <c r="B36" s="8"/>
      <c r="C36" s="62"/>
      <c r="D36" s="62"/>
      <c r="E36" s="62"/>
      <c r="F36" s="62"/>
      <c r="G36" s="62"/>
      <c r="H36" s="29"/>
    </row>
    <row r="37" spans="1:8" ht="24.75" customHeight="1" x14ac:dyDescent="0.25">
      <c r="B37" s="8"/>
      <c r="C37" s="74" t="s">
        <v>128</v>
      </c>
      <c r="D37" s="74"/>
      <c r="E37" s="74"/>
      <c r="F37" s="74"/>
      <c r="G37" s="74"/>
      <c r="H37" s="75"/>
    </row>
    <row r="38" spans="1:8" ht="24.75" customHeight="1" x14ac:dyDescent="0.25">
      <c r="B38" s="8"/>
      <c r="C38" s="82" t="s">
        <v>129</v>
      </c>
      <c r="D38" s="82"/>
      <c r="E38" s="82"/>
      <c r="F38" s="82"/>
      <c r="G38" s="82"/>
      <c r="H38" s="83"/>
    </row>
    <row r="39" spans="1:8" ht="24.75" customHeight="1" x14ac:dyDescent="0.25">
      <c r="B39" s="9"/>
      <c r="C39" s="84" t="s">
        <v>130</v>
      </c>
      <c r="D39" s="84"/>
      <c r="E39" s="84"/>
      <c r="F39" s="84"/>
      <c r="G39" s="84"/>
      <c r="H39" s="85"/>
    </row>
    <row r="40" spans="1:8" ht="21" customHeight="1" x14ac:dyDescent="0.25">
      <c r="C40" s="4"/>
      <c r="D40" s="4"/>
      <c r="E40" s="4"/>
      <c r="F40" s="4"/>
      <c r="G40" s="4"/>
    </row>
    <row r="41" spans="1:8" ht="27" customHeight="1" x14ac:dyDescent="0.25">
      <c r="A41" s="7"/>
      <c r="B41" s="76" t="s">
        <v>131</v>
      </c>
      <c r="C41" s="77"/>
      <c r="D41" s="77"/>
      <c r="E41" s="77"/>
      <c r="F41" s="77"/>
      <c r="G41" s="77"/>
      <c r="H41" s="78"/>
    </row>
    <row r="42" spans="1:8" ht="24.75" customHeight="1" x14ac:dyDescent="0.3">
      <c r="B42" s="10"/>
      <c r="C42" s="70" t="s">
        <v>132</v>
      </c>
      <c r="D42" s="71"/>
      <c r="E42" s="71"/>
      <c r="F42" s="71"/>
      <c r="G42" s="71"/>
      <c r="H42" s="72"/>
    </row>
    <row r="43" spans="1:8" ht="24.75" customHeight="1" x14ac:dyDescent="0.3">
      <c r="B43" s="11"/>
      <c r="C43" s="79" t="s">
        <v>133</v>
      </c>
      <c r="D43" s="80"/>
      <c r="E43" s="80"/>
      <c r="F43" s="80"/>
      <c r="G43" s="80"/>
      <c r="H43" s="81"/>
    </row>
    <row r="44" spans="1:8" ht="21" customHeight="1" x14ac:dyDescent="0.25">
      <c r="C44" s="4"/>
      <c r="D44" s="4"/>
      <c r="E44" s="4"/>
      <c r="F44" s="4"/>
      <c r="G44" s="4"/>
    </row>
    <row r="45" spans="1:8" ht="27" customHeight="1" x14ac:dyDescent="0.25">
      <c r="A45" s="7"/>
      <c r="B45" s="76" t="s">
        <v>134</v>
      </c>
      <c r="C45" s="77"/>
      <c r="D45" s="77"/>
      <c r="E45" s="77"/>
      <c r="F45" s="77"/>
      <c r="G45" s="77"/>
      <c r="H45" s="78"/>
    </row>
    <row r="46" spans="1:8" ht="24.75" customHeight="1" x14ac:dyDescent="0.35">
      <c r="B46" s="36"/>
      <c r="C46" s="70" t="s">
        <v>154</v>
      </c>
      <c r="D46" s="71"/>
      <c r="E46" s="71"/>
      <c r="F46" s="71"/>
      <c r="G46" s="71"/>
      <c r="H46" s="72"/>
    </row>
    <row r="47" spans="1:8" ht="24.75" customHeight="1" x14ac:dyDescent="0.35">
      <c r="B47" s="36"/>
      <c r="C47" s="70" t="s">
        <v>135</v>
      </c>
      <c r="D47" s="71"/>
      <c r="E47" s="71"/>
      <c r="F47" s="71"/>
      <c r="G47" s="71"/>
      <c r="H47" s="72"/>
    </row>
    <row r="48" spans="1:8" ht="12" customHeight="1" x14ac:dyDescent="0.35">
      <c r="B48" s="36"/>
      <c r="C48" s="61"/>
      <c r="D48" s="62"/>
      <c r="E48" s="64"/>
      <c r="F48" s="62"/>
      <c r="G48" s="62"/>
      <c r="H48" s="63"/>
    </row>
    <row r="49" spans="1:9" ht="51" customHeight="1" x14ac:dyDescent="0.35">
      <c r="B49" s="36"/>
      <c r="C49" s="62"/>
      <c r="D49" s="68" t="s">
        <v>136</v>
      </c>
      <c r="E49" s="64"/>
      <c r="F49" s="68" t="s">
        <v>137</v>
      </c>
      <c r="G49" s="87"/>
      <c r="H49" s="88"/>
    </row>
    <row r="50" spans="1:9" ht="51" customHeight="1" x14ac:dyDescent="0.35">
      <c r="B50" s="36"/>
      <c r="C50" s="62"/>
      <c r="D50" s="62" t="s">
        <v>155</v>
      </c>
      <c r="E50" s="64"/>
      <c r="F50" s="68" t="s">
        <v>138</v>
      </c>
      <c r="G50" s="87"/>
      <c r="H50" s="88"/>
    </row>
    <row r="51" spans="1:9" ht="21" customHeight="1" x14ac:dyDescent="0.35">
      <c r="B51" s="36"/>
      <c r="C51" s="62"/>
      <c r="D51" s="62"/>
      <c r="E51" s="62"/>
      <c r="F51" s="62"/>
      <c r="G51" s="62"/>
      <c r="H51" s="37"/>
    </row>
    <row r="52" spans="1:9" ht="36" customHeight="1" x14ac:dyDescent="0.25">
      <c r="A52" s="12"/>
      <c r="B52" s="38"/>
      <c r="C52" s="89" t="str">
        <f>"As authorised signatory's for "&amp;G15&amp;", I confirm that the scaffold has been completed in accordance with the specifications and regulations detailed above."</f>
        <v>As authorised signatory's for David Wilson Homes, I confirm that the scaffold has been completed in accordance with the specifications and regulations detailed above.</v>
      </c>
      <c r="D52" s="90"/>
      <c r="E52" s="90"/>
      <c r="F52" s="90"/>
      <c r="G52" s="90"/>
      <c r="H52" s="91"/>
    </row>
    <row r="53" spans="1:9" ht="10.5" customHeight="1" x14ac:dyDescent="0.25">
      <c r="A53" s="12"/>
      <c r="B53" s="38"/>
      <c r="C53" s="70"/>
      <c r="D53" s="71"/>
      <c r="E53" s="71"/>
      <c r="F53" s="71"/>
      <c r="G53" s="71"/>
      <c r="H53" s="72"/>
    </row>
    <row r="54" spans="1:9" ht="10.5" customHeight="1" x14ac:dyDescent="0.25">
      <c r="A54" s="12"/>
      <c r="B54" s="38"/>
      <c r="C54" s="61"/>
      <c r="D54" s="62"/>
      <c r="E54" s="62"/>
      <c r="F54" s="62"/>
      <c r="G54" s="62"/>
      <c r="H54" s="63"/>
    </row>
    <row r="55" spans="1:9" ht="10.5" customHeight="1" x14ac:dyDescent="0.25">
      <c r="A55" s="12"/>
      <c r="B55" s="38"/>
      <c r="C55" s="61"/>
      <c r="D55" s="62"/>
      <c r="E55" s="62"/>
      <c r="F55" s="62"/>
      <c r="G55" s="62"/>
      <c r="H55" s="63"/>
    </row>
    <row r="56" spans="1:9" ht="22.5" customHeight="1" x14ac:dyDescent="0.25">
      <c r="A56" s="12"/>
      <c r="B56" s="38"/>
      <c r="C56" s="92" t="str">
        <f>G15&amp;"'s Authorized Signature"</f>
        <v>David Wilson Homes's Authorized Signature</v>
      </c>
      <c r="D56" s="92"/>
      <c r="E56" s="92"/>
      <c r="F56" s="92"/>
      <c r="G56" s="92"/>
      <c r="H56" s="93"/>
      <c r="I56" s="13"/>
    </row>
    <row r="57" spans="1:9" ht="51" customHeight="1" x14ac:dyDescent="0.25">
      <c r="A57" s="12"/>
      <c r="B57" s="38"/>
      <c r="C57" s="61"/>
      <c r="D57" s="68" t="s">
        <v>136</v>
      </c>
      <c r="E57" s="64"/>
      <c r="F57" s="62"/>
      <c r="G57" s="62"/>
      <c r="H57" s="63"/>
    </row>
    <row r="58" spans="1:9" ht="51" customHeight="1" x14ac:dyDescent="0.25">
      <c r="A58" s="12"/>
      <c r="B58" s="38"/>
      <c r="C58" s="61"/>
      <c r="D58" s="62" t="s">
        <v>155</v>
      </c>
      <c r="E58" s="64"/>
      <c r="F58" s="62"/>
      <c r="G58" s="62"/>
      <c r="H58" s="63"/>
    </row>
    <row r="59" spans="1:9" ht="10.5" customHeight="1" x14ac:dyDescent="0.25">
      <c r="A59" s="12"/>
      <c r="B59" s="38"/>
      <c r="C59" s="61"/>
      <c r="D59" s="62"/>
      <c r="E59" s="62"/>
      <c r="F59" s="62"/>
      <c r="G59" s="62"/>
      <c r="H59" s="63"/>
    </row>
    <row r="60" spans="1:9" ht="10.5" customHeight="1" x14ac:dyDescent="0.25">
      <c r="A60" s="12"/>
      <c r="B60" s="38"/>
      <c r="C60" s="61"/>
      <c r="D60" s="62"/>
      <c r="E60" s="62"/>
      <c r="F60" s="62"/>
      <c r="G60" s="62"/>
      <c r="H60" s="63"/>
    </row>
    <row r="61" spans="1:9" ht="10.5" customHeight="1" x14ac:dyDescent="0.25">
      <c r="A61" s="12"/>
      <c r="B61" s="38"/>
      <c r="C61" s="61"/>
      <c r="D61" s="62"/>
      <c r="E61" s="62"/>
      <c r="F61" s="62"/>
      <c r="G61" s="62"/>
      <c r="H61" s="63"/>
    </row>
    <row r="62" spans="1:9" ht="27" customHeight="1" x14ac:dyDescent="0.25">
      <c r="A62" s="14"/>
      <c r="B62" s="94"/>
      <c r="C62" s="95"/>
      <c r="D62" s="95"/>
      <c r="E62" s="95"/>
      <c r="F62" s="95"/>
      <c r="G62" s="95"/>
      <c r="H62" s="96"/>
    </row>
    <row r="63" spans="1:9" ht="38.25" customHeight="1" x14ac:dyDescent="0.25">
      <c r="A63" s="12"/>
      <c r="B63" s="27"/>
      <c r="C63" s="39"/>
      <c r="D63" s="66"/>
      <c r="E63" s="66"/>
      <c r="F63" s="66"/>
      <c r="G63" s="66"/>
      <c r="H63" s="66"/>
    </row>
    <row r="64" spans="1:9" ht="22.5" customHeight="1" x14ac:dyDescent="0.25">
      <c r="A64" s="15"/>
      <c r="B64" s="97" t="s">
        <v>139</v>
      </c>
      <c r="C64" s="97"/>
      <c r="D64" s="97"/>
      <c r="E64" s="97"/>
      <c r="F64" s="97"/>
      <c r="G64" s="97"/>
      <c r="H64" s="97"/>
    </row>
    <row r="65" spans="1:8" ht="41.25" customHeight="1" x14ac:dyDescent="0.25">
      <c r="A65" s="12"/>
      <c r="B65" s="27"/>
      <c r="C65" s="98" t="str">
        <f>"In accordance with The Work at Height Regulations 2005 this scaffold must be inspected by "&amp;G15&amp;" and a record maintained of the inspection as follows:"</f>
        <v>In accordance with The Work at Height Regulations 2005 this scaffold must be inspected by David Wilson Homes and a record maintained of the inspection as follows:</v>
      </c>
      <c r="D65" s="98"/>
      <c r="E65" s="98"/>
      <c r="F65" s="98"/>
      <c r="G65" s="98"/>
      <c r="H65" s="98"/>
    </row>
    <row r="66" spans="1:8" ht="17.850000000000001" customHeight="1" x14ac:dyDescent="0.25">
      <c r="A66" s="12"/>
      <c r="B66" s="27"/>
      <c r="C66" s="99"/>
      <c r="D66" s="100"/>
      <c r="E66" s="100"/>
      <c r="F66" s="100"/>
      <c r="G66" s="100"/>
      <c r="H66" s="100"/>
    </row>
    <row r="67" spans="1:8" ht="24.75" customHeight="1" x14ac:dyDescent="0.25">
      <c r="A67" s="12"/>
      <c r="B67" s="27"/>
      <c r="C67" s="62"/>
      <c r="D67" s="71" t="s">
        <v>156</v>
      </c>
      <c r="E67" s="71"/>
      <c r="F67" s="71" t="s">
        <v>157</v>
      </c>
      <c r="G67" s="71"/>
      <c r="H67" s="71"/>
    </row>
    <row r="68" spans="1:8" ht="24.75" customHeight="1" x14ac:dyDescent="0.25">
      <c r="A68" s="12"/>
      <c r="B68" s="27"/>
      <c r="C68" s="62"/>
      <c r="D68" s="71" t="s">
        <v>158</v>
      </c>
      <c r="E68" s="71"/>
      <c r="F68" s="71" t="s">
        <v>159</v>
      </c>
      <c r="G68" s="71"/>
      <c r="H68" s="71"/>
    </row>
    <row r="69" spans="1:8" ht="27" customHeight="1" x14ac:dyDescent="0.25">
      <c r="C69" s="4"/>
      <c r="D69" s="4"/>
      <c r="E69" s="4"/>
      <c r="F69" s="4"/>
      <c r="G69" s="4"/>
    </row>
  </sheetData>
  <mergeCells count="44">
    <mergeCell ref="E22:F22"/>
    <mergeCell ref="A3:D10"/>
    <mergeCell ref="B12:H12"/>
    <mergeCell ref="B13:C13"/>
    <mergeCell ref="B15:C15"/>
    <mergeCell ref="D15:E15"/>
    <mergeCell ref="G15:H15"/>
    <mergeCell ref="B16:C16"/>
    <mergeCell ref="B17:C17"/>
    <mergeCell ref="G17:H17"/>
    <mergeCell ref="B19:H19"/>
    <mergeCell ref="C20:H20"/>
    <mergeCell ref="C38:H38"/>
    <mergeCell ref="E23:F23"/>
    <mergeCell ref="E24:F24"/>
    <mergeCell ref="E25:F25"/>
    <mergeCell ref="E26:F26"/>
    <mergeCell ref="E27:F27"/>
    <mergeCell ref="E28:F28"/>
    <mergeCell ref="E29:F29"/>
    <mergeCell ref="D31:F32"/>
    <mergeCell ref="D34:D35"/>
    <mergeCell ref="E34:G35"/>
    <mergeCell ref="C37:H37"/>
    <mergeCell ref="C56:H56"/>
    <mergeCell ref="C39:H39"/>
    <mergeCell ref="B41:H41"/>
    <mergeCell ref="C42:H42"/>
    <mergeCell ref="C43:H43"/>
    <mergeCell ref="B45:H45"/>
    <mergeCell ref="C46:H46"/>
    <mergeCell ref="C47:H47"/>
    <mergeCell ref="G49:H49"/>
    <mergeCell ref="G50:H50"/>
    <mergeCell ref="C52:H52"/>
    <mergeCell ref="C53:H53"/>
    <mergeCell ref="D68:E68"/>
    <mergeCell ref="F68:H68"/>
    <mergeCell ref="B62:H62"/>
    <mergeCell ref="B64:H64"/>
    <mergeCell ref="C65:H65"/>
    <mergeCell ref="C66:H66"/>
    <mergeCell ref="D67:E67"/>
    <mergeCell ref="F67:H67"/>
  </mergeCells>
  <dataValidations disablePrompts="1" count="1">
    <dataValidation type="list" allowBlank="1" showInputMessage="1" showErrorMessage="1" sqref="G17:H17" xr:uid="{B626BEB6-E5C2-4C4C-99EB-CB8C448AEAEB}">
      <formula1>$W$6:$W$21</formula1>
    </dataValidation>
  </dataValidations>
  <pageMargins left="0.7" right="0.7" top="0.75" bottom="0.75" header="0.3" footer="0.3"/>
  <pageSetup paperSize="9" scale="4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ExportSWs">
                <anchor moveWithCells="1" sizeWithCells="1">
                  <from>
                    <xdr:col>11</xdr:col>
                    <xdr:colOff>314325</xdr:colOff>
                    <xdr:row>5</xdr:row>
                    <xdr:rowOff>142875</xdr:rowOff>
                  </from>
                  <to>
                    <xdr:col>15</xdr:col>
                    <xdr:colOff>257175</xdr:colOff>
                    <xdr:row>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</vt:i4>
      </vt:variant>
    </vt:vector>
  </HeadingPairs>
  <TitlesOfParts>
    <vt:vector size="11" baseType="lpstr">
      <vt:lpstr>Import</vt:lpstr>
      <vt:lpstr>Truthing</vt:lpstr>
      <vt:lpstr>FinalTemplate</vt:lpstr>
      <vt:lpstr>Handover</vt:lpstr>
      <vt:lpstr>Variations</vt:lpstr>
      <vt:lpstr>QS Variations</vt:lpstr>
      <vt:lpstr>Screen Walls</vt:lpstr>
      <vt:lpstr>Handover!Print_Area</vt:lpstr>
      <vt:lpstr>'QS Variations'!Print_Area</vt:lpstr>
      <vt:lpstr>'Screen Walls'!Print_Area</vt:lpstr>
      <vt:lpstr>Variations!Print_Area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Antony Raftopoulos</dc:creator>
  <cp:lastModifiedBy>Antony Raftopoulos</cp:lastModifiedBy>
  <cp:lastPrinted>2020-11-24T14:51:40Z</cp:lastPrinted>
  <dcterms:created xsi:type="dcterms:W3CDTF">2015-06-05T18:17:20Z</dcterms:created>
  <dcterms:modified xsi:type="dcterms:W3CDTF">2020-11-24T14:52:29Z</dcterms:modified>
</cp:coreProperties>
</file>